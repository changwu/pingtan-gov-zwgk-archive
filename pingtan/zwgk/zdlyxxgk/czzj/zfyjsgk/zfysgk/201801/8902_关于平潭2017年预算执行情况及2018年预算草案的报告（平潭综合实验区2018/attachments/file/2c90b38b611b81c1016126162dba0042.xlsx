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270" yWindow="75" windowWidth="12810" windowHeight="12375" activeTab="7"/>
  </bookViews>
  <sheets>
    <sheet name="Sheet0" sheetId="6" r:id="rId1"/>
    <sheet name="Sheet1" sheetId="5" r:id="rId2"/>
    <sheet name="Sheet2" sheetId="4" r:id="rId3"/>
    <sheet name="Sheet3" sheetId="3" r:id="rId4"/>
    <sheet name="Sheet4 " sheetId="2" r:id="rId5"/>
    <sheet name="Sheet5" sheetId="1" r:id="rId6"/>
    <sheet name="Sheet6" sheetId="7" r:id="rId7"/>
    <sheet name="Sheet7" sheetId="8" r:id="rId8"/>
  </sheets>
  <externalReferences>
    <externalReference r:id="rId9"/>
  </externalReferences>
  <definedNames>
    <definedName name="_xlnm.Print_Area" localSheetId="3">Sheet3!$A$1:$F$55</definedName>
    <definedName name="_xlnm.Print_Area" localSheetId="5">Sheet5!$A$1:$F$1379</definedName>
    <definedName name="_xlnm.Print_Titles" localSheetId="1">Sheet1!$1:$5</definedName>
    <definedName name="_xlnm.Print_Titles" localSheetId="2">Sheet2!$1:$4</definedName>
    <definedName name="_xlnm.Print_Titles" localSheetId="4">'Sheet4 '!$1:$5</definedName>
    <definedName name="_xlnm.Print_Titles" localSheetId="5">Sheet5!$1:$4</definedName>
    <definedName name="_xlnm.Print_Titles" localSheetId="6">Sheet6!$1:$6</definedName>
  </definedNames>
  <calcPr calcId="125725"/>
</workbook>
</file>

<file path=xl/calcChain.xml><?xml version="1.0" encoding="utf-8"?>
<calcChain xmlns="http://schemas.openxmlformats.org/spreadsheetml/2006/main">
  <c r="F31" i="8"/>
  <c r="B9"/>
  <c r="F1369" i="1" l="1"/>
  <c r="F1368"/>
  <c r="F1367"/>
  <c r="F1366"/>
  <c r="F1365"/>
  <c r="F688"/>
  <c r="F687"/>
  <c r="F686"/>
  <c r="F685"/>
  <c r="F486"/>
  <c r="F403"/>
  <c r="H47" i="2"/>
  <c r="H48"/>
  <c r="H53"/>
  <c r="H54"/>
  <c r="H55"/>
  <c r="H56"/>
  <c r="H57"/>
  <c r="H58"/>
  <c r="H59"/>
  <c r="H60"/>
  <c r="G47"/>
  <c r="G48"/>
  <c r="G49"/>
  <c r="G50"/>
  <c r="G51"/>
  <c r="G52"/>
  <c r="G53"/>
  <c r="G54"/>
  <c r="G55"/>
  <c r="G56"/>
  <c r="G57"/>
  <c r="G58"/>
  <c r="G59"/>
  <c r="G60"/>
  <c r="E1373" i="1"/>
  <c r="J54" i="5"/>
  <c r="J55"/>
  <c r="J56"/>
  <c r="J57"/>
  <c r="J58"/>
  <c r="J59"/>
  <c r="J60"/>
  <c r="I54"/>
  <c r="H54"/>
  <c r="E1379" i="1"/>
  <c r="F1379" s="1"/>
  <c r="E1378"/>
  <c r="F1378" s="1"/>
  <c r="E1377"/>
  <c r="F1377" s="1"/>
  <c r="E1376"/>
  <c r="F1376" s="1"/>
  <c r="E1375"/>
  <c r="F1375" s="1"/>
  <c r="E1374"/>
  <c r="F1374" s="1"/>
  <c r="P1372"/>
  <c r="O1372"/>
  <c r="M1372"/>
  <c r="L1372"/>
  <c r="K1372"/>
  <c r="J1372"/>
  <c r="I1372"/>
  <c r="H1372"/>
  <c r="D1372"/>
  <c r="E1372" s="1"/>
  <c r="F1372" s="1"/>
  <c r="B1372"/>
  <c r="E1371"/>
  <c r="F1371" s="1"/>
  <c r="E1370"/>
  <c r="E1369"/>
  <c r="E1368"/>
  <c r="E1367"/>
  <c r="E1366"/>
  <c r="E1365"/>
  <c r="P1364"/>
  <c r="O1364"/>
  <c r="M1364"/>
  <c r="L1364"/>
  <c r="K1364"/>
  <c r="J1364"/>
  <c r="I1364"/>
  <c r="H1364"/>
  <c r="C1364"/>
  <c r="P1361"/>
  <c r="P1360" s="1"/>
  <c r="O1361"/>
  <c r="M1361"/>
  <c r="M1360" s="1"/>
  <c r="L1361"/>
  <c r="K1361"/>
  <c r="K1360" s="1"/>
  <c r="J1361"/>
  <c r="I1361"/>
  <c r="I1360" s="1"/>
  <c r="H1361"/>
  <c r="O1360"/>
  <c r="L1360"/>
  <c r="J1360"/>
  <c r="H1360"/>
  <c r="E1359"/>
  <c r="F1359" s="1"/>
  <c r="E1358"/>
  <c r="F1358" s="1"/>
  <c r="E1357"/>
  <c r="F1357" s="1"/>
  <c r="E1356"/>
  <c r="F1356" s="1"/>
  <c r="E1355"/>
  <c r="F1355" s="1"/>
  <c r="E1354"/>
  <c r="F1354" s="1"/>
  <c r="P1353"/>
  <c r="P1352" s="1"/>
  <c r="O1353"/>
  <c r="M1353"/>
  <c r="M1352" s="1"/>
  <c r="L1353"/>
  <c r="K1353"/>
  <c r="K1352" s="1"/>
  <c r="J1353"/>
  <c r="I1353"/>
  <c r="I1352" s="1"/>
  <c r="H1353"/>
  <c r="D1353"/>
  <c r="C1353"/>
  <c r="B1353"/>
  <c r="O1352"/>
  <c r="L1352"/>
  <c r="J1352"/>
  <c r="H1352"/>
  <c r="E1352"/>
  <c r="F1352" s="1"/>
  <c r="B1352"/>
  <c r="E1351"/>
  <c r="F1351" s="1"/>
  <c r="E1350"/>
  <c r="F1350" s="1"/>
  <c r="E1349"/>
  <c r="F1349" s="1"/>
  <c r="E1348"/>
  <c r="F1348" s="1"/>
  <c r="E1347"/>
  <c r="F1347" s="1"/>
  <c r="E1346"/>
  <c r="F1346" s="1"/>
  <c r="P1345"/>
  <c r="O1345"/>
  <c r="O1344" s="1"/>
  <c r="M1345"/>
  <c r="L1345"/>
  <c r="L1344" s="1"/>
  <c r="K1345"/>
  <c r="J1345"/>
  <c r="J1344" s="1"/>
  <c r="I1345"/>
  <c r="H1345"/>
  <c r="H1344" s="1"/>
  <c r="D1345"/>
  <c r="C1345"/>
  <c r="C1344" s="1"/>
  <c r="B1345"/>
  <c r="P1344"/>
  <c r="M1344"/>
  <c r="K1344"/>
  <c r="I1344"/>
  <c r="D1344"/>
  <c r="B1344"/>
  <c r="E1343"/>
  <c r="F1343" s="1"/>
  <c r="E1342"/>
  <c r="F1342" s="1"/>
  <c r="E1341"/>
  <c r="F1341" s="1"/>
  <c r="E1340"/>
  <c r="F1340" s="1"/>
  <c r="E1339"/>
  <c r="F1339" s="1"/>
  <c r="E1338"/>
  <c r="F1338" s="1"/>
  <c r="P1337"/>
  <c r="P1336" s="1"/>
  <c r="O1337"/>
  <c r="O1336" s="1"/>
  <c r="M1337"/>
  <c r="L1337"/>
  <c r="L1336" s="1"/>
  <c r="K1337"/>
  <c r="K1336" s="1"/>
  <c r="J1337"/>
  <c r="J1336" s="1"/>
  <c r="I1337"/>
  <c r="H1337"/>
  <c r="H1336" s="1"/>
  <c r="D1337"/>
  <c r="D1336" s="1"/>
  <c r="C1337"/>
  <c r="C1336" s="1"/>
  <c r="B1337"/>
  <c r="M1336"/>
  <c r="I1336"/>
  <c r="B1336"/>
  <c r="E1335"/>
  <c r="F1335" s="1"/>
  <c r="E1334"/>
  <c r="F1334" s="1"/>
  <c r="E1333"/>
  <c r="F1333" s="1"/>
  <c r="E1332"/>
  <c r="F1332" s="1"/>
  <c r="E1331"/>
  <c r="F1331" s="1"/>
  <c r="E1330"/>
  <c r="F1330" s="1"/>
  <c r="P1329"/>
  <c r="O1329"/>
  <c r="O1328" s="1"/>
  <c r="M1329"/>
  <c r="L1329"/>
  <c r="L1328" s="1"/>
  <c r="K1329"/>
  <c r="J1329"/>
  <c r="J1328" s="1"/>
  <c r="I1329"/>
  <c r="H1329"/>
  <c r="H1328" s="1"/>
  <c r="D1329"/>
  <c r="C1329"/>
  <c r="E1329" s="1"/>
  <c r="F1329" s="1"/>
  <c r="B1329"/>
  <c r="P1328"/>
  <c r="M1328"/>
  <c r="K1328"/>
  <c r="I1328"/>
  <c r="D1328"/>
  <c r="B1328"/>
  <c r="E1327"/>
  <c r="F1327" s="1"/>
  <c r="E1326"/>
  <c r="F1326" s="1"/>
  <c r="E1325"/>
  <c r="F1325" s="1"/>
  <c r="E1324"/>
  <c r="F1324" s="1"/>
  <c r="E1323"/>
  <c r="F1323" s="1"/>
  <c r="E1322"/>
  <c r="F1322" s="1"/>
  <c r="P1321"/>
  <c r="P1320" s="1"/>
  <c r="O1321"/>
  <c r="M1321"/>
  <c r="M1320" s="1"/>
  <c r="L1321"/>
  <c r="K1321"/>
  <c r="K1320" s="1"/>
  <c r="J1321"/>
  <c r="I1321"/>
  <c r="I1320" s="1"/>
  <c r="H1321"/>
  <c r="D1321"/>
  <c r="D1320" s="1"/>
  <c r="E1320" s="1"/>
  <c r="F1320" s="1"/>
  <c r="C1321"/>
  <c r="B1321"/>
  <c r="B1320" s="1"/>
  <c r="O1320"/>
  <c r="L1320"/>
  <c r="J1320"/>
  <c r="H1320"/>
  <c r="C1320"/>
  <c r="E1319"/>
  <c r="F1319" s="1"/>
  <c r="E1318"/>
  <c r="F1318" s="1"/>
  <c r="E1317"/>
  <c r="F1317" s="1"/>
  <c r="E1316"/>
  <c r="F1316" s="1"/>
  <c r="E1315"/>
  <c r="F1315" s="1"/>
  <c r="E1314"/>
  <c r="F1314" s="1"/>
  <c r="P1313"/>
  <c r="P1312" s="1"/>
  <c r="O1313"/>
  <c r="O1312" s="1"/>
  <c r="M1313"/>
  <c r="M1312" s="1"/>
  <c r="L1313"/>
  <c r="L1312" s="1"/>
  <c r="K1313"/>
  <c r="K1312" s="1"/>
  <c r="J1313"/>
  <c r="J1312" s="1"/>
  <c r="I1313"/>
  <c r="H1313"/>
  <c r="H1312" s="1"/>
  <c r="D1313"/>
  <c r="D1312" s="1"/>
  <c r="C1313"/>
  <c r="C1312" s="1"/>
  <c r="B1313"/>
  <c r="B1312" s="1"/>
  <c r="I1312"/>
  <c r="E1311"/>
  <c r="F1311" s="1"/>
  <c r="E1310"/>
  <c r="F1310" s="1"/>
  <c r="E1309"/>
  <c r="F1309" s="1"/>
  <c r="E1308"/>
  <c r="F1308" s="1"/>
  <c r="E1307"/>
  <c r="F1307" s="1"/>
  <c r="E1306"/>
  <c r="F1306" s="1"/>
  <c r="P1305"/>
  <c r="P1304" s="1"/>
  <c r="O1305"/>
  <c r="O1304" s="1"/>
  <c r="M1305"/>
  <c r="L1305"/>
  <c r="L1304" s="1"/>
  <c r="K1305"/>
  <c r="K1304" s="1"/>
  <c r="J1305"/>
  <c r="J1304" s="1"/>
  <c r="I1305"/>
  <c r="H1305"/>
  <c r="H1304" s="1"/>
  <c r="D1305"/>
  <c r="D1304" s="1"/>
  <c r="C1305"/>
  <c r="B1305"/>
  <c r="M1304"/>
  <c r="I1304"/>
  <c r="B1304"/>
  <c r="E1303"/>
  <c r="F1303" s="1"/>
  <c r="P1302"/>
  <c r="P1301" s="1"/>
  <c r="O1302"/>
  <c r="M1302"/>
  <c r="M1301" s="1"/>
  <c r="L1302"/>
  <c r="K1302"/>
  <c r="K1301" s="1"/>
  <c r="J1302"/>
  <c r="I1302"/>
  <c r="I1301" s="1"/>
  <c r="H1302"/>
  <c r="D1302"/>
  <c r="E1302" s="1"/>
  <c r="F1302" s="1"/>
  <c r="C1302"/>
  <c r="B1302"/>
  <c r="B1301" s="1"/>
  <c r="O1301"/>
  <c r="L1301"/>
  <c r="J1301"/>
  <c r="H1301"/>
  <c r="C1301"/>
  <c r="E1300"/>
  <c r="F1300" s="1"/>
  <c r="E1299"/>
  <c r="F1299" s="1"/>
  <c r="E1298"/>
  <c r="F1298" s="1"/>
  <c r="E1297"/>
  <c r="F1297" s="1"/>
  <c r="E1296"/>
  <c r="F1296" s="1"/>
  <c r="E1295"/>
  <c r="F1295" s="1"/>
  <c r="P1294"/>
  <c r="P1293" s="1"/>
  <c r="O1294"/>
  <c r="M1294"/>
  <c r="M1293" s="1"/>
  <c r="L1294"/>
  <c r="K1294"/>
  <c r="K1293" s="1"/>
  <c r="J1294"/>
  <c r="I1294"/>
  <c r="I1293" s="1"/>
  <c r="H1294"/>
  <c r="D1294"/>
  <c r="E1294" s="1"/>
  <c r="F1294" s="1"/>
  <c r="C1294"/>
  <c r="B1294"/>
  <c r="B1293" s="1"/>
  <c r="O1293"/>
  <c r="L1293"/>
  <c r="J1293"/>
  <c r="H1293"/>
  <c r="C1293"/>
  <c r="E1292"/>
  <c r="F1292" s="1"/>
  <c r="E1291"/>
  <c r="F1291" s="1"/>
  <c r="E1290"/>
  <c r="F1290" s="1"/>
  <c r="E1289"/>
  <c r="F1289" s="1"/>
  <c r="E1288"/>
  <c r="F1288" s="1"/>
  <c r="E1287"/>
  <c r="F1287" s="1"/>
  <c r="P1286"/>
  <c r="P1285" s="1"/>
  <c r="O1286"/>
  <c r="M1286"/>
  <c r="M1285" s="1"/>
  <c r="L1286"/>
  <c r="K1286"/>
  <c r="K1285" s="1"/>
  <c r="J1286"/>
  <c r="I1286"/>
  <c r="I1285" s="1"/>
  <c r="H1286"/>
  <c r="D1286"/>
  <c r="E1286" s="1"/>
  <c r="F1286" s="1"/>
  <c r="C1286"/>
  <c r="B1286"/>
  <c r="B1285" s="1"/>
  <c r="O1285"/>
  <c r="L1285"/>
  <c r="J1285"/>
  <c r="H1285"/>
  <c r="C1285"/>
  <c r="E1284"/>
  <c r="F1284" s="1"/>
  <c r="E1283"/>
  <c r="F1283" s="1"/>
  <c r="E1282"/>
  <c r="F1282" s="1"/>
  <c r="E1281"/>
  <c r="F1281" s="1"/>
  <c r="E1280"/>
  <c r="F1280" s="1"/>
  <c r="E1279"/>
  <c r="F1279" s="1"/>
  <c r="P1278"/>
  <c r="P1277" s="1"/>
  <c r="O1278"/>
  <c r="M1278"/>
  <c r="M1277" s="1"/>
  <c r="L1278"/>
  <c r="K1278"/>
  <c r="K1277" s="1"/>
  <c r="J1278"/>
  <c r="I1278"/>
  <c r="I1277" s="1"/>
  <c r="H1278"/>
  <c r="D1278"/>
  <c r="D1277" s="1"/>
  <c r="C1278"/>
  <c r="B1278"/>
  <c r="B1277" s="1"/>
  <c r="O1277"/>
  <c r="L1277"/>
  <c r="J1277"/>
  <c r="H1277"/>
  <c r="C1277"/>
  <c r="F1273"/>
  <c r="E1272"/>
  <c r="F1272" s="1"/>
  <c r="E1271"/>
  <c r="F1271" s="1"/>
  <c r="E1270"/>
  <c r="F1270" s="1"/>
  <c r="E1269"/>
  <c r="F1269" s="1"/>
  <c r="E1268"/>
  <c r="F1268" s="1"/>
  <c r="E1267"/>
  <c r="F1267" s="1"/>
  <c r="E1266"/>
  <c r="F1266" s="1"/>
  <c r="E1265"/>
  <c r="F1265" s="1"/>
  <c r="E1264"/>
  <c r="E1263"/>
  <c r="E1262"/>
  <c r="F1262" s="1"/>
  <c r="E1261"/>
  <c r="F1261" s="1"/>
  <c r="E1260"/>
  <c r="F1260" s="1"/>
  <c r="E1259"/>
  <c r="P1258"/>
  <c r="O1258"/>
  <c r="O1256" s="1"/>
  <c r="M1258"/>
  <c r="L1258"/>
  <c r="L1256" s="1"/>
  <c r="K1258"/>
  <c r="J1258"/>
  <c r="J1256" s="1"/>
  <c r="I1258"/>
  <c r="H1258"/>
  <c r="H1256" s="1"/>
  <c r="E1257"/>
  <c r="P1256"/>
  <c r="M1256"/>
  <c r="K1256"/>
  <c r="I1256"/>
  <c r="E1256"/>
  <c r="C1255"/>
  <c r="E1255" s="1"/>
  <c r="E1254"/>
  <c r="P1253"/>
  <c r="O1253"/>
  <c r="M1253"/>
  <c r="L1253"/>
  <c r="K1253"/>
  <c r="J1253"/>
  <c r="I1253"/>
  <c r="H1253"/>
  <c r="D1253"/>
  <c r="E1253" s="1"/>
  <c r="B1253"/>
  <c r="E1252"/>
  <c r="E1251"/>
  <c r="E1250"/>
  <c r="C1249"/>
  <c r="E1249" s="1"/>
  <c r="P1247"/>
  <c r="O1247"/>
  <c r="M1247"/>
  <c r="L1247"/>
  <c r="K1247"/>
  <c r="J1247"/>
  <c r="I1247"/>
  <c r="H1247"/>
  <c r="P1246"/>
  <c r="O1246"/>
  <c r="M1246"/>
  <c r="L1246"/>
  <c r="K1246"/>
  <c r="J1246"/>
  <c r="I1246"/>
  <c r="H1246"/>
  <c r="E1246"/>
  <c r="F1246" s="1"/>
  <c r="E1245"/>
  <c r="F1245" s="1"/>
  <c r="E1244"/>
  <c r="F1244" s="1"/>
  <c r="P1243"/>
  <c r="O1243"/>
  <c r="M1243"/>
  <c r="L1243"/>
  <c r="K1243"/>
  <c r="J1243"/>
  <c r="I1243"/>
  <c r="H1243"/>
  <c r="E1243"/>
  <c r="C1243"/>
  <c r="E1242"/>
  <c r="F1242" s="1"/>
  <c r="E1241"/>
  <c r="F1241" s="1"/>
  <c r="E1240"/>
  <c r="F1240" s="1"/>
  <c r="E1239"/>
  <c r="F1239" s="1"/>
  <c r="P1238"/>
  <c r="O1238"/>
  <c r="M1238"/>
  <c r="L1238"/>
  <c r="K1238"/>
  <c r="J1238"/>
  <c r="I1238"/>
  <c r="H1238"/>
  <c r="D1238"/>
  <c r="C1238"/>
  <c r="B1238"/>
  <c r="E1237"/>
  <c r="F1237" s="1"/>
  <c r="E1236"/>
  <c r="F1236" s="1"/>
  <c r="E1235"/>
  <c r="F1235" s="1"/>
  <c r="E1234"/>
  <c r="F1234" s="1"/>
  <c r="E1233"/>
  <c r="F1233" s="1"/>
  <c r="P1232"/>
  <c r="P1231" s="1"/>
  <c r="O1232"/>
  <c r="M1232"/>
  <c r="M1231" s="1"/>
  <c r="L1232"/>
  <c r="K1232"/>
  <c r="K1231" s="1"/>
  <c r="J1232"/>
  <c r="I1232"/>
  <c r="I1231" s="1"/>
  <c r="H1232"/>
  <c r="D1232"/>
  <c r="E1232" s="1"/>
  <c r="F1232" s="1"/>
  <c r="C1232"/>
  <c r="B1232"/>
  <c r="B1231" s="1"/>
  <c r="O1231"/>
  <c r="L1231"/>
  <c r="J1231"/>
  <c r="H1231"/>
  <c r="C1231"/>
  <c r="E1230"/>
  <c r="F1230" s="1"/>
  <c r="E1229"/>
  <c r="F1229" s="1"/>
  <c r="E1228"/>
  <c r="F1228" s="1"/>
  <c r="E1227"/>
  <c r="F1227" s="1"/>
  <c r="E1226"/>
  <c r="F1226" s="1"/>
  <c r="P1225"/>
  <c r="O1225"/>
  <c r="M1225"/>
  <c r="L1225"/>
  <c r="K1225"/>
  <c r="J1225"/>
  <c r="I1225"/>
  <c r="H1225"/>
  <c r="E1225"/>
  <c r="F1225" s="1"/>
  <c r="E1224"/>
  <c r="F1224" s="1"/>
  <c r="E1223"/>
  <c r="F1223" s="1"/>
  <c r="E1222"/>
  <c r="F1222" s="1"/>
  <c r="E1221"/>
  <c r="F1221" s="1"/>
  <c r="P1220"/>
  <c r="O1220"/>
  <c r="M1220"/>
  <c r="L1220"/>
  <c r="K1220"/>
  <c r="J1220"/>
  <c r="I1220"/>
  <c r="H1220"/>
  <c r="D1220"/>
  <c r="D1186" s="1"/>
  <c r="C1220"/>
  <c r="B1220"/>
  <c r="P1215"/>
  <c r="O1215"/>
  <c r="O1186" s="1"/>
  <c r="M1215"/>
  <c r="L1215"/>
  <c r="K1215"/>
  <c r="J1215"/>
  <c r="J1186" s="1"/>
  <c r="I1215"/>
  <c r="H1215"/>
  <c r="B1186"/>
  <c r="E1214"/>
  <c r="F1214" s="1"/>
  <c r="E1213"/>
  <c r="F1213" s="1"/>
  <c r="E1212"/>
  <c r="F1212" s="1"/>
  <c r="E1211"/>
  <c r="F1211" s="1"/>
  <c r="E1210"/>
  <c r="F1210" s="1"/>
  <c r="P1209"/>
  <c r="O1209"/>
  <c r="M1209"/>
  <c r="L1209"/>
  <c r="K1209"/>
  <c r="J1209"/>
  <c r="I1209"/>
  <c r="H1209"/>
  <c r="E1209"/>
  <c r="F1209" s="1"/>
  <c r="E1208"/>
  <c r="F1208" s="1"/>
  <c r="E1207"/>
  <c r="F1207" s="1"/>
  <c r="E1206"/>
  <c r="F1206" s="1"/>
  <c r="E1205"/>
  <c r="F1205" s="1"/>
  <c r="E1204"/>
  <c r="F1204" s="1"/>
  <c r="E1203"/>
  <c r="F1203" s="1"/>
  <c r="E1202"/>
  <c r="F1202" s="1"/>
  <c r="E1201"/>
  <c r="F1201" s="1"/>
  <c r="E1200"/>
  <c r="F1200" s="1"/>
  <c r="E1199"/>
  <c r="F1199" s="1"/>
  <c r="C1198"/>
  <c r="E1198" s="1"/>
  <c r="F1198" s="1"/>
  <c r="E1197"/>
  <c r="F1197" s="1"/>
  <c r="E1196"/>
  <c r="F1196" s="1"/>
  <c r="P1195"/>
  <c r="O1195"/>
  <c r="M1195"/>
  <c r="L1195"/>
  <c r="K1195"/>
  <c r="J1195"/>
  <c r="I1195"/>
  <c r="H1195"/>
  <c r="E1195"/>
  <c r="F1195" s="1"/>
  <c r="E1193"/>
  <c r="E1192"/>
  <c r="E1191"/>
  <c r="E1190"/>
  <c r="E1189"/>
  <c r="P1187"/>
  <c r="P1186" s="1"/>
  <c r="O1187"/>
  <c r="M1187"/>
  <c r="M1186" s="1"/>
  <c r="L1187"/>
  <c r="K1187"/>
  <c r="K1186" s="1"/>
  <c r="J1187"/>
  <c r="I1187"/>
  <c r="I1186" s="1"/>
  <c r="H1187"/>
  <c r="E1187"/>
  <c r="L1186"/>
  <c r="H1186"/>
  <c r="C1186"/>
  <c r="P1185"/>
  <c r="O1185"/>
  <c r="M1185"/>
  <c r="L1185"/>
  <c r="K1185"/>
  <c r="J1185"/>
  <c r="I1185"/>
  <c r="H1185"/>
  <c r="D1185"/>
  <c r="C1185"/>
  <c r="B1185"/>
  <c r="E1184"/>
  <c r="F1184" s="1"/>
  <c r="D1183"/>
  <c r="E1183" s="1"/>
  <c r="F1183" s="1"/>
  <c r="C1183"/>
  <c r="B1183"/>
  <c r="E1182"/>
  <c r="F1182" s="1"/>
  <c r="D1181"/>
  <c r="C1181"/>
  <c r="B1181"/>
  <c r="E1180"/>
  <c r="F1180" s="1"/>
  <c r="E1179"/>
  <c r="F1179" s="1"/>
  <c r="E1178"/>
  <c r="F1178" s="1"/>
  <c r="D1177"/>
  <c r="C1177"/>
  <c r="B1177"/>
  <c r="E1176"/>
  <c r="F1176" s="1"/>
  <c r="D1175"/>
  <c r="E1175" s="1"/>
  <c r="F1175" s="1"/>
  <c r="C1175"/>
  <c r="B1175"/>
  <c r="E1172"/>
  <c r="F1172" s="1"/>
  <c r="D1171"/>
  <c r="C1171"/>
  <c r="B1171"/>
  <c r="B1167" s="1"/>
  <c r="E1170"/>
  <c r="F1170" s="1"/>
  <c r="E1169"/>
  <c r="F1169" s="1"/>
  <c r="D1168"/>
  <c r="C1168"/>
  <c r="C1167" s="1"/>
  <c r="B1168"/>
  <c r="D1167"/>
  <c r="E1166"/>
  <c r="F1166" s="1"/>
  <c r="E1165"/>
  <c r="H1164"/>
  <c r="H1163" s="1"/>
  <c r="H1162" s="1"/>
  <c r="E1164"/>
  <c r="F1164" s="1"/>
  <c r="P1163"/>
  <c r="P1162" s="1"/>
  <c r="O1163"/>
  <c r="O1162" s="1"/>
  <c r="M1163"/>
  <c r="L1163"/>
  <c r="L1162" s="1"/>
  <c r="K1163"/>
  <c r="K1162" s="1"/>
  <c r="J1163"/>
  <c r="J1162" s="1"/>
  <c r="I1163"/>
  <c r="E1163"/>
  <c r="F1163" s="1"/>
  <c r="M1162"/>
  <c r="I1162"/>
  <c r="D1162"/>
  <c r="C1162"/>
  <c r="B1162"/>
  <c r="E1161"/>
  <c r="F1161" s="1"/>
  <c r="E1160"/>
  <c r="F1160" s="1"/>
  <c r="E1159"/>
  <c r="F1159" s="1"/>
  <c r="E1158"/>
  <c r="F1158" s="1"/>
  <c r="P1157"/>
  <c r="P1148" s="1"/>
  <c r="O1157"/>
  <c r="M1157"/>
  <c r="L1157"/>
  <c r="K1157"/>
  <c r="J1157"/>
  <c r="I1157"/>
  <c r="H1157"/>
  <c r="D1157"/>
  <c r="C1157"/>
  <c r="B1157"/>
  <c r="E1156"/>
  <c r="F1156" s="1"/>
  <c r="E1155"/>
  <c r="F1155" s="1"/>
  <c r="E1154"/>
  <c r="F1154" s="1"/>
  <c r="E1153"/>
  <c r="F1153" s="1"/>
  <c r="E1152"/>
  <c r="F1152" s="1"/>
  <c r="E1151"/>
  <c r="F1151" s="1"/>
  <c r="P1150"/>
  <c r="O1150"/>
  <c r="M1150"/>
  <c r="L1150"/>
  <c r="K1150"/>
  <c r="J1150"/>
  <c r="I1150"/>
  <c r="H1150"/>
  <c r="D1150"/>
  <c r="C1150"/>
  <c r="C1148" s="1"/>
  <c r="E1148" s="1"/>
  <c r="F1148" s="1"/>
  <c r="B1150"/>
  <c r="E1149"/>
  <c r="F1149" s="1"/>
  <c r="K1148"/>
  <c r="E1147"/>
  <c r="F1147" s="1"/>
  <c r="E1146"/>
  <c r="F1146" s="1"/>
  <c r="E1145"/>
  <c r="F1145" s="1"/>
  <c r="E1144"/>
  <c r="F1144" s="1"/>
  <c r="E1143"/>
  <c r="F1143" s="1"/>
  <c r="E1142"/>
  <c r="F1142" s="1"/>
  <c r="P1141"/>
  <c r="O1141"/>
  <c r="M1141"/>
  <c r="L1141"/>
  <c r="K1141"/>
  <c r="J1141"/>
  <c r="I1141"/>
  <c r="I1125" s="1"/>
  <c r="H1141"/>
  <c r="E1141"/>
  <c r="E1140"/>
  <c r="F1140" s="1"/>
  <c r="E1139"/>
  <c r="F1139" s="1"/>
  <c r="E1138"/>
  <c r="F1138" s="1"/>
  <c r="E1137"/>
  <c r="F1137" s="1"/>
  <c r="E1136"/>
  <c r="F1136" s="1"/>
  <c r="E1135"/>
  <c r="F1135" s="1"/>
  <c r="E1134"/>
  <c r="F1134" s="1"/>
  <c r="E1133"/>
  <c r="F1133" s="1"/>
  <c r="E1132"/>
  <c r="F1132" s="1"/>
  <c r="E1131"/>
  <c r="F1131" s="1"/>
  <c r="E1130"/>
  <c r="F1130" s="1"/>
  <c r="E1129"/>
  <c r="F1129" s="1"/>
  <c r="E1128"/>
  <c r="F1128" s="1"/>
  <c r="E1127"/>
  <c r="F1127" s="1"/>
  <c r="P1126"/>
  <c r="O1126"/>
  <c r="O1125" s="1"/>
  <c r="M1126"/>
  <c r="L1126"/>
  <c r="L1125" s="1"/>
  <c r="K1126"/>
  <c r="J1126"/>
  <c r="J1125" s="1"/>
  <c r="I1126"/>
  <c r="H1126"/>
  <c r="H1125" s="1"/>
  <c r="E1126"/>
  <c r="F1126" s="1"/>
  <c r="M1125"/>
  <c r="D1125"/>
  <c r="C1125"/>
  <c r="B1125"/>
  <c r="E1124"/>
  <c r="F1124" s="1"/>
  <c r="E1123"/>
  <c r="F1123" s="1"/>
  <c r="P1122"/>
  <c r="O1122"/>
  <c r="M1122"/>
  <c r="L1122"/>
  <c r="K1122"/>
  <c r="J1122"/>
  <c r="I1122"/>
  <c r="H1122"/>
  <c r="E1122"/>
  <c r="F1122" s="1"/>
  <c r="E1121"/>
  <c r="F1121" s="1"/>
  <c r="E1120"/>
  <c r="F1120" s="1"/>
  <c r="E1119"/>
  <c r="F1119" s="1"/>
  <c r="P1118"/>
  <c r="O1118"/>
  <c r="O1108" s="1"/>
  <c r="M1118"/>
  <c r="L1118"/>
  <c r="L1108" s="1"/>
  <c r="K1118"/>
  <c r="J1118"/>
  <c r="J1108" s="1"/>
  <c r="I1118"/>
  <c r="H1118"/>
  <c r="H1108" s="1"/>
  <c r="E1118"/>
  <c r="F1118" s="1"/>
  <c r="E1117"/>
  <c r="F1117" s="1"/>
  <c r="E1116"/>
  <c r="F1116" s="1"/>
  <c r="E1115"/>
  <c r="F1115" s="1"/>
  <c r="E1114"/>
  <c r="F1114" s="1"/>
  <c r="E1113"/>
  <c r="F1113" s="1"/>
  <c r="E1112"/>
  <c r="F1112" s="1"/>
  <c r="E1111"/>
  <c r="F1111" s="1"/>
  <c r="E1110"/>
  <c r="F1110" s="1"/>
  <c r="P1109"/>
  <c r="P1108" s="1"/>
  <c r="O1109"/>
  <c r="M1109"/>
  <c r="L1109"/>
  <c r="K1109"/>
  <c r="J1109"/>
  <c r="I1109"/>
  <c r="H1109"/>
  <c r="E1109"/>
  <c r="M1108"/>
  <c r="K1108"/>
  <c r="I1108"/>
  <c r="D1108"/>
  <c r="C1108"/>
  <c r="B1108"/>
  <c r="E1107"/>
  <c r="F1107" s="1"/>
  <c r="E1106"/>
  <c r="F1106" s="1"/>
  <c r="E1105"/>
  <c r="F1105" s="1"/>
  <c r="E1104"/>
  <c r="F1104" s="1"/>
  <c r="E1103"/>
  <c r="F1103" s="1"/>
  <c r="E1102"/>
  <c r="F1102" s="1"/>
  <c r="E1101"/>
  <c r="F1101" s="1"/>
  <c r="E1100"/>
  <c r="F1100" s="1"/>
  <c r="E1099"/>
  <c r="F1099" s="1"/>
  <c r="E1098"/>
  <c r="F1098" s="1"/>
  <c r="E1097"/>
  <c r="F1097" s="1"/>
  <c r="E1096"/>
  <c r="F1096" s="1"/>
  <c r="E1095"/>
  <c r="F1095" s="1"/>
  <c r="E1094"/>
  <c r="F1094" s="1"/>
  <c r="E1093"/>
  <c r="F1093" s="1"/>
  <c r="E1092"/>
  <c r="F1092" s="1"/>
  <c r="P1091"/>
  <c r="O1091"/>
  <c r="M1091"/>
  <c r="L1091"/>
  <c r="K1091"/>
  <c r="J1091"/>
  <c r="I1091"/>
  <c r="H1091"/>
  <c r="E1091"/>
  <c r="F1091" s="1"/>
  <c r="E1090"/>
  <c r="F1090" s="1"/>
  <c r="E1089"/>
  <c r="F1089" s="1"/>
  <c r="E1088"/>
  <c r="F1088" s="1"/>
  <c r="E1087"/>
  <c r="F1087" s="1"/>
  <c r="E1086"/>
  <c r="F1086" s="1"/>
  <c r="E1085"/>
  <c r="F1085" s="1"/>
  <c r="E1084"/>
  <c r="F1084" s="1"/>
  <c r="E1083"/>
  <c r="F1083" s="1"/>
  <c r="E1082"/>
  <c r="F1082" s="1"/>
  <c r="E1081"/>
  <c r="F1081" s="1"/>
  <c r="E1080"/>
  <c r="F1080" s="1"/>
  <c r="E1079"/>
  <c r="F1079" s="1"/>
  <c r="P1078"/>
  <c r="O1078"/>
  <c r="M1078"/>
  <c r="L1078"/>
  <c r="K1078"/>
  <c r="J1078"/>
  <c r="I1078"/>
  <c r="H1078"/>
  <c r="E1078"/>
  <c r="F1078" s="1"/>
  <c r="E1076"/>
  <c r="F1076" s="1"/>
  <c r="E1075"/>
  <c r="F1075" s="1"/>
  <c r="E1074"/>
  <c r="F1074" s="1"/>
  <c r="E1073"/>
  <c r="F1073" s="1"/>
  <c r="E1072"/>
  <c r="F1072" s="1"/>
  <c r="E1071"/>
  <c r="F1071" s="1"/>
  <c r="E1070"/>
  <c r="F1070" s="1"/>
  <c r="E1069"/>
  <c r="F1069" s="1"/>
  <c r="E1068"/>
  <c r="F1068" s="1"/>
  <c r="E1067"/>
  <c r="F1067" s="1"/>
  <c r="E1066"/>
  <c r="F1066" s="1"/>
  <c r="E1065"/>
  <c r="F1065" s="1"/>
  <c r="E1064"/>
  <c r="F1064" s="1"/>
  <c r="E1063"/>
  <c r="F1063" s="1"/>
  <c r="E1062"/>
  <c r="F1062" s="1"/>
  <c r="E1061"/>
  <c r="F1061" s="1"/>
  <c r="E1060"/>
  <c r="F1060" s="1"/>
  <c r="E1059"/>
  <c r="F1059" s="1"/>
  <c r="E1058"/>
  <c r="F1058" s="1"/>
  <c r="P1057"/>
  <c r="O1057"/>
  <c r="M1057"/>
  <c r="L1057"/>
  <c r="K1057"/>
  <c r="J1057"/>
  <c r="I1057"/>
  <c r="H1057"/>
  <c r="E1057"/>
  <c r="F1057" s="1"/>
  <c r="E1056"/>
  <c r="F1056" s="1"/>
  <c r="E1055"/>
  <c r="F1055" s="1"/>
  <c r="E1054"/>
  <c r="F1054" s="1"/>
  <c r="E1053"/>
  <c r="F1053" s="1"/>
  <c r="E1052"/>
  <c r="F1052" s="1"/>
  <c r="E1051"/>
  <c r="F1051" s="1"/>
  <c r="E1050"/>
  <c r="F1050" s="1"/>
  <c r="E1049"/>
  <c r="F1049" s="1"/>
  <c r="E1048"/>
  <c r="F1048" s="1"/>
  <c r="E1047"/>
  <c r="F1047" s="1"/>
  <c r="E1046"/>
  <c r="F1046" s="1"/>
  <c r="E1045"/>
  <c r="F1045" s="1"/>
  <c r="E1044"/>
  <c r="F1044" s="1"/>
  <c r="E1043"/>
  <c r="F1043" s="1"/>
  <c r="E1042"/>
  <c r="F1042" s="1"/>
  <c r="E1041"/>
  <c r="F1041" s="1"/>
  <c r="E1040"/>
  <c r="F1040" s="1"/>
  <c r="E1039"/>
  <c r="F1039" s="1"/>
  <c r="E1038"/>
  <c r="F1038" s="1"/>
  <c r="E1037"/>
  <c r="F1037" s="1"/>
  <c r="P1036"/>
  <c r="O1036"/>
  <c r="O1035" s="1"/>
  <c r="M1036"/>
  <c r="L1036"/>
  <c r="L1035" s="1"/>
  <c r="K1036"/>
  <c r="J1036"/>
  <c r="J1035" s="1"/>
  <c r="I1036"/>
  <c r="H1036"/>
  <c r="H1035" s="1"/>
  <c r="E1036"/>
  <c r="F1036" s="1"/>
  <c r="P1035"/>
  <c r="M1035"/>
  <c r="K1035"/>
  <c r="I1035"/>
  <c r="D1035"/>
  <c r="C1035"/>
  <c r="B1035"/>
  <c r="E1034"/>
  <c r="F1034" s="1"/>
  <c r="E1033"/>
  <c r="F1033" s="1"/>
  <c r="P1032"/>
  <c r="O1032"/>
  <c r="O1024" s="1"/>
  <c r="M1032"/>
  <c r="L1032"/>
  <c r="L1024" s="1"/>
  <c r="K1032"/>
  <c r="J1032"/>
  <c r="J1024" s="1"/>
  <c r="I1032"/>
  <c r="H1032"/>
  <c r="H1024" s="1"/>
  <c r="C1032"/>
  <c r="E1032" s="1"/>
  <c r="F1032" s="1"/>
  <c r="E1031"/>
  <c r="F1031" s="1"/>
  <c r="E1030"/>
  <c r="F1030" s="1"/>
  <c r="E1029"/>
  <c r="F1029" s="1"/>
  <c r="E1028"/>
  <c r="F1028" s="1"/>
  <c r="F1027"/>
  <c r="E1027"/>
  <c r="F1026"/>
  <c r="E1026"/>
  <c r="P1025"/>
  <c r="O1025"/>
  <c r="M1025"/>
  <c r="L1025"/>
  <c r="K1025"/>
  <c r="J1025"/>
  <c r="I1025"/>
  <c r="H1025"/>
  <c r="F1025"/>
  <c r="E1025"/>
  <c r="P1024"/>
  <c r="M1024"/>
  <c r="K1024"/>
  <c r="I1024"/>
  <c r="D1024"/>
  <c r="E1024" s="1"/>
  <c r="F1024" s="1"/>
  <c r="C1024"/>
  <c r="B1024"/>
  <c r="E1023"/>
  <c r="F1023" s="1"/>
  <c r="E1022"/>
  <c r="F1022" s="1"/>
  <c r="P1021"/>
  <c r="O1021"/>
  <c r="M1021"/>
  <c r="L1021"/>
  <c r="K1021"/>
  <c r="J1021"/>
  <c r="I1021"/>
  <c r="H1021"/>
  <c r="P1015"/>
  <c r="O1015"/>
  <c r="M1015"/>
  <c r="L1015"/>
  <c r="K1015"/>
  <c r="J1015"/>
  <c r="I1015"/>
  <c r="H1015"/>
  <c r="F1014"/>
  <c r="E1014"/>
  <c r="F1013"/>
  <c r="E1013"/>
  <c r="F1012"/>
  <c r="E1012"/>
  <c r="F1011"/>
  <c r="E1011"/>
  <c r="F1010"/>
  <c r="E1010"/>
  <c r="F1009"/>
  <c r="E1009"/>
  <c r="P1008"/>
  <c r="O1008"/>
  <c r="M1008"/>
  <c r="L1008"/>
  <c r="K1008"/>
  <c r="J1008"/>
  <c r="I1008"/>
  <c r="H1008"/>
  <c r="F1008"/>
  <c r="E1008"/>
  <c r="F1007"/>
  <c r="E1007"/>
  <c r="F1006"/>
  <c r="E1006"/>
  <c r="F1005"/>
  <c r="E1005"/>
  <c r="F1004"/>
  <c r="E1004"/>
  <c r="F1003"/>
  <c r="E1003"/>
  <c r="F1002"/>
  <c r="E1002"/>
  <c r="F1001"/>
  <c r="E1001"/>
  <c r="F1000"/>
  <c r="E1000"/>
  <c r="F999"/>
  <c r="E999"/>
  <c r="P998"/>
  <c r="O998"/>
  <c r="M998"/>
  <c r="M997" s="1"/>
  <c r="L998"/>
  <c r="K998"/>
  <c r="K997" s="1"/>
  <c r="J998"/>
  <c r="I998"/>
  <c r="I997" s="1"/>
  <c r="H998"/>
  <c r="F998"/>
  <c r="E998"/>
  <c r="P997"/>
  <c r="D997"/>
  <c r="C997"/>
  <c r="B997"/>
  <c r="E996"/>
  <c r="F996" s="1"/>
  <c r="E995"/>
  <c r="F995" s="1"/>
  <c r="E994"/>
  <c r="F994" s="1"/>
  <c r="E993"/>
  <c r="F993" s="1"/>
  <c r="E992"/>
  <c r="F992" s="1"/>
  <c r="E991"/>
  <c r="F991" s="1"/>
  <c r="P990"/>
  <c r="O990"/>
  <c r="M990"/>
  <c r="L990"/>
  <c r="K990"/>
  <c r="J990"/>
  <c r="I990"/>
  <c r="H990"/>
  <c r="D990"/>
  <c r="C990"/>
  <c r="E990" s="1"/>
  <c r="F990" s="1"/>
  <c r="B990"/>
  <c r="F989"/>
  <c r="E989"/>
  <c r="F988"/>
  <c r="E988"/>
  <c r="F987"/>
  <c r="E987"/>
  <c r="F986"/>
  <c r="E986"/>
  <c r="F985"/>
  <c r="E985"/>
  <c r="F984"/>
  <c r="E984"/>
  <c r="P983"/>
  <c r="O983"/>
  <c r="M983"/>
  <c r="L983"/>
  <c r="K983"/>
  <c r="J983"/>
  <c r="I983"/>
  <c r="H983"/>
  <c r="F983"/>
  <c r="E983"/>
  <c r="F982"/>
  <c r="E982"/>
  <c r="F981"/>
  <c r="E981"/>
  <c r="F980"/>
  <c r="E980"/>
  <c r="F979"/>
  <c r="E979"/>
  <c r="F978"/>
  <c r="E978"/>
  <c r="F977"/>
  <c r="E977"/>
  <c r="P976"/>
  <c r="O976"/>
  <c r="M976"/>
  <c r="L976"/>
  <c r="K976"/>
  <c r="J976"/>
  <c r="I976"/>
  <c r="H976"/>
  <c r="F976"/>
  <c r="E976"/>
  <c r="F975"/>
  <c r="E975"/>
  <c r="F974"/>
  <c r="E974"/>
  <c r="F973"/>
  <c r="E973"/>
  <c r="F972"/>
  <c r="E972"/>
  <c r="F971"/>
  <c r="E971"/>
  <c r="F970"/>
  <c r="E970"/>
  <c r="F969"/>
  <c r="E969"/>
  <c r="F968"/>
  <c r="E968"/>
  <c r="P967"/>
  <c r="O967"/>
  <c r="M967"/>
  <c r="M965" s="1"/>
  <c r="L967"/>
  <c r="K967"/>
  <c r="K965" s="1"/>
  <c r="J967"/>
  <c r="I967"/>
  <c r="I965" s="1"/>
  <c r="H967"/>
  <c r="F967"/>
  <c r="E967"/>
  <c r="P965"/>
  <c r="D965"/>
  <c r="B965"/>
  <c r="E964"/>
  <c r="F964" s="1"/>
  <c r="E963"/>
  <c r="F963" s="1"/>
  <c r="P962"/>
  <c r="O962"/>
  <c r="M962"/>
  <c r="L962"/>
  <c r="K962"/>
  <c r="J962"/>
  <c r="I962"/>
  <c r="H962"/>
  <c r="E962"/>
  <c r="F962" s="1"/>
  <c r="E961"/>
  <c r="E960"/>
  <c r="F960" s="1"/>
  <c r="E959"/>
  <c r="F959" s="1"/>
  <c r="E958"/>
  <c r="F958" s="1"/>
  <c r="E957"/>
  <c r="F957" s="1"/>
  <c r="P956"/>
  <c r="O956"/>
  <c r="M956"/>
  <c r="L956"/>
  <c r="K956"/>
  <c r="J956"/>
  <c r="I956"/>
  <c r="H956"/>
  <c r="E956"/>
  <c r="F956" s="1"/>
  <c r="E955"/>
  <c r="F955" s="1"/>
  <c r="E954"/>
  <c r="F954" s="1"/>
  <c r="E953"/>
  <c r="F953" s="1"/>
  <c r="E952"/>
  <c r="F952" s="1"/>
  <c r="E951"/>
  <c r="F951" s="1"/>
  <c r="E950"/>
  <c r="F950" s="1"/>
  <c r="E949"/>
  <c r="F949" s="1"/>
  <c r="E948"/>
  <c r="F948" s="1"/>
  <c r="P947"/>
  <c r="O947"/>
  <c r="M947"/>
  <c r="L947"/>
  <c r="K947"/>
  <c r="J947"/>
  <c r="I947"/>
  <c r="H947"/>
  <c r="E947"/>
  <c r="F947" s="1"/>
  <c r="E946"/>
  <c r="F946" s="1"/>
  <c r="E945"/>
  <c r="F945" s="1"/>
  <c r="E944"/>
  <c r="F944" s="1"/>
  <c r="E943"/>
  <c r="F943" s="1"/>
  <c r="E942"/>
  <c r="F942" s="1"/>
  <c r="E941"/>
  <c r="F941" s="1"/>
  <c r="E940"/>
  <c r="F940" s="1"/>
  <c r="E939"/>
  <c r="F939" s="1"/>
  <c r="E938"/>
  <c r="F938" s="1"/>
  <c r="E937"/>
  <c r="F937" s="1"/>
  <c r="E936"/>
  <c r="F936" s="1"/>
  <c r="E935"/>
  <c r="F935" s="1"/>
  <c r="E934"/>
  <c r="F934" s="1"/>
  <c r="E933"/>
  <c r="F933" s="1"/>
  <c r="E932"/>
  <c r="F932" s="1"/>
  <c r="E931"/>
  <c r="F931" s="1"/>
  <c r="E930"/>
  <c r="F930" s="1"/>
  <c r="E929"/>
  <c r="F929" s="1"/>
  <c r="E928"/>
  <c r="F928" s="1"/>
  <c r="E927"/>
  <c r="F927" s="1"/>
  <c r="E926"/>
  <c r="F926" s="1"/>
  <c r="E925"/>
  <c r="F925" s="1"/>
  <c r="E924"/>
  <c r="F924" s="1"/>
  <c r="E923"/>
  <c r="F923" s="1"/>
  <c r="E922"/>
  <c r="F922" s="1"/>
  <c r="E921"/>
  <c r="F921" s="1"/>
  <c r="E920"/>
  <c r="F920" s="1"/>
  <c r="E919"/>
  <c r="F919" s="1"/>
  <c r="E918"/>
  <c r="F918" s="1"/>
  <c r="P917"/>
  <c r="O917"/>
  <c r="O916" s="1"/>
  <c r="M917"/>
  <c r="L917"/>
  <c r="L916" s="1"/>
  <c r="K917"/>
  <c r="J917"/>
  <c r="J916" s="1"/>
  <c r="I917"/>
  <c r="H917"/>
  <c r="H916" s="1"/>
  <c r="E917"/>
  <c r="F917" s="1"/>
  <c r="P916"/>
  <c r="M916"/>
  <c r="K916"/>
  <c r="I916"/>
  <c r="D916"/>
  <c r="C916"/>
  <c r="B916"/>
  <c r="E915"/>
  <c r="F915" s="1"/>
  <c r="E914"/>
  <c r="F914" s="1"/>
  <c r="P913"/>
  <c r="O913"/>
  <c r="M913"/>
  <c r="L913"/>
  <c r="K913"/>
  <c r="J913"/>
  <c r="I913"/>
  <c r="H913"/>
  <c r="E912"/>
  <c r="F912" s="1"/>
  <c r="E911"/>
  <c r="F911" s="1"/>
  <c r="E910"/>
  <c r="F910" s="1"/>
  <c r="E909"/>
  <c r="F909" s="1"/>
  <c r="P908"/>
  <c r="O908"/>
  <c r="M908"/>
  <c r="L908"/>
  <c r="K908"/>
  <c r="J908"/>
  <c r="I908"/>
  <c r="H908"/>
  <c r="E908"/>
  <c r="F908" s="1"/>
  <c r="E907"/>
  <c r="F907" s="1"/>
  <c r="E906"/>
  <c r="F906" s="1"/>
  <c r="E905"/>
  <c r="F905" s="1"/>
  <c r="E904"/>
  <c r="F904" s="1"/>
  <c r="E903"/>
  <c r="F903" s="1"/>
  <c r="E902"/>
  <c r="F902" s="1"/>
  <c r="P901"/>
  <c r="O901"/>
  <c r="M901"/>
  <c r="L901"/>
  <c r="K901"/>
  <c r="J901"/>
  <c r="I901"/>
  <c r="H901"/>
  <c r="E901"/>
  <c r="F901" s="1"/>
  <c r="E900"/>
  <c r="F900" s="1"/>
  <c r="E899"/>
  <c r="F899" s="1"/>
  <c r="E898"/>
  <c r="F898" s="1"/>
  <c r="E897"/>
  <c r="F897" s="1"/>
  <c r="E896"/>
  <c r="F896" s="1"/>
  <c r="P895"/>
  <c r="O895"/>
  <c r="M895"/>
  <c r="L895"/>
  <c r="K895"/>
  <c r="J895"/>
  <c r="I895"/>
  <c r="H895"/>
  <c r="E895"/>
  <c r="F895" s="1"/>
  <c r="E894"/>
  <c r="F894" s="1"/>
  <c r="E893"/>
  <c r="F893" s="1"/>
  <c r="E892"/>
  <c r="F892" s="1"/>
  <c r="E891"/>
  <c r="F891" s="1"/>
  <c r="E890"/>
  <c r="F890" s="1"/>
  <c r="E889"/>
  <c r="F889" s="1"/>
  <c r="E888"/>
  <c r="F888" s="1"/>
  <c r="E887"/>
  <c r="F887" s="1"/>
  <c r="E886"/>
  <c r="F886" s="1"/>
  <c r="E885"/>
  <c r="F885" s="1"/>
  <c r="P884"/>
  <c r="O884"/>
  <c r="M884"/>
  <c r="L884"/>
  <c r="K884"/>
  <c r="J884"/>
  <c r="I884"/>
  <c r="H884"/>
  <c r="E883"/>
  <c r="F883" s="1"/>
  <c r="E882"/>
  <c r="F882" s="1"/>
  <c r="E881"/>
  <c r="F881" s="1"/>
  <c r="E880"/>
  <c r="F880" s="1"/>
  <c r="E879"/>
  <c r="F879" s="1"/>
  <c r="E878"/>
  <c r="F878" s="1"/>
  <c r="E877"/>
  <c r="F877" s="1"/>
  <c r="E876"/>
  <c r="F876" s="1"/>
  <c r="E875"/>
  <c r="F875" s="1"/>
  <c r="E874"/>
  <c r="F874" s="1"/>
  <c r="E873"/>
  <c r="F873" s="1"/>
  <c r="E872"/>
  <c r="F872" s="1"/>
  <c r="E871"/>
  <c r="F871" s="1"/>
  <c r="E870"/>
  <c r="F870" s="1"/>
  <c r="E869"/>
  <c r="F869" s="1"/>
  <c r="E868"/>
  <c r="F868" s="1"/>
  <c r="E867"/>
  <c r="F867" s="1"/>
  <c r="E866"/>
  <c r="F866" s="1"/>
  <c r="E865"/>
  <c r="F865" s="1"/>
  <c r="E864"/>
  <c r="F864" s="1"/>
  <c r="E863"/>
  <c r="F863" s="1"/>
  <c r="E862"/>
  <c r="F862" s="1"/>
  <c r="E861"/>
  <c r="F861" s="1"/>
  <c r="E860"/>
  <c r="F860" s="1"/>
  <c r="E859"/>
  <c r="F859" s="1"/>
  <c r="E858"/>
  <c r="F858" s="1"/>
  <c r="P857"/>
  <c r="O857"/>
  <c r="M857"/>
  <c r="L857"/>
  <c r="K857"/>
  <c r="J857"/>
  <c r="I857"/>
  <c r="H857"/>
  <c r="E857"/>
  <c r="F857" s="1"/>
  <c r="E856"/>
  <c r="F856" s="1"/>
  <c r="E855"/>
  <c r="F855" s="1"/>
  <c r="E854"/>
  <c r="F854" s="1"/>
  <c r="E853"/>
  <c r="F853" s="1"/>
  <c r="E852"/>
  <c r="F852" s="1"/>
  <c r="E851"/>
  <c r="F851" s="1"/>
  <c r="E850"/>
  <c r="F850" s="1"/>
  <c r="E849"/>
  <c r="F849" s="1"/>
  <c r="E848"/>
  <c r="F848" s="1"/>
  <c r="E847"/>
  <c r="F847" s="1"/>
  <c r="E846"/>
  <c r="F846" s="1"/>
  <c r="E845"/>
  <c r="F845" s="1"/>
  <c r="E844"/>
  <c r="F844" s="1"/>
  <c r="E843"/>
  <c r="F843" s="1"/>
  <c r="E842"/>
  <c r="F842" s="1"/>
  <c r="E841"/>
  <c r="F841" s="1"/>
  <c r="E840"/>
  <c r="F840" s="1"/>
  <c r="E839"/>
  <c r="F839" s="1"/>
  <c r="E838"/>
  <c r="F838" s="1"/>
  <c r="E837"/>
  <c r="F837" s="1"/>
  <c r="E836"/>
  <c r="F836" s="1"/>
  <c r="E835"/>
  <c r="F835" s="1"/>
  <c r="E834"/>
  <c r="F834" s="1"/>
  <c r="E833"/>
  <c r="F833" s="1"/>
  <c r="E832"/>
  <c r="F832" s="1"/>
  <c r="E831"/>
  <c r="F831" s="1"/>
  <c r="E830"/>
  <c r="F830" s="1"/>
  <c r="E829"/>
  <c r="F829" s="1"/>
  <c r="P828"/>
  <c r="O828"/>
  <c r="M828"/>
  <c r="L828"/>
  <c r="K828"/>
  <c r="J828"/>
  <c r="I828"/>
  <c r="H828"/>
  <c r="E828"/>
  <c r="F828" s="1"/>
  <c r="E827"/>
  <c r="F827" s="1"/>
  <c r="E826"/>
  <c r="F826" s="1"/>
  <c r="E825"/>
  <c r="F825" s="1"/>
  <c r="E824"/>
  <c r="F824" s="1"/>
  <c r="E823"/>
  <c r="F823" s="1"/>
  <c r="E822"/>
  <c r="F822" s="1"/>
  <c r="E821"/>
  <c r="F821" s="1"/>
  <c r="E820"/>
  <c r="F820" s="1"/>
  <c r="E819"/>
  <c r="F819" s="1"/>
  <c r="E818"/>
  <c r="F818" s="1"/>
  <c r="E817"/>
  <c r="F817" s="1"/>
  <c r="E816"/>
  <c r="F816" s="1"/>
  <c r="E815"/>
  <c r="F815" s="1"/>
  <c r="E814"/>
  <c r="F814" s="1"/>
  <c r="E813"/>
  <c r="F813" s="1"/>
  <c r="E812"/>
  <c r="F812" s="1"/>
  <c r="E811"/>
  <c r="F811" s="1"/>
  <c r="E810"/>
  <c r="F810" s="1"/>
  <c r="E809"/>
  <c r="F809" s="1"/>
  <c r="E808"/>
  <c r="F808" s="1"/>
  <c r="E807"/>
  <c r="F807" s="1"/>
  <c r="E806"/>
  <c r="F806" s="1"/>
  <c r="E805"/>
  <c r="F805" s="1"/>
  <c r="E804"/>
  <c r="F804" s="1"/>
  <c r="E803"/>
  <c r="F803" s="1"/>
  <c r="E802"/>
  <c r="F802" s="1"/>
  <c r="E801"/>
  <c r="F801" s="1"/>
  <c r="E800"/>
  <c r="F800" s="1"/>
  <c r="P799"/>
  <c r="O799"/>
  <c r="O798" s="1"/>
  <c r="M799"/>
  <c r="L799"/>
  <c r="L798" s="1"/>
  <c r="K799"/>
  <c r="J799"/>
  <c r="J798" s="1"/>
  <c r="I799"/>
  <c r="H799"/>
  <c r="H798" s="1"/>
  <c r="E799"/>
  <c r="F799" s="1"/>
  <c r="P798"/>
  <c r="M798"/>
  <c r="K798"/>
  <c r="I798"/>
  <c r="D798"/>
  <c r="C798"/>
  <c r="B798"/>
  <c r="E797"/>
  <c r="P793"/>
  <c r="O793"/>
  <c r="M793"/>
  <c r="L793"/>
  <c r="K793"/>
  <c r="J793"/>
  <c r="I793"/>
  <c r="H793"/>
  <c r="P791"/>
  <c r="O791"/>
  <c r="M791"/>
  <c r="L791"/>
  <c r="K791"/>
  <c r="J791"/>
  <c r="I791"/>
  <c r="H791"/>
  <c r="F790"/>
  <c r="E790"/>
  <c r="P789"/>
  <c r="O789"/>
  <c r="M789"/>
  <c r="L789"/>
  <c r="K789"/>
  <c r="J789"/>
  <c r="I789"/>
  <c r="H789"/>
  <c r="F789"/>
  <c r="E789"/>
  <c r="F788"/>
  <c r="E788"/>
  <c r="F787"/>
  <c r="E787"/>
  <c r="P786"/>
  <c r="O786"/>
  <c r="M786"/>
  <c r="L786"/>
  <c r="K786"/>
  <c r="J786"/>
  <c r="I786"/>
  <c r="H786"/>
  <c r="F786"/>
  <c r="E786"/>
  <c r="F785"/>
  <c r="E785"/>
  <c r="P784"/>
  <c r="O784"/>
  <c r="M784"/>
  <c r="L784"/>
  <c r="K784"/>
  <c r="J784"/>
  <c r="I784"/>
  <c r="H784"/>
  <c r="F784"/>
  <c r="E784"/>
  <c r="I783"/>
  <c r="I772" s="1"/>
  <c r="I771" s="1"/>
  <c r="E783"/>
  <c r="F783" s="1"/>
  <c r="E782"/>
  <c r="F782" s="1"/>
  <c r="E781"/>
  <c r="F781" s="1"/>
  <c r="E780"/>
  <c r="F780" s="1"/>
  <c r="E779"/>
  <c r="F779" s="1"/>
  <c r="E778"/>
  <c r="F778" s="1"/>
  <c r="E777"/>
  <c r="F777" s="1"/>
  <c r="E776"/>
  <c r="F776" s="1"/>
  <c r="E775"/>
  <c r="F775" s="1"/>
  <c r="E774"/>
  <c r="F774" s="1"/>
  <c r="E773"/>
  <c r="F773" s="1"/>
  <c r="P772"/>
  <c r="O772"/>
  <c r="M772"/>
  <c r="L772"/>
  <c r="K772"/>
  <c r="J772"/>
  <c r="H772"/>
  <c r="H771" s="1"/>
  <c r="E772"/>
  <c r="F772" s="1"/>
  <c r="O771"/>
  <c r="J771"/>
  <c r="D771"/>
  <c r="C771"/>
  <c r="B771"/>
  <c r="E770"/>
  <c r="F770" s="1"/>
  <c r="P769"/>
  <c r="O769"/>
  <c r="M769"/>
  <c r="L769"/>
  <c r="K769"/>
  <c r="J769"/>
  <c r="I769"/>
  <c r="H769"/>
  <c r="E769"/>
  <c r="F769" s="1"/>
  <c r="E768"/>
  <c r="F768" s="1"/>
  <c r="E767"/>
  <c r="F767" s="1"/>
  <c r="E766"/>
  <c r="F766" s="1"/>
  <c r="E765"/>
  <c r="F765" s="1"/>
  <c r="E764"/>
  <c r="F764" s="1"/>
  <c r="E763"/>
  <c r="F763" s="1"/>
  <c r="E762"/>
  <c r="F762" s="1"/>
  <c r="E761"/>
  <c r="F761" s="1"/>
  <c r="E760"/>
  <c r="F760" s="1"/>
  <c r="E759"/>
  <c r="F759" s="1"/>
  <c r="E758"/>
  <c r="F758" s="1"/>
  <c r="E757"/>
  <c r="F757" s="1"/>
  <c r="E756"/>
  <c r="F756" s="1"/>
  <c r="E755"/>
  <c r="F755" s="1"/>
  <c r="E754"/>
  <c r="F754" s="1"/>
  <c r="P753"/>
  <c r="O753"/>
  <c r="M753"/>
  <c r="L753"/>
  <c r="K753"/>
  <c r="J753"/>
  <c r="I753"/>
  <c r="H753"/>
  <c r="E753"/>
  <c r="F753" s="1"/>
  <c r="E752"/>
  <c r="F752" s="1"/>
  <c r="P751"/>
  <c r="O751"/>
  <c r="M751"/>
  <c r="L751"/>
  <c r="K751"/>
  <c r="J751"/>
  <c r="I751"/>
  <c r="H751"/>
  <c r="E751"/>
  <c r="F751" s="1"/>
  <c r="E750"/>
  <c r="F750" s="1"/>
  <c r="P749"/>
  <c r="O749"/>
  <c r="M749"/>
  <c r="L749"/>
  <c r="K749"/>
  <c r="J749"/>
  <c r="I749"/>
  <c r="H749"/>
  <c r="E749"/>
  <c r="F749" s="1"/>
  <c r="E748"/>
  <c r="F748" s="1"/>
  <c r="E747"/>
  <c r="F747" s="1"/>
  <c r="E746"/>
  <c r="F746" s="1"/>
  <c r="E745"/>
  <c r="F745" s="1"/>
  <c r="E744"/>
  <c r="F744" s="1"/>
  <c r="P743"/>
  <c r="O743"/>
  <c r="M743"/>
  <c r="L743"/>
  <c r="K743"/>
  <c r="J743"/>
  <c r="I743"/>
  <c r="H743"/>
  <c r="E743"/>
  <c r="F743" s="1"/>
  <c r="E742"/>
  <c r="F742" s="1"/>
  <c r="P741"/>
  <c r="O741"/>
  <c r="M741"/>
  <c r="L741"/>
  <c r="K741"/>
  <c r="J741"/>
  <c r="I741"/>
  <c r="H741"/>
  <c r="E741"/>
  <c r="F741" s="1"/>
  <c r="E740"/>
  <c r="F740" s="1"/>
  <c r="P739"/>
  <c r="O739"/>
  <c r="M739"/>
  <c r="L739"/>
  <c r="K739"/>
  <c r="J739"/>
  <c r="I739"/>
  <c r="H739"/>
  <c r="E739"/>
  <c r="F739" s="1"/>
  <c r="E738"/>
  <c r="F738" s="1"/>
  <c r="E737"/>
  <c r="F737" s="1"/>
  <c r="P736"/>
  <c r="O736"/>
  <c r="M736"/>
  <c r="L736"/>
  <c r="K736"/>
  <c r="J736"/>
  <c r="I736"/>
  <c r="H736"/>
  <c r="E736"/>
  <c r="F736" s="1"/>
  <c r="E735"/>
  <c r="F735" s="1"/>
  <c r="E734"/>
  <c r="F734" s="1"/>
  <c r="P733"/>
  <c r="O733"/>
  <c r="M733"/>
  <c r="L733"/>
  <c r="K733"/>
  <c r="J733"/>
  <c r="I733"/>
  <c r="H733"/>
  <c r="E733"/>
  <c r="F733" s="1"/>
  <c r="E732"/>
  <c r="F732" s="1"/>
  <c r="E731"/>
  <c r="F731" s="1"/>
  <c r="E730"/>
  <c r="F730" s="1"/>
  <c r="E729"/>
  <c r="F729" s="1"/>
  <c r="E728"/>
  <c r="F728" s="1"/>
  <c r="P727"/>
  <c r="O727"/>
  <c r="M727"/>
  <c r="L727"/>
  <c r="K727"/>
  <c r="J727"/>
  <c r="I727"/>
  <c r="H727"/>
  <c r="E727"/>
  <c r="F727" s="1"/>
  <c r="E726"/>
  <c r="F726" s="1"/>
  <c r="E725"/>
  <c r="F725" s="1"/>
  <c r="E724"/>
  <c r="F724" s="1"/>
  <c r="E723"/>
  <c r="F723" s="1"/>
  <c r="E722"/>
  <c r="F722" s="1"/>
  <c r="P721"/>
  <c r="O721"/>
  <c r="M721"/>
  <c r="L721"/>
  <c r="K721"/>
  <c r="J721"/>
  <c r="I721"/>
  <c r="H721"/>
  <c r="E721"/>
  <c r="F721" s="1"/>
  <c r="E720"/>
  <c r="F720" s="1"/>
  <c r="E719"/>
  <c r="F719" s="1"/>
  <c r="E718"/>
  <c r="F718" s="1"/>
  <c r="E717"/>
  <c r="F717" s="1"/>
  <c r="E716"/>
  <c r="F716" s="1"/>
  <c r="E715"/>
  <c r="F715" s="1"/>
  <c r="P714"/>
  <c r="O714"/>
  <c r="M714"/>
  <c r="L714"/>
  <c r="K714"/>
  <c r="J714"/>
  <c r="I714"/>
  <c r="H714"/>
  <c r="E714"/>
  <c r="E713"/>
  <c r="F713" s="1"/>
  <c r="E712"/>
  <c r="F712" s="1"/>
  <c r="E711"/>
  <c r="F711" s="1"/>
  <c r="E710"/>
  <c r="F710" s="1"/>
  <c r="E709"/>
  <c r="F709" s="1"/>
  <c r="E708"/>
  <c r="F708" s="1"/>
  <c r="E707"/>
  <c r="F707" s="1"/>
  <c r="E706"/>
  <c r="F706" s="1"/>
  <c r="P705"/>
  <c r="O705"/>
  <c r="M705"/>
  <c r="L705"/>
  <c r="K705"/>
  <c r="J705"/>
  <c r="I705"/>
  <c r="H705"/>
  <c r="E705"/>
  <c r="E704"/>
  <c r="F704" s="1"/>
  <c r="E703"/>
  <c r="F703" s="1"/>
  <c r="E702"/>
  <c r="F702" s="1"/>
  <c r="P701"/>
  <c r="O701"/>
  <c r="M701"/>
  <c r="L701"/>
  <c r="K701"/>
  <c r="J701"/>
  <c r="I701"/>
  <c r="I691" s="1"/>
  <c r="H701"/>
  <c r="E701"/>
  <c r="F701" s="1"/>
  <c r="E700"/>
  <c r="F700" s="1"/>
  <c r="E699"/>
  <c r="F699" s="1"/>
  <c r="E698"/>
  <c r="F698" s="1"/>
  <c r="E697"/>
  <c r="F697" s="1"/>
  <c r="E696"/>
  <c r="F696" s="1"/>
  <c r="E695"/>
  <c r="F695" s="1"/>
  <c r="E694"/>
  <c r="F694" s="1"/>
  <c r="E693"/>
  <c r="F693" s="1"/>
  <c r="P692"/>
  <c r="O692"/>
  <c r="M692"/>
  <c r="L692"/>
  <c r="K692"/>
  <c r="J692"/>
  <c r="I692"/>
  <c r="H692"/>
  <c r="E692"/>
  <c r="F692" s="1"/>
  <c r="M691"/>
  <c r="D691"/>
  <c r="C691"/>
  <c r="B691"/>
  <c r="E690"/>
  <c r="F690" s="1"/>
  <c r="P689"/>
  <c r="O689"/>
  <c r="M689"/>
  <c r="L689"/>
  <c r="K689"/>
  <c r="J689"/>
  <c r="I689"/>
  <c r="H689"/>
  <c r="E688"/>
  <c r="E687"/>
  <c r="E686"/>
  <c r="E685"/>
  <c r="E684"/>
  <c r="F684" s="1"/>
  <c r="E683"/>
  <c r="F683" s="1"/>
  <c r="E682"/>
  <c r="F682" s="1"/>
  <c r="E681"/>
  <c r="F681" s="1"/>
  <c r="E680"/>
  <c r="F680" s="1"/>
  <c r="E679"/>
  <c r="F679" s="1"/>
  <c r="E678"/>
  <c r="F678" s="1"/>
  <c r="E677"/>
  <c r="F677" s="1"/>
  <c r="E676"/>
  <c r="F676" s="1"/>
  <c r="P675"/>
  <c r="O675"/>
  <c r="M675"/>
  <c r="L675"/>
  <c r="K675"/>
  <c r="J675"/>
  <c r="I675"/>
  <c r="H675"/>
  <c r="E675"/>
  <c r="F675" s="1"/>
  <c r="E674"/>
  <c r="F674" s="1"/>
  <c r="E673"/>
  <c r="F673" s="1"/>
  <c r="E672"/>
  <c r="F672" s="1"/>
  <c r="P671"/>
  <c r="O671"/>
  <c r="M671"/>
  <c r="L671"/>
  <c r="K671"/>
  <c r="J671"/>
  <c r="I671"/>
  <c r="H671"/>
  <c r="E671"/>
  <c r="F671" s="1"/>
  <c r="E670"/>
  <c r="F670" s="1"/>
  <c r="E669"/>
  <c r="F669" s="1"/>
  <c r="P668"/>
  <c r="O668"/>
  <c r="M668"/>
  <c r="L668"/>
  <c r="K668"/>
  <c r="J668"/>
  <c r="I668"/>
  <c r="H668"/>
  <c r="E668"/>
  <c r="F668" s="1"/>
  <c r="E667"/>
  <c r="F667" s="1"/>
  <c r="E666"/>
  <c r="F666" s="1"/>
  <c r="E665"/>
  <c r="F665" s="1"/>
  <c r="E664"/>
  <c r="F664" s="1"/>
  <c r="E663"/>
  <c r="F663" s="1"/>
  <c r="E662"/>
  <c r="F662" s="1"/>
  <c r="E661"/>
  <c r="F661" s="1"/>
  <c r="E660"/>
  <c r="F660" s="1"/>
  <c r="E659"/>
  <c r="F659" s="1"/>
  <c r="P658"/>
  <c r="O658"/>
  <c r="M658"/>
  <c r="L658"/>
  <c r="K658"/>
  <c r="J658"/>
  <c r="I658"/>
  <c r="H658"/>
  <c r="E657"/>
  <c r="F657" s="1"/>
  <c r="E656"/>
  <c r="F656" s="1"/>
  <c r="E655"/>
  <c r="F655" s="1"/>
  <c r="E654"/>
  <c r="F654" s="1"/>
  <c r="E653"/>
  <c r="F653" s="1"/>
  <c r="E652"/>
  <c r="F652" s="1"/>
  <c r="E651"/>
  <c r="F651" s="1"/>
  <c r="E650"/>
  <c r="F650" s="1"/>
  <c r="E649"/>
  <c r="F649" s="1"/>
  <c r="E648"/>
  <c r="F648" s="1"/>
  <c r="E647"/>
  <c r="F647" s="1"/>
  <c r="P646"/>
  <c r="O646"/>
  <c r="M646"/>
  <c r="L646"/>
  <c r="K646"/>
  <c r="J646"/>
  <c r="I646"/>
  <c r="H646"/>
  <c r="E646"/>
  <c r="F646" s="1"/>
  <c r="E645"/>
  <c r="F645" s="1"/>
  <c r="E644"/>
  <c r="F644" s="1"/>
  <c r="E643"/>
  <c r="F643" s="1"/>
  <c r="P642"/>
  <c r="O642"/>
  <c r="M642"/>
  <c r="L642"/>
  <c r="K642"/>
  <c r="J642"/>
  <c r="I642"/>
  <c r="H642"/>
  <c r="E642"/>
  <c r="F642" s="1"/>
  <c r="E641"/>
  <c r="F641" s="1"/>
  <c r="E640"/>
  <c r="F640" s="1"/>
  <c r="E639"/>
  <c r="F639" s="1"/>
  <c r="E638"/>
  <c r="F638" s="1"/>
  <c r="E637"/>
  <c r="F637" s="1"/>
  <c r="E636"/>
  <c r="F636" s="1"/>
  <c r="E635"/>
  <c r="F635" s="1"/>
  <c r="E634"/>
  <c r="F634" s="1"/>
  <c r="E633"/>
  <c r="F633" s="1"/>
  <c r="E632"/>
  <c r="F632" s="1"/>
  <c r="E631"/>
  <c r="F631" s="1"/>
  <c r="E630"/>
  <c r="F630" s="1"/>
  <c r="P629"/>
  <c r="O629"/>
  <c r="M629"/>
  <c r="L629"/>
  <c r="K629"/>
  <c r="J629"/>
  <c r="I629"/>
  <c r="H629"/>
  <c r="E629"/>
  <c r="F629" s="1"/>
  <c r="E628"/>
  <c r="F628" s="1"/>
  <c r="E627"/>
  <c r="F627" s="1"/>
  <c r="E626"/>
  <c r="F626" s="1"/>
  <c r="I625"/>
  <c r="I624" s="1"/>
  <c r="I623" s="1"/>
  <c r="E625"/>
  <c r="F625" s="1"/>
  <c r="P624"/>
  <c r="O624"/>
  <c r="M624"/>
  <c r="L624"/>
  <c r="K624"/>
  <c r="J624"/>
  <c r="H624"/>
  <c r="H623" s="1"/>
  <c r="E624"/>
  <c r="F624" s="1"/>
  <c r="O623"/>
  <c r="L623"/>
  <c r="J623"/>
  <c r="D623"/>
  <c r="C623"/>
  <c r="B623"/>
  <c r="E622"/>
  <c r="F622" s="1"/>
  <c r="P621"/>
  <c r="O621"/>
  <c r="M621"/>
  <c r="L621"/>
  <c r="K621"/>
  <c r="J621"/>
  <c r="I621"/>
  <c r="H621"/>
  <c r="E621"/>
  <c r="F621" s="1"/>
  <c r="E620"/>
  <c r="E619"/>
  <c r="F619" s="1"/>
  <c r="E618"/>
  <c r="F618" s="1"/>
  <c r="P617"/>
  <c r="O617"/>
  <c r="M617"/>
  <c r="L617"/>
  <c r="K617"/>
  <c r="J617"/>
  <c r="I617"/>
  <c r="H617"/>
  <c r="E617"/>
  <c r="F617" s="1"/>
  <c r="E616"/>
  <c r="F616" s="1"/>
  <c r="E615"/>
  <c r="F615" s="1"/>
  <c r="P614"/>
  <c r="O614"/>
  <c r="M614"/>
  <c r="L614"/>
  <c r="K614"/>
  <c r="J614"/>
  <c r="I614"/>
  <c r="H614"/>
  <c r="E614"/>
  <c r="F614" s="1"/>
  <c r="E613"/>
  <c r="F613" s="1"/>
  <c r="E612"/>
  <c r="F612" s="1"/>
  <c r="P611"/>
  <c r="O611"/>
  <c r="M611"/>
  <c r="L611"/>
  <c r="K611"/>
  <c r="J611"/>
  <c r="I611"/>
  <c r="H611"/>
  <c r="E611"/>
  <c r="F611" s="1"/>
  <c r="E610"/>
  <c r="F610" s="1"/>
  <c r="E609"/>
  <c r="F609" s="1"/>
  <c r="P608"/>
  <c r="O608"/>
  <c r="M608"/>
  <c r="L608"/>
  <c r="K608"/>
  <c r="J608"/>
  <c r="I608"/>
  <c r="H608"/>
  <c r="E608"/>
  <c r="F608" s="1"/>
  <c r="E607"/>
  <c r="F607" s="1"/>
  <c r="E606"/>
  <c r="F606" s="1"/>
  <c r="P605"/>
  <c r="O605"/>
  <c r="M605"/>
  <c r="L605"/>
  <c r="K605"/>
  <c r="J605"/>
  <c r="I605"/>
  <c r="H605"/>
  <c r="E605"/>
  <c r="F605" s="1"/>
  <c r="E604"/>
  <c r="F604" s="1"/>
  <c r="E603"/>
  <c r="F603" s="1"/>
  <c r="E602"/>
  <c r="F602" s="1"/>
  <c r="E601"/>
  <c r="F601" s="1"/>
  <c r="P600"/>
  <c r="O600"/>
  <c r="M600"/>
  <c r="L600"/>
  <c r="K600"/>
  <c r="J600"/>
  <c r="I600"/>
  <c r="H600"/>
  <c r="E600"/>
  <c r="F600" s="1"/>
  <c r="E599"/>
  <c r="F599" s="1"/>
  <c r="E598"/>
  <c r="F598" s="1"/>
  <c r="E597"/>
  <c r="F597" s="1"/>
  <c r="E596"/>
  <c r="F596" s="1"/>
  <c r="P595"/>
  <c r="O595"/>
  <c r="M595"/>
  <c r="L595"/>
  <c r="K595"/>
  <c r="J595"/>
  <c r="I595"/>
  <c r="H595"/>
  <c r="E594"/>
  <c r="F594" s="1"/>
  <c r="E593"/>
  <c r="F593" s="1"/>
  <c r="E592"/>
  <c r="F592" s="1"/>
  <c r="E591"/>
  <c r="F591" s="1"/>
  <c r="E590"/>
  <c r="F590" s="1"/>
  <c r="E589"/>
  <c r="F589" s="1"/>
  <c r="E588"/>
  <c r="F588" s="1"/>
  <c r="P587"/>
  <c r="O587"/>
  <c r="M587"/>
  <c r="L587"/>
  <c r="K587"/>
  <c r="J587"/>
  <c r="I587"/>
  <c r="H587"/>
  <c r="E587"/>
  <c r="F587" s="1"/>
  <c r="E586"/>
  <c r="F586" s="1"/>
  <c r="E585"/>
  <c r="F585" s="1"/>
  <c r="E584"/>
  <c r="F584" s="1"/>
  <c r="E583"/>
  <c r="F583" s="1"/>
  <c r="E582"/>
  <c r="F582" s="1"/>
  <c r="E581"/>
  <c r="F581" s="1"/>
  <c r="P580"/>
  <c r="O580"/>
  <c r="M580"/>
  <c r="L580"/>
  <c r="K580"/>
  <c r="J580"/>
  <c r="I580"/>
  <c r="H580"/>
  <c r="E580"/>
  <c r="F580" s="1"/>
  <c r="E579"/>
  <c r="F579" s="1"/>
  <c r="E578"/>
  <c r="F578" s="1"/>
  <c r="E577"/>
  <c r="F577" s="1"/>
  <c r="E576"/>
  <c r="F576" s="1"/>
  <c r="E575"/>
  <c r="F575" s="1"/>
  <c r="P574"/>
  <c r="O574"/>
  <c r="M574"/>
  <c r="L574"/>
  <c r="K574"/>
  <c r="J574"/>
  <c r="I574"/>
  <c r="H574"/>
  <c r="E574"/>
  <c r="F574" s="1"/>
  <c r="E573"/>
  <c r="F573" s="1"/>
  <c r="E572"/>
  <c r="F572" s="1"/>
  <c r="E571"/>
  <c r="F571" s="1"/>
  <c r="E570"/>
  <c r="F570" s="1"/>
  <c r="E569"/>
  <c r="F569" s="1"/>
  <c r="E568"/>
  <c r="F568" s="1"/>
  <c r="E567"/>
  <c r="F567" s="1"/>
  <c r="P566"/>
  <c r="O566"/>
  <c r="M566"/>
  <c r="L566"/>
  <c r="K566"/>
  <c r="J566"/>
  <c r="I566"/>
  <c r="H566"/>
  <c r="E566"/>
  <c r="F566" s="1"/>
  <c r="E565"/>
  <c r="F565" s="1"/>
  <c r="E564"/>
  <c r="F564" s="1"/>
  <c r="E563"/>
  <c r="F563" s="1"/>
  <c r="E562"/>
  <c r="F562" s="1"/>
  <c r="E561"/>
  <c r="F561" s="1"/>
  <c r="E560"/>
  <c r="F560" s="1"/>
  <c r="E559"/>
  <c r="F559" s="1"/>
  <c r="E558"/>
  <c r="F558" s="1"/>
  <c r="E557"/>
  <c r="F557" s="1"/>
  <c r="E556"/>
  <c r="F556" s="1"/>
  <c r="E555"/>
  <c r="F555" s="1"/>
  <c r="E554"/>
  <c r="F554" s="1"/>
  <c r="E553"/>
  <c r="F553" s="1"/>
  <c r="P552"/>
  <c r="O552"/>
  <c r="M552"/>
  <c r="L552"/>
  <c r="K552"/>
  <c r="J552"/>
  <c r="I552"/>
  <c r="H552"/>
  <c r="E551"/>
  <c r="F551" s="1"/>
  <c r="E550"/>
  <c r="F550" s="1"/>
  <c r="E549"/>
  <c r="F549" s="1"/>
  <c r="P548"/>
  <c r="O548"/>
  <c r="M548"/>
  <c r="L548"/>
  <c r="K548"/>
  <c r="J548"/>
  <c r="I548"/>
  <c r="H548"/>
  <c r="E548"/>
  <c r="F548" s="1"/>
  <c r="E547"/>
  <c r="F547" s="1"/>
  <c r="E546"/>
  <c r="F546" s="1"/>
  <c r="E545"/>
  <c r="F545" s="1"/>
  <c r="E544"/>
  <c r="F544" s="1"/>
  <c r="E543"/>
  <c r="F543" s="1"/>
  <c r="P542"/>
  <c r="O542"/>
  <c r="M542"/>
  <c r="L542"/>
  <c r="K542"/>
  <c r="J542"/>
  <c r="I542"/>
  <c r="H542"/>
  <c r="E542"/>
  <c r="F542" s="1"/>
  <c r="E541"/>
  <c r="F541" s="1"/>
  <c r="E540"/>
  <c r="F540" s="1"/>
  <c r="E539"/>
  <c r="F539" s="1"/>
  <c r="E538"/>
  <c r="F538" s="1"/>
  <c r="E537"/>
  <c r="F537" s="1"/>
  <c r="E536"/>
  <c r="F536" s="1"/>
  <c r="E535"/>
  <c r="F535" s="1"/>
  <c r="P534"/>
  <c r="O534"/>
  <c r="M534"/>
  <c r="L534"/>
  <c r="K534"/>
  <c r="J534"/>
  <c r="I534"/>
  <c r="H534"/>
  <c r="E534"/>
  <c r="E533"/>
  <c r="F533" s="1"/>
  <c r="E532"/>
  <c r="F532" s="1"/>
  <c r="E531"/>
  <c r="F531" s="1"/>
  <c r="E530"/>
  <c r="F530" s="1"/>
  <c r="E529"/>
  <c r="F529" s="1"/>
  <c r="E528"/>
  <c r="F528" s="1"/>
  <c r="E527"/>
  <c r="F527" s="1"/>
  <c r="E526"/>
  <c r="F526" s="1"/>
  <c r="E525"/>
  <c r="F525" s="1"/>
  <c r="E524"/>
  <c r="F524" s="1"/>
  <c r="P523"/>
  <c r="O523"/>
  <c r="M523"/>
  <c r="L523"/>
  <c r="K523"/>
  <c r="J523"/>
  <c r="I523"/>
  <c r="H523"/>
  <c r="E523"/>
  <c r="F523" s="1"/>
  <c r="E522"/>
  <c r="F522" s="1"/>
  <c r="E521"/>
  <c r="F521" s="1"/>
  <c r="E520"/>
  <c r="F520" s="1"/>
  <c r="E519"/>
  <c r="F519" s="1"/>
  <c r="E518"/>
  <c r="F518" s="1"/>
  <c r="E517"/>
  <c r="F517" s="1"/>
  <c r="E516"/>
  <c r="F516" s="1"/>
  <c r="E515"/>
  <c r="F515" s="1"/>
  <c r="E514"/>
  <c r="F514" s="1"/>
  <c r="E513"/>
  <c r="F513" s="1"/>
  <c r="E512"/>
  <c r="F512" s="1"/>
  <c r="E511"/>
  <c r="F511" s="1"/>
  <c r="E510"/>
  <c r="F510" s="1"/>
  <c r="P509"/>
  <c r="O509"/>
  <c r="M509"/>
  <c r="L509"/>
  <c r="L508" s="1"/>
  <c r="K509"/>
  <c r="J509"/>
  <c r="J508" s="1"/>
  <c r="I509"/>
  <c r="H509"/>
  <c r="H508" s="1"/>
  <c r="E509"/>
  <c r="F509" s="1"/>
  <c r="O508"/>
  <c r="D508"/>
  <c r="C508"/>
  <c r="B508"/>
  <c r="E507"/>
  <c r="F507" s="1"/>
  <c r="E506"/>
  <c r="F506" s="1"/>
  <c r="E505"/>
  <c r="F505" s="1"/>
  <c r="P504"/>
  <c r="O504"/>
  <c r="M504"/>
  <c r="L504"/>
  <c r="K504"/>
  <c r="J504"/>
  <c r="I504"/>
  <c r="H504"/>
  <c r="E504"/>
  <c r="E503"/>
  <c r="F503" s="1"/>
  <c r="E502"/>
  <c r="F502" s="1"/>
  <c r="E501"/>
  <c r="F501" s="1"/>
  <c r="E500"/>
  <c r="F500" s="1"/>
  <c r="E499"/>
  <c r="F499" s="1"/>
  <c r="E498"/>
  <c r="F498" s="1"/>
  <c r="E497"/>
  <c r="F497" s="1"/>
  <c r="E496"/>
  <c r="F496" s="1"/>
  <c r="P495"/>
  <c r="O495"/>
  <c r="M495"/>
  <c r="L495"/>
  <c r="K495"/>
  <c r="J495"/>
  <c r="I495"/>
  <c r="H495"/>
  <c r="E495"/>
  <c r="F495" s="1"/>
  <c r="E494"/>
  <c r="F494" s="1"/>
  <c r="E493"/>
  <c r="F493" s="1"/>
  <c r="E492"/>
  <c r="F492" s="1"/>
  <c r="E491"/>
  <c r="F491" s="1"/>
  <c r="E490"/>
  <c r="F490" s="1"/>
  <c r="E489"/>
  <c r="F489" s="1"/>
  <c r="E488"/>
  <c r="F488" s="1"/>
  <c r="E487"/>
  <c r="F487" s="1"/>
  <c r="P486"/>
  <c r="O486"/>
  <c r="M486"/>
  <c r="L486"/>
  <c r="K486"/>
  <c r="J486"/>
  <c r="I486"/>
  <c r="H486"/>
  <c r="E486"/>
  <c r="E485"/>
  <c r="F485" s="1"/>
  <c r="E484"/>
  <c r="F484" s="1"/>
  <c r="E483"/>
  <c r="F483" s="1"/>
  <c r="E482"/>
  <c r="F482" s="1"/>
  <c r="E481"/>
  <c r="F481" s="1"/>
  <c r="E480"/>
  <c r="F480" s="1"/>
  <c r="E479"/>
  <c r="F479" s="1"/>
  <c r="E478"/>
  <c r="F478" s="1"/>
  <c r="E477"/>
  <c r="F477" s="1"/>
  <c r="E476"/>
  <c r="F476" s="1"/>
  <c r="P475"/>
  <c r="O475"/>
  <c r="M475"/>
  <c r="L475"/>
  <c r="K475"/>
  <c r="J475"/>
  <c r="I475"/>
  <c r="H475"/>
  <c r="E475"/>
  <c r="F475" s="1"/>
  <c r="E474"/>
  <c r="F474" s="1"/>
  <c r="E473"/>
  <c r="F473" s="1"/>
  <c r="E472"/>
  <c r="F472" s="1"/>
  <c r="E471"/>
  <c r="F471" s="1"/>
  <c r="E470"/>
  <c r="F470" s="1"/>
  <c r="E469"/>
  <c r="F469" s="1"/>
  <c r="E468"/>
  <c r="F468" s="1"/>
  <c r="P467"/>
  <c r="O467"/>
  <c r="M467"/>
  <c r="L467"/>
  <c r="K467"/>
  <c r="J467"/>
  <c r="I467"/>
  <c r="H467"/>
  <c r="E467"/>
  <c r="F467" s="1"/>
  <c r="E466"/>
  <c r="F466" s="1"/>
  <c r="E465"/>
  <c r="F465" s="1"/>
  <c r="E464"/>
  <c r="F464" s="1"/>
  <c r="E463"/>
  <c r="F463" s="1"/>
  <c r="E462"/>
  <c r="F462" s="1"/>
  <c r="E461"/>
  <c r="F461" s="1"/>
  <c r="E460"/>
  <c r="F460" s="1"/>
  <c r="E459"/>
  <c r="F459" s="1"/>
  <c r="E458"/>
  <c r="F458" s="1"/>
  <c r="E457"/>
  <c r="F457" s="1"/>
  <c r="E456"/>
  <c r="F456" s="1"/>
  <c r="E455"/>
  <c r="F455" s="1"/>
  <c r="E454"/>
  <c r="F454" s="1"/>
  <c r="P453"/>
  <c r="O453"/>
  <c r="M453"/>
  <c r="M452" s="1"/>
  <c r="L453"/>
  <c r="K453"/>
  <c r="J453"/>
  <c r="I453"/>
  <c r="I452" s="1"/>
  <c r="H453"/>
  <c r="E453"/>
  <c r="F453" s="1"/>
  <c r="P452"/>
  <c r="K452"/>
  <c r="D452"/>
  <c r="C452"/>
  <c r="B452"/>
  <c r="E451"/>
  <c r="F451" s="1"/>
  <c r="E450"/>
  <c r="F450" s="1"/>
  <c r="E449"/>
  <c r="F449" s="1"/>
  <c r="E448"/>
  <c r="F448" s="1"/>
  <c r="P447"/>
  <c r="O447"/>
  <c r="M447"/>
  <c r="L447"/>
  <c r="K447"/>
  <c r="J447"/>
  <c r="I447"/>
  <c r="H447"/>
  <c r="E447"/>
  <c r="E446"/>
  <c r="F446" s="1"/>
  <c r="P445"/>
  <c r="O445"/>
  <c r="M445"/>
  <c r="L445"/>
  <c r="K445"/>
  <c r="J445"/>
  <c r="I445"/>
  <c r="H445"/>
  <c r="E445"/>
  <c r="F445" s="1"/>
  <c r="E444"/>
  <c r="F444" s="1"/>
  <c r="E443"/>
  <c r="F443" s="1"/>
  <c r="E442"/>
  <c r="F442" s="1"/>
  <c r="P441"/>
  <c r="O441"/>
  <c r="M441"/>
  <c r="L441"/>
  <c r="K441"/>
  <c r="J441"/>
  <c r="I441"/>
  <c r="H441"/>
  <c r="E441"/>
  <c r="F441" s="1"/>
  <c r="E440"/>
  <c r="F440" s="1"/>
  <c r="E439"/>
  <c r="F439" s="1"/>
  <c r="E438"/>
  <c r="F438" s="1"/>
  <c r="E437"/>
  <c r="F437" s="1"/>
  <c r="E436"/>
  <c r="F436" s="1"/>
  <c r="E435"/>
  <c r="F435" s="1"/>
  <c r="P434"/>
  <c r="O434"/>
  <c r="M434"/>
  <c r="L434"/>
  <c r="K434"/>
  <c r="J434"/>
  <c r="I434"/>
  <c r="H434"/>
  <c r="E434"/>
  <c r="F434" s="1"/>
  <c r="E433"/>
  <c r="F433" s="1"/>
  <c r="E432"/>
  <c r="F432" s="1"/>
  <c r="E431"/>
  <c r="F431" s="1"/>
  <c r="E430"/>
  <c r="F430" s="1"/>
  <c r="P429"/>
  <c r="O429"/>
  <c r="M429"/>
  <c r="L429"/>
  <c r="K429"/>
  <c r="J429"/>
  <c r="I429"/>
  <c r="H429"/>
  <c r="E429"/>
  <c r="F429" s="1"/>
  <c r="E428"/>
  <c r="F428" s="1"/>
  <c r="E427"/>
  <c r="F427" s="1"/>
  <c r="E426"/>
  <c r="F426" s="1"/>
  <c r="E425"/>
  <c r="F425" s="1"/>
  <c r="P424"/>
  <c r="O424"/>
  <c r="M424"/>
  <c r="L424"/>
  <c r="K424"/>
  <c r="J424"/>
  <c r="I424"/>
  <c r="H424"/>
  <c r="E424"/>
  <c r="E423"/>
  <c r="E422"/>
  <c r="E421"/>
  <c r="E420"/>
  <c r="E419"/>
  <c r="P418"/>
  <c r="O418"/>
  <c r="M418"/>
  <c r="L418"/>
  <c r="K418"/>
  <c r="J418"/>
  <c r="I418"/>
  <c r="H418"/>
  <c r="E418"/>
  <c r="E417"/>
  <c r="E416"/>
  <c r="E415"/>
  <c r="E414"/>
  <c r="E413"/>
  <c r="P412"/>
  <c r="O412"/>
  <c r="M412"/>
  <c r="L412"/>
  <c r="K412"/>
  <c r="J412"/>
  <c r="I412"/>
  <c r="H412"/>
  <c r="E412"/>
  <c r="E411"/>
  <c r="E410"/>
  <c r="E409"/>
  <c r="E408"/>
  <c r="E407"/>
  <c r="E406"/>
  <c r="E405"/>
  <c r="E404"/>
  <c r="P403"/>
  <c r="O403"/>
  <c r="M403"/>
  <c r="L403"/>
  <c r="K403"/>
  <c r="J403"/>
  <c r="I403"/>
  <c r="H403"/>
  <c r="E403"/>
  <c r="F402"/>
  <c r="E402"/>
  <c r="F401"/>
  <c r="E401"/>
  <c r="F400"/>
  <c r="E400"/>
  <c r="F399"/>
  <c r="E399"/>
  <c r="P398"/>
  <c r="O398"/>
  <c r="M398"/>
  <c r="M397" s="1"/>
  <c r="L398"/>
  <c r="K398"/>
  <c r="K397" s="1"/>
  <c r="J398"/>
  <c r="I398"/>
  <c r="I397" s="1"/>
  <c r="H398"/>
  <c r="F398"/>
  <c r="E398"/>
  <c r="P397"/>
  <c r="D397"/>
  <c r="C397"/>
  <c r="B397"/>
  <c r="E396"/>
  <c r="F396" s="1"/>
  <c r="P395"/>
  <c r="O395"/>
  <c r="M395"/>
  <c r="L395"/>
  <c r="K395"/>
  <c r="J395"/>
  <c r="I395"/>
  <c r="H395"/>
  <c r="E395"/>
  <c r="F395" s="1"/>
  <c r="E394"/>
  <c r="F394" s="1"/>
  <c r="E393"/>
  <c r="F393" s="1"/>
  <c r="E392"/>
  <c r="F392" s="1"/>
  <c r="E391"/>
  <c r="F391" s="1"/>
  <c r="E390"/>
  <c r="F390" s="1"/>
  <c r="E389"/>
  <c r="F389" s="1"/>
  <c r="P388"/>
  <c r="O388"/>
  <c r="M388"/>
  <c r="L388"/>
  <c r="K388"/>
  <c r="J388"/>
  <c r="I388"/>
  <c r="H388"/>
  <c r="E388"/>
  <c r="F388" s="1"/>
  <c r="E387"/>
  <c r="F387" s="1"/>
  <c r="E386"/>
  <c r="F386" s="1"/>
  <c r="E385"/>
  <c r="F385" s="1"/>
  <c r="E384"/>
  <c r="F384" s="1"/>
  <c r="E383"/>
  <c r="F383" s="1"/>
  <c r="P382"/>
  <c r="O382"/>
  <c r="M382"/>
  <c r="L382"/>
  <c r="K382"/>
  <c r="J382"/>
  <c r="I382"/>
  <c r="H382"/>
  <c r="E382"/>
  <c r="F382" s="1"/>
  <c r="E381"/>
  <c r="F381" s="1"/>
  <c r="E380"/>
  <c r="F380" s="1"/>
  <c r="E379"/>
  <c r="F379" s="1"/>
  <c r="P378"/>
  <c r="O378"/>
  <c r="M378"/>
  <c r="L378"/>
  <c r="K378"/>
  <c r="J378"/>
  <c r="I378"/>
  <c r="H378"/>
  <c r="E378"/>
  <c r="F378" s="1"/>
  <c r="E377"/>
  <c r="F377" s="1"/>
  <c r="E376"/>
  <c r="F376" s="1"/>
  <c r="E375"/>
  <c r="F375" s="1"/>
  <c r="P374"/>
  <c r="O374"/>
  <c r="M374"/>
  <c r="L374"/>
  <c r="K374"/>
  <c r="J374"/>
  <c r="I374"/>
  <c r="H374"/>
  <c r="E374"/>
  <c r="F374" s="1"/>
  <c r="E373"/>
  <c r="F373" s="1"/>
  <c r="E372"/>
  <c r="F372" s="1"/>
  <c r="E371"/>
  <c r="F371" s="1"/>
  <c r="P370"/>
  <c r="O370"/>
  <c r="M370"/>
  <c r="L370"/>
  <c r="K370"/>
  <c r="J370"/>
  <c r="I370"/>
  <c r="H370"/>
  <c r="F369"/>
  <c r="F368"/>
  <c r="F367"/>
  <c r="F366"/>
  <c r="F365"/>
  <c r="P364"/>
  <c r="O364"/>
  <c r="M364"/>
  <c r="L364"/>
  <c r="K364"/>
  <c r="J364"/>
  <c r="I364"/>
  <c r="H364"/>
  <c r="E363"/>
  <c r="F363" s="1"/>
  <c r="E362"/>
  <c r="F362" s="1"/>
  <c r="E361"/>
  <c r="F361" s="1"/>
  <c r="E360"/>
  <c r="F360" s="1"/>
  <c r="E359"/>
  <c r="F359" s="1"/>
  <c r="E358"/>
  <c r="F358" s="1"/>
  <c r="P357"/>
  <c r="O357"/>
  <c r="M357"/>
  <c r="L357"/>
  <c r="K357"/>
  <c r="J357"/>
  <c r="I357"/>
  <c r="H357"/>
  <c r="E357"/>
  <c r="F357" s="1"/>
  <c r="E356"/>
  <c r="F356" s="1"/>
  <c r="E355"/>
  <c r="F355" s="1"/>
  <c r="E354"/>
  <c r="F354" s="1"/>
  <c r="E353"/>
  <c r="F353" s="1"/>
  <c r="E352"/>
  <c r="F352" s="1"/>
  <c r="E351"/>
  <c r="F351" s="1"/>
  <c r="E350"/>
  <c r="F350" s="1"/>
  <c r="P349"/>
  <c r="O349"/>
  <c r="M349"/>
  <c r="L349"/>
  <c r="K349"/>
  <c r="J349"/>
  <c r="I349"/>
  <c r="H349"/>
  <c r="E349"/>
  <c r="F349" s="1"/>
  <c r="E348"/>
  <c r="F348" s="1"/>
  <c r="E347"/>
  <c r="F347" s="1"/>
  <c r="E346"/>
  <c r="F346" s="1"/>
  <c r="E345"/>
  <c r="F345" s="1"/>
  <c r="P344"/>
  <c r="O344"/>
  <c r="M344"/>
  <c r="L344"/>
  <c r="K344"/>
  <c r="J344"/>
  <c r="I344"/>
  <c r="H344"/>
  <c r="H343" s="1"/>
  <c r="E344"/>
  <c r="F344" s="1"/>
  <c r="L343"/>
  <c r="D343"/>
  <c r="C343"/>
  <c r="B343"/>
  <c r="E342"/>
  <c r="F342" s="1"/>
  <c r="E341"/>
  <c r="F341" s="1"/>
  <c r="P340"/>
  <c r="O340"/>
  <c r="M340"/>
  <c r="L340"/>
  <c r="K340"/>
  <c r="J340"/>
  <c r="I340"/>
  <c r="H340"/>
  <c r="E340"/>
  <c r="F340" s="1"/>
  <c r="E339"/>
  <c r="F339" s="1"/>
  <c r="E338"/>
  <c r="F338" s="1"/>
  <c r="E337"/>
  <c r="F337" s="1"/>
  <c r="E336"/>
  <c r="F336" s="1"/>
  <c r="E335"/>
  <c r="F335" s="1"/>
  <c r="E334"/>
  <c r="F334" s="1"/>
  <c r="E333"/>
  <c r="F333" s="1"/>
  <c r="P332"/>
  <c r="O332"/>
  <c r="M332"/>
  <c r="L332"/>
  <c r="K332"/>
  <c r="J332"/>
  <c r="I332"/>
  <c r="H332"/>
  <c r="E331"/>
  <c r="F331" s="1"/>
  <c r="E330"/>
  <c r="F330" s="1"/>
  <c r="E329"/>
  <c r="F329" s="1"/>
  <c r="E328"/>
  <c r="F328" s="1"/>
  <c r="E327"/>
  <c r="F327" s="1"/>
  <c r="E326"/>
  <c r="F326" s="1"/>
  <c r="E325"/>
  <c r="F325" s="1"/>
  <c r="E324"/>
  <c r="F324" s="1"/>
  <c r="E323"/>
  <c r="F323" s="1"/>
  <c r="E322"/>
  <c r="F322" s="1"/>
  <c r="E321"/>
  <c r="F321" s="1"/>
  <c r="P320"/>
  <c r="O320"/>
  <c r="M320"/>
  <c r="L320"/>
  <c r="K320"/>
  <c r="J320"/>
  <c r="I320"/>
  <c r="H320"/>
  <c r="E320"/>
  <c r="F320" s="1"/>
  <c r="E319"/>
  <c r="F319" s="1"/>
  <c r="E318"/>
  <c r="F318" s="1"/>
  <c r="E317"/>
  <c r="F317" s="1"/>
  <c r="E316"/>
  <c r="F316" s="1"/>
  <c r="E315"/>
  <c r="F315" s="1"/>
  <c r="E314"/>
  <c r="F314" s="1"/>
  <c r="E313"/>
  <c r="F313" s="1"/>
  <c r="E312"/>
  <c r="F312" s="1"/>
  <c r="P311"/>
  <c r="O311"/>
  <c r="M311"/>
  <c r="L311"/>
  <c r="K311"/>
  <c r="J311"/>
  <c r="I311"/>
  <c r="H311"/>
  <c r="F311"/>
  <c r="F310"/>
  <c r="F309"/>
  <c r="F308"/>
  <c r="F307"/>
  <c r="F306"/>
  <c r="F305"/>
  <c r="F304"/>
  <c r="F303"/>
  <c r="F302"/>
  <c r="F301"/>
  <c r="F300"/>
  <c r="P299"/>
  <c r="O299"/>
  <c r="M299"/>
  <c r="L299"/>
  <c r="K299"/>
  <c r="J299"/>
  <c r="I299"/>
  <c r="H299"/>
  <c r="F299"/>
  <c r="E298"/>
  <c r="F298" s="1"/>
  <c r="E297"/>
  <c r="F297" s="1"/>
  <c r="E296"/>
  <c r="F296" s="1"/>
  <c r="E295"/>
  <c r="F295" s="1"/>
  <c r="E294"/>
  <c r="F294" s="1"/>
  <c r="E293"/>
  <c r="F293" s="1"/>
  <c r="P292"/>
  <c r="O292"/>
  <c r="M292"/>
  <c r="L292"/>
  <c r="K292"/>
  <c r="J292"/>
  <c r="I292"/>
  <c r="H292"/>
  <c r="E292"/>
  <c r="F292" s="1"/>
  <c r="E291"/>
  <c r="F291" s="1"/>
  <c r="E290"/>
  <c r="F290" s="1"/>
  <c r="E289"/>
  <c r="F289" s="1"/>
  <c r="E288"/>
  <c r="F288" s="1"/>
  <c r="E287"/>
  <c r="F287" s="1"/>
  <c r="E286"/>
  <c r="F286" s="1"/>
  <c r="E285"/>
  <c r="F285" s="1"/>
  <c r="E284"/>
  <c r="F284" s="1"/>
  <c r="E283"/>
  <c r="F283" s="1"/>
  <c r="E282"/>
  <c r="F282" s="1"/>
  <c r="E281"/>
  <c r="F281" s="1"/>
  <c r="E280"/>
  <c r="F280" s="1"/>
  <c r="E279"/>
  <c r="F279" s="1"/>
  <c r="E278"/>
  <c r="F278" s="1"/>
  <c r="E277"/>
  <c r="F277" s="1"/>
  <c r="E276"/>
  <c r="F276" s="1"/>
  <c r="E275"/>
  <c r="F275" s="1"/>
  <c r="E274"/>
  <c r="F274" s="1"/>
  <c r="E273"/>
  <c r="F273" s="1"/>
  <c r="E272"/>
  <c r="F272" s="1"/>
  <c r="E271"/>
  <c r="F271" s="1"/>
  <c r="P270"/>
  <c r="O270"/>
  <c r="M270"/>
  <c r="L270"/>
  <c r="K270"/>
  <c r="J270"/>
  <c r="I270"/>
  <c r="H270"/>
  <c r="E270"/>
  <c r="F270" s="1"/>
  <c r="E269"/>
  <c r="F269" s="1"/>
  <c r="E268"/>
  <c r="F268" s="1"/>
  <c r="E267"/>
  <c r="F267" s="1"/>
  <c r="E266"/>
  <c r="F266" s="1"/>
  <c r="E265"/>
  <c r="F265" s="1"/>
  <c r="E264"/>
  <c r="F264" s="1"/>
  <c r="E263"/>
  <c r="F263" s="1"/>
  <c r="E262"/>
  <c r="F262" s="1"/>
  <c r="E261"/>
  <c r="F261" s="1"/>
  <c r="P260"/>
  <c r="P259" s="1"/>
  <c r="O260"/>
  <c r="M260"/>
  <c r="M259" s="1"/>
  <c r="L260"/>
  <c r="K260"/>
  <c r="K259" s="1"/>
  <c r="J260"/>
  <c r="I260"/>
  <c r="I259" s="1"/>
  <c r="H260"/>
  <c r="E260"/>
  <c r="F260" s="1"/>
  <c r="O259"/>
  <c r="L259"/>
  <c r="J259"/>
  <c r="H259"/>
  <c r="D259"/>
  <c r="C259"/>
  <c r="E259" s="1"/>
  <c r="F259" s="1"/>
  <c r="B259"/>
  <c r="F258"/>
  <c r="E258"/>
  <c r="P257"/>
  <c r="O257"/>
  <c r="M257"/>
  <c r="L257"/>
  <c r="K257"/>
  <c r="J257"/>
  <c r="I257"/>
  <c r="H257"/>
  <c r="F257"/>
  <c r="E257"/>
  <c r="F256"/>
  <c r="E256"/>
  <c r="F255"/>
  <c r="E255"/>
  <c r="F254"/>
  <c r="E254"/>
  <c r="F253"/>
  <c r="E253"/>
  <c r="F252"/>
  <c r="E252"/>
  <c r="F251"/>
  <c r="E251"/>
  <c r="F250"/>
  <c r="E250"/>
  <c r="F249"/>
  <c r="E249"/>
  <c r="P248"/>
  <c r="O248"/>
  <c r="M248"/>
  <c r="L248"/>
  <c r="K248"/>
  <c r="J248"/>
  <c r="I248"/>
  <c r="H248"/>
  <c r="F248"/>
  <c r="E248"/>
  <c r="F247"/>
  <c r="E247"/>
  <c r="P246"/>
  <c r="O246"/>
  <c r="M246"/>
  <c r="L246"/>
  <c r="K246"/>
  <c r="J246"/>
  <c r="I246"/>
  <c r="H246"/>
  <c r="F246"/>
  <c r="E246"/>
  <c r="F245"/>
  <c r="E245"/>
  <c r="P244"/>
  <c r="O244"/>
  <c r="M244"/>
  <c r="L244"/>
  <c r="K244"/>
  <c r="J244"/>
  <c r="I244"/>
  <c r="H244"/>
  <c r="F244"/>
  <c r="E244"/>
  <c r="F243"/>
  <c r="E243"/>
  <c r="P242"/>
  <c r="O242"/>
  <c r="M242"/>
  <c r="L242"/>
  <c r="K242"/>
  <c r="J242"/>
  <c r="I242"/>
  <c r="H242"/>
  <c r="F242"/>
  <c r="E242"/>
  <c r="P241"/>
  <c r="O241"/>
  <c r="M241"/>
  <c r="L241"/>
  <c r="K241"/>
  <c r="J241"/>
  <c r="I241"/>
  <c r="H241"/>
  <c r="D241"/>
  <c r="E241" s="1"/>
  <c r="C241"/>
  <c r="B241"/>
  <c r="E240"/>
  <c r="F240" s="1"/>
  <c r="E239"/>
  <c r="F239" s="1"/>
  <c r="P238"/>
  <c r="O238"/>
  <c r="M238"/>
  <c r="L238"/>
  <c r="K238"/>
  <c r="J238"/>
  <c r="I238"/>
  <c r="H238"/>
  <c r="E238"/>
  <c r="F238" s="1"/>
  <c r="E237"/>
  <c r="F237" s="1"/>
  <c r="E236"/>
  <c r="F236" s="1"/>
  <c r="E235"/>
  <c r="F235" s="1"/>
  <c r="E234"/>
  <c r="F234" s="1"/>
  <c r="E233"/>
  <c r="F233" s="1"/>
  <c r="P232"/>
  <c r="O232"/>
  <c r="M232"/>
  <c r="L232"/>
  <c r="K232"/>
  <c r="J232"/>
  <c r="I232"/>
  <c r="H232"/>
  <c r="E231"/>
  <c r="F231" s="1"/>
  <c r="E230"/>
  <c r="F230" s="1"/>
  <c r="E229"/>
  <c r="F229" s="1"/>
  <c r="E228"/>
  <c r="F228" s="1"/>
  <c r="E227"/>
  <c r="F227" s="1"/>
  <c r="P226"/>
  <c r="O226"/>
  <c r="M226"/>
  <c r="L226"/>
  <c r="K226"/>
  <c r="J226"/>
  <c r="I226"/>
  <c r="H226"/>
  <c r="E226"/>
  <c r="E225"/>
  <c r="F225" s="1"/>
  <c r="E224"/>
  <c r="F224" s="1"/>
  <c r="E223"/>
  <c r="F223" s="1"/>
  <c r="E222"/>
  <c r="F222" s="1"/>
  <c r="E221"/>
  <c r="F221" s="1"/>
  <c r="P220"/>
  <c r="O220"/>
  <c r="M220"/>
  <c r="L220"/>
  <c r="K220"/>
  <c r="J220"/>
  <c r="I220"/>
  <c r="H220"/>
  <c r="E220"/>
  <c r="F220" s="1"/>
  <c r="E219"/>
  <c r="F219" s="1"/>
  <c r="E218"/>
  <c r="F218" s="1"/>
  <c r="E217"/>
  <c r="F217" s="1"/>
  <c r="E216"/>
  <c r="F216" s="1"/>
  <c r="E215"/>
  <c r="F215" s="1"/>
  <c r="P214"/>
  <c r="O214"/>
  <c r="M214"/>
  <c r="L214"/>
  <c r="K214"/>
  <c r="J214"/>
  <c r="I214"/>
  <c r="H214"/>
  <c r="E214"/>
  <c r="E213"/>
  <c r="F213" s="1"/>
  <c r="E212"/>
  <c r="F212" s="1"/>
  <c r="E211"/>
  <c r="F211" s="1"/>
  <c r="E210"/>
  <c r="F210" s="1"/>
  <c r="E209"/>
  <c r="F209" s="1"/>
  <c r="E208"/>
  <c r="F208" s="1"/>
  <c r="P207"/>
  <c r="O207"/>
  <c r="M207"/>
  <c r="L207"/>
  <c r="K207"/>
  <c r="J207"/>
  <c r="I207"/>
  <c r="H207"/>
  <c r="E207"/>
  <c r="F207" s="1"/>
  <c r="E206"/>
  <c r="F206" s="1"/>
  <c r="E205"/>
  <c r="F205" s="1"/>
  <c r="E204"/>
  <c r="F204" s="1"/>
  <c r="E203"/>
  <c r="F203" s="1"/>
  <c r="E202"/>
  <c r="F202" s="1"/>
  <c r="E201"/>
  <c r="F201" s="1"/>
  <c r="E200"/>
  <c r="F200" s="1"/>
  <c r="P199"/>
  <c r="O199"/>
  <c r="M199"/>
  <c r="L199"/>
  <c r="K199"/>
  <c r="J199"/>
  <c r="I199"/>
  <c r="H199"/>
  <c r="E199"/>
  <c r="F199" s="1"/>
  <c r="E198"/>
  <c r="F198" s="1"/>
  <c r="E197"/>
  <c r="F197" s="1"/>
  <c r="E196"/>
  <c r="F196" s="1"/>
  <c r="E195"/>
  <c r="F195" s="1"/>
  <c r="E194"/>
  <c r="F194" s="1"/>
  <c r="E193"/>
  <c r="F193" s="1"/>
  <c r="P192"/>
  <c r="O192"/>
  <c r="M192"/>
  <c r="L192"/>
  <c r="K192"/>
  <c r="J192"/>
  <c r="I192"/>
  <c r="H192"/>
  <c r="E192"/>
  <c r="F192" s="1"/>
  <c r="E191"/>
  <c r="F191" s="1"/>
  <c r="E190"/>
  <c r="F190" s="1"/>
  <c r="E189"/>
  <c r="F189" s="1"/>
  <c r="E188"/>
  <c r="F188" s="1"/>
  <c r="E187"/>
  <c r="F187" s="1"/>
  <c r="P186"/>
  <c r="O186"/>
  <c r="M186"/>
  <c r="L186"/>
  <c r="K186"/>
  <c r="J186"/>
  <c r="I186"/>
  <c r="H186"/>
  <c r="E186"/>
  <c r="F186" s="1"/>
  <c r="E185"/>
  <c r="F185" s="1"/>
  <c r="E184"/>
  <c r="F184" s="1"/>
  <c r="E183"/>
  <c r="F183" s="1"/>
  <c r="E182"/>
  <c r="F182" s="1"/>
  <c r="E181"/>
  <c r="F181" s="1"/>
  <c r="E180"/>
  <c r="F180" s="1"/>
  <c r="E179"/>
  <c r="F179" s="1"/>
  <c r="E178"/>
  <c r="F178" s="1"/>
  <c r="P177"/>
  <c r="O177"/>
  <c r="M177"/>
  <c r="L177"/>
  <c r="K177"/>
  <c r="J177"/>
  <c r="I177"/>
  <c r="H177"/>
  <c r="E177"/>
  <c r="F177" s="1"/>
  <c r="E176"/>
  <c r="F176" s="1"/>
  <c r="E175"/>
  <c r="F175" s="1"/>
  <c r="E174"/>
  <c r="F174" s="1"/>
  <c r="E173"/>
  <c r="F173" s="1"/>
  <c r="E172"/>
  <c r="F172" s="1"/>
  <c r="E171"/>
  <c r="F171" s="1"/>
  <c r="P170"/>
  <c r="O170"/>
  <c r="M170"/>
  <c r="L170"/>
  <c r="K170"/>
  <c r="J170"/>
  <c r="I170"/>
  <c r="H170"/>
  <c r="E170"/>
  <c r="E169"/>
  <c r="F169" s="1"/>
  <c r="E168"/>
  <c r="F168" s="1"/>
  <c r="E167"/>
  <c r="F167" s="1"/>
  <c r="E166"/>
  <c r="F166" s="1"/>
  <c r="E165"/>
  <c r="F165" s="1"/>
  <c r="E164"/>
  <c r="F164" s="1"/>
  <c r="P163"/>
  <c r="O163"/>
  <c r="M163"/>
  <c r="L163"/>
  <c r="K163"/>
  <c r="J163"/>
  <c r="I163"/>
  <c r="H163"/>
  <c r="E163"/>
  <c r="E162"/>
  <c r="F162" s="1"/>
  <c r="E161"/>
  <c r="F161" s="1"/>
  <c r="E160"/>
  <c r="F160" s="1"/>
  <c r="E159"/>
  <c r="F159" s="1"/>
  <c r="E158"/>
  <c r="F158" s="1"/>
  <c r="E157"/>
  <c r="F157" s="1"/>
  <c r="E156"/>
  <c r="F156" s="1"/>
  <c r="E155"/>
  <c r="F155" s="1"/>
  <c r="E154"/>
  <c r="F154" s="1"/>
  <c r="E153"/>
  <c r="F153" s="1"/>
  <c r="E152"/>
  <c r="F152" s="1"/>
  <c r="E151"/>
  <c r="F151" s="1"/>
  <c r="P150"/>
  <c r="O150"/>
  <c r="M150"/>
  <c r="L150"/>
  <c r="K150"/>
  <c r="J150"/>
  <c r="I150"/>
  <c r="H150"/>
  <c r="E150"/>
  <c r="F150" s="1"/>
  <c r="E149"/>
  <c r="F149" s="1"/>
  <c r="E148"/>
  <c r="F148" s="1"/>
  <c r="E147"/>
  <c r="F147" s="1"/>
  <c r="E146"/>
  <c r="F146" s="1"/>
  <c r="E145"/>
  <c r="F145" s="1"/>
  <c r="E144"/>
  <c r="F144" s="1"/>
  <c r="E143"/>
  <c r="F143" s="1"/>
  <c r="E142"/>
  <c r="F142" s="1"/>
  <c r="E141"/>
  <c r="F141" s="1"/>
  <c r="P140"/>
  <c r="O140"/>
  <c r="M140"/>
  <c r="L140"/>
  <c r="K140"/>
  <c r="J140"/>
  <c r="I140"/>
  <c r="H140"/>
  <c r="E140"/>
  <c r="F140" s="1"/>
  <c r="E139"/>
  <c r="F139" s="1"/>
  <c r="E138"/>
  <c r="F138" s="1"/>
  <c r="E137"/>
  <c r="F137" s="1"/>
  <c r="E136"/>
  <c r="F136" s="1"/>
  <c r="E135"/>
  <c r="F135" s="1"/>
  <c r="E134"/>
  <c r="F134" s="1"/>
  <c r="E133"/>
  <c r="F133" s="1"/>
  <c r="E132"/>
  <c r="F132" s="1"/>
  <c r="E131"/>
  <c r="F131" s="1"/>
  <c r="E130"/>
  <c r="F130" s="1"/>
  <c r="P129"/>
  <c r="O129"/>
  <c r="M129"/>
  <c r="L129"/>
  <c r="K129"/>
  <c r="J129"/>
  <c r="I129"/>
  <c r="H129"/>
  <c r="E129"/>
  <c r="F129" s="1"/>
  <c r="E128"/>
  <c r="F128" s="1"/>
  <c r="E127"/>
  <c r="F127" s="1"/>
  <c r="E126"/>
  <c r="F126" s="1"/>
  <c r="E125"/>
  <c r="F125" s="1"/>
  <c r="E124"/>
  <c r="F124" s="1"/>
  <c r="E123"/>
  <c r="F123" s="1"/>
  <c r="E122"/>
  <c r="F122" s="1"/>
  <c r="E121"/>
  <c r="F121" s="1"/>
  <c r="P120"/>
  <c r="O120"/>
  <c r="M120"/>
  <c r="L120"/>
  <c r="K120"/>
  <c r="J120"/>
  <c r="I120"/>
  <c r="H120"/>
  <c r="E120"/>
  <c r="F120" s="1"/>
  <c r="E119"/>
  <c r="F119" s="1"/>
  <c r="E118"/>
  <c r="F118" s="1"/>
  <c r="E117"/>
  <c r="F117" s="1"/>
  <c r="E116"/>
  <c r="F116" s="1"/>
  <c r="E115"/>
  <c r="F115" s="1"/>
  <c r="E114"/>
  <c r="F114" s="1"/>
  <c r="E113"/>
  <c r="F113" s="1"/>
  <c r="E112"/>
  <c r="F112" s="1"/>
  <c r="E111"/>
  <c r="F111" s="1"/>
  <c r="E110"/>
  <c r="F110" s="1"/>
  <c r="E109"/>
  <c r="F109" s="1"/>
  <c r="E108"/>
  <c r="F108" s="1"/>
  <c r="E107"/>
  <c r="F107" s="1"/>
  <c r="E106"/>
  <c r="F106" s="1"/>
  <c r="P105"/>
  <c r="O105"/>
  <c r="M105"/>
  <c r="L105"/>
  <c r="K105"/>
  <c r="J105"/>
  <c r="I105"/>
  <c r="H105"/>
  <c r="E105"/>
  <c r="F105" s="1"/>
  <c r="E104"/>
  <c r="F104" s="1"/>
  <c r="E103"/>
  <c r="F103" s="1"/>
  <c r="E102"/>
  <c r="F102" s="1"/>
  <c r="E101"/>
  <c r="F101" s="1"/>
  <c r="E100"/>
  <c r="F100" s="1"/>
  <c r="E99"/>
  <c r="F99" s="1"/>
  <c r="E98"/>
  <c r="F98" s="1"/>
  <c r="E97"/>
  <c r="F97" s="1"/>
  <c r="E96"/>
  <c r="F96" s="1"/>
  <c r="P95"/>
  <c r="O95"/>
  <c r="M95"/>
  <c r="L95"/>
  <c r="K95"/>
  <c r="J95"/>
  <c r="I95"/>
  <c r="H95"/>
  <c r="E95"/>
  <c r="F95" s="1"/>
  <c r="E94"/>
  <c r="F94" s="1"/>
  <c r="E93"/>
  <c r="F93" s="1"/>
  <c r="E92"/>
  <c r="F92" s="1"/>
  <c r="E91"/>
  <c r="F91" s="1"/>
  <c r="E90"/>
  <c r="F90" s="1"/>
  <c r="E89"/>
  <c r="F89" s="1"/>
  <c r="E88"/>
  <c r="F88" s="1"/>
  <c r="E87"/>
  <c r="F87" s="1"/>
  <c r="P86"/>
  <c r="O86"/>
  <c r="M86"/>
  <c r="L86"/>
  <c r="K86"/>
  <c r="J86"/>
  <c r="I86"/>
  <c r="H86"/>
  <c r="E86"/>
  <c r="F86" s="1"/>
  <c r="E85"/>
  <c r="F85" s="1"/>
  <c r="E84"/>
  <c r="F84" s="1"/>
  <c r="E83"/>
  <c r="F83" s="1"/>
  <c r="E82"/>
  <c r="F82" s="1"/>
  <c r="E81"/>
  <c r="F81" s="1"/>
  <c r="E80"/>
  <c r="F80" s="1"/>
  <c r="E79"/>
  <c r="F79" s="1"/>
  <c r="E78"/>
  <c r="F78" s="1"/>
  <c r="E77"/>
  <c r="F77" s="1"/>
  <c r="E76"/>
  <c r="F76" s="1"/>
  <c r="E75"/>
  <c r="F75" s="1"/>
  <c r="P74"/>
  <c r="O74"/>
  <c r="M74"/>
  <c r="L74"/>
  <c r="K74"/>
  <c r="J74"/>
  <c r="I74"/>
  <c r="H74"/>
  <c r="E74"/>
  <c r="F74" s="1"/>
  <c r="E73"/>
  <c r="F73" s="1"/>
  <c r="E72"/>
  <c r="F72" s="1"/>
  <c r="E71"/>
  <c r="F71" s="1"/>
  <c r="E70"/>
  <c r="F70" s="1"/>
  <c r="E69"/>
  <c r="F69" s="1"/>
  <c r="E68"/>
  <c r="F68" s="1"/>
  <c r="E67"/>
  <c r="F67" s="1"/>
  <c r="E66"/>
  <c r="F66" s="1"/>
  <c r="E65"/>
  <c r="F65" s="1"/>
  <c r="E64"/>
  <c r="F64" s="1"/>
  <c r="P63"/>
  <c r="O63"/>
  <c r="M63"/>
  <c r="L63"/>
  <c r="K63"/>
  <c r="J63"/>
  <c r="I63"/>
  <c r="H63"/>
  <c r="E63"/>
  <c r="F63" s="1"/>
  <c r="E62"/>
  <c r="F62" s="1"/>
  <c r="E61"/>
  <c r="F61" s="1"/>
  <c r="E60"/>
  <c r="F60" s="1"/>
  <c r="E59"/>
  <c r="F59" s="1"/>
  <c r="E58"/>
  <c r="F58" s="1"/>
  <c r="E57"/>
  <c r="F57" s="1"/>
  <c r="E56"/>
  <c r="F56" s="1"/>
  <c r="E55"/>
  <c r="F55" s="1"/>
  <c r="E54"/>
  <c r="F54" s="1"/>
  <c r="E53"/>
  <c r="F53" s="1"/>
  <c r="P52"/>
  <c r="O52"/>
  <c r="M52"/>
  <c r="L52"/>
  <c r="K52"/>
  <c r="J52"/>
  <c r="I52"/>
  <c r="H52"/>
  <c r="E52"/>
  <c r="F52" s="1"/>
  <c r="E51"/>
  <c r="F51" s="1"/>
  <c r="E50"/>
  <c r="F50" s="1"/>
  <c r="E49"/>
  <c r="F49" s="1"/>
  <c r="E48"/>
  <c r="F48" s="1"/>
  <c r="E47"/>
  <c r="F47" s="1"/>
  <c r="E46"/>
  <c r="F46" s="1"/>
  <c r="E45"/>
  <c r="F45" s="1"/>
  <c r="E44"/>
  <c r="F44" s="1"/>
  <c r="E43"/>
  <c r="F43" s="1"/>
  <c r="E42"/>
  <c r="F42" s="1"/>
  <c r="P41"/>
  <c r="O41"/>
  <c r="M41"/>
  <c r="L41"/>
  <c r="K41"/>
  <c r="J41"/>
  <c r="I41"/>
  <c r="H41"/>
  <c r="E41"/>
  <c r="F41" s="1"/>
  <c r="E40"/>
  <c r="F40" s="1"/>
  <c r="E39"/>
  <c r="F39" s="1"/>
  <c r="E38"/>
  <c r="F38" s="1"/>
  <c r="E37"/>
  <c r="F37" s="1"/>
  <c r="E36"/>
  <c r="F36" s="1"/>
  <c r="E35"/>
  <c r="F35" s="1"/>
  <c r="E34"/>
  <c r="F34" s="1"/>
  <c r="E33"/>
  <c r="F33" s="1"/>
  <c r="E32"/>
  <c r="F32" s="1"/>
  <c r="E31"/>
  <c r="F31" s="1"/>
  <c r="E30"/>
  <c r="F30" s="1"/>
  <c r="P29"/>
  <c r="O29"/>
  <c r="M29"/>
  <c r="L29"/>
  <c r="K29"/>
  <c r="J29"/>
  <c r="I29"/>
  <c r="H29"/>
  <c r="E29"/>
  <c r="F29" s="1"/>
  <c r="E28"/>
  <c r="F28" s="1"/>
  <c r="E27"/>
  <c r="F27" s="1"/>
  <c r="E26"/>
  <c r="F26" s="1"/>
  <c r="E25"/>
  <c r="F25" s="1"/>
  <c r="E24"/>
  <c r="F24" s="1"/>
  <c r="E23"/>
  <c r="F23" s="1"/>
  <c r="E22"/>
  <c r="F22" s="1"/>
  <c r="E21"/>
  <c r="F21" s="1"/>
  <c r="P20"/>
  <c r="O20"/>
  <c r="M20"/>
  <c r="L20"/>
  <c r="K20"/>
  <c r="J20"/>
  <c r="I20"/>
  <c r="H20"/>
  <c r="E20"/>
  <c r="F20" s="1"/>
  <c r="E19"/>
  <c r="F19" s="1"/>
  <c r="E18"/>
  <c r="F18" s="1"/>
  <c r="E17"/>
  <c r="F17" s="1"/>
  <c r="E16"/>
  <c r="F16" s="1"/>
  <c r="E15"/>
  <c r="F15" s="1"/>
  <c r="E14"/>
  <c r="F14" s="1"/>
  <c r="E13"/>
  <c r="F13" s="1"/>
  <c r="E12"/>
  <c r="F12" s="1"/>
  <c r="E11"/>
  <c r="F11" s="1"/>
  <c r="E10"/>
  <c r="F10" s="1"/>
  <c r="E9"/>
  <c r="F9" s="1"/>
  <c r="P8"/>
  <c r="O8"/>
  <c r="M8"/>
  <c r="L8"/>
  <c r="K8"/>
  <c r="J8"/>
  <c r="I8"/>
  <c r="H8"/>
  <c r="E8"/>
  <c r="F8" s="1"/>
  <c r="P7"/>
  <c r="O7"/>
  <c r="M7"/>
  <c r="L7"/>
  <c r="K7"/>
  <c r="J7"/>
  <c r="I7"/>
  <c r="H7"/>
  <c r="E7"/>
  <c r="D7"/>
  <c r="D6" s="1"/>
  <c r="D5" s="1"/>
  <c r="C7"/>
  <c r="B7"/>
  <c r="E997" l="1"/>
  <c r="F997" s="1"/>
  <c r="E343"/>
  <c r="F343" s="1"/>
  <c r="J343"/>
  <c r="O343"/>
  <c r="E397"/>
  <c r="F397" s="1"/>
  <c r="K1125"/>
  <c r="P1125"/>
  <c r="B1148"/>
  <c r="E1150"/>
  <c r="F1150" s="1"/>
  <c r="I1148"/>
  <c r="M1148"/>
  <c r="E1157"/>
  <c r="F1157" s="1"/>
  <c r="E1305"/>
  <c r="F1305" s="1"/>
  <c r="B6"/>
  <c r="B5" s="1"/>
  <c r="H397"/>
  <c r="E1185"/>
  <c r="F1185" s="1"/>
  <c r="J397"/>
  <c r="L397"/>
  <c r="O397"/>
  <c r="E452"/>
  <c r="F452" s="1"/>
  <c r="H452"/>
  <c r="J452"/>
  <c r="L452"/>
  <c r="O452"/>
  <c r="H965"/>
  <c r="J965"/>
  <c r="L965"/>
  <c r="O965"/>
  <c r="H997"/>
  <c r="J997"/>
  <c r="L997"/>
  <c r="O997"/>
  <c r="H1148"/>
  <c r="J1148"/>
  <c r="L1148"/>
  <c r="O1148"/>
  <c r="E1162"/>
  <c r="F1162" s="1"/>
  <c r="D1285"/>
  <c r="D1293"/>
  <c r="D1301"/>
  <c r="C1304"/>
  <c r="E1321"/>
  <c r="F1321" s="1"/>
  <c r="F7"/>
  <c r="I508"/>
  <c r="K508"/>
  <c r="M508"/>
  <c r="P508"/>
  <c r="K691"/>
  <c r="P691"/>
  <c r="L771"/>
  <c r="E798"/>
  <c r="F798" s="1"/>
  <c r="E1125"/>
  <c r="F1125" s="1"/>
  <c r="E1186"/>
  <c r="E1304"/>
  <c r="F1304" s="1"/>
  <c r="E1336"/>
  <c r="F1336" s="1"/>
  <c r="E1344"/>
  <c r="F1344" s="1"/>
  <c r="I1276"/>
  <c r="K1276"/>
  <c r="M1276"/>
  <c r="P1276"/>
  <c r="B1276"/>
  <c r="J6"/>
  <c r="E508"/>
  <c r="F508" s="1"/>
  <c r="E623"/>
  <c r="F623" s="1"/>
  <c r="E691"/>
  <c r="F691" s="1"/>
  <c r="H691"/>
  <c r="H6" s="1"/>
  <c r="J691"/>
  <c r="L691"/>
  <c r="L6" s="1"/>
  <c r="O691"/>
  <c r="O6" s="1"/>
  <c r="H1276"/>
  <c r="J1276"/>
  <c r="L1276"/>
  <c r="O1276"/>
  <c r="I343"/>
  <c r="I6" s="1"/>
  <c r="K343"/>
  <c r="M343"/>
  <c r="P343"/>
  <c r="K623"/>
  <c r="M623"/>
  <c r="P623"/>
  <c r="E771"/>
  <c r="F771" s="1"/>
  <c r="E916"/>
  <c r="F916" s="1"/>
  <c r="C965"/>
  <c r="C6" s="1"/>
  <c r="C5" s="1"/>
  <c r="E1035"/>
  <c r="F1035" s="1"/>
  <c r="E1108"/>
  <c r="F1108" s="1"/>
  <c r="E1168"/>
  <c r="F1168" s="1"/>
  <c r="E1171"/>
  <c r="F1171" s="1"/>
  <c r="E1177"/>
  <c r="F1177" s="1"/>
  <c r="E1181"/>
  <c r="F1181" s="1"/>
  <c r="E1220"/>
  <c r="F1220" s="1"/>
  <c r="D1231"/>
  <c r="E1231" s="1"/>
  <c r="F1231" s="1"/>
  <c r="E1238"/>
  <c r="F1238" s="1"/>
  <c r="E1277"/>
  <c r="F1277" s="1"/>
  <c r="E1278"/>
  <c r="F1278" s="1"/>
  <c r="E1285"/>
  <c r="F1285" s="1"/>
  <c r="E1293"/>
  <c r="F1293" s="1"/>
  <c r="E1301"/>
  <c r="F1301" s="1"/>
  <c r="E1313"/>
  <c r="F1313" s="1"/>
  <c r="C1328"/>
  <c r="E1328" s="1"/>
  <c r="F1328" s="1"/>
  <c r="E1337"/>
  <c r="F1337" s="1"/>
  <c r="E1345"/>
  <c r="F1345" s="1"/>
  <c r="E1353"/>
  <c r="F1353" s="1"/>
  <c r="D1276"/>
  <c r="E1364"/>
  <c r="F1364" s="1"/>
  <c r="K771"/>
  <c r="M771"/>
  <c r="P771"/>
  <c r="E1167"/>
  <c r="F1167" s="1"/>
  <c r="C1248"/>
  <c r="E1248" s="1"/>
  <c r="E1312"/>
  <c r="F1312" s="1"/>
  <c r="F241"/>
  <c r="M6" l="1"/>
  <c r="P6"/>
  <c r="K6"/>
  <c r="C1276"/>
  <c r="E1276" s="1"/>
  <c r="F1276" s="1"/>
  <c r="E965"/>
  <c r="F965" l="1"/>
  <c r="E6"/>
  <c r="B51" i="7"/>
  <c r="B48"/>
  <c r="B45"/>
  <c r="B39"/>
  <c r="B34"/>
  <c r="B31"/>
  <c r="B27"/>
  <c r="B24"/>
  <c r="B13"/>
  <c r="B8"/>
  <c r="E183" i="4"/>
  <c r="E182"/>
  <c r="E181"/>
  <c r="E180"/>
  <c r="E179"/>
  <c r="E175"/>
  <c r="E174"/>
  <c r="E173"/>
  <c r="E171"/>
  <c r="E168"/>
  <c r="E167"/>
  <c r="E165"/>
  <c r="E164"/>
  <c r="E162"/>
  <c r="E161"/>
  <c r="E160"/>
  <c r="E159"/>
  <c r="E158"/>
  <c r="E157"/>
  <c r="E155"/>
  <c r="E154"/>
  <c r="E153"/>
  <c r="E151"/>
  <c r="E150"/>
  <c r="E149"/>
  <c r="E148"/>
  <c r="E147"/>
  <c r="E146"/>
  <c r="E145"/>
  <c r="E144"/>
  <c r="E143"/>
  <c r="E142"/>
  <c r="E141"/>
  <c r="E140"/>
  <c r="E139"/>
  <c r="E138"/>
  <c r="E137"/>
  <c r="E136"/>
  <c r="E135"/>
  <c r="E133"/>
  <c r="E132"/>
  <c r="E131"/>
  <c r="E130"/>
  <c r="E129"/>
  <c r="E128"/>
  <c r="E127"/>
  <c r="E126"/>
  <c r="E125"/>
  <c r="E124"/>
  <c r="E123"/>
  <c r="E122"/>
  <c r="E121"/>
  <c r="E119"/>
  <c r="E118"/>
  <c r="E117"/>
  <c r="E116"/>
  <c r="E115"/>
  <c r="E112"/>
  <c r="E111"/>
  <c r="E110"/>
  <c r="E109"/>
  <c r="E108"/>
  <c r="E106"/>
  <c r="E105"/>
  <c r="E104"/>
  <c r="E103"/>
  <c r="E102"/>
  <c r="E101"/>
  <c r="E100"/>
  <c r="E99"/>
  <c r="E98"/>
  <c r="E97"/>
  <c r="E96"/>
  <c r="E95"/>
  <c r="E94"/>
  <c r="E93"/>
  <c r="E92"/>
  <c r="E90"/>
  <c r="E89"/>
  <c r="E88"/>
  <c r="E87"/>
  <c r="E86"/>
  <c r="E85"/>
  <c r="E84"/>
  <c r="E83"/>
  <c r="E82"/>
  <c r="E81"/>
  <c r="E80"/>
  <c r="E79"/>
  <c r="E78"/>
  <c r="E77"/>
  <c r="E76"/>
  <c r="E75"/>
  <c r="E74"/>
  <c r="E73"/>
  <c r="E72"/>
  <c r="E71"/>
  <c r="E70"/>
  <c r="E69"/>
  <c r="E68"/>
  <c r="E67"/>
  <c r="E66"/>
  <c r="E65"/>
  <c r="E64"/>
  <c r="E63"/>
  <c r="E62"/>
  <c r="E61"/>
  <c r="E60"/>
  <c r="E59"/>
  <c r="E58"/>
  <c r="E57"/>
  <c r="E56"/>
  <c r="E55"/>
  <c r="E54"/>
  <c r="E53"/>
  <c r="E52"/>
  <c r="E51"/>
  <c r="E48"/>
  <c r="E47"/>
  <c r="E46"/>
  <c r="E45"/>
  <c r="E44"/>
  <c r="E42"/>
  <c r="E41"/>
  <c r="E40"/>
  <c r="E39"/>
  <c r="E38"/>
  <c r="E37"/>
  <c r="E36"/>
  <c r="E35"/>
  <c r="E34"/>
  <c r="E33"/>
  <c r="E32"/>
  <c r="E29"/>
  <c r="E28"/>
  <c r="E27"/>
  <c r="E26"/>
  <c r="E25"/>
  <c r="E24"/>
  <c r="E23"/>
  <c r="E22"/>
  <c r="E20"/>
  <c r="E19"/>
  <c r="E18"/>
  <c r="E17"/>
  <c r="E16"/>
  <c r="E15"/>
  <c r="E14"/>
  <c r="E13"/>
  <c r="E12"/>
  <c r="E11"/>
  <c r="E10"/>
  <c r="E9"/>
  <c r="E8"/>
  <c r="E7"/>
  <c r="E6"/>
  <c r="E5"/>
  <c r="K71" i="5"/>
  <c r="G71"/>
  <c r="J71" s="1"/>
  <c r="F71"/>
  <c r="D71"/>
  <c r="C71"/>
  <c r="K70"/>
  <c r="C70" s="1"/>
  <c r="G70"/>
  <c r="J70" s="1"/>
  <c r="F70"/>
  <c r="G69"/>
  <c r="J68"/>
  <c r="I68"/>
  <c r="H68"/>
  <c r="F68"/>
  <c r="C68"/>
  <c r="K67"/>
  <c r="C67" s="1"/>
  <c r="G67"/>
  <c r="I67" s="1"/>
  <c r="F67"/>
  <c r="G66"/>
  <c r="E66"/>
  <c r="D66"/>
  <c r="B66"/>
  <c r="F65"/>
  <c r="C65"/>
  <c r="F64"/>
  <c r="C64"/>
  <c r="J63"/>
  <c r="I63"/>
  <c r="H63"/>
  <c r="F63"/>
  <c r="C63"/>
  <c r="J62"/>
  <c r="I62"/>
  <c r="H62"/>
  <c r="F62"/>
  <c r="C62"/>
  <c r="K61"/>
  <c r="E61"/>
  <c r="D61"/>
  <c r="B61"/>
  <c r="I60"/>
  <c r="H60"/>
  <c r="F60"/>
  <c r="I59"/>
  <c r="H59"/>
  <c r="F59"/>
  <c r="I58"/>
  <c r="H58"/>
  <c r="F58"/>
  <c r="I57"/>
  <c r="H57"/>
  <c r="F57"/>
  <c r="I56"/>
  <c r="H56"/>
  <c r="F56"/>
  <c r="I55"/>
  <c r="H55"/>
  <c r="F55"/>
  <c r="F54"/>
  <c r="K53"/>
  <c r="G53"/>
  <c r="E53"/>
  <c r="D53"/>
  <c r="B53"/>
  <c r="J48"/>
  <c r="I48"/>
  <c r="H48"/>
  <c r="F48"/>
  <c r="K47"/>
  <c r="G47"/>
  <c r="E47"/>
  <c r="D47"/>
  <c r="B47"/>
  <c r="F46"/>
  <c r="C46"/>
  <c r="J44"/>
  <c r="I44"/>
  <c r="H44"/>
  <c r="F44"/>
  <c r="J43"/>
  <c r="I43"/>
  <c r="H43"/>
  <c r="F43"/>
  <c r="C43"/>
  <c r="J42"/>
  <c r="I42"/>
  <c r="H42"/>
  <c r="F42"/>
  <c r="C42"/>
  <c r="J40"/>
  <c r="I40"/>
  <c r="H40"/>
  <c r="J39"/>
  <c r="I39"/>
  <c r="H39"/>
  <c r="I37"/>
  <c r="H37"/>
  <c r="J36"/>
  <c r="I36"/>
  <c r="H36"/>
  <c r="F36"/>
  <c r="C36"/>
  <c r="K35"/>
  <c r="G35"/>
  <c r="E35"/>
  <c r="D35"/>
  <c r="B35"/>
  <c r="C35" s="1"/>
  <c r="J34"/>
  <c r="I34"/>
  <c r="F34"/>
  <c r="C34"/>
  <c r="J32"/>
  <c r="I32"/>
  <c r="F32"/>
  <c r="C32"/>
  <c r="F31"/>
  <c r="C31"/>
  <c r="J30"/>
  <c r="I30"/>
  <c r="H30"/>
  <c r="F30"/>
  <c r="C30"/>
  <c r="J29"/>
  <c r="I29"/>
  <c r="H29"/>
  <c r="F29"/>
  <c r="C29"/>
  <c r="J28"/>
  <c r="I28"/>
  <c r="H28"/>
  <c r="F28"/>
  <c r="J27"/>
  <c r="I27"/>
  <c r="H27"/>
  <c r="F27"/>
  <c r="J26"/>
  <c r="I26"/>
  <c r="H26"/>
  <c r="F26"/>
  <c r="J25"/>
  <c r="I25"/>
  <c r="H25"/>
  <c r="F25"/>
  <c r="J24"/>
  <c r="I24"/>
  <c r="H24"/>
  <c r="F24"/>
  <c r="C24"/>
  <c r="J23"/>
  <c r="I23"/>
  <c r="H23"/>
  <c r="F23"/>
  <c r="C23"/>
  <c r="K22"/>
  <c r="G22"/>
  <c r="G65" s="1"/>
  <c r="E22"/>
  <c r="D22"/>
  <c r="B22"/>
  <c r="C22" s="1"/>
  <c r="J21"/>
  <c r="I21"/>
  <c r="H21"/>
  <c r="F21"/>
  <c r="C21"/>
  <c r="J20"/>
  <c r="F20"/>
  <c r="C20"/>
  <c r="J19"/>
  <c r="I19"/>
  <c r="H19"/>
  <c r="F19"/>
  <c r="C19"/>
  <c r="J18"/>
  <c r="I18"/>
  <c r="H18"/>
  <c r="F18"/>
  <c r="C18"/>
  <c r="J17"/>
  <c r="I17"/>
  <c r="H17"/>
  <c r="F17"/>
  <c r="C17"/>
  <c r="J16"/>
  <c r="I16"/>
  <c r="H16"/>
  <c r="F16"/>
  <c r="C16"/>
  <c r="J15"/>
  <c r="I15"/>
  <c r="H15"/>
  <c r="F15"/>
  <c r="C15"/>
  <c r="J14"/>
  <c r="I14"/>
  <c r="H14"/>
  <c r="F14"/>
  <c r="C14"/>
  <c r="J13"/>
  <c r="I13"/>
  <c r="H13"/>
  <c r="F13"/>
  <c r="C13"/>
  <c r="J12"/>
  <c r="I12"/>
  <c r="H12"/>
  <c r="F12"/>
  <c r="C12"/>
  <c r="J11"/>
  <c r="I11"/>
  <c r="H11"/>
  <c r="F11"/>
  <c r="C11"/>
  <c r="J10"/>
  <c r="F10"/>
  <c r="C10"/>
  <c r="J9"/>
  <c r="I9"/>
  <c r="H9"/>
  <c r="F9"/>
  <c r="C9"/>
  <c r="J8"/>
  <c r="I8"/>
  <c r="H8"/>
  <c r="F8"/>
  <c r="C8"/>
  <c r="K7"/>
  <c r="K6" s="1"/>
  <c r="G7"/>
  <c r="G64" s="1"/>
  <c r="E7"/>
  <c r="D7"/>
  <c r="B7"/>
  <c r="C7" s="1"/>
  <c r="D6"/>
  <c r="I35" l="1"/>
  <c r="I47"/>
  <c r="C61"/>
  <c r="K66"/>
  <c r="K72" s="1"/>
  <c r="B6"/>
  <c r="C6" s="1"/>
  <c r="G6"/>
  <c r="J6" s="1"/>
  <c r="F7"/>
  <c r="F22"/>
  <c r="F35"/>
  <c r="F47"/>
  <c r="J53"/>
  <c r="F66"/>
  <c r="F53"/>
  <c r="F61"/>
  <c r="B72"/>
  <c r="J66"/>
  <c r="E5" i="1"/>
  <c r="F5" s="1"/>
  <c r="F6"/>
  <c r="E6" i="5"/>
  <c r="F6" s="1"/>
  <c r="D72"/>
  <c r="I64"/>
  <c r="J64"/>
  <c r="H64"/>
  <c r="G61"/>
  <c r="I65"/>
  <c r="J65"/>
  <c r="H65"/>
  <c r="I7"/>
  <c r="H22"/>
  <c r="J22"/>
  <c r="H35"/>
  <c r="J35"/>
  <c r="H47"/>
  <c r="J47"/>
  <c r="I53"/>
  <c r="I66"/>
  <c r="H67"/>
  <c r="J67"/>
  <c r="I70"/>
  <c r="I71"/>
  <c r="G72"/>
  <c r="H7"/>
  <c r="J7"/>
  <c r="I22"/>
  <c r="H53"/>
  <c r="H66"/>
  <c r="H70"/>
  <c r="H71"/>
  <c r="C72" l="1"/>
  <c r="C66"/>
  <c r="H6"/>
  <c r="E72"/>
  <c r="F72" s="1"/>
  <c r="I6"/>
  <c r="J72"/>
  <c r="H72"/>
  <c r="I72"/>
  <c r="J61"/>
  <c r="H61"/>
  <c r="I61"/>
  <c r="F44" i="8" l="1"/>
  <c r="E44"/>
  <c r="C44"/>
  <c r="B44"/>
  <c r="E40"/>
  <c r="C40"/>
  <c r="B40"/>
  <c r="F36"/>
  <c r="E36"/>
  <c r="C36"/>
  <c r="B36"/>
  <c r="B18"/>
  <c r="B13"/>
  <c r="C12"/>
  <c r="C9"/>
  <c r="K71" i="2"/>
  <c r="I71"/>
  <c r="K70"/>
  <c r="I70"/>
  <c r="K69"/>
  <c r="I69"/>
  <c r="I68"/>
  <c r="K67"/>
  <c r="I67"/>
  <c r="I65"/>
  <c r="K64"/>
  <c r="I64"/>
  <c r="I63"/>
  <c r="I62"/>
  <c r="K61"/>
  <c r="I61"/>
  <c r="I60"/>
  <c r="I59"/>
  <c r="I58"/>
  <c r="I57"/>
  <c r="I56"/>
  <c r="I55"/>
  <c r="K54"/>
  <c r="I54"/>
  <c r="K53"/>
  <c r="I48"/>
  <c r="I47" s="1"/>
  <c r="K47"/>
  <c r="I46"/>
  <c r="I45"/>
  <c r="I44"/>
  <c r="I43"/>
  <c r="I42"/>
  <c r="I41"/>
  <c r="I40"/>
  <c r="I39"/>
  <c r="I38"/>
  <c r="I37"/>
  <c r="I36"/>
  <c r="K35"/>
  <c r="I34"/>
  <c r="I33"/>
  <c r="I32"/>
  <c r="I31"/>
  <c r="I30"/>
  <c r="I29"/>
  <c r="I28"/>
  <c r="I27"/>
  <c r="I26"/>
  <c r="I25"/>
  <c r="I24"/>
  <c r="I23"/>
  <c r="I22" s="1"/>
  <c r="K22"/>
  <c r="I21"/>
  <c r="I20"/>
  <c r="I19"/>
  <c r="I18"/>
  <c r="I17"/>
  <c r="I16"/>
  <c r="I15"/>
  <c r="I14"/>
  <c r="I13"/>
  <c r="I12"/>
  <c r="I11"/>
  <c r="I10"/>
  <c r="I9"/>
  <c r="I8"/>
  <c r="K7"/>
  <c r="K6" s="1"/>
  <c r="I66" l="1"/>
  <c r="I35"/>
  <c r="I7"/>
  <c r="C31" i="8"/>
  <c r="I53" i="2"/>
  <c r="B12" i="8"/>
  <c r="I72" i="2"/>
  <c r="K66"/>
  <c r="K72" s="1"/>
  <c r="B31" i="8"/>
  <c r="I6" i="2"/>
</calcChain>
</file>

<file path=xl/sharedStrings.xml><?xml version="1.0" encoding="utf-8"?>
<sst xmlns="http://schemas.openxmlformats.org/spreadsheetml/2006/main" count="1994" uniqueCount="1441">
  <si>
    <t>单位：万元</t>
    <phoneticPr fontId="4" type="noConversion"/>
  </si>
  <si>
    <t>项          目</t>
    <phoneticPr fontId="4" type="noConversion"/>
  </si>
  <si>
    <r>
      <t>2014</t>
    </r>
    <r>
      <rPr>
        <sz val="11"/>
        <rFont val="宋体"/>
        <family val="3"/>
        <charset val="134"/>
      </rPr>
      <t>年初区本级预算数</t>
    </r>
    <phoneticPr fontId="4" type="noConversion"/>
  </si>
  <si>
    <r>
      <t>2014</t>
    </r>
    <r>
      <rPr>
        <sz val="11"/>
        <rFont val="宋体"/>
        <family val="3"/>
        <charset val="134"/>
      </rPr>
      <t>年初县本级预算数</t>
    </r>
    <phoneticPr fontId="4" type="noConversion"/>
  </si>
  <si>
    <r>
      <t>2014</t>
    </r>
    <r>
      <rPr>
        <sz val="11"/>
        <rFont val="宋体"/>
        <family val="3"/>
        <charset val="134"/>
      </rPr>
      <t>年初乡镇预算数</t>
    </r>
    <phoneticPr fontId="4" type="noConversion"/>
  </si>
  <si>
    <r>
      <t>2014</t>
    </r>
    <r>
      <rPr>
        <sz val="11"/>
        <color indexed="10"/>
        <rFont val="宋体"/>
        <family val="3"/>
        <charset val="134"/>
      </rPr>
      <t>年追加区本级预算</t>
    </r>
    <phoneticPr fontId="4" type="noConversion"/>
  </si>
  <si>
    <r>
      <t>2014</t>
    </r>
    <r>
      <rPr>
        <sz val="11"/>
        <color indexed="10"/>
        <rFont val="宋体"/>
        <family val="3"/>
        <charset val="134"/>
      </rPr>
      <t>年追加县本级预算</t>
    </r>
    <phoneticPr fontId="4" type="noConversion"/>
  </si>
  <si>
    <r>
      <t>2014</t>
    </r>
    <r>
      <rPr>
        <sz val="11"/>
        <rFont val="宋体"/>
        <family val="3"/>
        <charset val="134"/>
      </rPr>
      <t>年追加乡镇预算</t>
    </r>
    <phoneticPr fontId="4" type="noConversion"/>
  </si>
  <si>
    <t>其中政府债券安排</t>
    <phoneticPr fontId="4" type="noConversion"/>
  </si>
  <si>
    <t>一、全区公共财政预算支出合计</t>
    <phoneticPr fontId="4" type="noConversion"/>
  </si>
  <si>
    <t>1、区本级公共财政预算支出合计</t>
    <phoneticPr fontId="4" type="noConversion"/>
  </si>
  <si>
    <t xml:space="preserve">  一般公共服务支出</t>
  </si>
  <si>
    <t xml:space="preserve">    人大事务</t>
  </si>
  <si>
    <t xml:space="preserve">      行政运行</t>
  </si>
  <si>
    <t xml:space="preserve">      一般行政管理事务</t>
  </si>
  <si>
    <t xml:space="preserve">      机关服务</t>
  </si>
  <si>
    <t xml:space="preserve">      人大会议</t>
  </si>
  <si>
    <t xml:space="preserve">      人大立法</t>
  </si>
  <si>
    <t xml:space="preserve">      人大监督</t>
  </si>
  <si>
    <t xml:space="preserve">      人大代表履职能力提升</t>
  </si>
  <si>
    <t xml:space="preserve">      代表工作</t>
  </si>
  <si>
    <t xml:space="preserve">      人大信访工作</t>
  </si>
  <si>
    <t xml:space="preserve">      事业运行</t>
  </si>
  <si>
    <t xml:space="preserve">      其他人大事务支出</t>
  </si>
  <si>
    <t xml:space="preserve">    政协事务</t>
  </si>
  <si>
    <t xml:space="preserve">      政协会议</t>
  </si>
  <si>
    <t xml:space="preserve">      委员视察</t>
  </si>
  <si>
    <t xml:space="preserve">      参政议政</t>
  </si>
  <si>
    <t xml:space="preserve">      其他政协事务支出</t>
  </si>
  <si>
    <t xml:space="preserve">    政府办公厅(室)及相关机构事务</t>
    <phoneticPr fontId="4" type="noConversion"/>
  </si>
  <si>
    <t xml:space="preserve">      专项服务</t>
  </si>
  <si>
    <t xml:space="preserve">      专项业务活动</t>
  </si>
  <si>
    <t xml:space="preserve">      政务公开审批</t>
  </si>
  <si>
    <t xml:space="preserve">      法制建设</t>
  </si>
  <si>
    <t xml:space="preserve">      信访事务</t>
  </si>
  <si>
    <t xml:space="preserve">      参事事务</t>
  </si>
  <si>
    <t xml:space="preserve">      其他政府办公厅(室)及相关机构事务支出</t>
  </si>
  <si>
    <t xml:space="preserve">    发展与改革事务</t>
  </si>
  <si>
    <t xml:space="preserve">      战略规划与实施</t>
  </si>
  <si>
    <t xml:space="preserve">      日常经济运行调节</t>
  </si>
  <si>
    <t xml:space="preserve">      社会事业发展规划</t>
  </si>
  <si>
    <t xml:space="preserve">      经济体制改革研究</t>
  </si>
  <si>
    <t xml:space="preserve">      物价管理</t>
  </si>
  <si>
    <t xml:space="preserve">      其他发展与改革事务支出</t>
  </si>
  <si>
    <t xml:space="preserve">    统计信息事务</t>
  </si>
  <si>
    <t xml:space="preserve">      信息事务</t>
  </si>
  <si>
    <t xml:space="preserve">      专项统计业务</t>
  </si>
  <si>
    <t xml:space="preserve">      统计管理</t>
  </si>
  <si>
    <t xml:space="preserve">      专项普查活动</t>
  </si>
  <si>
    <t xml:space="preserve">      统计抽样调查</t>
  </si>
  <si>
    <t xml:space="preserve">      其他统计信息事务支出</t>
  </si>
  <si>
    <t xml:space="preserve">    财政事务</t>
  </si>
  <si>
    <t xml:space="preserve">      预算改革业务</t>
  </si>
  <si>
    <t xml:space="preserve">      财政国库业务</t>
  </si>
  <si>
    <t xml:space="preserve">      财政监察</t>
  </si>
  <si>
    <t xml:space="preserve">      信息化建设</t>
  </si>
  <si>
    <t xml:space="preserve">      财政委托业务支出</t>
  </si>
  <si>
    <t xml:space="preserve">      其他财政事务支出</t>
  </si>
  <si>
    <t xml:space="preserve">    税收事务</t>
  </si>
  <si>
    <t xml:space="preserve">      税务办案</t>
  </si>
  <si>
    <t xml:space="preserve">      税务登记证及发票管理</t>
  </si>
  <si>
    <t xml:space="preserve">      代扣代收代征税款手续费</t>
  </si>
  <si>
    <t xml:space="preserve">      税务宣传</t>
  </si>
  <si>
    <t xml:space="preserve">      协税护税</t>
  </si>
  <si>
    <t xml:space="preserve">      其他税收事务支出</t>
  </si>
  <si>
    <t xml:space="preserve">    审计事务</t>
  </si>
  <si>
    <t xml:space="preserve">      审计业务</t>
  </si>
  <si>
    <t xml:space="preserve">      审计管理</t>
  </si>
  <si>
    <t xml:space="preserve">      其他审计事务支出</t>
  </si>
  <si>
    <t xml:space="preserve">    海关事务</t>
  </si>
  <si>
    <t xml:space="preserve">      收费业务</t>
  </si>
  <si>
    <t xml:space="preserve">      缉私办案</t>
  </si>
  <si>
    <t xml:space="preserve">      口岸电子执法系统建设与维护</t>
  </si>
  <si>
    <t xml:space="preserve">      其他海关事务支出</t>
  </si>
  <si>
    <t xml:space="preserve">    人力资源事务</t>
  </si>
  <si>
    <t xml:space="preserve">      政府特殊津贴</t>
  </si>
  <si>
    <t xml:space="preserve">      资助留学回国人员</t>
  </si>
  <si>
    <t xml:space="preserve">      军队转业干部安置</t>
  </si>
  <si>
    <t xml:space="preserve">      博士后日常经费</t>
  </si>
  <si>
    <t xml:space="preserve">      引进人才费用</t>
  </si>
  <si>
    <t xml:space="preserve">      公务员考核</t>
  </si>
  <si>
    <t xml:space="preserve">      公务员履职能力提升</t>
  </si>
  <si>
    <t xml:space="preserve">      公务员招考</t>
  </si>
  <si>
    <t xml:space="preserve">      公务员综合管理</t>
  </si>
  <si>
    <t xml:space="preserve">      其他人事事务支出</t>
  </si>
  <si>
    <t xml:space="preserve">    纪检监察事务</t>
  </si>
  <si>
    <t xml:space="preserve">      大案要案查处</t>
  </si>
  <si>
    <t xml:space="preserve">      派驻派出机构</t>
  </si>
  <si>
    <t xml:space="preserve">      中央巡视</t>
  </si>
  <si>
    <t xml:space="preserve">      其他纪检监察事务支出</t>
  </si>
  <si>
    <t xml:space="preserve">    商贸事务</t>
  </si>
  <si>
    <t xml:space="preserve">      对外贸易管理</t>
  </si>
  <si>
    <t xml:space="preserve">      国际经济合作</t>
  </si>
  <si>
    <t xml:space="preserve">      外资管理</t>
  </si>
  <si>
    <t xml:space="preserve">      国内贸易管理</t>
  </si>
  <si>
    <t xml:space="preserve">      招商引资</t>
  </si>
  <si>
    <t xml:space="preserve">      其他商贸事务支出</t>
  </si>
  <si>
    <t xml:space="preserve">    工商行政管理事务</t>
  </si>
  <si>
    <t xml:space="preserve">      工商行政管理专项</t>
  </si>
  <si>
    <t xml:space="preserve">      执法办案专项</t>
  </si>
  <si>
    <t xml:space="preserve">      消费者权益保护</t>
  </si>
  <si>
    <t xml:space="preserve">      其他工商行政管理事务支出</t>
  </si>
  <si>
    <t xml:space="preserve">    质量技术监督与检验检疫事务</t>
  </si>
  <si>
    <t xml:space="preserve">      出入境检验检疫行政执法和业务管理</t>
  </si>
  <si>
    <t xml:space="preserve">      出入境检验检疫技术支持</t>
  </si>
  <si>
    <t xml:space="preserve">      质量技术监督行政执法及业务管理</t>
  </si>
  <si>
    <t xml:space="preserve">      质量技术监督技术支持</t>
  </si>
  <si>
    <t xml:space="preserve">      认证认可监督管理</t>
  </si>
  <si>
    <t xml:space="preserve">      标准化管理 </t>
  </si>
  <si>
    <t xml:space="preserve">      其他质量技术监督与检验检疫事务支出</t>
  </si>
  <si>
    <t xml:space="preserve">    民族事务</t>
  </si>
  <si>
    <t xml:space="preserve">      民族工作专项</t>
  </si>
  <si>
    <t xml:space="preserve">      其他民族事务支出</t>
  </si>
  <si>
    <t xml:space="preserve">    宗教事务</t>
  </si>
  <si>
    <t xml:space="preserve">      宗教工作专项</t>
  </si>
  <si>
    <t xml:space="preserve">      其他宗教事务支出</t>
  </si>
  <si>
    <t xml:space="preserve">    港澳台侨事务</t>
  </si>
  <si>
    <t xml:space="preserve">      港澳事务</t>
  </si>
  <si>
    <t xml:space="preserve">      台湾事务</t>
  </si>
  <si>
    <t xml:space="preserve">      华侨事务</t>
  </si>
  <si>
    <t xml:space="preserve">      其他港澳台侨事务支出</t>
  </si>
  <si>
    <t xml:space="preserve">    档案事务</t>
  </si>
  <si>
    <t xml:space="preserve">      档案馆</t>
  </si>
  <si>
    <t xml:space="preserve">      其他档案事务支出</t>
  </si>
  <si>
    <t xml:space="preserve">    民主党派及工商联事务</t>
  </si>
  <si>
    <t xml:space="preserve">      其他民主党派及工商联事务支出</t>
  </si>
  <si>
    <t xml:space="preserve">    群众团体事务</t>
  </si>
  <si>
    <t xml:space="preserve">      厂务公开</t>
  </si>
  <si>
    <t xml:space="preserve">      工会疗养休养</t>
  </si>
  <si>
    <t xml:space="preserve">      其他群众团体事务支出</t>
  </si>
  <si>
    <t xml:space="preserve">    党委办公厅（室）及相关机构事务</t>
  </si>
  <si>
    <t xml:space="preserve">      专项业务</t>
  </si>
  <si>
    <t xml:space="preserve">      其他党委办公厅（室）及相关机构事务支出</t>
  </si>
  <si>
    <t xml:space="preserve">    组织事务</t>
  </si>
  <si>
    <t xml:space="preserve">      其他组织事务支出</t>
  </si>
  <si>
    <t xml:space="preserve">    宣传事务</t>
  </si>
  <si>
    <t xml:space="preserve">      其他宣传事务支出</t>
  </si>
  <si>
    <t xml:space="preserve">    统战事务</t>
  </si>
  <si>
    <t xml:space="preserve">      其他统战事务支出</t>
  </si>
  <si>
    <t xml:space="preserve">    其他共产党事务支出</t>
  </si>
  <si>
    <t xml:space="preserve">      其他共产党事务支出</t>
  </si>
  <si>
    <t xml:space="preserve">    其他一般公共服务支出(款)</t>
  </si>
  <si>
    <t xml:space="preserve">      国家赔偿费用支出</t>
  </si>
  <si>
    <t xml:space="preserve">      其他一般公共服务支出(项)</t>
  </si>
  <si>
    <t xml:space="preserve">  国防支出</t>
  </si>
  <si>
    <t xml:space="preserve">    现役部队</t>
    <phoneticPr fontId="4" type="noConversion"/>
  </si>
  <si>
    <t xml:space="preserve">      现役部队（项）</t>
  </si>
  <si>
    <t xml:space="preserve">    国防科研事业(款)</t>
  </si>
  <si>
    <t xml:space="preserve">      国防科研事业（项）</t>
  </si>
  <si>
    <t xml:space="preserve">    专项工程（款）</t>
  </si>
  <si>
    <t xml:space="preserve">      专项工程（项）</t>
  </si>
  <si>
    <t xml:space="preserve">    国防动员</t>
  </si>
  <si>
    <t xml:space="preserve">      兵役征集</t>
  </si>
  <si>
    <t xml:space="preserve">      经济动员</t>
  </si>
  <si>
    <t xml:space="preserve">      人民防空</t>
  </si>
  <si>
    <t xml:space="preserve">      交通战备</t>
  </si>
  <si>
    <t xml:space="preserve">      国防教育</t>
  </si>
  <si>
    <t xml:space="preserve">      预备役部队</t>
  </si>
  <si>
    <t xml:space="preserve">      民兵</t>
  </si>
  <si>
    <t xml:space="preserve">      其他国防动员支出</t>
  </si>
  <si>
    <t xml:space="preserve">    其他国防支出</t>
    <phoneticPr fontId="4" type="noConversion"/>
  </si>
  <si>
    <t xml:space="preserve">      其他国防支出(项)</t>
  </si>
  <si>
    <t xml:space="preserve">  公共安全支出</t>
  </si>
  <si>
    <t xml:space="preserve">    武装警察</t>
  </si>
  <si>
    <t xml:space="preserve">      内卫</t>
  </si>
  <si>
    <t xml:space="preserve">      边防</t>
  </si>
  <si>
    <t xml:space="preserve">      消防</t>
  </si>
  <si>
    <t xml:space="preserve">      警卫</t>
  </si>
  <si>
    <t xml:space="preserve">      黄金</t>
  </si>
  <si>
    <t xml:space="preserve">      森林</t>
  </si>
  <si>
    <t xml:space="preserve">      水电</t>
  </si>
  <si>
    <t xml:space="preserve">      海警</t>
    <phoneticPr fontId="4" type="noConversion"/>
  </si>
  <si>
    <t xml:space="preserve">      其他武装警察支出</t>
  </si>
  <si>
    <t xml:space="preserve">    公安</t>
  </si>
  <si>
    <t xml:space="preserve">      治安管理</t>
  </si>
  <si>
    <t xml:space="preserve">      国内安全保卫</t>
  </si>
  <si>
    <t xml:space="preserve">      刑事侦查</t>
  </si>
  <si>
    <t xml:space="preserve">      经济犯罪侦查</t>
  </si>
  <si>
    <t xml:space="preserve">      出入境管理</t>
  </si>
  <si>
    <t xml:space="preserve">      行动技术管理</t>
  </si>
  <si>
    <t xml:space="preserve">      防范和处理邪教犯罪</t>
  </si>
  <si>
    <t xml:space="preserve">      禁毒管理</t>
  </si>
  <si>
    <t xml:space="preserve">      道路交通管理</t>
  </si>
  <si>
    <t xml:space="preserve">      网络侦控管理</t>
  </si>
  <si>
    <t xml:space="preserve">      反恐怖</t>
  </si>
  <si>
    <t xml:space="preserve">      居民身份证管理</t>
  </si>
  <si>
    <t xml:space="preserve">      网络运行及维护</t>
  </si>
  <si>
    <t xml:space="preserve">      拘押收教场所管理</t>
  </si>
  <si>
    <t xml:space="preserve">      警犬繁育及训养</t>
  </si>
  <si>
    <t xml:space="preserve">      其他公安支出</t>
  </si>
  <si>
    <t xml:space="preserve">    国家安全</t>
  </si>
  <si>
    <t xml:space="preserve">      安全业务</t>
  </si>
  <si>
    <t xml:space="preserve">      其他国家安全支出</t>
  </si>
  <si>
    <t xml:space="preserve">    检察</t>
  </si>
  <si>
    <t xml:space="preserve">      查办和预防职务犯罪</t>
  </si>
  <si>
    <t xml:space="preserve">      公诉和审判监督</t>
  </si>
  <si>
    <t xml:space="preserve">      侦查监督</t>
  </si>
  <si>
    <t xml:space="preserve">      执行监督</t>
  </si>
  <si>
    <t xml:space="preserve">      控告申诉</t>
  </si>
  <si>
    <t xml:space="preserve">      “两房”建设</t>
  </si>
  <si>
    <t xml:space="preserve">      其他检察支出</t>
  </si>
  <si>
    <t xml:space="preserve">    法院</t>
  </si>
  <si>
    <t xml:space="preserve">      案件审判</t>
  </si>
  <si>
    <t xml:space="preserve">      案件执行</t>
  </si>
  <si>
    <t xml:space="preserve">      “两庭”建设</t>
  </si>
  <si>
    <t xml:space="preserve">      其他法院支出</t>
  </si>
  <si>
    <t xml:space="preserve">    司法</t>
  </si>
  <si>
    <t xml:space="preserve">      基层司法业务</t>
  </si>
  <si>
    <t xml:space="preserve">      普法宣传</t>
  </si>
  <si>
    <t xml:space="preserve">      律师公证管理</t>
  </si>
  <si>
    <t xml:space="preserve">      法律援助</t>
  </si>
  <si>
    <t xml:space="preserve">      司法统一考试</t>
  </si>
  <si>
    <t xml:space="preserve">      仲裁</t>
  </si>
  <si>
    <t xml:space="preserve">      其他司法支出</t>
  </si>
  <si>
    <t xml:space="preserve">    国家保密</t>
  </si>
  <si>
    <t xml:space="preserve">      保密技术</t>
  </si>
  <si>
    <t xml:space="preserve">      保密管理</t>
  </si>
  <si>
    <t xml:space="preserve">      其他国家保密支出</t>
  </si>
  <si>
    <t xml:space="preserve">    其他公共安全支出</t>
    <phoneticPr fontId="4" type="noConversion"/>
  </si>
  <si>
    <t xml:space="preserve">      其他公共安全支出(项)</t>
  </si>
  <si>
    <t xml:space="preserve">      其他消防</t>
  </si>
  <si>
    <t xml:space="preserve">  教育支出</t>
  </si>
  <si>
    <t xml:space="preserve">    教育管理事务</t>
  </si>
  <si>
    <t xml:space="preserve">      其他教育管理事务支出</t>
  </si>
  <si>
    <t xml:space="preserve">    普通教育</t>
  </si>
  <si>
    <t xml:space="preserve">      学前教育</t>
  </si>
  <si>
    <t xml:space="preserve">      小学教育</t>
  </si>
  <si>
    <t xml:space="preserve">      初中教育</t>
  </si>
  <si>
    <t xml:space="preserve">      高中教育</t>
  </si>
  <si>
    <t xml:space="preserve">      高等教育</t>
  </si>
  <si>
    <t xml:space="preserve">      化解普通高中债务支出</t>
    <phoneticPr fontId="4" type="noConversion"/>
  </si>
  <si>
    <t xml:space="preserve">      其他普通教育支出</t>
  </si>
  <si>
    <t xml:space="preserve">    职业教育</t>
  </si>
  <si>
    <t xml:space="preserve">      初等职业教育</t>
  </si>
  <si>
    <t xml:space="preserve">      中专教育</t>
  </si>
  <si>
    <t xml:space="preserve">      技校教育</t>
  </si>
  <si>
    <t xml:space="preserve">      职业高中教育</t>
  </si>
  <si>
    <t xml:space="preserve">      高等职业教育</t>
  </si>
  <si>
    <t xml:space="preserve">      其他职业教育支出</t>
  </si>
  <si>
    <t xml:space="preserve">    成人教育</t>
  </si>
  <si>
    <t xml:space="preserve">      成人初等教育</t>
  </si>
  <si>
    <t xml:space="preserve">      成人中等教育</t>
  </si>
  <si>
    <t xml:space="preserve">      成人高等教育</t>
  </si>
  <si>
    <t xml:space="preserve">      成人广播电视教育</t>
  </si>
  <si>
    <t xml:space="preserve">      其他成人教育支出</t>
  </si>
  <si>
    <t xml:space="preserve">    广播电视教育</t>
  </si>
  <si>
    <t xml:space="preserve">      广播电视学校</t>
  </si>
  <si>
    <t xml:space="preserve">      教育电视台</t>
  </si>
  <si>
    <t xml:space="preserve">      其他广播电视教育支出</t>
  </si>
  <si>
    <t xml:space="preserve">    留学教育</t>
  </si>
  <si>
    <t xml:space="preserve">      出国留学教育</t>
  </si>
  <si>
    <t xml:space="preserve">      来华留学教育</t>
  </si>
  <si>
    <t xml:space="preserve">      其他留学教育支出</t>
  </si>
  <si>
    <t xml:space="preserve">    特殊教育</t>
  </si>
  <si>
    <t xml:space="preserve">      特殊学校教育</t>
  </si>
  <si>
    <t xml:space="preserve">      工读学校教育</t>
  </si>
  <si>
    <t xml:space="preserve">      其他特殊教育支出</t>
  </si>
  <si>
    <t xml:space="preserve">    进修及培训</t>
  </si>
  <si>
    <t xml:space="preserve">      教师进修</t>
  </si>
  <si>
    <t xml:space="preserve">      干部教育</t>
  </si>
  <si>
    <t xml:space="preserve">      培训支出</t>
  </si>
  <si>
    <t xml:space="preserve">      退役士兵能力提升</t>
  </si>
  <si>
    <t xml:space="preserve">      其他进修及培训</t>
  </si>
  <si>
    <t xml:space="preserve">    教育费附加安排的支出</t>
  </si>
  <si>
    <t xml:space="preserve">      农村中小学校舍建设</t>
  </si>
  <si>
    <t xml:space="preserve">      农村中小学教学设施</t>
  </si>
  <si>
    <t xml:space="preserve">      城市中小学校舍建设</t>
  </si>
  <si>
    <t xml:space="preserve">      城市中小学教学设施</t>
  </si>
  <si>
    <t xml:space="preserve">      中等职业学校教学设施</t>
  </si>
  <si>
    <t xml:space="preserve">      其他教育费附加安排的支出</t>
  </si>
  <si>
    <t xml:space="preserve">    其他教育支出</t>
    <phoneticPr fontId="4" type="noConversion"/>
  </si>
  <si>
    <t xml:space="preserve">      其他教育支出(项)</t>
  </si>
  <si>
    <t xml:space="preserve">  科学技术支出</t>
  </si>
  <si>
    <t xml:space="preserve">    科学技术管理事务</t>
  </si>
  <si>
    <t xml:space="preserve">      其他科学技术管理事务支出</t>
  </si>
  <si>
    <t xml:space="preserve">    基础研究</t>
  </si>
  <si>
    <t xml:space="preserve">      机构运行</t>
  </si>
  <si>
    <t xml:space="preserve">      重点基础研究规划</t>
  </si>
  <si>
    <t xml:space="preserve">      自然科学基金</t>
  </si>
  <si>
    <t xml:space="preserve">      重点实验室及相关设施</t>
  </si>
  <si>
    <t xml:space="preserve">      重大科学工程</t>
  </si>
  <si>
    <t xml:space="preserve">      专项基础科研</t>
  </si>
  <si>
    <t xml:space="preserve">      专项技术基础</t>
  </si>
  <si>
    <t xml:space="preserve">      其他基础研究支出</t>
  </si>
  <si>
    <t xml:space="preserve">    应用研究</t>
  </si>
  <si>
    <t xml:space="preserve">      社会公益研究</t>
  </si>
  <si>
    <t xml:space="preserve">      高技术研究</t>
  </si>
  <si>
    <t xml:space="preserve">      专项科研试制</t>
  </si>
  <si>
    <t xml:space="preserve">      其他应用研究支出</t>
  </si>
  <si>
    <t xml:space="preserve">    技术研究与开发</t>
  </si>
  <si>
    <t xml:space="preserve">      应用技术研究与开发</t>
  </si>
  <si>
    <t xml:space="preserve">      产业技术研究与开发</t>
  </si>
  <si>
    <t xml:space="preserve">      科技成果转化与扩散</t>
  </si>
  <si>
    <t xml:space="preserve">      其他技术研究与开发支出</t>
  </si>
  <si>
    <t xml:space="preserve">    科技条件与服务</t>
  </si>
  <si>
    <t xml:space="preserve">      技术创新服务体系</t>
  </si>
  <si>
    <t xml:space="preserve">      科技条件专项</t>
  </si>
  <si>
    <t xml:space="preserve">      其他科技条件与服务支出</t>
  </si>
  <si>
    <t xml:space="preserve">    社会科学</t>
  </si>
  <si>
    <t xml:space="preserve">      社会科学研究机构</t>
  </si>
  <si>
    <t xml:space="preserve">      社会科学研究</t>
  </si>
  <si>
    <t xml:space="preserve">      社科基金支出</t>
  </si>
  <si>
    <t xml:space="preserve">      其他社会科学支出</t>
  </si>
  <si>
    <t xml:space="preserve">    科学技术普及</t>
  </si>
  <si>
    <t xml:space="preserve">      科普活动</t>
  </si>
  <si>
    <t xml:space="preserve">      青少年科技活动</t>
  </si>
  <si>
    <t xml:space="preserve">      学术交流活动</t>
  </si>
  <si>
    <t xml:space="preserve">      科技馆站</t>
  </si>
  <si>
    <t xml:space="preserve">      其他科学技术普及支出</t>
  </si>
  <si>
    <t xml:space="preserve">    科技交流与合作</t>
  </si>
  <si>
    <t xml:space="preserve">      国际交流与合作</t>
  </si>
  <si>
    <t xml:space="preserve">      重大科技合作项目</t>
  </si>
  <si>
    <t xml:space="preserve">      其他科技交流与合作支出</t>
  </si>
  <si>
    <t xml:space="preserve">    科技重大专项</t>
  </si>
  <si>
    <t xml:space="preserve">      科技重大专项</t>
  </si>
  <si>
    <t xml:space="preserve">    其他科学技术支出</t>
  </si>
  <si>
    <t xml:space="preserve">      科技奖励</t>
  </si>
  <si>
    <t xml:space="preserve">      核应急</t>
  </si>
  <si>
    <t xml:space="preserve">      转制科研机构</t>
  </si>
  <si>
    <t xml:space="preserve">      其他科学技术支出</t>
  </si>
  <si>
    <t xml:space="preserve">  文化体育与传媒支出</t>
  </si>
  <si>
    <t xml:space="preserve">    文化</t>
  </si>
  <si>
    <t xml:space="preserve">      图书馆</t>
  </si>
  <si>
    <t xml:space="preserve">      文化展示及纪念机构</t>
  </si>
  <si>
    <t xml:space="preserve">      艺术表演场所</t>
  </si>
  <si>
    <t xml:space="preserve">      艺术表演团体</t>
  </si>
  <si>
    <t xml:space="preserve">      文化活动</t>
  </si>
  <si>
    <t xml:space="preserve">      群众文化</t>
  </si>
  <si>
    <t xml:space="preserve">      文化交流与合作</t>
  </si>
  <si>
    <t xml:space="preserve">      文化创作与保护</t>
  </si>
  <si>
    <t xml:space="preserve">      文化市场管理</t>
  </si>
  <si>
    <t xml:space="preserve">      其他文化支出</t>
  </si>
  <si>
    <t xml:space="preserve">    文物</t>
  </si>
  <si>
    <t xml:space="preserve">      文物保护</t>
  </si>
  <si>
    <t xml:space="preserve">      博物馆</t>
  </si>
  <si>
    <t xml:space="preserve">      历史名城与古迹</t>
  </si>
  <si>
    <t xml:space="preserve">      其他文物支出</t>
  </si>
  <si>
    <t xml:space="preserve">    体育</t>
  </si>
  <si>
    <t xml:space="preserve">      运动项目管理</t>
  </si>
  <si>
    <t xml:space="preserve">      体育竞赛</t>
  </si>
  <si>
    <t xml:space="preserve">      体育训练</t>
  </si>
  <si>
    <t xml:space="preserve">      体育场馆</t>
  </si>
  <si>
    <t xml:space="preserve">      群众体育</t>
  </si>
  <si>
    <t xml:space="preserve">      体育交流与合作</t>
  </si>
  <si>
    <t xml:space="preserve">      其他体育支出</t>
  </si>
  <si>
    <t xml:space="preserve">      广播</t>
  </si>
  <si>
    <t xml:space="preserve">      电视</t>
  </si>
  <si>
    <t xml:space="preserve">      电影</t>
  </si>
  <si>
    <t xml:space="preserve">      广播电视监控</t>
  </si>
  <si>
    <t xml:space="preserve">      其他广播影视支出</t>
  </si>
  <si>
    <t xml:space="preserve">      新闻通讯</t>
  </si>
  <si>
    <t xml:space="preserve">      出版发行</t>
  </si>
  <si>
    <t xml:space="preserve">      版权管理</t>
  </si>
  <si>
    <t xml:space="preserve">      出版市场管理</t>
  </si>
  <si>
    <t xml:space="preserve">      其他新闻出版支出</t>
  </si>
  <si>
    <t xml:space="preserve">    其他文化体育与传媒支出</t>
    <phoneticPr fontId="4" type="noConversion"/>
  </si>
  <si>
    <t xml:space="preserve">      宣传文化发展专项支出</t>
  </si>
  <si>
    <t xml:space="preserve">      文化产业发展专项支出</t>
  </si>
  <si>
    <t xml:space="preserve">      其他文化体育与传媒支出(项)</t>
  </si>
  <si>
    <t xml:space="preserve">  社会保障和就业支出</t>
  </si>
  <si>
    <t xml:space="preserve">    人力资源和社会保障管理事务</t>
  </si>
  <si>
    <t xml:space="preserve">      综合业务管理</t>
  </si>
  <si>
    <t xml:space="preserve">      劳动保障监察</t>
  </si>
  <si>
    <t xml:space="preserve">      就业管理事务</t>
  </si>
  <si>
    <t xml:space="preserve">      社会保险业务管理事务</t>
  </si>
  <si>
    <t xml:space="preserve">      社会保险经办机构</t>
  </si>
  <si>
    <t xml:space="preserve">      劳动关系和维权</t>
  </si>
  <si>
    <t xml:space="preserve">      公共就业服务和职业技能鉴定机构</t>
  </si>
  <si>
    <t xml:space="preserve">      劳动人事争议调节仲裁</t>
  </si>
  <si>
    <t xml:space="preserve">      其他人力资源和社会保障管理事务支出</t>
  </si>
  <si>
    <t xml:space="preserve">    民政管理事务</t>
  </si>
  <si>
    <t xml:space="preserve">      拥军优属</t>
  </si>
  <si>
    <t xml:space="preserve">      老龄事务</t>
  </si>
  <si>
    <t xml:space="preserve">      民间组织管理</t>
  </si>
  <si>
    <t xml:space="preserve">      行政区划和地名管理</t>
  </si>
  <si>
    <t xml:space="preserve">      基层政权和社区建设</t>
  </si>
  <si>
    <t xml:space="preserve">      部队供应</t>
  </si>
  <si>
    <t xml:space="preserve">      其他民政管理事务支出</t>
  </si>
  <si>
    <t xml:space="preserve">    财政对社会保险基金的补助</t>
  </si>
  <si>
    <t xml:space="preserve">      财政对基本养老保险基金的补助</t>
  </si>
  <si>
    <t xml:space="preserve">      财政对失业保险基金的补助</t>
  </si>
  <si>
    <t xml:space="preserve">      财政对基本医疗保险基金的补助</t>
  </si>
  <si>
    <t xml:space="preserve">      财政对工伤保险基金的补助</t>
  </si>
  <si>
    <t xml:space="preserve">      财政对生育保险基金的补助</t>
  </si>
  <si>
    <t xml:space="preserve">      财政对城乡居民社会养老保险基金的补助</t>
  </si>
  <si>
    <t xml:space="preserve">      财政对其他社会保险基金的补助</t>
  </si>
  <si>
    <t xml:space="preserve">    行政事业单位离退休</t>
  </si>
  <si>
    <t xml:space="preserve">      归口管理的行政单位离退休</t>
  </si>
  <si>
    <t xml:space="preserve">      事业单位离退休</t>
  </si>
  <si>
    <t xml:space="preserve">      离退休人员管理机构</t>
  </si>
  <si>
    <t xml:space="preserve">      未归口管理的行政单位离退休</t>
  </si>
  <si>
    <t xml:space="preserve">      其他行政事业单位离退休支出</t>
  </si>
  <si>
    <t xml:space="preserve">    企业改革补助</t>
  </si>
  <si>
    <t xml:space="preserve">      企业关闭破产补助</t>
  </si>
  <si>
    <t xml:space="preserve">      厂办大集体改革补助</t>
  </si>
  <si>
    <t xml:space="preserve">      其他企业改革发展补助</t>
  </si>
  <si>
    <t xml:space="preserve">    就业补助</t>
  </si>
  <si>
    <t xml:space="preserve">      扶持公共就业服务</t>
  </si>
  <si>
    <t xml:space="preserve">      职业培训补贴</t>
  </si>
  <si>
    <t xml:space="preserve">      职业介绍补贴</t>
  </si>
  <si>
    <t xml:space="preserve">      社会保险补贴</t>
  </si>
  <si>
    <t xml:space="preserve">      公益性岗位补贴</t>
  </si>
  <si>
    <t xml:space="preserve">      小额担保贷款贴息</t>
  </si>
  <si>
    <t xml:space="preserve">      补充小额贷款担保基金</t>
  </si>
  <si>
    <t xml:space="preserve">      职业技能鉴定补贴</t>
  </si>
  <si>
    <t xml:space="preserve">      特定就业政策支出</t>
  </si>
  <si>
    <t xml:space="preserve">      就业见习补贴</t>
  </si>
  <si>
    <t xml:space="preserve">      高技能人才培养补助</t>
  </si>
  <si>
    <t xml:space="preserve">      求职补贴</t>
  </si>
  <si>
    <t xml:space="preserve">      其他就业补助支出</t>
  </si>
  <si>
    <t xml:space="preserve">    抚恤</t>
  </si>
  <si>
    <t xml:space="preserve">      死亡抚恤</t>
  </si>
  <si>
    <t xml:space="preserve">      伤残抚恤</t>
  </si>
  <si>
    <t xml:space="preserve">      在乡复员、退伍军人生活补助</t>
  </si>
  <si>
    <t xml:space="preserve">      优抚事业单位支出</t>
  </si>
  <si>
    <t xml:space="preserve">      义务兵优待</t>
  </si>
  <si>
    <t xml:space="preserve">      农村籍退役士兵老年生活补助</t>
  </si>
  <si>
    <t xml:space="preserve">      其他优抚支出</t>
  </si>
  <si>
    <t xml:space="preserve">    退役安置</t>
  </si>
  <si>
    <t xml:space="preserve">      退伍士兵安置</t>
  </si>
  <si>
    <t xml:space="preserve">      军队移交政府的离退休人员安置</t>
  </si>
  <si>
    <t xml:space="preserve">      军队移交政府离退休干部管理机构</t>
  </si>
  <si>
    <t xml:space="preserve">      退役士兵管理教育</t>
  </si>
  <si>
    <t xml:space="preserve">      其他退役安置支出</t>
  </si>
  <si>
    <t xml:space="preserve">    社会福利</t>
  </si>
  <si>
    <t xml:space="preserve">      儿童福利</t>
  </si>
  <si>
    <t xml:space="preserve">      老年福利</t>
  </si>
  <si>
    <t xml:space="preserve">      假肢矫形</t>
  </si>
  <si>
    <t xml:space="preserve">      殡葬</t>
  </si>
  <si>
    <t xml:space="preserve">      社会福利事业单位</t>
  </si>
  <si>
    <t xml:space="preserve">      其他社会福利支出</t>
  </si>
  <si>
    <t xml:space="preserve">    残疾人事业</t>
  </si>
  <si>
    <t xml:space="preserve">      残疾人康复</t>
  </si>
  <si>
    <t xml:space="preserve">      残疾人就业和扶贫</t>
  </si>
  <si>
    <t xml:space="preserve">      残疾人体育</t>
  </si>
  <si>
    <t xml:space="preserve">      其他残疾人事业支出</t>
  </si>
  <si>
    <t xml:space="preserve">    自然灾害生活救助</t>
  </si>
  <si>
    <t xml:space="preserve">      中央自然灾害生活补助</t>
  </si>
  <si>
    <t xml:space="preserve">      地方自然灾害生活补助</t>
  </si>
  <si>
    <t xml:space="preserve">      自然灾害灾后重建补助</t>
  </si>
  <si>
    <t xml:space="preserve">      其他自然灾害生活救助支出</t>
  </si>
  <si>
    <t xml:space="preserve">    红十字事业</t>
  </si>
  <si>
    <t xml:space="preserve">      其他红十字事业支出</t>
  </si>
  <si>
    <t xml:space="preserve">    最低生活保障</t>
    <phoneticPr fontId="4" type="noConversion"/>
  </si>
  <si>
    <t xml:space="preserve">      城市最低生活保障金支出</t>
    <phoneticPr fontId="4" type="noConversion"/>
  </si>
  <si>
    <t xml:space="preserve">      农村最低生活保障金支出</t>
  </si>
  <si>
    <t xml:space="preserve">    临时救助</t>
    <phoneticPr fontId="4" type="noConversion"/>
  </si>
  <si>
    <t xml:space="preserve">      临时救助支出</t>
    <phoneticPr fontId="4" type="noConversion"/>
  </si>
  <si>
    <t xml:space="preserve">      流浪乞讨人员救助支出</t>
    <phoneticPr fontId="4" type="noConversion"/>
  </si>
  <si>
    <t xml:space="preserve">    特困人员供养</t>
    <phoneticPr fontId="4" type="noConversion"/>
  </si>
  <si>
    <t xml:space="preserve">      城市特困人员供养支出</t>
    <phoneticPr fontId="4" type="noConversion"/>
  </si>
  <si>
    <t xml:space="preserve">      农村五保供养</t>
  </si>
  <si>
    <t xml:space="preserve">    补充道路交通事故社会救助基金</t>
  </si>
  <si>
    <t xml:space="preserve">      交强险营业税补助基金支出</t>
  </si>
  <si>
    <t xml:space="preserve">      交强险罚款收入补助基金支出</t>
  </si>
  <si>
    <t xml:space="preserve">    其他生活救助</t>
    <phoneticPr fontId="4" type="noConversion"/>
  </si>
  <si>
    <t xml:space="preserve">      其他农村生活救助</t>
    <phoneticPr fontId="4" type="noConversion"/>
  </si>
  <si>
    <t xml:space="preserve">      其他城市生活救助</t>
    <phoneticPr fontId="4" type="noConversion"/>
  </si>
  <si>
    <t xml:space="preserve">    其他社会保障和就业支出</t>
    <phoneticPr fontId="4" type="noConversion"/>
  </si>
  <si>
    <t xml:space="preserve">      其他社会保障和就业支出（项）</t>
  </si>
  <si>
    <t xml:space="preserve">  医疗卫生与计划生育支出</t>
    <phoneticPr fontId="4" type="noConversion"/>
  </si>
  <si>
    <t xml:space="preserve">    医疗卫生与计生管理事务</t>
    <phoneticPr fontId="4" type="noConversion"/>
  </si>
  <si>
    <t xml:space="preserve">      其他卫计管理事务支出</t>
    <phoneticPr fontId="4" type="noConversion"/>
  </si>
  <si>
    <t xml:space="preserve">    公立医院</t>
  </si>
  <si>
    <t xml:space="preserve">      综合医院</t>
  </si>
  <si>
    <t xml:space="preserve">      中医(民族)医院</t>
  </si>
  <si>
    <t xml:space="preserve">      传染病医院</t>
  </si>
  <si>
    <t xml:space="preserve">      职业病防治医院</t>
  </si>
  <si>
    <t xml:space="preserve">      精神病医院</t>
  </si>
  <si>
    <t xml:space="preserve">      妇产医院</t>
  </si>
  <si>
    <t xml:space="preserve">      儿童医院</t>
  </si>
  <si>
    <t xml:space="preserve">      其他专科医院</t>
  </si>
  <si>
    <t xml:space="preserve">      福利医院</t>
  </si>
  <si>
    <t xml:space="preserve">      行业医院</t>
  </si>
  <si>
    <t xml:space="preserve">      处理医疗欠费</t>
  </si>
  <si>
    <t xml:space="preserve">      其他公立医院支出</t>
  </si>
  <si>
    <t xml:space="preserve">    基层医疗卫生机构</t>
  </si>
  <si>
    <t xml:space="preserve">      城市社区卫生机构</t>
  </si>
  <si>
    <t xml:space="preserve">      乡镇卫生院</t>
  </si>
  <si>
    <t xml:space="preserve">      其他基层医疗卫生机构支出</t>
  </si>
  <si>
    <t xml:space="preserve">    公共卫生</t>
  </si>
  <si>
    <t xml:space="preserve">      疾病预防控制机构</t>
  </si>
  <si>
    <t xml:space="preserve">      卫生监督机构</t>
  </si>
  <si>
    <t xml:space="preserve">      妇幼保健机构</t>
  </si>
  <si>
    <t xml:space="preserve">      精神卫生机构</t>
  </si>
  <si>
    <t xml:space="preserve">      应急救治机构</t>
  </si>
  <si>
    <t xml:space="preserve">      采供血机构</t>
  </si>
  <si>
    <t xml:space="preserve">      其他专业公共卫生机构</t>
  </si>
  <si>
    <t xml:space="preserve">      基本公共卫生服务</t>
  </si>
  <si>
    <t xml:space="preserve">      重大公共卫生专项</t>
  </si>
  <si>
    <t xml:space="preserve">      突发公共卫生事件应急处理</t>
  </si>
  <si>
    <t xml:space="preserve">      其他公共卫生支出</t>
  </si>
  <si>
    <t xml:space="preserve">    医疗保障</t>
  </si>
  <si>
    <t xml:space="preserve">      行政单位医疗</t>
  </si>
  <si>
    <t xml:space="preserve">      事业单位医疗</t>
  </si>
  <si>
    <t xml:space="preserve">      公务员医疗补助</t>
  </si>
  <si>
    <t xml:space="preserve">      优抚对象医疗补助</t>
  </si>
  <si>
    <t xml:space="preserve">      新型农村合作医疗</t>
  </si>
  <si>
    <t xml:space="preserve">      城镇居民基本医疗保险</t>
  </si>
  <si>
    <t xml:space="preserve">      城乡医疗救助</t>
  </si>
  <si>
    <t xml:space="preserve">      疾病应急救助</t>
  </si>
  <si>
    <t xml:space="preserve">      其他医疗保障支出</t>
  </si>
  <si>
    <t xml:space="preserve">    中医药</t>
  </si>
  <si>
    <t xml:space="preserve">      中医(民族医)药专项</t>
  </si>
  <si>
    <t xml:space="preserve">      其他中医药支出</t>
  </si>
  <si>
    <t xml:space="preserve">    计划生育事务</t>
    <phoneticPr fontId="4" type="noConversion"/>
  </si>
  <si>
    <t xml:space="preserve">      计划生育机构</t>
    <phoneticPr fontId="4" type="noConversion"/>
  </si>
  <si>
    <t xml:space="preserve">      计划生育服务</t>
    <phoneticPr fontId="4" type="noConversion"/>
  </si>
  <si>
    <t xml:space="preserve">      其他计划生育事务支出</t>
    <phoneticPr fontId="4" type="noConversion"/>
  </si>
  <si>
    <t xml:space="preserve">    食品和药品监督管理事务</t>
  </si>
  <si>
    <t xml:space="preserve">      药品事务</t>
  </si>
  <si>
    <t xml:space="preserve">      化妆品事务</t>
  </si>
  <si>
    <t xml:space="preserve">      医疗器械事务</t>
  </si>
  <si>
    <t xml:space="preserve">      食品安全事务</t>
  </si>
  <si>
    <t xml:space="preserve">      其他食品和药品监督管理事务支出</t>
  </si>
  <si>
    <t xml:space="preserve">    行政事业单位医疗</t>
    <phoneticPr fontId="4" type="noConversion"/>
  </si>
  <si>
    <t xml:space="preserve">    财政对基本医疗保险基金的补助</t>
    <phoneticPr fontId="4" type="noConversion"/>
  </si>
  <si>
    <t xml:space="preserve">    医疗救助</t>
    <phoneticPr fontId="4" type="noConversion"/>
  </si>
  <si>
    <t xml:space="preserve">    优抚对象医疗</t>
    <phoneticPr fontId="4" type="noConversion"/>
  </si>
  <si>
    <t xml:space="preserve">    其他医疗卫生计生支出</t>
    <phoneticPr fontId="4" type="noConversion"/>
  </si>
  <si>
    <t xml:space="preserve">      其他医疗卫生计生支出（项）</t>
    <phoneticPr fontId="4" type="noConversion"/>
  </si>
  <si>
    <t xml:space="preserve">  节能环保支出</t>
  </si>
  <si>
    <t xml:space="preserve">    环境保护管理事务</t>
  </si>
  <si>
    <t xml:space="preserve">      环境保护宣传</t>
  </si>
  <si>
    <t xml:space="preserve">      环境保护法规、规划及标准</t>
  </si>
  <si>
    <t xml:space="preserve">      环境国际合作及履约</t>
  </si>
  <si>
    <t xml:space="preserve">      环境保护行政许可</t>
  </si>
  <si>
    <t xml:space="preserve">      其他环境保护管理事务支出</t>
  </si>
  <si>
    <t xml:space="preserve">    环境监测与监察</t>
  </si>
  <si>
    <t xml:space="preserve">      建设项目环评审查与监督</t>
  </si>
  <si>
    <t xml:space="preserve">      核与辐射安全监督</t>
  </si>
  <si>
    <t xml:space="preserve">      其他环境监测与监察支出</t>
  </si>
  <si>
    <t xml:space="preserve">    污染防治</t>
  </si>
  <si>
    <t xml:space="preserve">      大气</t>
  </si>
  <si>
    <t xml:space="preserve">      水体</t>
  </si>
  <si>
    <t xml:space="preserve">      噪声</t>
  </si>
  <si>
    <t xml:space="preserve">      固体废弃物与化学品</t>
  </si>
  <si>
    <t xml:space="preserve">      放射源和放射性废物监管</t>
  </si>
  <si>
    <t xml:space="preserve">      辐射</t>
  </si>
  <si>
    <t xml:space="preserve">      排污费安排的支出</t>
  </si>
  <si>
    <t xml:space="preserve">      其他污染防治支出</t>
  </si>
  <si>
    <t xml:space="preserve">    自然生态保护</t>
  </si>
  <si>
    <t xml:space="preserve">      生态保护</t>
  </si>
  <si>
    <t xml:space="preserve">      农村环境保护</t>
  </si>
  <si>
    <t xml:space="preserve">      自然保护区</t>
  </si>
  <si>
    <t xml:space="preserve">      生物及物种资源保护</t>
  </si>
  <si>
    <t xml:space="preserve">      湖泊生态环境保护</t>
  </si>
  <si>
    <t xml:space="preserve">      其他自然生态保护支出</t>
  </si>
  <si>
    <t xml:space="preserve">    天然林保护</t>
  </si>
  <si>
    <t xml:space="preserve">      森林管护</t>
  </si>
  <si>
    <t xml:space="preserve">      社会保险补助</t>
  </si>
  <si>
    <t xml:space="preserve">      政策性社会性支出补助</t>
  </si>
  <si>
    <t xml:space="preserve">      天然林保护工程建设 </t>
  </si>
  <si>
    <t xml:space="preserve">      其他天然林保护支出</t>
  </si>
  <si>
    <t xml:space="preserve">    退耕还林</t>
  </si>
  <si>
    <t xml:space="preserve">      退耕现金</t>
  </si>
  <si>
    <t xml:space="preserve">      退耕还林粮食折现补贴</t>
  </si>
  <si>
    <t xml:space="preserve">      退耕还林粮食费用补贴</t>
  </si>
  <si>
    <t xml:space="preserve">      退耕还林工程建设</t>
  </si>
  <si>
    <t xml:space="preserve">      其他退耕还林支出</t>
  </si>
  <si>
    <t xml:space="preserve">    风沙荒漠治理</t>
  </si>
  <si>
    <t xml:space="preserve">      京津风沙源治理工程建设</t>
  </si>
  <si>
    <t xml:space="preserve">      其他风沙荒漠治理支出</t>
  </si>
  <si>
    <t xml:space="preserve">    退牧还草</t>
  </si>
  <si>
    <t xml:space="preserve">      退牧还草工程建设</t>
  </si>
  <si>
    <t xml:space="preserve">      其他退牧还草支出</t>
  </si>
  <si>
    <t xml:space="preserve">    已垦草原退耕还草（款）</t>
  </si>
  <si>
    <t xml:space="preserve">      已垦草原退耕还草（项）</t>
  </si>
  <si>
    <t xml:space="preserve">    能源节约利用</t>
    <phoneticPr fontId="4" type="noConversion"/>
  </si>
  <si>
    <t xml:space="preserve">      能源节能利用（项）</t>
  </si>
  <si>
    <t xml:space="preserve">    污染减排</t>
  </si>
  <si>
    <t xml:space="preserve">       环境监测与信息</t>
  </si>
  <si>
    <t xml:space="preserve">       环境执法监察</t>
  </si>
  <si>
    <t xml:space="preserve">       减排专项支出</t>
  </si>
  <si>
    <t xml:space="preserve">       清洁生产专项支出</t>
  </si>
  <si>
    <t xml:space="preserve">       其他污染减排支出</t>
  </si>
  <si>
    <t xml:space="preserve">    可再生能源</t>
    <phoneticPr fontId="4" type="noConversion"/>
  </si>
  <si>
    <t xml:space="preserve">       可再生能源(项)</t>
  </si>
  <si>
    <t xml:space="preserve">    资源综合利用</t>
    <phoneticPr fontId="4" type="noConversion"/>
  </si>
  <si>
    <t xml:space="preserve">       资源综合利用（项）</t>
  </si>
  <si>
    <t xml:space="preserve">    能源管理事务</t>
  </si>
  <si>
    <t xml:space="preserve">      能源预测预警</t>
  </si>
  <si>
    <t xml:space="preserve">      能源战略规划与实施</t>
  </si>
  <si>
    <t xml:space="preserve">      能源科技装备</t>
  </si>
  <si>
    <t xml:space="preserve">      能源行业管理</t>
  </si>
  <si>
    <t xml:space="preserve">      能源管理</t>
  </si>
  <si>
    <t xml:space="preserve">      石油储备发展管理</t>
  </si>
  <si>
    <t xml:space="preserve">      能源调查</t>
  </si>
  <si>
    <t xml:space="preserve">      三峡库区移民专项支出</t>
  </si>
  <si>
    <t xml:space="preserve">      农村电网建设</t>
  </si>
  <si>
    <t xml:space="preserve">      其他能源管理事务支出</t>
  </si>
  <si>
    <t xml:space="preserve">    其他节能环保支出</t>
    <phoneticPr fontId="4" type="noConversion"/>
  </si>
  <si>
    <t xml:space="preserve">      其他节能环保支出（项）</t>
  </si>
  <si>
    <t xml:space="preserve">  城乡社区支出</t>
  </si>
  <si>
    <t xml:space="preserve">    城乡社区管理事务</t>
  </si>
  <si>
    <t xml:space="preserve">      城管执法</t>
  </si>
  <si>
    <t xml:space="preserve">      工程建设标准规范编制与监管</t>
  </si>
  <si>
    <t xml:space="preserve">      工程建设管理</t>
  </si>
  <si>
    <t xml:space="preserve">      市政公用行业市场监管</t>
  </si>
  <si>
    <t xml:space="preserve">      国家重点风景区规划与保护</t>
  </si>
  <si>
    <t xml:space="preserve">      住宅建设与房地产市场监管</t>
  </si>
  <si>
    <t xml:space="preserve">      执业资格注册、资质审查</t>
  </si>
  <si>
    <t xml:space="preserve">      其他城乡社区管理事务支出</t>
  </si>
  <si>
    <t xml:space="preserve">    城乡社区规划与管理</t>
    <phoneticPr fontId="4" type="noConversion"/>
  </si>
  <si>
    <t xml:space="preserve">      城乡社区规划与管理（项）</t>
  </si>
  <si>
    <t xml:space="preserve">    城乡社区公共设施</t>
  </si>
  <si>
    <t xml:space="preserve">      小城镇基础设施建设</t>
  </si>
  <si>
    <t xml:space="preserve">      其他城乡社区公共设施支出</t>
  </si>
  <si>
    <t xml:space="preserve">    城乡社区环境卫生</t>
    <phoneticPr fontId="4" type="noConversion"/>
  </si>
  <si>
    <t xml:space="preserve">      城乡社区环境卫生（项）</t>
  </si>
  <si>
    <t xml:space="preserve">    建设市场管理与监督</t>
    <phoneticPr fontId="4" type="noConversion"/>
  </si>
  <si>
    <t xml:space="preserve">      建设市场管理与监督（项）</t>
  </si>
  <si>
    <t xml:space="preserve">    其他城乡社区事务支出</t>
    <phoneticPr fontId="4" type="noConversion"/>
  </si>
  <si>
    <t xml:space="preserve">      其他城乡社区事务支出（项）</t>
  </si>
  <si>
    <t xml:space="preserve">    城市公用事业附加及对应专项债务收入安排的支出</t>
    <phoneticPr fontId="4" type="noConversion"/>
  </si>
  <si>
    <t xml:space="preserve">    其他城乡社区支出</t>
    <phoneticPr fontId="4" type="noConversion"/>
  </si>
  <si>
    <t xml:space="preserve">  农林水支出</t>
  </si>
  <si>
    <t xml:space="preserve">    农业</t>
  </si>
  <si>
    <t xml:space="preserve">      农垦运行</t>
  </si>
  <si>
    <t xml:space="preserve">      技术转化与推广服务</t>
    <phoneticPr fontId="4" type="noConversion"/>
  </si>
  <si>
    <t xml:space="preserve">      病虫害控制</t>
  </si>
  <si>
    <t xml:space="preserve">      农产品质量安全</t>
  </si>
  <si>
    <t xml:space="preserve">      执法监管</t>
  </si>
  <si>
    <t xml:space="preserve">      统计监测与信息服务</t>
  </si>
  <si>
    <t xml:space="preserve">      农业行业业务管理</t>
  </si>
  <si>
    <t xml:space="preserve">      对外交流与合作</t>
  </si>
  <si>
    <t xml:space="preserve">      防灾救灾</t>
    <phoneticPr fontId="4" type="noConversion"/>
  </si>
  <si>
    <t xml:space="preserve">      稳定农民收入补贴</t>
  </si>
  <si>
    <t xml:space="preserve">      农业结构调整补贴</t>
  </si>
  <si>
    <t xml:space="preserve">      农业生产资料与技术补贴</t>
  </si>
  <si>
    <t xml:space="preserve">      农业生产保险补贴</t>
  </si>
  <si>
    <t xml:space="preserve">      农业组织化与产业化经营</t>
  </si>
  <si>
    <t xml:space="preserve">      农产品加工与促销</t>
  </si>
  <si>
    <t xml:space="preserve">      农村公益事业</t>
  </si>
  <si>
    <t xml:space="preserve">      综合财力补助</t>
  </si>
  <si>
    <t xml:space="preserve">      农业资源保护与利用</t>
  </si>
  <si>
    <t xml:space="preserve">      农村道路建设</t>
  </si>
  <si>
    <t xml:space="preserve">      农资综合补贴</t>
  </si>
  <si>
    <t xml:space="preserve">      石油价格改革对渔业的补贴</t>
  </si>
  <si>
    <t xml:space="preserve">      对高校毕业生到基层任职补助</t>
  </si>
  <si>
    <t xml:space="preserve">      草原植被恢复费安排的支出</t>
  </si>
  <si>
    <t xml:space="preserve">      其他农业支出</t>
  </si>
  <si>
    <t xml:space="preserve">    林业</t>
  </si>
  <si>
    <t xml:space="preserve">      林业事业机构</t>
  </si>
  <si>
    <t xml:space="preserve">      森林培育</t>
  </si>
  <si>
    <t xml:space="preserve">      林业技术推广</t>
  </si>
  <si>
    <t xml:space="preserve">      森林资源管理</t>
  </si>
  <si>
    <t xml:space="preserve">      森林资源监测</t>
  </si>
  <si>
    <t xml:space="preserve">      森林生态效益补偿</t>
  </si>
  <si>
    <t xml:space="preserve">      林业自然保护区</t>
  </si>
  <si>
    <t xml:space="preserve">      动植物保护</t>
  </si>
  <si>
    <t xml:space="preserve">      湿地保护</t>
  </si>
  <si>
    <t xml:space="preserve">      林业执法与监督</t>
  </si>
  <si>
    <t xml:space="preserve">      林业检疫检测</t>
  </si>
  <si>
    <t xml:space="preserve">      防沙治沙</t>
  </si>
  <si>
    <t xml:space="preserve">      林业质量安全</t>
  </si>
  <si>
    <t xml:space="preserve">      林业工程与项目管理</t>
  </si>
  <si>
    <t xml:space="preserve">      林业对外合作与交流</t>
  </si>
  <si>
    <t xml:space="preserve">      林业产业化</t>
  </si>
  <si>
    <t xml:space="preserve">      信息管理</t>
  </si>
  <si>
    <t xml:space="preserve">      林业政策制定与宣传</t>
  </si>
  <si>
    <t xml:space="preserve">      林业资金审计稽查</t>
  </si>
  <si>
    <t xml:space="preserve">      林区公共支出</t>
  </si>
  <si>
    <t xml:space="preserve">      林业贷款贴息</t>
  </si>
  <si>
    <t xml:space="preserve">      石油价格改革对林业的补贴</t>
  </si>
  <si>
    <t xml:space="preserve">      森林保险保费补贴</t>
  </si>
  <si>
    <t xml:space="preserve">      林业防灾减灾</t>
  </si>
  <si>
    <t xml:space="preserve">      其他林业支出</t>
  </si>
  <si>
    <t xml:space="preserve">    水利</t>
  </si>
  <si>
    <t xml:space="preserve">      水利行业业务管理</t>
  </si>
  <si>
    <t xml:space="preserve">      水利工程建设</t>
  </si>
  <si>
    <t xml:space="preserve">      水利工程运行与维护</t>
  </si>
  <si>
    <t xml:space="preserve">      长江黄河等流域管理</t>
  </si>
  <si>
    <t xml:space="preserve">      水利前期工作</t>
  </si>
  <si>
    <t xml:space="preserve">      水利执法监督</t>
  </si>
  <si>
    <t xml:space="preserve">      水土保持</t>
  </si>
  <si>
    <t xml:space="preserve">      水资源节约管理与保护</t>
  </si>
  <si>
    <t xml:space="preserve">      水质监测</t>
  </si>
  <si>
    <t xml:space="preserve">      水文测报</t>
  </si>
  <si>
    <t xml:space="preserve">      防汛</t>
  </si>
  <si>
    <t xml:space="preserve">      抗旱</t>
  </si>
  <si>
    <t xml:space="preserve">      农田水利</t>
  </si>
  <si>
    <t xml:space="preserve">      水利技术推广</t>
  </si>
  <si>
    <t xml:space="preserve">      国际河流治理与管理</t>
  </si>
  <si>
    <t xml:space="preserve">      大中型水库移民后期扶持专项支出</t>
  </si>
  <si>
    <t xml:space="preserve">      水利安全监督</t>
  </si>
  <si>
    <t xml:space="preserve">      水资源费安排的支出</t>
  </si>
  <si>
    <t xml:space="preserve">      砂石资源费支出</t>
  </si>
  <si>
    <t xml:space="preserve">      水利建设移民支出</t>
  </si>
  <si>
    <t xml:space="preserve">      农村人畜饮水</t>
  </si>
  <si>
    <t xml:space="preserve">      其他水利支出</t>
  </si>
  <si>
    <t xml:space="preserve">    扶贫</t>
  </si>
  <si>
    <t xml:space="preserve">      农村基础设施建设</t>
  </si>
  <si>
    <t xml:space="preserve">      生产发展</t>
  </si>
  <si>
    <t xml:space="preserve">      社会发展</t>
  </si>
  <si>
    <t xml:space="preserve">      扶贫贷款奖补和贴息</t>
  </si>
  <si>
    <t xml:space="preserve">      “三西”农业建设专项补助</t>
  </si>
  <si>
    <t xml:space="preserve">      扶贫事业机构</t>
  </si>
  <si>
    <t xml:space="preserve">      其他扶贫支出</t>
  </si>
  <si>
    <t xml:space="preserve">    农业综合开发</t>
  </si>
  <si>
    <t xml:space="preserve">      土地治理</t>
  </si>
  <si>
    <t xml:space="preserve">      产业化经营</t>
  </si>
  <si>
    <t xml:space="preserve">      科技示范</t>
  </si>
  <si>
    <t xml:space="preserve">      其他农业综合开发支出</t>
  </si>
  <si>
    <t xml:space="preserve">    农村综合改革</t>
  </si>
  <si>
    <t xml:space="preserve">      对村级一事一议补助</t>
  </si>
  <si>
    <t xml:space="preserve">      国有农场办社会职能改革补助</t>
  </si>
  <si>
    <t xml:space="preserve">      对村民委员会和村党支部的补助</t>
  </si>
  <si>
    <t xml:space="preserve">      对村集体经济组织的补助</t>
  </si>
  <si>
    <t xml:space="preserve">      农村综合改革示范试点补助</t>
  </si>
  <si>
    <t xml:space="preserve">      其他农村综合改革支出</t>
  </si>
  <si>
    <t xml:space="preserve">    促进金融支农支出</t>
  </si>
  <si>
    <t xml:space="preserve">      支持农村金融机构</t>
  </si>
  <si>
    <t xml:space="preserve">      涉农贷款增量奖励</t>
  </si>
  <si>
    <t xml:space="preserve">      其他金融支农支持</t>
  </si>
  <si>
    <t xml:space="preserve">    普惠金融发展支出</t>
    <phoneticPr fontId="4" type="noConversion"/>
  </si>
  <si>
    <t xml:space="preserve">    其他农林水事务支出</t>
    <phoneticPr fontId="4" type="noConversion"/>
  </si>
  <si>
    <t xml:space="preserve">      化解其他公益性乡村债务支出</t>
  </si>
  <si>
    <t xml:space="preserve">      其他农林水事务支出（项）</t>
  </si>
  <si>
    <t xml:space="preserve">  交通运输支出</t>
  </si>
  <si>
    <t xml:space="preserve">    公路水路运输</t>
  </si>
  <si>
    <t xml:space="preserve">      公路新建</t>
  </si>
  <si>
    <t xml:space="preserve">      公路改建</t>
  </si>
  <si>
    <t xml:space="preserve">      公路养护</t>
  </si>
  <si>
    <t xml:space="preserve">      特大型桥梁建设</t>
  </si>
  <si>
    <t xml:space="preserve">      公路路政管理</t>
  </si>
  <si>
    <t xml:space="preserve">      公路和运输信息化建设</t>
  </si>
  <si>
    <t xml:space="preserve">      公路和运输安全</t>
  </si>
  <si>
    <t xml:space="preserve">      公路还贷专项</t>
  </si>
  <si>
    <t xml:space="preserve">      公路运输管理</t>
  </si>
  <si>
    <t xml:space="preserve">      公路客货运站(场)建设</t>
  </si>
  <si>
    <t xml:space="preserve">      公路和运输技术标准化建设</t>
  </si>
  <si>
    <t xml:space="preserve">      港口设施</t>
  </si>
  <si>
    <t xml:space="preserve">      航道维护</t>
  </si>
  <si>
    <t xml:space="preserve">      安全通信</t>
  </si>
  <si>
    <t xml:space="preserve">      三峡库区通航管理</t>
  </si>
  <si>
    <t xml:space="preserve">      航务管理</t>
  </si>
  <si>
    <t xml:space="preserve">      船舶检验</t>
  </si>
  <si>
    <t xml:space="preserve">      救助打捞</t>
  </si>
  <si>
    <t xml:space="preserve">      内河运输</t>
  </si>
  <si>
    <t xml:space="preserve">      远洋运输</t>
  </si>
  <si>
    <t xml:space="preserve">      海事管理</t>
  </si>
  <si>
    <t xml:space="preserve">      航标事业发展支出</t>
  </si>
  <si>
    <t xml:space="preserve">      水路运输管理支出</t>
  </si>
  <si>
    <t xml:space="preserve">      口岸建设</t>
  </si>
  <si>
    <t xml:space="preserve">      取消政府还贷二级公路收费专项支出</t>
  </si>
  <si>
    <t xml:space="preserve">      其他公路水路运输支出</t>
  </si>
  <si>
    <t xml:space="preserve">    铁路运输</t>
  </si>
  <si>
    <t xml:space="preserve">      铁路路网建设</t>
  </si>
  <si>
    <t xml:space="preserve">      铁路还贷专项</t>
  </si>
  <si>
    <t xml:space="preserve">      铁路安全</t>
  </si>
  <si>
    <t xml:space="preserve">      铁路专项运输</t>
  </si>
  <si>
    <t xml:space="preserve">      其他铁路运输支出</t>
  </si>
  <si>
    <t xml:space="preserve">    石油价格改革对交通运输的补贴</t>
  </si>
  <si>
    <t xml:space="preserve">      对城市公交的补贴</t>
  </si>
  <si>
    <t xml:space="preserve">      对农村道路客运的补贴</t>
  </si>
  <si>
    <t xml:space="preserve">      对出租车的补贴</t>
  </si>
  <si>
    <t xml:space="preserve">      石油价格改革补贴其他支出</t>
  </si>
  <si>
    <t xml:space="preserve">    邮政业支出</t>
    <phoneticPr fontId="4" type="noConversion"/>
  </si>
  <si>
    <t xml:space="preserve">    其他交通运输支出</t>
    <phoneticPr fontId="4" type="noConversion"/>
  </si>
  <si>
    <t xml:space="preserve">      公共交通运营补助</t>
  </si>
  <si>
    <t xml:space="preserve">      其他交通运输支出（项）</t>
  </si>
  <si>
    <t xml:space="preserve">  资源勘探信息等支出</t>
  </si>
  <si>
    <t xml:space="preserve">    安全生产监管</t>
  </si>
  <si>
    <t xml:space="preserve">      国务院安委会专项</t>
  </si>
  <si>
    <t xml:space="preserve">      安全监管监察专项</t>
  </si>
  <si>
    <t xml:space="preserve">      应急救援支出</t>
  </si>
  <si>
    <t xml:space="preserve">      煤炭安全</t>
  </si>
  <si>
    <t xml:space="preserve">      其他安全生产监管支出</t>
  </si>
  <si>
    <t xml:space="preserve">    国有资产监管</t>
  </si>
  <si>
    <t xml:space="preserve">      国有企业监事会专项</t>
  </si>
  <si>
    <t xml:space="preserve">      中央企业专项管理</t>
  </si>
  <si>
    <t xml:space="preserve">      其他国有资产监管支出</t>
  </si>
  <si>
    <t xml:space="preserve">    支持中小企业发展和管理支出</t>
  </si>
  <si>
    <t xml:space="preserve">      科技型中小企业技术创新基金</t>
  </si>
  <si>
    <t xml:space="preserve">      中小企业发展专项</t>
  </si>
  <si>
    <t xml:space="preserve">      其他支持中小企业发展和管理支出</t>
  </si>
  <si>
    <t xml:space="preserve">    其他资源勘探信息等支出(款)</t>
  </si>
  <si>
    <t xml:space="preserve">      黄金事务</t>
  </si>
  <si>
    <t xml:space="preserve">      建设项目贷款贴息</t>
  </si>
  <si>
    <t xml:space="preserve">      技术改造支出</t>
  </si>
  <si>
    <t xml:space="preserve">      中药材扶持资金支出</t>
  </si>
  <si>
    <t xml:space="preserve">      重点产业振兴和技术改造项目贷款贴息</t>
  </si>
  <si>
    <t xml:space="preserve">      其他资源勘探信息等支出(项)</t>
  </si>
  <si>
    <t xml:space="preserve">  商业服务业等支出</t>
  </si>
  <si>
    <t xml:space="preserve">    商业流通事务</t>
  </si>
  <si>
    <t xml:space="preserve">      食品流通安全补贴</t>
  </si>
  <si>
    <t xml:space="preserve">      市场监测及信息管理</t>
  </si>
  <si>
    <t xml:space="preserve">      民贸网点贷款贴息</t>
  </si>
  <si>
    <t xml:space="preserve">      民贸民品贷款贴息</t>
  </si>
  <si>
    <t xml:space="preserve">      其他商业流通事务支出</t>
  </si>
  <si>
    <t xml:space="preserve">    旅游业管理与服务支出</t>
  </si>
  <si>
    <t xml:space="preserve">      旅游宣传</t>
  </si>
  <si>
    <t xml:space="preserve">      旅游行业业务管理</t>
  </si>
  <si>
    <t xml:space="preserve">      其他旅游业管理与服务支出</t>
  </si>
  <si>
    <t xml:space="preserve">    涉外发展服务支出</t>
  </si>
  <si>
    <t xml:space="preserve">      外商投资环境建设补助资金</t>
  </si>
  <si>
    <t xml:space="preserve">      其他涉外发展服务支出</t>
  </si>
  <si>
    <t xml:space="preserve">    其他商业服务业等支出</t>
    <phoneticPr fontId="4" type="noConversion"/>
  </si>
  <si>
    <t xml:space="preserve">      服务业基础设施建设</t>
  </si>
  <si>
    <t xml:space="preserve">      其他商业服务业等支出(项)</t>
  </si>
  <si>
    <t xml:space="preserve">  金融支出</t>
  </si>
  <si>
    <t xml:space="preserve">    金融部门行政支出</t>
  </si>
  <si>
    <t xml:space="preserve">      安全防卫</t>
  </si>
  <si>
    <t xml:space="preserve">      金融部门其他行政支出</t>
  </si>
  <si>
    <t xml:space="preserve">    其他金融支出（款）</t>
  </si>
  <si>
    <t xml:space="preserve">      其他金融支出(项)</t>
  </si>
  <si>
    <t xml:space="preserve">    金融部门监管支出</t>
    <phoneticPr fontId="4" type="noConversion"/>
  </si>
  <si>
    <t xml:space="preserve">  国土海洋气象等支出</t>
  </si>
  <si>
    <t xml:space="preserve">    国土资源事务</t>
  </si>
  <si>
    <t xml:space="preserve">      国土资源规划及管理</t>
  </si>
  <si>
    <t xml:space="preserve">      土地资源调查</t>
  </si>
  <si>
    <t xml:space="preserve">      土地资源利用与保护</t>
  </si>
  <si>
    <t xml:space="preserve">      国土资源社会公益服务</t>
  </si>
  <si>
    <t xml:space="preserve">      国土资源行业业务管理</t>
  </si>
  <si>
    <t xml:space="preserve">      国土资源调查</t>
  </si>
  <si>
    <t xml:space="preserve">      国土整治</t>
  </si>
  <si>
    <t xml:space="preserve">      地质灾害防治</t>
  </si>
  <si>
    <t xml:space="preserve">      土地资源储备支出</t>
  </si>
  <si>
    <t xml:space="preserve">      地质及矿产资源调查</t>
  </si>
  <si>
    <t xml:space="preserve">      地质矿产资源利用与保护</t>
  </si>
  <si>
    <t xml:space="preserve">      地质转产项目财政贴息</t>
  </si>
  <si>
    <t xml:space="preserve">      国外风险勘查</t>
  </si>
  <si>
    <t xml:space="preserve">      地质勘查基金(周转金)支出</t>
  </si>
  <si>
    <t xml:space="preserve">      矿产资源专项收入安排的支出</t>
  </si>
  <si>
    <t xml:space="preserve">      其他国土资源事务支出</t>
  </si>
  <si>
    <t xml:space="preserve">    海洋管理事务</t>
  </si>
  <si>
    <t xml:space="preserve">      海域使用管理</t>
  </si>
  <si>
    <t xml:space="preserve">      海洋环境保护与监测</t>
  </si>
  <si>
    <t xml:space="preserve">      海洋调查评价</t>
  </si>
  <si>
    <t xml:space="preserve">      海洋权益维护</t>
  </si>
  <si>
    <t xml:space="preserve">      海洋执法监察</t>
  </si>
  <si>
    <t xml:space="preserve">      海洋防灾减灾</t>
  </si>
  <si>
    <t xml:space="preserve">      海洋卫星</t>
  </si>
  <si>
    <t xml:space="preserve">      极地考察</t>
  </si>
  <si>
    <t xml:space="preserve">      海洋矿产资源勘探研究</t>
  </si>
  <si>
    <t xml:space="preserve">      海港航标维护</t>
  </si>
  <si>
    <t xml:space="preserve">      海域使用金支出</t>
  </si>
  <si>
    <t xml:space="preserve">      海水淡化</t>
  </si>
  <si>
    <t xml:space="preserve">      海洋工程排污费支出</t>
  </si>
  <si>
    <t xml:space="preserve">      无居民海岛使用金支出</t>
  </si>
  <si>
    <t xml:space="preserve">      其他海洋管理事务支出</t>
  </si>
  <si>
    <t xml:space="preserve">    地震事务</t>
  </si>
  <si>
    <t xml:space="preserve">      地震监测</t>
  </si>
  <si>
    <t xml:space="preserve">      地震预测预报</t>
  </si>
  <si>
    <t xml:space="preserve">      地震灾害预防</t>
  </si>
  <si>
    <t xml:space="preserve">      地震应急救援</t>
  </si>
  <si>
    <t xml:space="preserve">      地震环境探察</t>
  </si>
  <si>
    <t xml:space="preserve">      防震减灾信息管理</t>
  </si>
  <si>
    <t xml:space="preserve">      防震减灾基础管理</t>
  </si>
  <si>
    <t xml:space="preserve">      地震事业机构 </t>
  </si>
  <si>
    <t xml:space="preserve">      其他地震事务支出</t>
  </si>
  <si>
    <t xml:space="preserve">    气象事务</t>
  </si>
  <si>
    <t xml:space="preserve">      气象事业机构</t>
  </si>
  <si>
    <t xml:space="preserve">      气象技术研究应用</t>
  </si>
  <si>
    <t xml:space="preserve">      气象探测</t>
  </si>
  <si>
    <t xml:space="preserve">      气象信息传输及管理</t>
  </si>
  <si>
    <t xml:space="preserve">      气象预报预测</t>
  </si>
  <si>
    <t xml:space="preserve">      气象服务</t>
  </si>
  <si>
    <t xml:space="preserve">      气象装备保障维护</t>
  </si>
  <si>
    <t xml:space="preserve">      气象基础设施建设与维修</t>
  </si>
  <si>
    <t xml:space="preserve">      气象卫星</t>
  </si>
  <si>
    <t xml:space="preserve">      气象法规与标准</t>
  </si>
  <si>
    <t xml:space="preserve">      气象资金审计稽查</t>
  </si>
  <si>
    <t xml:space="preserve">      其他气象事务支出</t>
  </si>
  <si>
    <t xml:space="preserve">    其他国土海洋气象等支出</t>
  </si>
  <si>
    <t xml:space="preserve">  住房保障支出</t>
  </si>
  <si>
    <t xml:space="preserve">    保障性安居工程支出</t>
  </si>
  <si>
    <t xml:space="preserve">      廉租住房</t>
  </si>
  <si>
    <t xml:space="preserve">      沉陷区治理</t>
  </si>
  <si>
    <t xml:space="preserve">      棚户区改造</t>
  </si>
  <si>
    <t xml:space="preserve">      少数民族地区游牧民定居工程</t>
  </si>
  <si>
    <t xml:space="preserve">      农村危房改造</t>
  </si>
  <si>
    <t xml:space="preserve">      公共租赁住房</t>
  </si>
  <si>
    <t xml:space="preserve">      保障性住房租金补贴</t>
  </si>
  <si>
    <t xml:space="preserve">      其他保障性安居工程支出</t>
  </si>
  <si>
    <t xml:space="preserve">    住房改革支出</t>
  </si>
  <si>
    <t xml:space="preserve">      住房公积金</t>
  </si>
  <si>
    <t xml:space="preserve">      提租补贴</t>
  </si>
  <si>
    <t xml:space="preserve">      购房补贴</t>
  </si>
  <si>
    <t xml:space="preserve">    城乡社区住宅</t>
  </si>
  <si>
    <t xml:space="preserve">      公有住房建设和维修改造支出</t>
  </si>
  <si>
    <t xml:space="preserve">      其他城乡社区住宅支出</t>
  </si>
  <si>
    <t xml:space="preserve">  粮油物资储备支出</t>
  </si>
  <si>
    <t xml:space="preserve">    粮油事务</t>
  </si>
  <si>
    <t xml:space="preserve">      粮食财务与审计支出</t>
  </si>
  <si>
    <t xml:space="preserve">      粮食信息统计</t>
  </si>
  <si>
    <t xml:space="preserve">      粮食专项业务活动</t>
  </si>
  <si>
    <t xml:space="preserve">      国家粮油差价补贴</t>
  </si>
  <si>
    <t xml:space="preserve">      粮食财务挂账利息补贴</t>
  </si>
  <si>
    <t xml:space="preserve">      粮食财务挂账消化款</t>
  </si>
  <si>
    <t xml:space="preserve">      处理陈化粮补贴</t>
  </si>
  <si>
    <t xml:space="preserve">      粮食风险基金</t>
  </si>
  <si>
    <t xml:space="preserve">      粮油市场调控专项资金</t>
  </si>
  <si>
    <t xml:space="preserve">      其他粮油事务支出</t>
  </si>
  <si>
    <t xml:space="preserve">    粮油储备</t>
  </si>
  <si>
    <t xml:space="preserve">      储备粮油补贴支出</t>
  </si>
  <si>
    <t xml:space="preserve">      储备粮油差价补贴</t>
  </si>
  <si>
    <t xml:space="preserve">      储备粮（油）库建设</t>
  </si>
  <si>
    <t xml:space="preserve">      最低收购价政策支出</t>
  </si>
  <si>
    <t xml:space="preserve">      其他粮油储备支出</t>
  </si>
  <si>
    <t xml:space="preserve">  预备费</t>
    <phoneticPr fontId="4" type="noConversion"/>
  </si>
  <si>
    <t xml:space="preserve">  债务付息支出</t>
    <phoneticPr fontId="4" type="noConversion"/>
  </si>
  <si>
    <t xml:space="preserve">    国内债务付息</t>
  </si>
  <si>
    <t xml:space="preserve">    国外债务付息</t>
  </si>
  <si>
    <t xml:space="preserve">      中央向国外政府借款付息</t>
  </si>
  <si>
    <t xml:space="preserve">      中央向国际金融组织借款付息</t>
  </si>
  <si>
    <t xml:space="preserve">      地方向国外政府借款付息</t>
  </si>
  <si>
    <t xml:space="preserve">      地方向国际金融组织借款付息</t>
  </si>
  <si>
    <t xml:space="preserve">      中央境外发行主权债券付息</t>
  </si>
  <si>
    <t xml:space="preserve">      中央其他国外借款付息</t>
  </si>
  <si>
    <t xml:space="preserve">    国内外债务发行</t>
  </si>
  <si>
    <t xml:space="preserve">      国内债务发行费用</t>
  </si>
  <si>
    <t xml:space="preserve">      国外债务发行费用</t>
  </si>
  <si>
    <t xml:space="preserve">    一般债务付息支出</t>
    <phoneticPr fontId="4" type="noConversion"/>
  </si>
  <si>
    <t xml:space="preserve">    地方政府债券付息</t>
  </si>
  <si>
    <t xml:space="preserve">  其他支出(类)</t>
  </si>
  <si>
    <t xml:space="preserve">    其他支出(款)</t>
  </si>
  <si>
    <t xml:space="preserve">      其他支出(项)</t>
  </si>
  <si>
    <t xml:space="preserve">    年初预留</t>
    <phoneticPr fontId="4" type="noConversion"/>
  </si>
  <si>
    <t>2、乡镇公共财政预算支出合计</t>
    <phoneticPr fontId="4" type="noConversion"/>
  </si>
  <si>
    <t>二、政府性基金预算支出合计</t>
    <phoneticPr fontId="4" type="noConversion"/>
  </si>
  <si>
    <t xml:space="preserve">    水库移民后期扶持基金支出</t>
    <phoneticPr fontId="4" type="noConversion"/>
  </si>
  <si>
    <t xml:space="preserve">    政府住房基金支出</t>
  </si>
  <si>
    <t xml:space="preserve">      管理费用支出</t>
  </si>
  <si>
    <t xml:space="preserve">      廉租住房支出</t>
  </si>
  <si>
    <t xml:space="preserve">      廉租住房维护和管理支出</t>
  </si>
  <si>
    <t xml:space="preserve">      公共租赁住房支出</t>
  </si>
  <si>
    <t xml:space="preserve">      公共租赁住房维护和管理支出</t>
  </si>
  <si>
    <t xml:space="preserve">      其他政府住房基金支出</t>
  </si>
  <si>
    <t xml:space="preserve">    国有土地使用权出让收入安排的支出</t>
  </si>
  <si>
    <t xml:space="preserve">      征地和拆迁补偿支出</t>
  </si>
  <si>
    <t xml:space="preserve">      土地开发支出</t>
  </si>
  <si>
    <t xml:space="preserve">      城市建设支出</t>
  </si>
  <si>
    <t xml:space="preserve">      农村基础设施建设支出</t>
  </si>
  <si>
    <t xml:space="preserve">      补助被征地农民支出</t>
  </si>
  <si>
    <t xml:space="preserve">      土地出让业务支出</t>
  </si>
  <si>
    <t xml:space="preserve">      调出土地出让金(还地债利息)</t>
    <phoneticPr fontId="4" type="noConversion"/>
  </si>
  <si>
    <t xml:space="preserve">      支付破产或改制企业职工安置费</t>
  </si>
  <si>
    <t xml:space="preserve">      棚户区改造支出</t>
  </si>
  <si>
    <t xml:space="preserve">      农田水利建设资金安排的支出</t>
    <phoneticPr fontId="4" type="noConversion"/>
  </si>
  <si>
    <t xml:space="preserve">      其他国有土地使用权出让收入安排的支出</t>
  </si>
  <si>
    <t xml:space="preserve">    城市公用事业附加安排的支出</t>
  </si>
  <si>
    <t xml:space="preserve">      城市公共设施</t>
  </si>
  <si>
    <t xml:space="preserve">      城市环境卫生</t>
  </si>
  <si>
    <t xml:space="preserve">      公有房屋</t>
  </si>
  <si>
    <t xml:space="preserve">      城市防洪</t>
  </si>
  <si>
    <t xml:space="preserve">      其他城市公用事业附加安排的支出</t>
  </si>
  <si>
    <t xml:space="preserve">    国有土地收益基金支出</t>
  </si>
  <si>
    <t xml:space="preserve">      其他国有土地收益基金支出</t>
  </si>
  <si>
    <t xml:space="preserve">    农业土地开发资金支出</t>
  </si>
  <si>
    <t xml:space="preserve">    新增建设用地土地有偿使用费</t>
    <phoneticPr fontId="4" type="noConversion"/>
  </si>
  <si>
    <t xml:space="preserve">      耕地开发专项支出</t>
  </si>
  <si>
    <t xml:space="preserve">      基本农田建设和保护支出</t>
  </si>
  <si>
    <t xml:space="preserve">      土地整理支出</t>
  </si>
  <si>
    <t xml:space="preserve">      用于地震灾后恢复重建的支出</t>
  </si>
  <si>
    <t xml:space="preserve">    城市基础设施配套费安排的支出</t>
  </si>
  <si>
    <t xml:space="preserve">      其他城市基础设施配套费安排的支出</t>
  </si>
  <si>
    <t xml:space="preserve">    新菜地开发建设基金支出</t>
  </si>
  <si>
    <t xml:space="preserve">      开发新菜地工程</t>
  </si>
  <si>
    <t xml:space="preserve">      改造老菜地工程</t>
  </si>
  <si>
    <t xml:space="preserve">      设备购置</t>
  </si>
  <si>
    <t xml:space="preserve">      技术培训与推广</t>
  </si>
  <si>
    <t xml:space="preserve">      其他新菜地开发建设基金支出</t>
  </si>
  <si>
    <t xml:space="preserve">    大中型水库库区基金支出</t>
  </si>
  <si>
    <t xml:space="preserve">      基础设施建设和经济发展</t>
  </si>
  <si>
    <t xml:space="preserve">      解决移民遗留问题</t>
  </si>
  <si>
    <t xml:space="preserve">      库区防护工程维护</t>
  </si>
  <si>
    <t xml:space="preserve">      其他大中型水库库区基金支出</t>
  </si>
  <si>
    <t xml:space="preserve">    重大水利工程建设基金支出</t>
    <phoneticPr fontId="4" type="noConversion"/>
  </si>
  <si>
    <t xml:space="preserve">    污水处理费安排的支出</t>
    <phoneticPr fontId="4" type="noConversion"/>
  </si>
  <si>
    <t xml:space="preserve">    水土保持补偿费安排的支出</t>
    <phoneticPr fontId="4" type="noConversion"/>
  </si>
  <si>
    <t xml:space="preserve">    旅游发展基金支出</t>
  </si>
  <si>
    <t xml:space="preserve">      宣传促销</t>
  </si>
  <si>
    <t xml:space="preserve">      行业规划</t>
  </si>
  <si>
    <t xml:space="preserve">      旅游事业补助</t>
  </si>
  <si>
    <t xml:space="preserve">      地方旅游开发项目补助</t>
  </si>
  <si>
    <t xml:space="preserve">      其他旅游发展基金支出</t>
  </si>
  <si>
    <t xml:space="preserve">  转列公共预算支出</t>
    <phoneticPr fontId="4" type="noConversion"/>
  </si>
  <si>
    <t xml:space="preserve">    森林植被费支出</t>
    <phoneticPr fontId="4" type="noConversion"/>
  </si>
  <si>
    <t xml:space="preserve">    残疾人就业保障金支出</t>
    <phoneticPr fontId="4" type="noConversion"/>
  </si>
  <si>
    <t xml:space="preserve">  其他支出</t>
  </si>
  <si>
    <t xml:space="preserve">    价格调节基金支出</t>
    <phoneticPr fontId="4" type="noConversion"/>
  </si>
  <si>
    <t xml:space="preserve">    彩票发行销售机构业务费</t>
    <phoneticPr fontId="4" type="noConversion"/>
  </si>
  <si>
    <t xml:space="preserve">    彩票公益金安排的支出</t>
  </si>
  <si>
    <t xml:space="preserve">      用于补充全国社会保障基金的彩票公益金支出</t>
  </si>
  <si>
    <t xml:space="preserve">      用于社会福利的彩票公益金</t>
    <phoneticPr fontId="4" type="noConversion"/>
  </si>
  <si>
    <t xml:space="preserve">      用于体育事业的彩票公益金</t>
    <phoneticPr fontId="4" type="noConversion"/>
  </si>
  <si>
    <t xml:space="preserve">      用于教育事业的彩票公益金支出</t>
  </si>
  <si>
    <t xml:space="preserve">      用于红十字事业的彩票公益金支出</t>
  </si>
  <si>
    <t xml:space="preserve">      用于残疾人事业的彩票公益金支出</t>
  </si>
  <si>
    <t xml:space="preserve">      用于城市医疗救助的彩票公益金支出</t>
  </si>
  <si>
    <t xml:space="preserve">      用于农村医疗救助的彩票公益金支出</t>
  </si>
  <si>
    <t xml:space="preserve">      用于文化事业的彩票公益金支出</t>
  </si>
  <si>
    <t xml:space="preserve">      用于扶贫的彩票公益金支出</t>
  </si>
  <si>
    <t xml:space="preserve">    转列一般预算支出的基金</t>
    <phoneticPr fontId="4" type="noConversion"/>
  </si>
  <si>
    <t xml:space="preserve">      用于其他社会公益事业的彩票公益金支出</t>
  </si>
  <si>
    <t xml:space="preserve">    调出上年结余基金</t>
    <phoneticPr fontId="4" type="noConversion"/>
  </si>
  <si>
    <t>三、国有资本经营预算支出合计</t>
    <phoneticPr fontId="4" type="noConversion"/>
  </si>
  <si>
    <t xml:space="preserve">    国有资本经营预算支出</t>
  </si>
  <si>
    <t xml:space="preserve">      国有经济结构调整支出</t>
  </si>
  <si>
    <t xml:space="preserve">      重点项目支出    </t>
  </si>
  <si>
    <t xml:space="preserve">      产业升级与发展支出</t>
  </si>
  <si>
    <t xml:space="preserve">      境外投资及对外经济技术合作支出</t>
  </si>
  <si>
    <t xml:space="preserve">      困难企业职工补助支出</t>
  </si>
  <si>
    <t xml:space="preserve">      其他国有资本经营预算支出</t>
  </si>
  <si>
    <t xml:space="preserve">      补充全国社会保障基金</t>
  </si>
  <si>
    <t xml:space="preserve">         国有资本经营预算补充基金支出</t>
  </si>
  <si>
    <t xml:space="preserve">  转移性支出</t>
  </si>
  <si>
    <t xml:space="preserve">    调出资金</t>
  </si>
  <si>
    <t xml:space="preserve">      国有资本经营预算调出资金</t>
  </si>
  <si>
    <t>债务还本支出合计</t>
  </si>
  <si>
    <t xml:space="preserve">       地方政府一般债券还本</t>
    <phoneticPr fontId="4" type="noConversion"/>
  </si>
  <si>
    <t xml:space="preserve">       向外国政府借款还本</t>
  </si>
  <si>
    <t xml:space="preserve">       向国际组织借款还本</t>
  </si>
  <si>
    <t xml:space="preserve">       中央其他国外借款还本</t>
  </si>
  <si>
    <t xml:space="preserve">       地方向国外借款还本</t>
  </si>
  <si>
    <t xml:space="preserve">       地方政府专项债券还本</t>
    <phoneticPr fontId="4" type="noConversion"/>
  </si>
  <si>
    <t xml:space="preserve">       中央境外发行主权债券还本</t>
  </si>
  <si>
    <t>四、社会保险基金支出合计</t>
    <phoneticPr fontId="4" type="noConversion"/>
  </si>
  <si>
    <t xml:space="preserve"> 机关事业单位基本养老保险基金支出</t>
    <phoneticPr fontId="4" type="noConversion"/>
  </si>
  <si>
    <t xml:space="preserve"> 城乡居民基本养老保险基金支出</t>
    <phoneticPr fontId="4" type="noConversion"/>
  </si>
  <si>
    <t xml:space="preserve"> 城镇职工基本医疗保险基金支出</t>
    <phoneticPr fontId="4" type="noConversion"/>
  </si>
  <si>
    <t xml:space="preserve"> 失业保险基金支出</t>
    <phoneticPr fontId="4" type="noConversion"/>
  </si>
  <si>
    <t xml:space="preserve"> 工伤保险基金支出</t>
    <phoneticPr fontId="4" type="noConversion"/>
  </si>
  <si>
    <t xml:space="preserve"> 生育保险基金支出</t>
    <phoneticPr fontId="4" type="noConversion"/>
  </si>
  <si>
    <t xml:space="preserve">    新闻出版</t>
    <phoneticPr fontId="3" type="noConversion"/>
  </si>
  <si>
    <t xml:space="preserve">    新闻出版与广播影视</t>
    <phoneticPr fontId="3" type="noConversion"/>
  </si>
  <si>
    <t xml:space="preserve">    财政对基本养老保险基金的补助</t>
    <phoneticPr fontId="4" type="noConversion"/>
  </si>
  <si>
    <t xml:space="preserve">    工业和信息产业监管</t>
    <phoneticPr fontId="4" type="noConversion"/>
  </si>
  <si>
    <t xml:space="preserve">    测绘事务</t>
    <phoneticPr fontId="3" type="noConversion"/>
  </si>
  <si>
    <t xml:space="preserve"> 城乡居民基本医疗保险基金支出</t>
    <phoneticPr fontId="4" type="noConversion"/>
  </si>
  <si>
    <t>单位：万元</t>
    <phoneticPr fontId="19" type="noConversion"/>
  </si>
  <si>
    <t>预算数</t>
    <phoneticPr fontId="19" type="noConversion"/>
  </si>
  <si>
    <t>2015年实际完成数</t>
    <phoneticPr fontId="19" type="noConversion"/>
  </si>
  <si>
    <t>　营业税</t>
  </si>
  <si>
    <t>　企业所得税</t>
  </si>
  <si>
    <t>　个人所得税</t>
  </si>
  <si>
    <t>　资源税</t>
  </si>
  <si>
    <t>　城市维护建设税</t>
  </si>
  <si>
    <t>　房产税</t>
  </si>
  <si>
    <t>　城镇土地使用税</t>
  </si>
  <si>
    <t>　土地增值税</t>
  </si>
  <si>
    <t>　耕地占用税</t>
  </si>
  <si>
    <t>　契税</t>
  </si>
  <si>
    <t>　专项收入</t>
  </si>
  <si>
    <t>__</t>
    <phoneticPr fontId="19" type="noConversion"/>
  </si>
  <si>
    <t>　其他收入</t>
  </si>
  <si>
    <t xml:space="preserve">  城镇公用事业附加收入</t>
  </si>
  <si>
    <t xml:space="preserve">  利润收入</t>
  </si>
  <si>
    <t xml:space="preserve">  产权转让收入</t>
  </si>
  <si>
    <t xml:space="preserve">  清算收入</t>
  </si>
  <si>
    <t xml:space="preserve">  其他国有资本经营预算收入</t>
  </si>
  <si>
    <t>上划中央收入</t>
  </si>
  <si>
    <t>公共财政预算支出合计</t>
  </si>
  <si>
    <t xml:space="preserve">    政府办公厅(室)及相关机构事务</t>
  </si>
  <si>
    <t>政府性基金预算支出合计</t>
  </si>
  <si>
    <t>国有资本经营预算支出合计</t>
  </si>
  <si>
    <t xml:space="preserve">  政府住房基金收入</t>
  </si>
  <si>
    <t>平潭2017年预算执行及2018年                      预算草案情况表</t>
    <phoneticPr fontId="19" type="noConversion"/>
  </si>
  <si>
    <t xml:space="preserve">    财政对基本医疗保险基金的补助</t>
    <phoneticPr fontId="3" type="noConversion"/>
  </si>
  <si>
    <t xml:space="preserve">    医疗救助</t>
    <phoneticPr fontId="3" type="noConversion"/>
  </si>
  <si>
    <t xml:space="preserve">    优抚对象医疗</t>
    <phoneticPr fontId="3" type="noConversion"/>
  </si>
  <si>
    <t xml:space="preserve">    邮政业支出</t>
    <phoneticPr fontId="3" type="noConversion"/>
  </si>
  <si>
    <t xml:space="preserve">    其他金融支出</t>
    <phoneticPr fontId="3" type="noConversion"/>
  </si>
  <si>
    <t>完成数</t>
    <phoneticPr fontId="4" type="noConversion"/>
  </si>
  <si>
    <t>比上年增长（％）</t>
    <phoneticPr fontId="4" type="noConversion"/>
  </si>
  <si>
    <t>调整后    任务</t>
    <phoneticPr fontId="4" type="noConversion"/>
  </si>
  <si>
    <t>累计完成数</t>
    <phoneticPr fontId="4" type="noConversion"/>
  </si>
  <si>
    <t>占年初预算％</t>
    <phoneticPr fontId="4" type="noConversion"/>
  </si>
  <si>
    <t>占调整后任务％</t>
    <phoneticPr fontId="4" type="noConversion"/>
  </si>
  <si>
    <t>比上年增长％</t>
    <phoneticPr fontId="4" type="noConversion"/>
  </si>
  <si>
    <t>2015年实际完成数</t>
    <phoneticPr fontId="4" type="noConversion"/>
  </si>
  <si>
    <t>单位:万元</t>
    <phoneticPr fontId="4" type="noConversion"/>
  </si>
  <si>
    <t>本级安排    年初预算</t>
    <phoneticPr fontId="4" type="noConversion"/>
  </si>
  <si>
    <t>本级安排    调整后预算</t>
    <phoneticPr fontId="4" type="noConversion"/>
  </si>
  <si>
    <t>含专款等支出累计</t>
    <phoneticPr fontId="4" type="noConversion"/>
  </si>
  <si>
    <t>比上年     增支数</t>
    <phoneticPr fontId="4" type="noConversion"/>
  </si>
  <si>
    <t>全区</t>
    <phoneticPr fontId="4" type="noConversion"/>
  </si>
  <si>
    <t>区本级</t>
    <phoneticPr fontId="4" type="noConversion"/>
  </si>
  <si>
    <t>乡镇</t>
    <phoneticPr fontId="4" type="noConversion"/>
  </si>
  <si>
    <t xml:space="preserve">    新闻出版广播影视</t>
    <phoneticPr fontId="4" type="noConversion"/>
  </si>
  <si>
    <t xml:space="preserve">    食品和药品监督管理事务</t>
    <phoneticPr fontId="4" type="noConversion"/>
  </si>
  <si>
    <t xml:space="preserve">    制造业</t>
    <phoneticPr fontId="4" type="noConversion"/>
  </si>
  <si>
    <t xml:space="preserve">  债务付息付费支出</t>
    <phoneticPr fontId="4" type="noConversion"/>
  </si>
  <si>
    <t xml:space="preserve">    一般债务付息付费支出</t>
    <phoneticPr fontId="4" type="noConversion"/>
  </si>
  <si>
    <t xml:space="preserve">  债务发行费用支出</t>
    <phoneticPr fontId="3" type="noConversion"/>
  </si>
  <si>
    <t xml:space="preserve">    债务发行费用支出</t>
    <phoneticPr fontId="3" type="noConversion"/>
  </si>
  <si>
    <t>社会保险基金支出合计</t>
    <phoneticPr fontId="4" type="noConversion"/>
  </si>
  <si>
    <t xml:space="preserve">  机关事业基本养老基金</t>
    <phoneticPr fontId="4" type="noConversion"/>
  </si>
  <si>
    <t xml:space="preserve">  城乡居民基本养老保险基金支出</t>
    <phoneticPr fontId="4" type="noConversion"/>
  </si>
  <si>
    <t xml:space="preserve">  城镇职工基本医疗保险基金支出</t>
    <phoneticPr fontId="4" type="noConversion"/>
  </si>
  <si>
    <t xml:space="preserve">  居民基本医疗保险基金支出</t>
    <phoneticPr fontId="4" type="noConversion"/>
  </si>
  <si>
    <t xml:space="preserve">  失业保险基金支出</t>
    <phoneticPr fontId="4" type="noConversion"/>
  </si>
  <si>
    <t xml:space="preserve">  工伤保险基金支出</t>
    <phoneticPr fontId="4" type="noConversion"/>
  </si>
  <si>
    <t xml:space="preserve">  生育保险基金支出</t>
    <phoneticPr fontId="4" type="noConversion"/>
  </si>
  <si>
    <t>单位：万元</t>
    <phoneticPr fontId="4" type="noConversion"/>
  </si>
  <si>
    <t>一般公共预算部分</t>
    <phoneticPr fontId="4" type="noConversion"/>
  </si>
  <si>
    <t>区（县）本级</t>
    <phoneticPr fontId="4" type="noConversion"/>
  </si>
  <si>
    <t>乡镇级</t>
    <phoneticPr fontId="4" type="noConversion"/>
  </si>
  <si>
    <t>全区合计</t>
    <phoneticPr fontId="4" type="noConversion"/>
  </si>
  <si>
    <t>项目</t>
    <phoneticPr fontId="4" type="noConversion"/>
  </si>
  <si>
    <t>金额</t>
    <phoneticPr fontId="4" type="noConversion"/>
  </si>
  <si>
    <t>一、收入</t>
    <phoneticPr fontId="4" type="noConversion"/>
  </si>
  <si>
    <t>2.上级补助收入</t>
    <phoneticPr fontId="4" type="noConversion"/>
  </si>
  <si>
    <t>二、支出</t>
    <phoneticPr fontId="4" type="noConversion"/>
  </si>
  <si>
    <t>三、结转结余</t>
    <phoneticPr fontId="4" type="noConversion"/>
  </si>
  <si>
    <t>政府性基金预算部分</t>
    <phoneticPr fontId="4" type="noConversion"/>
  </si>
  <si>
    <t>一、收入合计</t>
    <phoneticPr fontId="4" type="noConversion"/>
  </si>
  <si>
    <t>2.省级补助收入</t>
    <phoneticPr fontId="4" type="noConversion"/>
  </si>
  <si>
    <t>二、支出合计</t>
    <phoneticPr fontId="4" type="noConversion"/>
  </si>
  <si>
    <t>三、年终结转结余</t>
    <phoneticPr fontId="4" type="noConversion"/>
  </si>
  <si>
    <t>2018年预算</t>
    <phoneticPr fontId="4" type="noConversion"/>
  </si>
  <si>
    <t>一、全区公共财政支出合计</t>
    <phoneticPr fontId="3" type="noConversion"/>
  </si>
  <si>
    <t>年初   预算</t>
    <phoneticPr fontId="4" type="noConversion"/>
  </si>
  <si>
    <t>1.一般公共预算本级收入</t>
    <phoneticPr fontId="4" type="noConversion"/>
  </si>
  <si>
    <t>1.年终核定返还收入</t>
    <phoneticPr fontId="4" type="noConversion"/>
  </si>
  <si>
    <t>1.一般公共预算收入</t>
    <phoneticPr fontId="4" type="noConversion"/>
  </si>
  <si>
    <t>2.上级转移支付补助收入</t>
    <phoneticPr fontId="4" type="noConversion"/>
  </si>
  <si>
    <t>3.一般债券转贷收入</t>
    <phoneticPr fontId="4" type="noConversion"/>
  </si>
  <si>
    <t>3.上年结转结余</t>
    <phoneticPr fontId="4" type="noConversion"/>
  </si>
  <si>
    <t>4.调入资金(存量结余资金)</t>
    <phoneticPr fontId="4" type="noConversion"/>
  </si>
  <si>
    <t>4.调入资金</t>
    <phoneticPr fontId="4" type="noConversion"/>
  </si>
  <si>
    <t>5.调入资金(其他调入)</t>
    <phoneticPr fontId="4" type="noConversion"/>
  </si>
  <si>
    <t>5.动用预算稳定调节基金</t>
    <phoneticPr fontId="4" type="noConversion"/>
  </si>
  <si>
    <t>6.动用预算稳定调节基金</t>
    <phoneticPr fontId="4" type="noConversion"/>
  </si>
  <si>
    <t>6.福州市定额补助</t>
    <phoneticPr fontId="4" type="noConversion"/>
  </si>
  <si>
    <t>7.福州市定额补助</t>
    <phoneticPr fontId="4" type="noConversion"/>
  </si>
  <si>
    <t>7、上年结转结余</t>
    <phoneticPr fontId="4" type="noConversion"/>
  </si>
  <si>
    <t>8.上年结转结余</t>
    <phoneticPr fontId="4" type="noConversion"/>
  </si>
  <si>
    <t>10.乡镇上解收入</t>
    <phoneticPr fontId="4" type="noConversion"/>
  </si>
  <si>
    <t>1.一般公共预算本级支出</t>
    <phoneticPr fontId="4" type="noConversion"/>
  </si>
  <si>
    <t>1.一般公共预算支出</t>
    <phoneticPr fontId="4" type="noConversion"/>
  </si>
  <si>
    <t>2.一般债券还本支出</t>
    <phoneticPr fontId="4" type="noConversion"/>
  </si>
  <si>
    <t>2.上解上级支出</t>
    <phoneticPr fontId="4" type="noConversion"/>
  </si>
  <si>
    <t>3.转移支付补助支出</t>
    <phoneticPr fontId="4" type="noConversion"/>
  </si>
  <si>
    <t>3.安排稳定调节基金</t>
    <phoneticPr fontId="4" type="noConversion"/>
  </si>
  <si>
    <t>3.上解上级专项支出</t>
    <phoneticPr fontId="4" type="noConversion"/>
  </si>
  <si>
    <t>4.上解省级专项支出</t>
    <phoneticPr fontId="4" type="noConversion"/>
  </si>
  <si>
    <t>4.调出资金</t>
    <phoneticPr fontId="4" type="noConversion"/>
  </si>
  <si>
    <t>5.调出资金</t>
    <phoneticPr fontId="4" type="noConversion"/>
  </si>
  <si>
    <t>5.安排预算稳定调节基金</t>
    <phoneticPr fontId="4" type="noConversion"/>
  </si>
  <si>
    <t>6.安排预算稳定调节基金</t>
    <phoneticPr fontId="4" type="noConversion"/>
  </si>
  <si>
    <t>6.补充预算周转金</t>
    <phoneticPr fontId="4" type="noConversion"/>
  </si>
  <si>
    <t>7.补充预算周转金</t>
    <phoneticPr fontId="4" type="noConversion"/>
  </si>
  <si>
    <t>1.滚存结余</t>
    <phoneticPr fontId="4" type="noConversion"/>
  </si>
  <si>
    <t>2.减：结转下年使用数</t>
    <phoneticPr fontId="4" type="noConversion"/>
  </si>
  <si>
    <t>3.年终净结余</t>
    <phoneticPr fontId="4" type="noConversion"/>
  </si>
  <si>
    <t>1.上年结转结余</t>
    <phoneticPr fontId="4" type="noConversion"/>
  </si>
  <si>
    <t>3.基金收入</t>
    <phoneticPr fontId="4" type="noConversion"/>
  </si>
  <si>
    <t>3.基金支出</t>
    <phoneticPr fontId="4" type="noConversion"/>
  </si>
  <si>
    <t>3.政府性基金收入</t>
    <phoneticPr fontId="4" type="noConversion"/>
  </si>
  <si>
    <t>4.调入资金(偿债基金调入)</t>
    <phoneticPr fontId="4" type="noConversion"/>
  </si>
  <si>
    <t>4.年终结转结余</t>
    <phoneticPr fontId="4" type="noConversion"/>
  </si>
  <si>
    <t>5.专项债券转贷收入</t>
    <phoneticPr fontId="4" type="noConversion"/>
  </si>
  <si>
    <t>1.基金支出(本级财力安排)</t>
    <phoneticPr fontId="4" type="noConversion"/>
  </si>
  <si>
    <t>1.政府性基金支出</t>
    <phoneticPr fontId="4" type="noConversion"/>
  </si>
  <si>
    <t>2.基金支出(新增债券安排)</t>
    <phoneticPr fontId="4" type="noConversion"/>
  </si>
  <si>
    <t>2.专项债券还本</t>
    <phoneticPr fontId="4" type="noConversion"/>
  </si>
  <si>
    <t>3.置换债券还本(公开发行)</t>
    <phoneticPr fontId="4" type="noConversion"/>
  </si>
  <si>
    <t>3.调出资金</t>
    <phoneticPr fontId="4" type="noConversion"/>
  </si>
  <si>
    <t>4.置换债券还本(定向承销)</t>
    <phoneticPr fontId="4" type="noConversion"/>
  </si>
  <si>
    <t>4.上解上级专项支出</t>
    <phoneticPr fontId="4" type="noConversion"/>
  </si>
  <si>
    <t>6.上解上级专项支出</t>
    <phoneticPr fontId="4" type="noConversion"/>
  </si>
  <si>
    <t>7.补助乡镇支出</t>
    <phoneticPr fontId="4" type="noConversion"/>
  </si>
  <si>
    <t>国有资本经营预算部分</t>
    <phoneticPr fontId="4" type="noConversion"/>
  </si>
  <si>
    <t>1、国有资本经营预算收入</t>
    <phoneticPr fontId="4" type="noConversion"/>
  </si>
  <si>
    <t>2、国有资本经营预算支出</t>
    <phoneticPr fontId="4" type="noConversion"/>
  </si>
  <si>
    <t>3、年终结转结余</t>
    <phoneticPr fontId="4" type="noConversion"/>
  </si>
  <si>
    <t>社会保险基金预算部分</t>
    <phoneticPr fontId="4" type="noConversion"/>
  </si>
  <si>
    <t>(一)社会保险基金收入</t>
    <phoneticPr fontId="4" type="noConversion"/>
  </si>
  <si>
    <t>(一)社会保险基金支出</t>
    <phoneticPr fontId="4" type="noConversion"/>
  </si>
  <si>
    <t>(二)上年社会保险基金结余</t>
    <phoneticPr fontId="4" type="noConversion"/>
  </si>
  <si>
    <t>(二)年末社会保险基金结余</t>
    <phoneticPr fontId="4" type="noConversion"/>
  </si>
  <si>
    <t>社会保险基金预算收入合计</t>
    <phoneticPr fontId="4" type="noConversion"/>
  </si>
  <si>
    <t>社会保险基金预算支出合计</t>
    <phoneticPr fontId="4" type="noConversion"/>
  </si>
  <si>
    <t>二、政府性基金预算支出合计</t>
    <phoneticPr fontId="3" type="noConversion"/>
  </si>
  <si>
    <t>一、地方一般公共预算收入</t>
    <phoneticPr fontId="4" type="noConversion"/>
  </si>
  <si>
    <t>１、税收收入</t>
    <phoneticPr fontId="4" type="noConversion"/>
  </si>
  <si>
    <t>　国内增值税</t>
    <phoneticPr fontId="4" type="noConversion"/>
  </si>
  <si>
    <t xml:space="preserve">  改征增值税</t>
    <phoneticPr fontId="4" type="noConversion"/>
  </si>
  <si>
    <t>　印花税</t>
    <phoneticPr fontId="4" type="noConversion"/>
  </si>
  <si>
    <t>　车船税</t>
    <phoneticPr fontId="4" type="noConversion"/>
  </si>
  <si>
    <t>比上年增长%</t>
    <phoneticPr fontId="4" type="noConversion"/>
  </si>
  <si>
    <t xml:space="preserve">    工资奖金津补贴  </t>
    <phoneticPr fontId="3" type="noConversion"/>
  </si>
  <si>
    <t xml:space="preserve">    住房公积金  </t>
    <phoneticPr fontId="3" type="noConversion"/>
  </si>
  <si>
    <t xml:space="preserve">    会议费  </t>
    <phoneticPr fontId="3" type="noConversion"/>
  </si>
  <si>
    <t xml:space="preserve">    培训费  </t>
    <phoneticPr fontId="3" type="noConversion"/>
  </si>
  <si>
    <t xml:space="preserve">    专用材料购置费  </t>
    <phoneticPr fontId="3" type="noConversion"/>
  </si>
  <si>
    <t xml:space="preserve">    公务接待费  </t>
    <phoneticPr fontId="3" type="noConversion"/>
  </si>
  <si>
    <t xml:space="preserve">    公务用车运行维护费  </t>
    <phoneticPr fontId="3" type="noConversion"/>
  </si>
  <si>
    <t xml:space="preserve">    维修（护）费  </t>
    <phoneticPr fontId="3" type="noConversion"/>
  </si>
  <si>
    <t xml:space="preserve">  机关资本性支出（一）</t>
    <phoneticPr fontId="4" type="noConversion"/>
  </si>
  <si>
    <t xml:space="preserve">    房屋建筑物购建  </t>
    <phoneticPr fontId="3" type="noConversion"/>
  </si>
  <si>
    <t xml:space="preserve">    基础设施建设  </t>
    <phoneticPr fontId="3" type="noConversion"/>
  </si>
  <si>
    <t xml:space="preserve">  机关资本性支出（二）</t>
    <phoneticPr fontId="4" type="noConversion"/>
  </si>
  <si>
    <t xml:space="preserve">    其他资本性支出  </t>
    <phoneticPr fontId="3" type="noConversion"/>
  </si>
  <si>
    <t xml:space="preserve">  对事业单位经常性补助</t>
    <phoneticPr fontId="4" type="noConversion"/>
  </si>
  <si>
    <t xml:space="preserve">    工资福利支出  </t>
    <phoneticPr fontId="3" type="noConversion"/>
  </si>
  <si>
    <t xml:space="preserve">    商品和服务支出  </t>
    <phoneticPr fontId="3" type="noConversion"/>
  </si>
  <si>
    <t xml:space="preserve">  对企业补助</t>
    <phoneticPr fontId="4" type="noConversion"/>
  </si>
  <si>
    <t xml:space="preserve">    其他对企业补助  </t>
    <phoneticPr fontId="3" type="noConversion"/>
  </si>
  <si>
    <t xml:space="preserve">  对个人和家庭补助</t>
    <phoneticPr fontId="4" type="noConversion"/>
  </si>
  <si>
    <t xml:space="preserve">    离退休费  </t>
    <phoneticPr fontId="3" type="noConversion"/>
  </si>
  <si>
    <t xml:space="preserve">    其他对个人和家庭补助  </t>
    <phoneticPr fontId="3" type="noConversion"/>
  </si>
  <si>
    <t xml:space="preserve">  债务利息及费用支出</t>
    <phoneticPr fontId="4" type="noConversion"/>
  </si>
  <si>
    <t xml:space="preserve">    国内债务付息  </t>
    <phoneticPr fontId="3" type="noConversion"/>
  </si>
  <si>
    <t xml:space="preserve">  一般公共服务支出</t>
    <phoneticPr fontId="4" type="noConversion"/>
  </si>
  <si>
    <t xml:space="preserve">    财政事务</t>
    <phoneticPr fontId="4" type="noConversion"/>
  </si>
  <si>
    <t xml:space="preserve">  文化体育及传媒支出</t>
    <phoneticPr fontId="4" type="noConversion"/>
  </si>
  <si>
    <t xml:space="preserve">    文化</t>
    <phoneticPr fontId="4" type="noConversion"/>
  </si>
  <si>
    <t xml:space="preserve">  社会保障和就业支出</t>
    <phoneticPr fontId="3" type="noConversion"/>
  </si>
  <si>
    <t xml:space="preserve">    抚恤</t>
    <phoneticPr fontId="3" type="noConversion"/>
  </si>
  <si>
    <t xml:space="preserve">  农林水支出</t>
    <phoneticPr fontId="4" type="noConversion"/>
  </si>
  <si>
    <t xml:space="preserve">    农业</t>
    <phoneticPr fontId="4" type="noConversion"/>
  </si>
  <si>
    <t xml:space="preserve">    林业</t>
    <phoneticPr fontId="4" type="noConversion"/>
  </si>
  <si>
    <t xml:space="preserve">    农村综合改革</t>
    <phoneticPr fontId="4" type="noConversion"/>
  </si>
  <si>
    <t xml:space="preserve">  国土海洋与气象等支出</t>
    <phoneticPr fontId="4" type="noConversion"/>
  </si>
  <si>
    <t xml:space="preserve">    海洋管理事务</t>
    <phoneticPr fontId="4" type="noConversion"/>
  </si>
  <si>
    <t xml:space="preserve">  住房保障支出</t>
    <phoneticPr fontId="4" type="noConversion"/>
  </si>
  <si>
    <t xml:space="preserve">    住房改革支出</t>
    <phoneticPr fontId="4" type="noConversion"/>
  </si>
  <si>
    <t xml:space="preserve">  大中型水库移民扶持基金支出</t>
    <phoneticPr fontId="4" type="noConversion"/>
  </si>
  <si>
    <t xml:space="preserve">  政府住房基金支出</t>
    <phoneticPr fontId="3" type="noConversion"/>
  </si>
  <si>
    <t xml:space="preserve">  小型水库移民扶持基金支出</t>
    <phoneticPr fontId="4" type="noConversion"/>
  </si>
  <si>
    <t xml:space="preserve">  国有土地使用权出让收入安排的支出</t>
    <phoneticPr fontId="3" type="noConversion"/>
  </si>
  <si>
    <t xml:space="preserve">  城市公用事业附加安排的支出</t>
    <phoneticPr fontId="3" type="noConversion"/>
  </si>
  <si>
    <t xml:space="preserve">  国有土地收益基金支出</t>
    <phoneticPr fontId="3" type="noConversion"/>
  </si>
  <si>
    <t xml:space="preserve">    征地和拆迁补偿支出</t>
    <phoneticPr fontId="3" type="noConversion"/>
  </si>
  <si>
    <t xml:space="preserve">  农业土地开发资金支出</t>
    <phoneticPr fontId="3" type="noConversion"/>
  </si>
  <si>
    <t xml:space="preserve">  新增建设用地土地有偿使用费</t>
    <phoneticPr fontId="4" type="noConversion"/>
  </si>
  <si>
    <t xml:space="preserve">  城市基础设施配套费安排的支出</t>
    <phoneticPr fontId="3" type="noConversion"/>
  </si>
  <si>
    <t xml:space="preserve">  重大水利工程建设基金支出</t>
    <phoneticPr fontId="4" type="noConversion"/>
  </si>
  <si>
    <t xml:space="preserve">  污水处理费安排的支出</t>
    <phoneticPr fontId="4" type="noConversion"/>
  </si>
  <si>
    <t xml:space="preserve">  其他政府性基金安排的支出</t>
    <phoneticPr fontId="4" type="noConversion"/>
  </si>
  <si>
    <t xml:space="preserve">  价格调节基金支出</t>
    <phoneticPr fontId="4" type="noConversion"/>
  </si>
  <si>
    <t xml:space="preserve">  彩票发行销售机构业务费</t>
    <phoneticPr fontId="4" type="noConversion"/>
  </si>
  <si>
    <t xml:space="preserve">  彩票公益金安排的支出</t>
    <phoneticPr fontId="3" type="noConversion"/>
  </si>
  <si>
    <t xml:space="preserve">    用于社会福利的彩票公益金</t>
    <phoneticPr fontId="4" type="noConversion"/>
  </si>
  <si>
    <t xml:space="preserve">    用于体育事业的彩票公益金</t>
    <phoneticPr fontId="4" type="noConversion"/>
  </si>
  <si>
    <t xml:space="preserve">    用于残疾人事业额的彩票公益金</t>
    <phoneticPr fontId="3" type="noConversion"/>
  </si>
  <si>
    <t xml:space="preserve">     其他国有资本经营预算支出</t>
    <phoneticPr fontId="3" type="noConversion"/>
  </si>
  <si>
    <t xml:space="preserve">  机关工资福利支出</t>
    <phoneticPr fontId="4" type="noConversion"/>
  </si>
  <si>
    <t xml:space="preserve">    社会保障缴费  </t>
    <phoneticPr fontId="3" type="noConversion"/>
  </si>
  <si>
    <t xml:space="preserve">    其他工资福利支出  </t>
    <phoneticPr fontId="3" type="noConversion"/>
  </si>
  <si>
    <t xml:space="preserve">  机关商品和服务支出</t>
    <phoneticPr fontId="4" type="noConversion"/>
  </si>
  <si>
    <t xml:space="preserve">    办公经费  </t>
    <phoneticPr fontId="3" type="noConversion"/>
  </si>
  <si>
    <t xml:space="preserve">    委托业务费  </t>
    <phoneticPr fontId="3" type="noConversion"/>
  </si>
  <si>
    <t xml:space="preserve">    因公出国（境）费用  </t>
    <phoneticPr fontId="3" type="noConversion"/>
  </si>
  <si>
    <t xml:space="preserve">    其他商品和服务支出  </t>
    <phoneticPr fontId="3" type="noConversion"/>
  </si>
  <si>
    <t xml:space="preserve">    设备购置  </t>
    <phoneticPr fontId="3" type="noConversion"/>
  </si>
  <si>
    <t xml:space="preserve">    大型修缮  </t>
    <phoneticPr fontId="3" type="noConversion"/>
  </si>
  <si>
    <t xml:space="preserve">  对事业单位资本性补助</t>
    <phoneticPr fontId="4" type="noConversion"/>
  </si>
  <si>
    <t xml:space="preserve">    资本性支出（二）  </t>
    <phoneticPr fontId="3" type="noConversion"/>
  </si>
  <si>
    <t xml:space="preserve">    资本性支出（一）  </t>
    <phoneticPr fontId="3" type="noConversion"/>
  </si>
  <si>
    <t xml:space="preserve">    社会福利和救助  </t>
    <phoneticPr fontId="3" type="noConversion"/>
  </si>
  <si>
    <t xml:space="preserve">    助学金  </t>
    <phoneticPr fontId="3" type="noConversion"/>
  </si>
  <si>
    <t xml:space="preserve">    个人农业生产补贴  </t>
    <phoneticPr fontId="3" type="noConversion"/>
  </si>
  <si>
    <t xml:space="preserve">    国外债务付息  </t>
    <phoneticPr fontId="3" type="noConversion"/>
  </si>
  <si>
    <t xml:space="preserve">  其他支出  </t>
    <phoneticPr fontId="4" type="noConversion"/>
  </si>
  <si>
    <t xml:space="preserve">    对民间非营利组织和群众性自治组织补贴  </t>
    <phoneticPr fontId="3" type="noConversion"/>
  </si>
  <si>
    <t xml:space="preserve">    其他支出  </t>
    <phoneticPr fontId="3" type="noConversion"/>
  </si>
  <si>
    <r>
      <t>2016</t>
    </r>
    <r>
      <rPr>
        <b/>
        <sz val="11"/>
        <color theme="1"/>
        <rFont val="宋体"/>
        <family val="3"/>
        <charset val="134"/>
        <scheme val="minor"/>
      </rPr>
      <t>年收入情况</t>
    </r>
    <phoneticPr fontId="4" type="noConversion"/>
  </si>
  <si>
    <r>
      <t>2017</t>
    </r>
    <r>
      <rPr>
        <b/>
        <sz val="11"/>
        <color theme="1"/>
        <rFont val="宋体"/>
        <family val="3"/>
        <charset val="134"/>
        <scheme val="minor"/>
      </rPr>
      <t>年收入任务情况</t>
    </r>
    <phoneticPr fontId="4" type="noConversion"/>
  </si>
  <si>
    <r>
      <t>2017</t>
    </r>
    <r>
      <rPr>
        <b/>
        <sz val="11"/>
        <color theme="1"/>
        <rFont val="宋体"/>
        <family val="3"/>
        <charset val="134"/>
        <scheme val="minor"/>
      </rPr>
      <t>年全年收入完成情况</t>
    </r>
    <phoneticPr fontId="4" type="noConversion"/>
  </si>
  <si>
    <t>项      目</t>
    <phoneticPr fontId="4" type="noConversion"/>
  </si>
  <si>
    <t>２、非税收入</t>
    <phoneticPr fontId="4" type="noConversion"/>
  </si>
  <si>
    <t>　其中:教育费附加收入</t>
    <phoneticPr fontId="4" type="noConversion"/>
  </si>
  <si>
    <t>　　   残疾人就业保障金收入</t>
    <phoneticPr fontId="4" type="noConversion"/>
  </si>
  <si>
    <t>　　   育林及森林植被恢复费</t>
    <phoneticPr fontId="4" type="noConversion"/>
  </si>
  <si>
    <t>　　   土地收益金提取教育资金</t>
    <phoneticPr fontId="4" type="noConversion"/>
  </si>
  <si>
    <t>　　   提取农田水利建设资金</t>
    <phoneticPr fontId="4" type="noConversion"/>
  </si>
  <si>
    <t>　行政事业性收费收入</t>
    <phoneticPr fontId="4" type="noConversion"/>
  </si>
  <si>
    <t>　罚没收入</t>
    <phoneticPr fontId="4" type="noConversion"/>
  </si>
  <si>
    <t>　国有资本经营收入</t>
    <phoneticPr fontId="4" type="noConversion"/>
  </si>
  <si>
    <t>　国有资产有偿使用收入</t>
    <phoneticPr fontId="4" type="noConversion"/>
  </si>
  <si>
    <t>　政府住房基金收入</t>
    <phoneticPr fontId="4" type="noConversion"/>
  </si>
  <si>
    <t>二、政府性基金预算收入</t>
    <phoneticPr fontId="4" type="noConversion"/>
  </si>
  <si>
    <t xml:space="preserve">  土地使用权出让金收入</t>
    <phoneticPr fontId="4" type="noConversion"/>
  </si>
  <si>
    <t>　农业土地开发资金收入</t>
    <phoneticPr fontId="4" type="noConversion"/>
  </si>
  <si>
    <t xml:space="preserve">  福利彩票公益金收入</t>
    <phoneticPr fontId="4" type="noConversion"/>
  </si>
  <si>
    <t xml:space="preserve">  体育彩票公益金收入</t>
    <phoneticPr fontId="4" type="noConversion"/>
  </si>
  <si>
    <t xml:space="preserve">  城市基础设施配套费</t>
    <phoneticPr fontId="4" type="noConversion"/>
  </si>
  <si>
    <t xml:space="preserve">  污水处理费收入</t>
    <phoneticPr fontId="4" type="noConversion"/>
  </si>
  <si>
    <t xml:space="preserve">  水土保持补偿费收入</t>
    <phoneticPr fontId="4" type="noConversion"/>
  </si>
  <si>
    <t xml:space="preserve">  价格调节基金收入</t>
    <phoneticPr fontId="4" type="noConversion"/>
  </si>
  <si>
    <t>三、国有资本经营预算收入</t>
    <phoneticPr fontId="4" type="noConversion"/>
  </si>
  <si>
    <t xml:space="preserve">  股利股息收入</t>
    <phoneticPr fontId="4" type="noConversion"/>
  </si>
  <si>
    <t>四、社会保险基金收入</t>
    <phoneticPr fontId="4" type="noConversion"/>
  </si>
  <si>
    <t xml:space="preserve">  机关事业基本养老保险基金</t>
    <phoneticPr fontId="4" type="noConversion"/>
  </si>
  <si>
    <t xml:space="preserve">  城乡居民基本养老保险基金</t>
    <phoneticPr fontId="4" type="noConversion"/>
  </si>
  <si>
    <t xml:space="preserve">  城镇职工基本医疗保险基金</t>
    <phoneticPr fontId="4" type="noConversion"/>
  </si>
  <si>
    <t xml:space="preserve">  居民基本医疗保险基金收入</t>
    <phoneticPr fontId="4" type="noConversion"/>
  </si>
  <si>
    <t xml:space="preserve">  失业保险基金收入</t>
    <phoneticPr fontId="4" type="noConversion"/>
  </si>
  <si>
    <t xml:space="preserve">  工伤保险基金收入</t>
    <phoneticPr fontId="4" type="noConversion"/>
  </si>
  <si>
    <t xml:space="preserve">  生育保险基金收入</t>
    <phoneticPr fontId="4" type="noConversion"/>
  </si>
  <si>
    <r>
      <t>附</t>
    </r>
    <r>
      <rPr>
        <sz val="10"/>
        <rFont val="宋体"/>
        <family val="3"/>
        <charset val="134"/>
        <scheme val="minor"/>
      </rPr>
      <t>:</t>
    </r>
    <r>
      <rPr>
        <b/>
        <sz val="10"/>
        <rFont val="宋体"/>
        <family val="3"/>
        <charset val="134"/>
        <scheme val="minor"/>
      </rPr>
      <t>一般公共预算收入分部门</t>
    </r>
    <phoneticPr fontId="4" type="noConversion"/>
  </si>
  <si>
    <t xml:space="preserve">  国税收入</t>
    <phoneticPr fontId="4" type="noConversion"/>
  </si>
  <si>
    <t xml:space="preserve">   其中:企业所得税</t>
    <phoneticPr fontId="4" type="noConversion"/>
  </si>
  <si>
    <t xml:space="preserve">  地税收入</t>
    <phoneticPr fontId="4" type="noConversion"/>
  </si>
  <si>
    <t xml:space="preserve">  财政部门收入</t>
    <phoneticPr fontId="4" type="noConversion"/>
  </si>
  <si>
    <t xml:space="preserve">  增值税</t>
    <phoneticPr fontId="4" type="noConversion"/>
  </si>
  <si>
    <t xml:space="preserve">  消费税</t>
    <phoneticPr fontId="4" type="noConversion"/>
  </si>
  <si>
    <t xml:space="preserve">  营业税</t>
    <phoneticPr fontId="4" type="noConversion"/>
  </si>
  <si>
    <t xml:space="preserve">  企业所得税</t>
    <phoneticPr fontId="4" type="noConversion"/>
  </si>
  <si>
    <t xml:space="preserve">  个人所得税</t>
    <phoneticPr fontId="4" type="noConversion"/>
  </si>
  <si>
    <t>一般公共预算总收入</t>
    <phoneticPr fontId="4" type="noConversion"/>
  </si>
  <si>
    <t xml:space="preserve">  扣减:土地收益金提取的教育资金和农   田水利建设资金</t>
    <phoneticPr fontId="4" type="noConversion"/>
  </si>
  <si>
    <t xml:space="preserve">    其他科学技术支出</t>
    <phoneticPr fontId="3" type="noConversion"/>
  </si>
  <si>
    <t xml:space="preserve">    企业改革</t>
    <phoneticPr fontId="3" type="noConversion"/>
  </si>
  <si>
    <r>
      <t xml:space="preserve">  </t>
    </r>
    <r>
      <rPr>
        <b/>
        <sz val="10"/>
        <rFont val="宋体"/>
        <family val="3"/>
        <charset val="134"/>
        <scheme val="minor"/>
      </rPr>
      <t>其他政府性基金支出</t>
    </r>
    <phoneticPr fontId="3" type="noConversion"/>
  </si>
  <si>
    <t>２、非税收入</t>
    <phoneticPr fontId="19" type="noConversion"/>
  </si>
  <si>
    <t>　其中:教育费附加收入</t>
    <phoneticPr fontId="19" type="noConversion"/>
  </si>
  <si>
    <t>　　    残疾人就业保障金收入</t>
    <phoneticPr fontId="19" type="noConversion"/>
  </si>
  <si>
    <t>　　    育林及森林植被恢复费</t>
    <phoneticPr fontId="19" type="noConversion"/>
  </si>
  <si>
    <t>　　    土地收益金提取教育资金</t>
    <phoneticPr fontId="19" type="noConversion"/>
  </si>
  <si>
    <t>　　    提取农田水利建设资金</t>
    <phoneticPr fontId="19" type="noConversion"/>
  </si>
  <si>
    <t>　行政事业性收费收入</t>
    <phoneticPr fontId="19" type="noConversion"/>
  </si>
  <si>
    <t>　罚没收入</t>
    <phoneticPr fontId="19" type="noConversion"/>
  </si>
  <si>
    <t>　国有资本经营收入</t>
    <phoneticPr fontId="19" type="noConversion"/>
  </si>
  <si>
    <t>　国有资产有偿使用收入</t>
    <phoneticPr fontId="19" type="noConversion"/>
  </si>
  <si>
    <t xml:space="preserve">  政府住房基金收入</t>
    <phoneticPr fontId="19" type="noConversion"/>
  </si>
  <si>
    <t>二、政府性基金预算收入</t>
    <phoneticPr fontId="19" type="noConversion"/>
  </si>
  <si>
    <t xml:space="preserve">  土地使用权出让金收入</t>
    <phoneticPr fontId="19" type="noConversion"/>
  </si>
  <si>
    <t xml:space="preserve">  扣减:土地收益金提取的教育资金和农田水利建设资金</t>
    <phoneticPr fontId="19" type="noConversion"/>
  </si>
  <si>
    <t>　农业土地开发资金收入</t>
    <phoneticPr fontId="19" type="noConversion"/>
  </si>
  <si>
    <t xml:space="preserve">  福利彩票公益金收入</t>
    <phoneticPr fontId="19" type="noConversion"/>
  </si>
  <si>
    <t xml:space="preserve">  体育彩票公益金收入</t>
    <phoneticPr fontId="19" type="noConversion"/>
  </si>
  <si>
    <t xml:space="preserve">  城市基础设施配套费</t>
    <phoneticPr fontId="19" type="noConversion"/>
  </si>
  <si>
    <t xml:space="preserve">  污水处理费收入</t>
    <phoneticPr fontId="19" type="noConversion"/>
  </si>
  <si>
    <t xml:space="preserve">  水土保持补偿费收入</t>
    <phoneticPr fontId="19" type="noConversion"/>
  </si>
  <si>
    <t xml:space="preserve">  价格调节基金收入</t>
    <phoneticPr fontId="19" type="noConversion"/>
  </si>
  <si>
    <t>三、国有资本经营预算收入</t>
    <phoneticPr fontId="19" type="noConversion"/>
  </si>
  <si>
    <t xml:space="preserve">  股利股息收入</t>
    <phoneticPr fontId="19" type="noConversion"/>
  </si>
  <si>
    <t>四、社会保险基金收入</t>
    <phoneticPr fontId="19" type="noConversion"/>
  </si>
  <si>
    <t xml:space="preserve">  机关事业基本养老保险基金</t>
    <phoneticPr fontId="19" type="noConversion"/>
  </si>
  <si>
    <t xml:space="preserve">  城乡居民基本养老保险基金</t>
    <phoneticPr fontId="19" type="noConversion"/>
  </si>
  <si>
    <t xml:space="preserve">  城镇职工基本医疗保险基金</t>
    <phoneticPr fontId="19" type="noConversion"/>
  </si>
  <si>
    <t xml:space="preserve">  城乡居民基本医疗保险基金收入</t>
    <phoneticPr fontId="19" type="noConversion"/>
  </si>
  <si>
    <t xml:space="preserve">  失业保险基金收入</t>
    <phoneticPr fontId="19" type="noConversion"/>
  </si>
  <si>
    <t xml:space="preserve">  工伤保险基金收入</t>
    <phoneticPr fontId="19" type="noConversion"/>
  </si>
  <si>
    <t xml:space="preserve">  生育保险基金收入</t>
    <phoneticPr fontId="19" type="noConversion"/>
  </si>
  <si>
    <t>附:一般公共预算收入分部门</t>
    <phoneticPr fontId="19" type="noConversion"/>
  </si>
  <si>
    <t xml:space="preserve">  国税收入</t>
    <phoneticPr fontId="19" type="noConversion"/>
  </si>
  <si>
    <t xml:space="preserve">   其中:企业所得税</t>
    <phoneticPr fontId="19" type="noConversion"/>
  </si>
  <si>
    <t xml:space="preserve">  地税收入</t>
    <phoneticPr fontId="19" type="noConversion"/>
  </si>
  <si>
    <t xml:space="preserve">  财政部门收入</t>
    <phoneticPr fontId="19" type="noConversion"/>
  </si>
  <si>
    <t xml:space="preserve">  增值税</t>
    <phoneticPr fontId="19" type="noConversion"/>
  </si>
  <si>
    <t xml:space="preserve">  消费税</t>
    <phoneticPr fontId="19" type="noConversion"/>
  </si>
  <si>
    <t xml:space="preserve">  营业税</t>
    <phoneticPr fontId="19" type="noConversion"/>
  </si>
  <si>
    <t xml:space="preserve">  企业所得税</t>
    <phoneticPr fontId="19" type="noConversion"/>
  </si>
  <si>
    <t xml:space="preserve">  个人所得税</t>
    <phoneticPr fontId="19" type="noConversion"/>
  </si>
  <si>
    <t>一般公共预算总收入</t>
    <phoneticPr fontId="19" type="noConversion"/>
  </si>
  <si>
    <t>项                     目</t>
    <phoneticPr fontId="19" type="noConversion"/>
  </si>
  <si>
    <t>2017年收入执行情况</t>
    <phoneticPr fontId="19" type="noConversion"/>
  </si>
  <si>
    <t>2018年收入预算情况</t>
    <phoneticPr fontId="19" type="noConversion"/>
  </si>
  <si>
    <t>年度预算</t>
    <phoneticPr fontId="19" type="noConversion"/>
  </si>
  <si>
    <t>完成数</t>
    <phoneticPr fontId="19" type="noConversion"/>
  </si>
  <si>
    <t>比上年增长(％)</t>
    <phoneticPr fontId="19" type="noConversion"/>
  </si>
  <si>
    <t>预算数</t>
    <phoneticPr fontId="19" type="noConversion"/>
  </si>
  <si>
    <t>一、一般公共预算收入</t>
    <phoneticPr fontId="19" type="noConversion"/>
  </si>
  <si>
    <t>１、税收收入</t>
    <phoneticPr fontId="19" type="noConversion"/>
  </si>
  <si>
    <t>　国内增值税</t>
    <phoneticPr fontId="19" type="noConversion"/>
  </si>
  <si>
    <t xml:space="preserve">  改征增值税</t>
    <phoneticPr fontId="19" type="noConversion"/>
  </si>
  <si>
    <t>　印花税</t>
    <phoneticPr fontId="19" type="noConversion"/>
  </si>
  <si>
    <t>　车船税</t>
    <phoneticPr fontId="19" type="noConversion"/>
  </si>
  <si>
    <t>项          目</t>
    <phoneticPr fontId="4" type="noConversion"/>
  </si>
  <si>
    <t>2017年           年初预算</t>
    <phoneticPr fontId="4" type="noConversion"/>
  </si>
  <si>
    <t>2017年            年度预算</t>
    <phoneticPr fontId="4" type="noConversion"/>
  </si>
  <si>
    <t>2018年            预算安排</t>
    <phoneticPr fontId="4" type="noConversion"/>
  </si>
  <si>
    <t>比上年度   预算增减</t>
    <phoneticPr fontId="4" type="noConversion"/>
  </si>
  <si>
    <t>比上年预算增长%</t>
    <phoneticPr fontId="4" type="noConversion"/>
  </si>
  <si>
    <t xml:space="preserve">    国有土地使用权出让收入及对应专项债务收入安排的支出</t>
    <phoneticPr fontId="4" type="noConversion"/>
  </si>
  <si>
    <t>转列一般预算</t>
    <phoneticPr fontId="4" type="noConversion"/>
  </si>
  <si>
    <t>收        入</t>
    <phoneticPr fontId="19" type="noConversion"/>
  </si>
  <si>
    <t>支         出</t>
    <phoneticPr fontId="19" type="noConversion"/>
  </si>
  <si>
    <t>项目</t>
    <phoneticPr fontId="19" type="noConversion"/>
  </si>
  <si>
    <t>2018年预算</t>
    <phoneticPr fontId="19" type="noConversion"/>
  </si>
  <si>
    <t>2017年预算</t>
    <phoneticPr fontId="19" type="noConversion"/>
  </si>
  <si>
    <t>一般公共预算部分</t>
    <phoneticPr fontId="19" type="noConversion"/>
  </si>
  <si>
    <t>(一)一般公共预算收入</t>
    <phoneticPr fontId="19" type="noConversion"/>
  </si>
  <si>
    <t>(一)一般公共预算支出</t>
    <phoneticPr fontId="19" type="noConversion"/>
  </si>
  <si>
    <t xml:space="preserve">  税收收入</t>
    <phoneticPr fontId="19" type="noConversion"/>
  </si>
  <si>
    <t>(二)上解支出(省结算)</t>
    <phoneticPr fontId="19" type="noConversion"/>
  </si>
  <si>
    <t xml:space="preserve">  非税收入</t>
    <phoneticPr fontId="19" type="noConversion"/>
  </si>
  <si>
    <t>(三)安排预算稳定调节基金</t>
    <phoneticPr fontId="19" type="noConversion"/>
  </si>
  <si>
    <t>(二)上级财力性转移补助收入</t>
    <phoneticPr fontId="19" type="noConversion"/>
  </si>
  <si>
    <t>(四)调出资金</t>
    <phoneticPr fontId="19" type="noConversion"/>
  </si>
  <si>
    <t>1.返还性收入</t>
    <phoneticPr fontId="19" type="noConversion"/>
  </si>
  <si>
    <t>(五)年终结余</t>
    <phoneticPr fontId="19" type="noConversion"/>
  </si>
  <si>
    <t xml:space="preserve">  增值税、消费税返还收入</t>
    <phoneticPr fontId="19" type="noConversion"/>
  </si>
  <si>
    <t xml:space="preserve">  所得税基数返还收入</t>
    <phoneticPr fontId="19" type="noConversion"/>
  </si>
  <si>
    <t xml:space="preserve">  车辆燃油税改革返还收入</t>
    <phoneticPr fontId="19" type="noConversion"/>
  </si>
  <si>
    <t xml:space="preserve">  营改增税收返还基数</t>
    <phoneticPr fontId="19" type="noConversion"/>
  </si>
  <si>
    <t>2.一般转移支付补助</t>
    <phoneticPr fontId="19" type="noConversion"/>
  </si>
  <si>
    <t xml:space="preserve">  体制补助收入</t>
    <phoneticPr fontId="19" type="noConversion"/>
  </si>
  <si>
    <t xml:space="preserve">  均衡性(含调资)转移补助</t>
    <phoneticPr fontId="19" type="noConversion"/>
  </si>
  <si>
    <t xml:space="preserve">  农村税费改革转移补助</t>
    <phoneticPr fontId="19" type="noConversion"/>
  </si>
  <si>
    <t xml:space="preserve">  县级基本财力保障机制奖补</t>
    <phoneticPr fontId="19" type="noConversion"/>
  </si>
  <si>
    <t xml:space="preserve">  其他转移支付补助</t>
    <phoneticPr fontId="19" type="noConversion"/>
  </si>
  <si>
    <t>(三)上级对实验区专项补助</t>
    <phoneticPr fontId="19" type="noConversion"/>
  </si>
  <si>
    <t>(四)省级税费返还收入</t>
    <phoneticPr fontId="19" type="noConversion"/>
  </si>
  <si>
    <t>(五)地方政府一般债券收入</t>
    <phoneticPr fontId="19" type="noConversion"/>
  </si>
  <si>
    <t>(六)福州市补助</t>
    <phoneticPr fontId="19" type="noConversion"/>
  </si>
  <si>
    <t>(七)动用上年结余</t>
    <phoneticPr fontId="19" type="noConversion"/>
  </si>
  <si>
    <t>(八)动用预算稳定调节基金</t>
    <phoneticPr fontId="19" type="noConversion"/>
  </si>
  <si>
    <t>(九)调入资金</t>
    <phoneticPr fontId="19" type="noConversion"/>
  </si>
  <si>
    <t>一般公共预算收入合计</t>
    <phoneticPr fontId="19" type="noConversion"/>
  </si>
  <si>
    <t>一般公共预算支出合计</t>
    <phoneticPr fontId="19" type="noConversion"/>
  </si>
  <si>
    <t>政府性基金预算部分</t>
    <phoneticPr fontId="19" type="noConversion"/>
  </si>
  <si>
    <t>(一)政府性基金预算收入</t>
    <phoneticPr fontId="19" type="noConversion"/>
  </si>
  <si>
    <t>(一)政府性基金预算支出</t>
    <phoneticPr fontId="19" type="noConversion"/>
  </si>
  <si>
    <t>(二)上年政府性基金结余</t>
    <phoneticPr fontId="19" type="noConversion"/>
  </si>
  <si>
    <t>(三)专项置换债券转贷收入</t>
    <phoneticPr fontId="19" type="noConversion"/>
  </si>
  <si>
    <t>(二)专项置换债券还本</t>
    <phoneticPr fontId="19" type="noConversion"/>
  </si>
  <si>
    <t>政府性基金预算收入合计</t>
    <phoneticPr fontId="19" type="noConversion"/>
  </si>
  <si>
    <t>政府性基金预算支出合计</t>
    <phoneticPr fontId="19" type="noConversion"/>
  </si>
  <si>
    <t>国有资本经营预算部分</t>
    <phoneticPr fontId="19" type="noConversion"/>
  </si>
  <si>
    <t>(一)国有资本经营预算收入</t>
    <phoneticPr fontId="19" type="noConversion"/>
  </si>
  <si>
    <t>(一)国有资本经营预算支出</t>
    <phoneticPr fontId="19" type="noConversion"/>
  </si>
  <si>
    <t>(二)上年结余</t>
    <phoneticPr fontId="19" type="noConversion"/>
  </si>
  <si>
    <t>(二)国有资本经营预算调出</t>
    <phoneticPr fontId="19" type="noConversion"/>
  </si>
  <si>
    <t>国有资本经营预算收入合计</t>
    <phoneticPr fontId="19" type="noConversion"/>
  </si>
  <si>
    <t>国有资本经营预算支出合计</t>
    <phoneticPr fontId="19" type="noConversion"/>
  </si>
  <si>
    <t>社会保险基金预算部分</t>
    <phoneticPr fontId="19" type="noConversion"/>
  </si>
  <si>
    <t>(一)社会保险基金收入</t>
    <phoneticPr fontId="19" type="noConversion"/>
  </si>
  <si>
    <t>(一)社会保险基金支出</t>
    <phoneticPr fontId="19" type="noConversion"/>
  </si>
  <si>
    <t>(二)上年社会保险基金结余</t>
    <phoneticPr fontId="19" type="noConversion"/>
  </si>
  <si>
    <t>(二)年末社会保险基金结余</t>
    <phoneticPr fontId="19" type="noConversion"/>
  </si>
  <si>
    <t>社会保险基金预算收入合计</t>
    <phoneticPr fontId="19" type="noConversion"/>
  </si>
  <si>
    <t>社会保险基金预算支出合计</t>
    <phoneticPr fontId="19" type="noConversion"/>
  </si>
  <si>
    <t>区财政金融局</t>
    <phoneticPr fontId="19" type="noConversion"/>
  </si>
  <si>
    <t>年初预算</t>
    <phoneticPr fontId="3" type="noConversion"/>
  </si>
  <si>
    <t xml:space="preserve">    平潭2017年财政收入完成表(附表1)</t>
    <phoneticPr fontId="4" type="noConversion"/>
  </si>
  <si>
    <t>平潭2017年财政支出预计完成表(附表2)</t>
    <phoneticPr fontId="4" type="noConversion"/>
  </si>
  <si>
    <t>平潭2017年度财政收支预计平衡表(附表3)</t>
    <phoneticPr fontId="4" type="noConversion"/>
  </si>
  <si>
    <t>平潭2018年财政收入预算安排表(附表4)</t>
    <phoneticPr fontId="19" type="noConversion"/>
  </si>
  <si>
    <t>平潭2018年财政支出预算安排表(附表5)</t>
    <phoneticPr fontId="4" type="noConversion"/>
  </si>
  <si>
    <t>平潭2018年财政收支预算安排平衡表(附表7)</t>
    <phoneticPr fontId="19" type="noConversion"/>
  </si>
  <si>
    <t>比上年增减</t>
    <phoneticPr fontId="19" type="noConversion"/>
  </si>
  <si>
    <t>比上年增长(％)</t>
    <phoneticPr fontId="19" type="noConversion"/>
  </si>
  <si>
    <t>平潭2018年财政支出政府预算经济分类支出表(附表6)</t>
    <phoneticPr fontId="3" type="noConversion"/>
  </si>
</sst>
</file>

<file path=xl/styles.xml><?xml version="1.0" encoding="utf-8"?>
<styleSheet xmlns="http://schemas.openxmlformats.org/spreadsheetml/2006/main">
  <numFmts count="3">
    <numFmt numFmtId="176" formatCode="0_ "/>
    <numFmt numFmtId="177" formatCode="0.00_ "/>
    <numFmt numFmtId="178" formatCode="0.0_ "/>
  </numFmts>
  <fonts count="52"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sz val="16"/>
      <name val="黑体"/>
      <family val="3"/>
      <charset val="134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sz val="10"/>
      <name val="Arial"/>
      <family val="2"/>
    </font>
    <font>
      <sz val="10"/>
      <color indexed="10"/>
      <name val="Arial"/>
      <family val="2"/>
    </font>
    <font>
      <sz val="11"/>
      <name val="宋体"/>
      <family val="3"/>
      <charset val="134"/>
    </font>
    <font>
      <sz val="10"/>
      <name val="宋体"/>
      <family val="3"/>
      <charset val="134"/>
    </font>
    <font>
      <b/>
      <sz val="11"/>
      <name val="Arial"/>
      <family val="2"/>
    </font>
    <font>
      <sz val="11"/>
      <name val="Arial"/>
      <family val="2"/>
    </font>
    <font>
      <sz val="11"/>
      <color indexed="10"/>
      <name val="Arial"/>
      <family val="2"/>
    </font>
    <font>
      <sz val="11"/>
      <color indexed="10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Arial"/>
      <family val="2"/>
    </font>
    <font>
      <b/>
      <sz val="11"/>
      <color indexed="10"/>
      <name val="Arial"/>
      <family val="2"/>
    </font>
    <font>
      <sz val="10"/>
      <color indexed="10"/>
      <name val="宋体"/>
      <family val="3"/>
      <charset val="134"/>
    </font>
    <font>
      <b/>
      <sz val="10"/>
      <color indexed="10"/>
      <name val="宋体"/>
      <family val="3"/>
      <charset val="134"/>
    </font>
    <font>
      <sz val="12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1"/>
      <name val="宋体"/>
      <charset val="134"/>
    </font>
    <font>
      <b/>
      <sz val="12"/>
      <name val="黑体"/>
      <family val="3"/>
      <charset val="134"/>
    </font>
    <font>
      <sz val="12"/>
      <name val="黑体"/>
      <family val="3"/>
      <charset val="134"/>
    </font>
    <font>
      <b/>
      <sz val="11"/>
      <name val="黑体"/>
      <family val="3"/>
      <charset val="134"/>
    </font>
    <font>
      <sz val="11"/>
      <name val="黑体"/>
      <family val="3"/>
      <charset val="134"/>
    </font>
    <font>
      <b/>
      <sz val="12"/>
      <name val="宋体"/>
      <charset val="134"/>
    </font>
    <font>
      <sz val="26"/>
      <name val="华文细黑"/>
      <charset val="134"/>
    </font>
    <font>
      <sz val="24"/>
      <name val="华文细黑"/>
      <charset val="134"/>
    </font>
    <font>
      <sz val="14"/>
      <name val="华文细黑"/>
      <charset val="134"/>
    </font>
    <font>
      <sz val="18"/>
      <name val="华文楷体"/>
      <charset val="134"/>
    </font>
    <font>
      <sz val="22"/>
      <name val="宋体"/>
      <charset val="134"/>
    </font>
    <font>
      <sz val="22"/>
      <name val="华文楷体"/>
      <charset val="134"/>
    </font>
    <font>
      <b/>
      <sz val="11"/>
      <color theme="1"/>
      <name val="宋体"/>
      <family val="2"/>
      <charset val="134"/>
      <scheme val="minor"/>
    </font>
    <font>
      <b/>
      <sz val="11"/>
      <name val="宋体"/>
      <family val="3"/>
      <charset val="134"/>
    </font>
    <font>
      <b/>
      <sz val="10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2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b/>
      <sz val="16"/>
      <name val="宋体"/>
      <family val="3"/>
      <charset val="134"/>
      <scheme val="minor"/>
    </font>
    <font>
      <b/>
      <sz val="18"/>
      <name val="宋体"/>
      <family val="3"/>
      <charset val="134"/>
      <scheme val="minor"/>
    </font>
    <font>
      <b/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0"/>
      <color indexed="10"/>
      <name val="宋体"/>
      <family val="3"/>
      <charset val="134"/>
      <scheme val="minor"/>
    </font>
    <font>
      <sz val="10"/>
      <color indexed="10"/>
      <name val="宋体"/>
      <family val="3"/>
      <charset val="134"/>
      <scheme val="minor"/>
    </font>
    <font>
      <sz val="18"/>
      <name val="华文楷体"/>
      <family val="3"/>
      <charset val="134"/>
    </font>
    <font>
      <b/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/>
    <xf numFmtId="0" fontId="18" fillId="0" borderId="0"/>
    <xf numFmtId="0" fontId="21" fillId="0" borderId="0"/>
    <xf numFmtId="0" fontId="18" fillId="0" borderId="0"/>
  </cellStyleXfs>
  <cellXfs count="283">
    <xf numFmtId="0" fontId="0" fillId="0" borderId="0" xfId="0">
      <alignment vertical="center"/>
    </xf>
    <xf numFmtId="49" fontId="5" fillId="0" borderId="0" xfId="1" applyNumberFormat="1" applyFont="1" applyFill="1" applyAlignment="1">
      <alignment horizontal="center"/>
    </xf>
    <xf numFmtId="0" fontId="5" fillId="0" borderId="0" xfId="2" applyFont="1" applyFill="1"/>
    <xf numFmtId="0" fontId="19" fillId="0" borderId="0" xfId="2" applyFont="1" applyFill="1"/>
    <xf numFmtId="0" fontId="19" fillId="0" borderId="0" xfId="2" applyFont="1" applyFill="1" applyBorder="1" applyAlignment="1">
      <alignment horizontal="center" wrapText="1"/>
    </xf>
    <xf numFmtId="9" fontId="19" fillId="0" borderId="0" xfId="2" applyNumberFormat="1" applyFont="1" applyFill="1"/>
    <xf numFmtId="0" fontId="21" fillId="0" borderId="0" xfId="2" applyFont="1" applyFill="1" applyBorder="1" applyAlignment="1">
      <alignment horizontal="center" wrapText="1"/>
    </xf>
    <xf numFmtId="178" fontId="24" fillId="0" borderId="2" xfId="2" applyNumberFormat="1" applyFont="1" applyFill="1" applyBorder="1" applyAlignment="1">
      <alignment horizontal="right" vertical="center"/>
    </xf>
    <xf numFmtId="0" fontId="23" fillId="0" borderId="2" xfId="2" applyFont="1" applyFill="1" applyBorder="1"/>
    <xf numFmtId="0" fontId="23" fillId="0" borderId="2" xfId="2" applyFont="1" applyFill="1" applyBorder="1" applyAlignment="1">
      <alignment horizontal="right"/>
    </xf>
    <xf numFmtId="0" fontId="23" fillId="0" borderId="2" xfId="2" applyFont="1" applyFill="1" applyBorder="1" applyAlignment="1">
      <alignment horizontal="right" vertical="center"/>
    </xf>
    <xf numFmtId="0" fontId="24" fillId="0" borderId="2" xfId="2" applyFont="1" applyFill="1" applyBorder="1" applyAlignment="1">
      <alignment vertical="center"/>
    </xf>
    <xf numFmtId="0" fontId="23" fillId="0" borderId="2" xfId="2" applyFont="1" applyFill="1" applyBorder="1" applyAlignment="1">
      <alignment vertical="center"/>
    </xf>
    <xf numFmtId="0" fontId="25" fillId="0" borderId="2" xfId="2" applyFont="1" applyFill="1" applyBorder="1" applyAlignment="1">
      <alignment vertical="center"/>
    </xf>
    <xf numFmtId="0" fontId="23" fillId="0" borderId="5" xfId="2" applyFont="1" applyFill="1" applyBorder="1" applyAlignment="1">
      <alignment vertical="center"/>
    </xf>
    <xf numFmtId="0" fontId="27" fillId="0" borderId="2" xfId="2" applyFont="1" applyFill="1" applyBorder="1" applyAlignment="1">
      <alignment vertical="center" wrapText="1"/>
    </xf>
    <xf numFmtId="0" fontId="19" fillId="0" borderId="2" xfId="2" applyFont="1" applyFill="1" applyBorder="1"/>
    <xf numFmtId="0" fontId="24" fillId="0" borderId="2" xfId="2" applyFont="1" applyFill="1" applyBorder="1"/>
    <xf numFmtId="0" fontId="23" fillId="0" borderId="13" xfId="2" applyFont="1" applyFill="1" applyBorder="1"/>
    <xf numFmtId="0" fontId="24" fillId="0" borderId="2" xfId="2" applyFont="1" applyFill="1" applyBorder="1" applyAlignment="1">
      <alignment horizontal="right" vertical="center"/>
    </xf>
    <xf numFmtId="0" fontId="18" fillId="0" borderId="0" xfId="4"/>
    <xf numFmtId="0" fontId="5" fillId="0" borderId="0" xfId="2" applyFont="1"/>
    <xf numFmtId="0" fontId="24" fillId="0" borderId="2" xfId="2" applyFont="1" applyFill="1" applyBorder="1" applyAlignment="1">
      <alignment horizontal="right"/>
    </xf>
    <xf numFmtId="0" fontId="26" fillId="0" borderId="2" xfId="2" applyFont="1" applyFill="1" applyBorder="1" applyAlignment="1">
      <alignment vertical="center"/>
    </xf>
    <xf numFmtId="0" fontId="24" fillId="0" borderId="4" xfId="2" applyFont="1" applyFill="1" applyBorder="1"/>
    <xf numFmtId="176" fontId="24" fillId="0" borderId="2" xfId="2" applyNumberFormat="1" applyFont="1" applyFill="1" applyBorder="1" applyAlignment="1">
      <alignment horizontal="right" vertical="center"/>
    </xf>
    <xf numFmtId="0" fontId="29" fillId="0" borderId="0" xfId="2" applyFont="1" applyAlignment="1">
      <alignment wrapText="1"/>
    </xf>
    <xf numFmtId="0" fontId="32" fillId="0" borderId="0" xfId="2" applyFont="1" applyAlignment="1"/>
    <xf numFmtId="0" fontId="4" fillId="0" borderId="0" xfId="2" applyFont="1" applyFill="1"/>
    <xf numFmtId="0" fontId="4" fillId="0" borderId="0" xfId="2" applyFont="1" applyFill="1" applyBorder="1" applyAlignment="1">
      <alignment horizontal="center" wrapText="1"/>
    </xf>
    <xf numFmtId="9" fontId="4" fillId="0" borderId="0" xfId="2" applyNumberFormat="1" applyFont="1" applyFill="1"/>
    <xf numFmtId="0" fontId="8" fillId="0" borderId="0" xfId="2" applyFont="1" applyFill="1" applyBorder="1" applyAlignment="1">
      <alignment horizontal="center" wrapText="1"/>
    </xf>
    <xf numFmtId="0" fontId="1" fillId="0" borderId="2" xfId="2" applyFont="1" applyFill="1" applyBorder="1" applyAlignment="1">
      <alignment vertical="center" wrapText="1"/>
    </xf>
    <xf numFmtId="0" fontId="4" fillId="0" borderId="2" xfId="2" applyFont="1" applyFill="1" applyBorder="1"/>
    <xf numFmtId="0" fontId="7" fillId="0" borderId="1" xfId="2" applyFont="1" applyBorder="1"/>
    <xf numFmtId="0" fontId="8" fillId="0" borderId="1" xfId="2" applyFont="1" applyBorder="1" applyAlignment="1">
      <alignment horizontal="right"/>
    </xf>
    <xf numFmtId="0" fontId="5" fillId="0" borderId="0" xfId="2" applyFont="1" applyAlignment="1">
      <alignment vertical="center"/>
    </xf>
    <xf numFmtId="0" fontId="14" fillId="0" borderId="0" xfId="2" applyFont="1" applyAlignment="1">
      <alignment vertical="center"/>
    </xf>
    <xf numFmtId="0" fontId="9" fillId="0" borderId="2" xfId="1" applyNumberFormat="1" applyFont="1" applyFill="1" applyBorder="1" applyAlignment="1">
      <alignment horizontal="center" vertical="center" wrapText="1"/>
    </xf>
    <xf numFmtId="178" fontId="40" fillId="0" borderId="2" xfId="2" applyNumberFormat="1" applyFont="1" applyFill="1" applyBorder="1" applyAlignment="1">
      <alignment horizontal="right" vertical="center"/>
    </xf>
    <xf numFmtId="0" fontId="40" fillId="0" borderId="2" xfId="2" applyFont="1" applyFill="1" applyBorder="1" applyAlignment="1">
      <alignment horizontal="right" vertical="center"/>
    </xf>
    <xf numFmtId="0" fontId="40" fillId="0" borderId="2" xfId="2" applyFont="1" applyFill="1" applyBorder="1" applyAlignment="1">
      <alignment vertical="center"/>
    </xf>
    <xf numFmtId="0" fontId="39" fillId="0" borderId="2" xfId="2" applyFont="1" applyFill="1" applyBorder="1" applyAlignment="1">
      <alignment vertical="center"/>
    </xf>
    <xf numFmtId="178" fontId="37" fillId="0" borderId="2" xfId="2" applyNumberFormat="1" applyFont="1" applyFill="1" applyBorder="1" applyAlignment="1">
      <alignment horizontal="right" vertical="center"/>
    </xf>
    <xf numFmtId="0" fontId="42" fillId="0" borderId="2" xfId="2" applyFont="1" applyFill="1" applyBorder="1" applyAlignment="1">
      <alignment vertical="center"/>
    </xf>
    <xf numFmtId="0" fontId="40" fillId="0" borderId="5" xfId="2" applyFont="1" applyFill="1" applyBorder="1" applyAlignment="1">
      <alignment vertical="center"/>
    </xf>
    <xf numFmtId="178" fontId="40" fillId="0" borderId="5" xfId="2" applyNumberFormat="1" applyFont="1" applyFill="1" applyBorder="1" applyAlignment="1">
      <alignment horizontal="right" vertical="center"/>
    </xf>
    <xf numFmtId="0" fontId="40" fillId="0" borderId="2" xfId="2" applyFont="1" applyFill="1" applyBorder="1" applyAlignment="1">
      <alignment vertical="center" wrapText="1"/>
    </xf>
    <xf numFmtId="0" fontId="41" fillId="0" borderId="2" xfId="2" applyFont="1" applyFill="1" applyBorder="1" applyAlignment="1">
      <alignment vertical="center"/>
    </xf>
    <xf numFmtId="0" fontId="20" fillId="0" borderId="0" xfId="2" applyFont="1" applyFill="1"/>
    <xf numFmtId="0" fontId="24" fillId="0" borderId="2" xfId="2" applyFont="1" applyFill="1" applyBorder="1" applyAlignment="1">
      <alignment horizontal="center" vertical="center"/>
    </xf>
    <xf numFmtId="0" fontId="24" fillId="0" borderId="5" xfId="2" applyFont="1" applyFill="1" applyBorder="1" applyAlignment="1">
      <alignment horizontal="right"/>
    </xf>
    <xf numFmtId="0" fontId="24" fillId="0" borderId="9" xfId="2" applyFont="1" applyFill="1" applyBorder="1" applyAlignment="1">
      <alignment vertical="center"/>
    </xf>
    <xf numFmtId="0" fontId="23" fillId="0" borderId="9" xfId="2" applyFont="1" applyFill="1" applyBorder="1" applyAlignment="1">
      <alignment vertical="center"/>
    </xf>
    <xf numFmtId="176" fontId="23" fillId="0" borderId="2" xfId="2" applyNumberFormat="1" applyFont="1" applyFill="1" applyBorder="1" applyAlignment="1">
      <alignment vertical="center"/>
    </xf>
    <xf numFmtId="0" fontId="20" fillId="0" borderId="2" xfId="2" applyFont="1" applyFill="1" applyBorder="1" applyAlignment="1">
      <alignment vertical="center"/>
    </xf>
    <xf numFmtId="176" fontId="22" fillId="0" borderId="2" xfId="2" applyNumberFormat="1" applyFont="1" applyFill="1" applyBorder="1" applyAlignment="1">
      <alignment horizontal="right" vertical="center"/>
    </xf>
    <xf numFmtId="0" fontId="43" fillId="0" borderId="2" xfId="2" applyNumberFormat="1" applyFont="1" applyFill="1" applyBorder="1" applyAlignment="1" applyProtection="1">
      <alignment horizontal="left" vertical="center"/>
    </xf>
    <xf numFmtId="0" fontId="39" fillId="0" borderId="2" xfId="2" applyFont="1" applyFill="1" applyBorder="1" applyAlignment="1">
      <alignment horizontal="right" vertical="center"/>
    </xf>
    <xf numFmtId="178" fontId="39" fillId="0" borderId="2" xfId="2" applyNumberFormat="1" applyFont="1" applyFill="1" applyBorder="1" applyAlignment="1">
      <alignment horizontal="right" vertical="center"/>
    </xf>
    <xf numFmtId="0" fontId="39" fillId="0" borderId="2" xfId="2" applyNumberFormat="1" applyFont="1" applyFill="1" applyBorder="1" applyAlignment="1">
      <alignment horizontal="right" vertical="center"/>
    </xf>
    <xf numFmtId="178" fontId="39" fillId="0" borderId="11" xfId="2" applyNumberFormat="1" applyFont="1" applyFill="1" applyBorder="1" applyAlignment="1">
      <alignment horizontal="right" vertical="center"/>
    </xf>
    <xf numFmtId="0" fontId="42" fillId="0" borderId="2" xfId="2" applyNumberFormat="1" applyFont="1" applyFill="1" applyBorder="1" applyAlignment="1" applyProtection="1">
      <alignment vertical="center" wrapText="1"/>
    </xf>
    <xf numFmtId="0" fontId="40" fillId="0" borderId="2" xfId="2" applyNumberFormat="1" applyFont="1" applyFill="1" applyBorder="1" applyAlignment="1">
      <alignment horizontal="right" vertical="center"/>
    </xf>
    <xf numFmtId="178" fontId="40" fillId="0" borderId="11" xfId="2" applyNumberFormat="1" applyFont="1" applyFill="1" applyBorder="1" applyAlignment="1">
      <alignment horizontal="right" vertical="center"/>
    </xf>
    <xf numFmtId="0" fontId="42" fillId="0" borderId="2" xfId="2" applyNumberFormat="1" applyFont="1" applyFill="1" applyBorder="1" applyAlignment="1" applyProtection="1">
      <alignment horizontal="left" vertical="center" wrapText="1"/>
    </xf>
    <xf numFmtId="0" fontId="37" fillId="0" borderId="2" xfId="2" applyNumberFormat="1" applyFont="1" applyFill="1" applyBorder="1" applyAlignment="1" applyProtection="1">
      <alignment horizontal="left" vertical="center" wrapText="1"/>
    </xf>
    <xf numFmtId="0" fontId="42" fillId="0" borderId="2" xfId="2" applyFont="1" applyFill="1" applyBorder="1" applyAlignment="1">
      <alignment horizontal="left" vertical="center" wrapText="1"/>
    </xf>
    <xf numFmtId="0" fontId="37" fillId="0" borderId="2" xfId="2" applyFont="1" applyFill="1" applyBorder="1" applyAlignment="1">
      <alignment horizontal="center" vertical="center" wrapText="1"/>
    </xf>
    <xf numFmtId="0" fontId="42" fillId="0" borderId="5" xfId="2" applyFont="1" applyFill="1" applyBorder="1" applyAlignment="1">
      <alignment horizontal="left" vertical="center" wrapText="1"/>
    </xf>
    <xf numFmtId="0" fontId="42" fillId="0" borderId="2" xfId="2" applyNumberFormat="1" applyFont="1" applyFill="1" applyBorder="1" applyAlignment="1" applyProtection="1">
      <alignment horizontal="left" vertical="center"/>
    </xf>
    <xf numFmtId="0" fontId="42" fillId="0" borderId="4" xfId="2" applyNumberFormat="1" applyFont="1" applyFill="1" applyBorder="1" applyAlignment="1" applyProtection="1">
      <alignment horizontal="left" vertical="center"/>
    </xf>
    <xf numFmtId="0" fontId="40" fillId="0" borderId="9" xfId="2" applyFont="1" applyFill="1" applyBorder="1" applyAlignment="1">
      <alignment vertical="center"/>
    </xf>
    <xf numFmtId="178" fontId="40" fillId="0" borderId="9" xfId="2" applyNumberFormat="1" applyFont="1" applyFill="1" applyBorder="1" applyAlignment="1">
      <alignment horizontal="right" vertical="center"/>
    </xf>
    <xf numFmtId="0" fontId="42" fillId="0" borderId="9" xfId="2" applyNumberFormat="1" applyFont="1" applyFill="1" applyBorder="1" applyAlignment="1" applyProtection="1">
      <alignment horizontal="left" vertical="center"/>
    </xf>
    <xf numFmtId="176" fontId="40" fillId="0" borderId="2" xfId="2" applyNumberFormat="1" applyFont="1" applyFill="1" applyBorder="1" applyAlignment="1">
      <alignment vertical="center"/>
    </xf>
    <xf numFmtId="178" fontId="43" fillId="0" borderId="2" xfId="2" applyNumberFormat="1" applyFont="1" applyFill="1" applyBorder="1" applyAlignment="1">
      <alignment horizontal="right" vertical="center"/>
    </xf>
    <xf numFmtId="0" fontId="5" fillId="0" borderId="0" xfId="1" applyFont="1" applyFill="1"/>
    <xf numFmtId="0" fontId="5" fillId="0" borderId="0" xfId="1" applyNumberFormat="1" applyFont="1" applyFill="1"/>
    <xf numFmtId="0" fontId="6" fillId="0" borderId="0" xfId="1" applyNumberFormat="1" applyFont="1" applyFill="1"/>
    <xf numFmtId="0" fontId="7" fillId="0" borderId="0" xfId="1" applyFont="1" applyFill="1"/>
    <xf numFmtId="0" fontId="5" fillId="0" borderId="0" xfId="1" applyNumberFormat="1" applyFont="1" applyFill="1" applyAlignment="1">
      <alignment horizontal="center"/>
    </xf>
    <xf numFmtId="0" fontId="5" fillId="0" borderId="0" xfId="1" applyFont="1" applyFill="1" applyAlignment="1">
      <alignment horizontal="right"/>
    </xf>
    <xf numFmtId="0" fontId="5" fillId="0" borderId="0" xfId="1" applyNumberFormat="1" applyFont="1" applyFill="1" applyAlignment="1">
      <alignment horizontal="right"/>
    </xf>
    <xf numFmtId="0" fontId="6" fillId="0" borderId="0" xfId="1" applyNumberFormat="1" applyFont="1" applyFill="1" applyAlignment="1">
      <alignment horizontal="right"/>
    </xf>
    <xf numFmtId="0" fontId="14" fillId="0" borderId="0" xfId="1" applyFont="1" applyFill="1"/>
    <xf numFmtId="0" fontId="9" fillId="0" borderId="2" xfId="1" applyFont="1" applyFill="1" applyBorder="1" applyAlignment="1">
      <alignment horizontal="center" vertical="center" wrapText="1"/>
    </xf>
    <xf numFmtId="0" fontId="15" fillId="0" borderId="2" xfId="1" applyNumberFormat="1" applyFont="1" applyFill="1" applyBorder="1" applyAlignment="1">
      <alignment horizontal="center" vertical="center" wrapText="1"/>
    </xf>
    <xf numFmtId="0" fontId="8" fillId="0" borderId="2" xfId="1" applyNumberFormat="1" applyFont="1" applyFill="1" applyBorder="1" applyAlignment="1" applyProtection="1">
      <alignment horizontal="right" vertical="center"/>
    </xf>
    <xf numFmtId="0" fontId="16" fillId="0" borderId="2" xfId="1" applyNumberFormat="1" applyFont="1" applyFill="1" applyBorder="1" applyAlignment="1" applyProtection="1">
      <alignment horizontal="right" vertical="center"/>
    </xf>
    <xf numFmtId="0" fontId="8" fillId="0" borderId="4" xfId="1" applyNumberFormat="1" applyFont="1" applyFill="1" applyBorder="1" applyAlignment="1" applyProtection="1">
      <alignment horizontal="right" vertical="center"/>
    </xf>
    <xf numFmtId="0" fontId="16" fillId="0" borderId="4" xfId="1" applyNumberFormat="1" applyFont="1" applyFill="1" applyBorder="1" applyAlignment="1" applyProtection="1">
      <alignment horizontal="right" vertical="center"/>
    </xf>
    <xf numFmtId="0" fontId="16" fillId="0" borderId="2" xfId="1" applyNumberFormat="1" applyFont="1" applyFill="1" applyBorder="1" applyAlignment="1" applyProtection="1">
      <alignment horizontal="right" vertical="center" wrapText="1"/>
    </xf>
    <xf numFmtId="0" fontId="8" fillId="0" borderId="5" xfId="1" applyNumberFormat="1" applyFont="1" applyFill="1" applyBorder="1" applyAlignment="1" applyProtection="1">
      <alignment horizontal="right" vertical="center"/>
    </xf>
    <xf numFmtId="0" fontId="16" fillId="0" borderId="5" xfId="1" applyNumberFormat="1" applyFont="1" applyFill="1" applyBorder="1" applyAlignment="1" applyProtection="1">
      <alignment horizontal="right" vertical="center"/>
    </xf>
    <xf numFmtId="0" fontId="8" fillId="0" borderId="7" xfId="1" applyNumberFormat="1" applyFont="1" applyFill="1" applyBorder="1" applyAlignment="1" applyProtection="1">
      <alignment horizontal="right" vertical="center"/>
    </xf>
    <xf numFmtId="0" fontId="16" fillId="0" borderId="7" xfId="1" applyNumberFormat="1" applyFont="1" applyFill="1" applyBorder="1" applyAlignment="1" applyProtection="1">
      <alignment horizontal="right" vertical="center"/>
    </xf>
    <xf numFmtId="0" fontId="8" fillId="0" borderId="7" xfId="1" applyNumberFormat="1" applyFont="1" applyFill="1" applyBorder="1" applyAlignment="1" applyProtection="1"/>
    <xf numFmtId="0" fontId="16" fillId="0" borderId="7" xfId="1" applyNumberFormat="1" applyFont="1" applyFill="1" applyBorder="1" applyAlignment="1" applyProtection="1"/>
    <xf numFmtId="0" fontId="13" fillId="0" borderId="7" xfId="1" applyNumberFormat="1" applyFont="1" applyFill="1" applyBorder="1" applyAlignment="1" applyProtection="1"/>
    <xf numFmtId="0" fontId="17" fillId="0" borderId="7" xfId="1" applyNumberFormat="1" applyFont="1" applyFill="1" applyBorder="1" applyAlignment="1" applyProtection="1"/>
    <xf numFmtId="0" fontId="8" fillId="0" borderId="7" xfId="1" applyNumberFormat="1" applyFont="1" applyFill="1" applyBorder="1" applyAlignment="1" applyProtection="1">
      <alignment vertical="center"/>
    </xf>
    <xf numFmtId="0" fontId="16" fillId="0" borderId="7" xfId="1" applyNumberFormat="1" applyFont="1" applyFill="1" applyBorder="1" applyAlignment="1" applyProtection="1">
      <alignment vertical="center"/>
    </xf>
    <xf numFmtId="0" fontId="5" fillId="0" borderId="0" xfId="1" applyFont="1" applyFill="1" applyAlignment="1">
      <alignment horizontal="center"/>
    </xf>
    <xf numFmtId="0" fontId="37" fillId="0" borderId="2" xfId="2" applyFont="1" applyFill="1" applyBorder="1" applyAlignment="1">
      <alignment vertical="center"/>
    </xf>
    <xf numFmtId="0" fontId="37" fillId="0" borderId="2" xfId="2" applyFont="1" applyFill="1" applyBorder="1" applyAlignment="1">
      <alignment horizontal="right" vertical="center"/>
    </xf>
    <xf numFmtId="0" fontId="37" fillId="0" borderId="2" xfId="2" quotePrefix="1" applyFont="1" applyFill="1" applyBorder="1" applyAlignment="1">
      <alignment horizontal="center" vertical="center"/>
    </xf>
    <xf numFmtId="0" fontId="37" fillId="0" borderId="2" xfId="2" applyFont="1" applyFill="1" applyBorder="1" applyAlignment="1">
      <alignment vertical="center" wrapText="1"/>
    </xf>
    <xf numFmtId="0" fontId="36" fillId="0" borderId="2" xfId="2" applyFont="1" applyFill="1" applyBorder="1" applyAlignment="1">
      <alignment vertical="center" wrapText="1"/>
    </xf>
    <xf numFmtId="0" fontId="36" fillId="0" borderId="2" xfId="2" applyFont="1" applyFill="1" applyBorder="1" applyAlignment="1">
      <alignment vertical="center"/>
    </xf>
    <xf numFmtId="0" fontId="40" fillId="0" borderId="5" xfId="2" applyFont="1" applyFill="1" applyBorder="1" applyAlignment="1">
      <alignment horizontal="right" vertical="center"/>
    </xf>
    <xf numFmtId="0" fontId="13" fillId="0" borderId="2" xfId="1" applyNumberFormat="1" applyFont="1" applyFill="1" applyBorder="1" applyAlignment="1" applyProtection="1">
      <alignment horizontal="right" vertical="center"/>
    </xf>
    <xf numFmtId="0" fontId="17" fillId="0" borderId="2" xfId="1" applyNumberFormat="1" applyFont="1" applyFill="1" applyBorder="1" applyAlignment="1" applyProtection="1">
      <alignment horizontal="right" vertical="center"/>
    </xf>
    <xf numFmtId="0" fontId="13" fillId="0" borderId="4" xfId="1" applyNumberFormat="1" applyFont="1" applyFill="1" applyBorder="1" applyAlignment="1" applyProtection="1">
      <alignment horizontal="right" vertical="center"/>
    </xf>
    <xf numFmtId="0" fontId="17" fillId="0" borderId="4" xfId="1" applyNumberFormat="1" applyFont="1" applyFill="1" applyBorder="1" applyAlignment="1" applyProtection="1">
      <alignment horizontal="right" vertical="center"/>
    </xf>
    <xf numFmtId="0" fontId="7" fillId="0" borderId="0" xfId="2" applyFont="1" applyFill="1"/>
    <xf numFmtId="0" fontId="36" fillId="0" borderId="2" xfId="2" applyFont="1" applyFill="1" applyBorder="1" applyAlignment="1">
      <alignment horizontal="right" vertical="center"/>
    </xf>
    <xf numFmtId="178" fontId="36" fillId="0" borderId="2" xfId="2" applyNumberFormat="1" applyFont="1" applyFill="1" applyBorder="1" applyAlignment="1">
      <alignment horizontal="right" vertical="center"/>
    </xf>
    <xf numFmtId="0" fontId="24" fillId="0" borderId="16" xfId="2" applyFont="1" applyFill="1" applyBorder="1" applyAlignment="1">
      <alignment horizontal="right" vertical="center"/>
    </xf>
    <xf numFmtId="0" fontId="37" fillId="0" borderId="2" xfId="2" applyFont="1" applyFill="1" applyBorder="1" applyAlignment="1">
      <alignment horizontal="center" vertical="center"/>
    </xf>
    <xf numFmtId="176" fontId="24" fillId="0" borderId="2" xfId="2" applyNumberFormat="1" applyFont="1" applyFill="1" applyBorder="1" applyAlignment="1">
      <alignment vertical="center"/>
    </xf>
    <xf numFmtId="0" fontId="35" fillId="0" borderId="2" xfId="2" applyFont="1" applyFill="1" applyBorder="1" applyAlignment="1">
      <alignment vertical="center"/>
    </xf>
    <xf numFmtId="0" fontId="0" fillId="0" borderId="0" xfId="0" applyFill="1">
      <alignment vertical="center"/>
    </xf>
    <xf numFmtId="0" fontId="5" fillId="0" borderId="0" xfId="2" applyNumberFormat="1" applyFont="1" applyFill="1" applyAlignment="1">
      <alignment horizontal="center"/>
    </xf>
    <xf numFmtId="49" fontId="5" fillId="0" borderId="0" xfId="2" applyNumberFormat="1" applyFont="1" applyFill="1" applyAlignment="1">
      <alignment horizontal="center"/>
    </xf>
    <xf numFmtId="0" fontId="5" fillId="0" borderId="1" xfId="2" applyFont="1" applyFill="1" applyBorder="1" applyAlignment="1">
      <alignment horizontal="center"/>
    </xf>
    <xf numFmtId="49" fontId="8" fillId="0" borderId="0" xfId="3" applyNumberFormat="1" applyFont="1" applyFill="1" applyBorder="1" applyAlignment="1">
      <alignment horizontal="right" vertical="center"/>
    </xf>
    <xf numFmtId="49" fontId="13" fillId="0" borderId="2" xfId="3" applyNumberFormat="1" applyFont="1" applyFill="1" applyBorder="1" applyAlignment="1">
      <alignment horizontal="center" vertical="center" wrapText="1"/>
    </xf>
    <xf numFmtId="0" fontId="34" fillId="0" borderId="0" xfId="0" applyFont="1" applyFill="1">
      <alignment vertical="center"/>
    </xf>
    <xf numFmtId="0" fontId="38" fillId="0" borderId="0" xfId="0" applyFont="1" applyFill="1">
      <alignment vertical="center"/>
    </xf>
    <xf numFmtId="178" fontId="36" fillId="0" borderId="2" xfId="2" applyNumberFormat="1" applyFont="1" applyFill="1" applyBorder="1" applyAlignment="1">
      <alignment horizontal="right"/>
    </xf>
    <xf numFmtId="178" fontId="37" fillId="0" borderId="2" xfId="2" applyNumberFormat="1" applyFont="1" applyFill="1" applyBorder="1" applyAlignment="1">
      <alignment horizontal="right"/>
    </xf>
    <xf numFmtId="176" fontId="36" fillId="0" borderId="2" xfId="2" applyNumberFormat="1" applyFont="1" applyFill="1" applyBorder="1" applyAlignment="1">
      <alignment horizontal="right" vertical="center" wrapText="1"/>
    </xf>
    <xf numFmtId="176" fontId="37" fillId="0" borderId="2" xfId="2" applyNumberFormat="1" applyFont="1" applyFill="1" applyBorder="1" applyAlignment="1">
      <alignment horizontal="right" vertical="center" wrapText="1"/>
    </xf>
    <xf numFmtId="0" fontId="1" fillId="0" borderId="0" xfId="4" applyFont="1" applyFill="1"/>
    <xf numFmtId="0" fontId="43" fillId="0" borderId="2" xfId="2" applyFont="1" applyFill="1" applyBorder="1" applyAlignment="1">
      <alignment horizontal="left" vertical="center"/>
    </xf>
    <xf numFmtId="0" fontId="40" fillId="0" borderId="2" xfId="2" applyNumberFormat="1" applyFont="1" applyFill="1" applyBorder="1" applyAlignment="1">
      <alignment vertical="center"/>
    </xf>
    <xf numFmtId="0" fontId="42" fillId="0" borderId="2" xfId="2" applyFont="1" applyFill="1" applyBorder="1" applyAlignment="1">
      <alignment horizontal="left" vertical="center"/>
    </xf>
    <xf numFmtId="0" fontId="43" fillId="0" borderId="2" xfId="2" applyFont="1" applyFill="1" applyBorder="1" applyAlignment="1">
      <alignment vertical="center"/>
    </xf>
    <xf numFmtId="0" fontId="39" fillId="0" borderId="2" xfId="2" applyNumberFormat="1" applyFont="1" applyFill="1" applyBorder="1" applyAlignment="1">
      <alignment vertical="center"/>
    </xf>
    <xf numFmtId="0" fontId="38" fillId="0" borderId="2" xfId="2" applyFont="1" applyFill="1" applyBorder="1" applyAlignment="1">
      <alignment horizontal="center" vertical="center"/>
    </xf>
    <xf numFmtId="0" fontId="43" fillId="0" borderId="2" xfId="2" applyFont="1" applyFill="1" applyBorder="1" applyAlignment="1">
      <alignment horizontal="center" vertical="center"/>
    </xf>
    <xf numFmtId="0" fontId="0" fillId="0" borderId="0" xfId="2" applyFont="1" applyFill="1"/>
    <xf numFmtId="0" fontId="40" fillId="0" borderId="2" xfId="2" applyFont="1" applyFill="1" applyBorder="1" applyAlignment="1">
      <alignment horizontal="center" vertical="center"/>
    </xf>
    <xf numFmtId="0" fontId="42" fillId="0" borderId="2" xfId="2" applyFont="1" applyFill="1" applyBorder="1" applyAlignment="1">
      <alignment horizontal="center" vertical="center"/>
    </xf>
    <xf numFmtId="0" fontId="36" fillId="0" borderId="2" xfId="2" applyFont="1" applyFill="1" applyBorder="1" applyAlignment="1">
      <alignment horizontal="center" vertical="center"/>
    </xf>
    <xf numFmtId="0" fontId="20" fillId="0" borderId="1" xfId="2" applyFont="1" applyFill="1" applyBorder="1"/>
    <xf numFmtId="0" fontId="21" fillId="0" borderId="1" xfId="2" applyFont="1" applyFill="1" applyBorder="1" applyAlignment="1">
      <alignment horizontal="right"/>
    </xf>
    <xf numFmtId="0" fontId="43" fillId="0" borderId="2" xfId="2" applyFont="1" applyFill="1" applyBorder="1" applyAlignment="1">
      <alignment horizontal="center" vertical="center" wrapText="1"/>
    </xf>
    <xf numFmtId="176" fontId="42" fillId="0" borderId="2" xfId="2" applyNumberFormat="1" applyFont="1" applyFill="1" applyBorder="1" applyAlignment="1">
      <alignment vertical="center"/>
    </xf>
    <xf numFmtId="0" fontId="42" fillId="0" borderId="2" xfId="2" applyNumberFormat="1" applyFont="1" applyFill="1" applyBorder="1" applyAlignment="1">
      <alignment vertical="center"/>
    </xf>
    <xf numFmtId="176" fontId="40" fillId="0" borderId="2" xfId="2" applyNumberFormat="1" applyFont="1" applyFill="1" applyBorder="1" applyAlignment="1">
      <alignment horizontal="right" vertical="center" wrapText="1"/>
    </xf>
    <xf numFmtId="0" fontId="43" fillId="0" borderId="2" xfId="2" applyNumberFormat="1" applyFont="1" applyFill="1" applyBorder="1" applyAlignment="1">
      <alignment vertical="center"/>
    </xf>
    <xf numFmtId="0" fontId="5" fillId="0" borderId="0" xfId="2" applyFont="1" applyFill="1" applyBorder="1"/>
    <xf numFmtId="0" fontId="38" fillId="0" borderId="5" xfId="2" applyFont="1" applyFill="1" applyBorder="1" applyAlignment="1">
      <alignment horizontal="left" vertical="center"/>
    </xf>
    <xf numFmtId="0" fontId="38" fillId="0" borderId="5" xfId="2" applyFont="1" applyFill="1" applyBorder="1" applyAlignment="1">
      <alignment horizontal="center" vertical="center" wrapText="1"/>
    </xf>
    <xf numFmtId="0" fontId="38" fillId="0" borderId="2" xfId="0" applyFont="1" applyFill="1" applyBorder="1" applyAlignment="1">
      <alignment vertical="center"/>
    </xf>
    <xf numFmtId="0" fontId="38" fillId="0" borderId="2" xfId="0" applyFont="1" applyFill="1" applyBorder="1" applyAlignment="1">
      <alignment horizontal="center" vertical="center"/>
    </xf>
    <xf numFmtId="0" fontId="47" fillId="0" borderId="2" xfId="0" applyFont="1" applyFill="1" applyBorder="1" applyAlignment="1">
      <alignment vertical="center"/>
    </xf>
    <xf numFmtId="0" fontId="47" fillId="0" borderId="2" xfId="0" applyFont="1" applyFill="1" applyBorder="1" applyAlignment="1">
      <alignment horizontal="center" vertical="center"/>
    </xf>
    <xf numFmtId="0" fontId="38" fillId="0" borderId="2" xfId="2" applyFont="1" applyFill="1" applyBorder="1" applyAlignment="1">
      <alignment vertical="center"/>
    </xf>
    <xf numFmtId="0" fontId="36" fillId="0" borderId="2" xfId="2" applyNumberFormat="1" applyFont="1" applyFill="1" applyBorder="1" applyAlignment="1" applyProtection="1">
      <alignment horizontal="left" vertical="center"/>
    </xf>
    <xf numFmtId="0" fontId="37" fillId="0" borderId="2" xfId="2" applyNumberFormat="1" applyFont="1" applyFill="1" applyBorder="1" applyAlignment="1" applyProtection="1">
      <alignment vertical="center" wrapText="1"/>
    </xf>
    <xf numFmtId="0" fontId="37" fillId="0" borderId="2" xfId="2" applyFont="1" applyFill="1" applyBorder="1" applyAlignment="1">
      <alignment horizontal="left" vertical="center" wrapText="1"/>
    </xf>
    <xf numFmtId="0" fontId="37" fillId="0" borderId="2" xfId="2" applyNumberFormat="1" applyFont="1" applyFill="1" applyBorder="1" applyAlignment="1" applyProtection="1">
      <alignment horizontal="left" vertical="center"/>
    </xf>
    <xf numFmtId="0" fontId="36" fillId="0" borderId="3" xfId="2" applyNumberFormat="1" applyFont="1" applyFill="1" applyBorder="1" applyAlignment="1" applyProtection="1">
      <alignment horizontal="left" vertical="center"/>
    </xf>
    <xf numFmtId="0" fontId="36" fillId="0" borderId="2" xfId="2" applyNumberFormat="1" applyFont="1" applyFill="1" applyBorder="1" applyAlignment="1" applyProtection="1">
      <alignment horizontal="right" vertical="center"/>
    </xf>
    <xf numFmtId="176" fontId="36" fillId="0" borderId="2" xfId="2" applyNumberFormat="1" applyFont="1" applyFill="1" applyBorder="1" applyAlignment="1" applyProtection="1">
      <alignment horizontal="right" vertical="center"/>
    </xf>
    <xf numFmtId="0" fontId="37" fillId="0" borderId="3" xfId="2" applyNumberFormat="1" applyFont="1" applyFill="1" applyBorder="1" applyAlignment="1" applyProtection="1">
      <alignment horizontal="left" vertical="center"/>
    </xf>
    <xf numFmtId="0" fontId="37" fillId="0" borderId="4" xfId="2" applyNumberFormat="1" applyFont="1" applyFill="1" applyBorder="1" applyAlignment="1" applyProtection="1">
      <alignment horizontal="right" vertical="center"/>
    </xf>
    <xf numFmtId="176" fontId="37" fillId="0" borderId="2" xfId="2" applyNumberFormat="1" applyFont="1" applyFill="1" applyBorder="1" applyAlignment="1" applyProtection="1">
      <alignment horizontal="right" vertical="center"/>
    </xf>
    <xf numFmtId="0" fontId="37" fillId="0" borderId="2" xfId="2" applyNumberFormat="1" applyFont="1" applyFill="1" applyBorder="1" applyAlignment="1" applyProtection="1">
      <alignment horizontal="right" vertical="center"/>
    </xf>
    <xf numFmtId="0" fontId="48" fillId="0" borderId="3" xfId="2" applyNumberFormat="1" applyFont="1" applyFill="1" applyBorder="1" applyAlignment="1" applyProtection="1">
      <alignment horizontal="left" vertical="center"/>
    </xf>
    <xf numFmtId="0" fontId="36" fillId="0" borderId="3" xfId="2" applyNumberFormat="1" applyFont="1" applyFill="1" applyBorder="1" applyAlignment="1" applyProtection="1">
      <alignment vertical="center"/>
    </xf>
    <xf numFmtId="177" fontId="36" fillId="0" borderId="2" xfId="2" applyNumberFormat="1" applyFont="1" applyFill="1" applyBorder="1" applyAlignment="1">
      <alignment horizontal="right"/>
    </xf>
    <xf numFmtId="0" fontId="37" fillId="0" borderId="3" xfId="2" applyNumberFormat="1" applyFont="1" applyFill="1" applyBorder="1" applyAlignment="1" applyProtection="1">
      <alignment vertical="center"/>
    </xf>
    <xf numFmtId="177" fontId="37" fillId="0" borderId="2" xfId="2" applyNumberFormat="1" applyFont="1" applyFill="1" applyBorder="1" applyAlignment="1">
      <alignment horizontal="right"/>
    </xf>
    <xf numFmtId="0" fontId="37" fillId="0" borderId="3" xfId="2" applyNumberFormat="1" applyFont="1" applyFill="1" applyBorder="1" applyAlignment="1" applyProtection="1"/>
    <xf numFmtId="176" fontId="43" fillId="0" borderId="2" xfId="2" applyNumberFormat="1" applyFont="1" applyFill="1" applyBorder="1" applyAlignment="1">
      <alignment horizontal="right" vertical="center"/>
    </xf>
    <xf numFmtId="0" fontId="36" fillId="0" borderId="3" xfId="1" applyNumberFormat="1" applyFont="1" applyFill="1" applyBorder="1" applyAlignment="1" applyProtection="1">
      <alignment horizontal="left" vertical="center"/>
    </xf>
    <xf numFmtId="0" fontId="43" fillId="0" borderId="2" xfId="1" applyNumberFormat="1" applyFont="1" applyFill="1" applyBorder="1" applyAlignment="1">
      <alignment horizontal="center" vertical="center" wrapText="1"/>
    </xf>
    <xf numFmtId="177" fontId="43" fillId="0" borderId="2" xfId="1" applyNumberFormat="1" applyFont="1" applyFill="1" applyBorder="1" applyAlignment="1">
      <alignment horizontal="center" vertical="center" wrapText="1"/>
    </xf>
    <xf numFmtId="0" fontId="36" fillId="0" borderId="2" xfId="1" applyNumberFormat="1" applyFont="1" applyFill="1" applyBorder="1" applyAlignment="1" applyProtection="1">
      <alignment horizontal="center" vertical="center"/>
    </xf>
    <xf numFmtId="176" fontId="36" fillId="0" borderId="2" xfId="1" applyNumberFormat="1" applyFont="1" applyFill="1" applyBorder="1" applyAlignment="1" applyProtection="1">
      <alignment horizontal="center" vertical="center"/>
    </xf>
    <xf numFmtId="177" fontId="36" fillId="0" borderId="2" xfId="1" applyNumberFormat="1" applyFont="1" applyFill="1" applyBorder="1" applyAlignment="1" applyProtection="1">
      <alignment horizontal="center" vertical="center"/>
    </xf>
    <xf numFmtId="49" fontId="36" fillId="0" borderId="2" xfId="1" applyNumberFormat="1" applyFont="1" applyFill="1" applyBorder="1" applyAlignment="1" applyProtection="1">
      <alignment horizontal="center" vertical="center"/>
    </xf>
    <xf numFmtId="178" fontId="36" fillId="0" borderId="2" xfId="1" applyNumberFormat="1" applyFont="1" applyFill="1" applyBorder="1" applyAlignment="1">
      <alignment horizontal="center" vertical="center" wrapText="1"/>
    </xf>
    <xf numFmtId="0" fontId="37" fillId="0" borderId="3" xfId="1" applyNumberFormat="1" applyFont="1" applyFill="1" applyBorder="1" applyAlignment="1" applyProtection="1">
      <alignment horizontal="left" vertical="center"/>
    </xf>
    <xf numFmtId="0" fontId="37" fillId="0" borderId="2" xfId="1" applyNumberFormat="1" applyFont="1" applyFill="1" applyBorder="1" applyAlignment="1" applyProtection="1">
      <alignment horizontal="center" vertical="center"/>
    </xf>
    <xf numFmtId="49" fontId="37" fillId="0" borderId="2" xfId="1" applyNumberFormat="1" applyFont="1" applyFill="1" applyBorder="1" applyAlignment="1" applyProtection="1">
      <alignment horizontal="center" vertical="center"/>
    </xf>
    <xf numFmtId="178" fontId="37" fillId="0" borderId="2" xfId="1" applyNumberFormat="1" applyFont="1" applyFill="1" applyBorder="1" applyAlignment="1">
      <alignment horizontal="center" vertical="center" wrapText="1"/>
    </xf>
    <xf numFmtId="0" fontId="37" fillId="0" borderId="6" xfId="1" applyNumberFormat="1" applyFont="1" applyFill="1" applyBorder="1" applyAlignment="1" applyProtection="1">
      <alignment horizontal="left" vertical="center"/>
    </xf>
    <xf numFmtId="0" fontId="37" fillId="0" borderId="3" xfId="1" applyNumberFormat="1" applyFont="1" applyFill="1" applyBorder="1" applyAlignment="1" applyProtection="1">
      <alignment horizontal="left" vertical="center" wrapText="1"/>
    </xf>
    <xf numFmtId="177" fontId="37" fillId="0" borderId="2" xfId="1" applyNumberFormat="1" applyFont="1" applyFill="1" applyBorder="1" applyAlignment="1" applyProtection="1">
      <alignment horizontal="center" vertical="center"/>
    </xf>
    <xf numFmtId="0" fontId="37" fillId="0" borderId="2" xfId="1" applyNumberFormat="1" applyFont="1" applyFill="1" applyBorder="1" applyAlignment="1" applyProtection="1">
      <alignment horizontal="center"/>
    </xf>
    <xf numFmtId="0" fontId="36" fillId="0" borderId="2" xfId="1" applyNumberFormat="1" applyFont="1" applyFill="1" applyBorder="1" applyAlignment="1" applyProtection="1">
      <alignment horizontal="center"/>
    </xf>
    <xf numFmtId="177" fontId="36" fillId="0" borderId="2" xfId="1" applyNumberFormat="1" applyFont="1" applyFill="1" applyBorder="1" applyAlignment="1" applyProtection="1">
      <alignment horizontal="center"/>
    </xf>
    <xf numFmtId="0" fontId="49" fillId="0" borderId="3" xfId="1" applyNumberFormat="1" applyFont="1" applyFill="1" applyBorder="1" applyAlignment="1" applyProtection="1">
      <alignment horizontal="left" vertical="center"/>
    </xf>
    <xf numFmtId="0" fontId="49" fillId="0" borderId="2" xfId="1" applyNumberFormat="1" applyFont="1" applyFill="1" applyBorder="1" applyAlignment="1" applyProtection="1">
      <alignment horizontal="center" vertical="center"/>
    </xf>
    <xf numFmtId="0" fontId="37" fillId="0" borderId="8" xfId="1" applyNumberFormat="1" applyFont="1" applyFill="1" applyBorder="1" applyAlignment="1" applyProtection="1">
      <alignment vertical="center"/>
    </xf>
    <xf numFmtId="0" fontId="36" fillId="0" borderId="3" xfId="1" applyNumberFormat="1" applyFont="1" applyFill="1" applyBorder="1" applyAlignment="1" applyProtection="1">
      <alignment vertical="center"/>
    </xf>
    <xf numFmtId="0" fontId="37" fillId="0" borderId="3" xfId="1" applyNumberFormat="1" applyFont="1" applyFill="1" applyBorder="1" applyAlignment="1" applyProtection="1">
      <alignment vertical="center"/>
    </xf>
    <xf numFmtId="0" fontId="37" fillId="0" borderId="2" xfId="1" applyFont="1" applyFill="1" applyBorder="1" applyAlignment="1">
      <alignment horizontal="center"/>
    </xf>
    <xf numFmtId="0" fontId="37" fillId="0" borderId="3" xfId="1" applyNumberFormat="1" applyFont="1" applyFill="1" applyBorder="1" applyAlignment="1" applyProtection="1"/>
    <xf numFmtId="0" fontId="37" fillId="0" borderId="2" xfId="2" applyFont="1" applyFill="1" applyBorder="1"/>
    <xf numFmtId="0" fontId="42" fillId="0" borderId="2" xfId="2" applyNumberFormat="1" applyFont="1" applyFill="1" applyBorder="1" applyAlignment="1" applyProtection="1">
      <alignment horizontal="right" vertical="center" wrapText="1"/>
    </xf>
    <xf numFmtId="0" fontId="37" fillId="0" borderId="2" xfId="2" applyNumberFormat="1" applyFont="1" applyFill="1" applyBorder="1" applyAlignment="1" applyProtection="1">
      <alignment horizontal="right" vertical="center" wrapText="1"/>
    </xf>
    <xf numFmtId="0" fontId="42" fillId="0" borderId="2" xfId="2" applyFont="1" applyFill="1" applyBorder="1" applyAlignment="1">
      <alignment horizontal="right" vertical="center" wrapText="1"/>
    </xf>
    <xf numFmtId="0" fontId="43" fillId="0" borderId="2" xfId="2" applyNumberFormat="1" applyFont="1" applyFill="1" applyBorder="1" applyAlignment="1" applyProtection="1">
      <alignment horizontal="right" vertical="center"/>
    </xf>
    <xf numFmtId="0" fontId="37" fillId="0" borderId="2" xfId="2" applyFont="1" applyFill="1" applyBorder="1" applyAlignment="1">
      <alignment horizontal="right" vertical="center" wrapText="1"/>
    </xf>
    <xf numFmtId="0" fontId="42" fillId="0" borderId="5" xfId="2" applyFont="1" applyFill="1" applyBorder="1" applyAlignment="1">
      <alignment horizontal="right" vertical="center" wrapText="1"/>
    </xf>
    <xf numFmtId="0" fontId="42" fillId="0" borderId="2" xfId="2" applyNumberFormat="1" applyFont="1" applyFill="1" applyBorder="1" applyAlignment="1" applyProtection="1">
      <alignment horizontal="right" vertical="center"/>
    </xf>
    <xf numFmtId="0" fontId="42" fillId="0" borderId="4" xfId="2" applyNumberFormat="1" applyFont="1" applyFill="1" applyBorder="1" applyAlignment="1" applyProtection="1">
      <alignment horizontal="right" vertical="center"/>
    </xf>
    <xf numFmtId="0" fontId="42" fillId="0" borderId="9" xfId="2" applyNumberFormat="1" applyFont="1" applyFill="1" applyBorder="1" applyAlignment="1" applyProtection="1">
      <alignment horizontal="right" vertical="center"/>
    </xf>
    <xf numFmtId="176" fontId="5" fillId="0" borderId="0" xfId="2" applyNumberFormat="1" applyFont="1" applyFill="1"/>
    <xf numFmtId="176" fontId="40" fillId="0" borderId="2" xfId="2" applyNumberFormat="1" applyFont="1" applyFill="1" applyBorder="1" applyAlignment="1">
      <alignment horizontal="right" vertical="center"/>
    </xf>
    <xf numFmtId="178" fontId="36" fillId="0" borderId="2" xfId="2" applyNumberFormat="1" applyFont="1" applyFill="1" applyBorder="1" applyAlignment="1">
      <alignment vertical="center"/>
    </xf>
    <xf numFmtId="178" fontId="37" fillId="0" borderId="2" xfId="2" applyNumberFormat="1" applyFont="1" applyFill="1" applyBorder="1" applyAlignment="1">
      <alignment vertical="center"/>
    </xf>
    <xf numFmtId="178" fontId="39" fillId="0" borderId="2" xfId="2" applyNumberFormat="1" applyFont="1" applyFill="1" applyBorder="1" applyAlignment="1">
      <alignment vertical="center"/>
    </xf>
    <xf numFmtId="178" fontId="40" fillId="0" borderId="2" xfId="2" applyNumberFormat="1" applyFont="1" applyFill="1" applyBorder="1" applyAlignment="1">
      <alignment vertical="center"/>
    </xf>
    <xf numFmtId="176" fontId="40" fillId="0" borderId="2" xfId="2" applyNumberFormat="1" applyFont="1" applyFill="1" applyBorder="1" applyAlignment="1">
      <alignment vertical="center" wrapText="1"/>
    </xf>
    <xf numFmtId="0" fontId="36" fillId="0" borderId="2" xfId="2" applyFont="1" applyFill="1" applyBorder="1" applyAlignment="1">
      <alignment horizontal="left" vertical="center"/>
    </xf>
    <xf numFmtId="0" fontId="37" fillId="0" borderId="2" xfId="2" applyNumberFormat="1" applyFont="1" applyFill="1" applyBorder="1" applyAlignment="1">
      <alignment vertical="center"/>
    </xf>
    <xf numFmtId="0" fontId="37" fillId="0" borderId="2" xfId="2" applyFont="1" applyFill="1" applyBorder="1" applyAlignment="1">
      <alignment horizontal="left" vertical="center"/>
    </xf>
    <xf numFmtId="0" fontId="36" fillId="0" borderId="2" xfId="2" applyNumberFormat="1" applyFont="1" applyFill="1" applyBorder="1" applyAlignment="1">
      <alignment vertical="center"/>
    </xf>
    <xf numFmtId="0" fontId="51" fillId="0" borderId="2" xfId="2" applyFont="1" applyFill="1" applyBorder="1" applyAlignment="1">
      <alignment horizontal="center" vertical="center"/>
    </xf>
    <xf numFmtId="178" fontId="41" fillId="0" borderId="2" xfId="1" applyNumberFormat="1" applyFont="1" applyFill="1" applyBorder="1" applyAlignment="1">
      <alignment horizontal="center" vertical="center" wrapText="1"/>
    </xf>
    <xf numFmtId="177" fontId="34" fillId="0" borderId="0" xfId="0" applyNumberFormat="1" applyFont="1" applyFill="1">
      <alignment vertical="center"/>
    </xf>
    <xf numFmtId="0" fontId="28" fillId="0" borderId="0" xfId="2" applyFont="1" applyAlignment="1">
      <alignment horizontal="center" wrapText="1"/>
    </xf>
    <xf numFmtId="0" fontId="30" fillId="0" borderId="0" xfId="2" applyFont="1" applyAlignment="1">
      <alignment horizontal="center" vertical="center" wrapText="1"/>
    </xf>
    <xf numFmtId="0" fontId="50" fillId="0" borderId="0" xfId="2" applyFont="1" applyAlignment="1">
      <alignment horizontal="center"/>
    </xf>
    <xf numFmtId="0" fontId="31" fillId="0" borderId="0" xfId="2" applyFont="1" applyAlignment="1">
      <alignment horizontal="center"/>
    </xf>
    <xf numFmtId="57" fontId="33" fillId="0" borderId="0" xfId="2" applyNumberFormat="1" applyFont="1" applyAlignment="1">
      <alignment horizontal="center"/>
    </xf>
    <xf numFmtId="0" fontId="8" fillId="0" borderId="12" xfId="2" applyFont="1" applyFill="1" applyBorder="1" applyAlignment="1">
      <alignment horizontal="center" vertical="center" wrapText="1"/>
    </xf>
    <xf numFmtId="0" fontId="45" fillId="0" borderId="0" xfId="2" applyFont="1" applyFill="1" applyAlignment="1">
      <alignment horizontal="center"/>
    </xf>
    <xf numFmtId="0" fontId="8" fillId="0" borderId="0" xfId="2" applyFont="1" applyFill="1" applyBorder="1" applyAlignment="1">
      <alignment horizontal="right" wrapText="1"/>
    </xf>
    <xf numFmtId="0" fontId="43" fillId="0" borderId="2" xfId="2" applyFont="1" applyFill="1" applyBorder="1" applyAlignment="1">
      <alignment horizontal="center" vertical="center" wrapText="1"/>
    </xf>
    <xf numFmtId="0" fontId="39" fillId="0" borderId="2" xfId="2" applyFont="1" applyFill="1" applyBorder="1" applyAlignment="1">
      <alignment horizontal="center" vertical="center"/>
    </xf>
    <xf numFmtId="0" fontId="38" fillId="0" borderId="2" xfId="2" applyFont="1" applyFill="1" applyBorder="1" applyAlignment="1">
      <alignment horizontal="center" vertical="center"/>
    </xf>
    <xf numFmtId="0" fontId="38" fillId="0" borderId="2" xfId="2" applyFont="1" applyFill="1" applyBorder="1" applyAlignment="1">
      <alignment horizontal="center" vertical="center" wrapText="1"/>
    </xf>
    <xf numFmtId="0" fontId="39" fillId="0" borderId="2" xfId="2" applyFont="1" applyFill="1" applyBorder="1" applyAlignment="1">
      <alignment horizontal="center" vertical="center" wrapText="1"/>
    </xf>
    <xf numFmtId="49" fontId="44" fillId="0" borderId="0" xfId="3" applyNumberFormat="1" applyFont="1" applyFill="1" applyBorder="1" applyAlignment="1" applyProtection="1">
      <alignment horizontal="center" vertical="center"/>
      <protection locked="0"/>
    </xf>
    <xf numFmtId="0" fontId="46" fillId="0" borderId="2" xfId="2" applyNumberFormat="1" applyFont="1" applyFill="1" applyBorder="1" applyAlignment="1" applyProtection="1">
      <alignment horizontal="center" vertical="center"/>
    </xf>
    <xf numFmtId="49" fontId="13" fillId="0" borderId="2" xfId="3" applyNumberFormat="1" applyFont="1" applyFill="1" applyBorder="1" applyAlignment="1">
      <alignment horizontal="center" vertical="center" wrapText="1"/>
    </xf>
    <xf numFmtId="49" fontId="13" fillId="0" borderId="3" xfId="3" applyNumberFormat="1" applyFont="1" applyFill="1" applyBorder="1" applyAlignment="1">
      <alignment horizontal="center" vertical="center" wrapText="1"/>
    </xf>
    <xf numFmtId="49" fontId="13" fillId="0" borderId="15" xfId="3" applyNumberFormat="1" applyFont="1" applyFill="1" applyBorder="1" applyAlignment="1">
      <alignment horizontal="center" vertical="center" wrapText="1"/>
    </xf>
    <xf numFmtId="49" fontId="13" fillId="0" borderId="16" xfId="3" applyNumberFormat="1" applyFont="1" applyFill="1" applyBorder="1" applyAlignment="1">
      <alignment horizontal="center" vertical="center" wrapText="1"/>
    </xf>
    <xf numFmtId="0" fontId="36" fillId="0" borderId="2" xfId="2" applyFont="1" applyFill="1" applyBorder="1" applyAlignment="1">
      <alignment horizontal="left" vertical="center"/>
    </xf>
    <xf numFmtId="0" fontId="44" fillId="0" borderId="0" xfId="2" applyFont="1" applyFill="1" applyAlignment="1">
      <alignment horizontal="center" vertical="center"/>
    </xf>
    <xf numFmtId="0" fontId="36" fillId="0" borderId="2" xfId="2" applyFont="1" applyFill="1" applyBorder="1" applyAlignment="1">
      <alignment horizontal="center" vertical="center"/>
    </xf>
    <xf numFmtId="0" fontId="21" fillId="0" borderId="12" xfId="2" applyFont="1" applyFill="1" applyBorder="1" applyAlignment="1">
      <alignment horizontal="center" vertical="center" wrapText="1"/>
    </xf>
    <xf numFmtId="0" fontId="22" fillId="0" borderId="2" xfId="2" applyFont="1" applyFill="1" applyBorder="1" applyAlignment="1">
      <alignment horizontal="center" vertical="center" wrapText="1"/>
    </xf>
    <xf numFmtId="0" fontId="21" fillId="0" borderId="14" xfId="2" applyFont="1" applyFill="1" applyBorder="1" applyAlignment="1">
      <alignment horizontal="left" wrapText="1"/>
    </xf>
    <xf numFmtId="0" fontId="2" fillId="0" borderId="0" xfId="2" applyFont="1" applyFill="1" applyAlignment="1">
      <alignment horizontal="center"/>
    </xf>
    <xf numFmtId="0" fontId="43" fillId="0" borderId="9" xfId="2" applyFont="1" applyFill="1" applyBorder="1" applyAlignment="1">
      <alignment horizontal="center" vertical="center" wrapText="1"/>
    </xf>
    <xf numFmtId="0" fontId="39" fillId="0" borderId="9" xfId="2" applyFont="1" applyFill="1" applyBorder="1" applyAlignment="1">
      <alignment horizontal="center" vertical="center"/>
    </xf>
    <xf numFmtId="0" fontId="39" fillId="0" borderId="10" xfId="2" applyFont="1" applyFill="1" applyBorder="1" applyAlignment="1">
      <alignment horizontal="center" vertical="center"/>
    </xf>
    <xf numFmtId="0" fontId="43" fillId="0" borderId="2" xfId="2" applyFont="1" applyFill="1" applyBorder="1" applyAlignment="1">
      <alignment horizontal="center" vertical="center"/>
    </xf>
    <xf numFmtId="0" fontId="43" fillId="0" borderId="11" xfId="2" applyFont="1" applyFill="1" applyBorder="1" applyAlignment="1">
      <alignment horizontal="center" vertical="center" wrapText="1"/>
    </xf>
    <xf numFmtId="0" fontId="39" fillId="0" borderId="17" xfId="2" applyFont="1" applyFill="1" applyBorder="1" applyAlignment="1">
      <alignment horizontal="center" vertical="center"/>
    </xf>
    <xf numFmtId="0" fontId="39" fillId="0" borderId="18" xfId="2" applyFont="1" applyFill="1" applyBorder="1" applyAlignment="1">
      <alignment horizontal="center" vertical="center"/>
    </xf>
    <xf numFmtId="0" fontId="39" fillId="0" borderId="19" xfId="2" applyFont="1" applyFill="1" applyBorder="1" applyAlignment="1">
      <alignment horizontal="center" vertical="center"/>
    </xf>
    <xf numFmtId="0" fontId="43" fillId="0" borderId="4" xfId="2" applyFont="1" applyFill="1" applyBorder="1" applyAlignment="1">
      <alignment horizontal="center" vertical="center" wrapText="1"/>
    </xf>
    <xf numFmtId="0" fontId="43" fillId="0" borderId="5" xfId="2" applyFont="1" applyFill="1" applyBorder="1" applyAlignment="1">
      <alignment horizontal="center" vertical="center" wrapText="1"/>
    </xf>
    <xf numFmtId="0" fontId="9" fillId="0" borderId="2" xfId="1" applyNumberFormat="1" applyFont="1" applyFill="1" applyBorder="1" applyAlignment="1">
      <alignment horizontal="center" vertical="center" wrapText="1"/>
    </xf>
    <xf numFmtId="0" fontId="10" fillId="0" borderId="2" xfId="1" applyNumberFormat="1" applyFont="1" applyFill="1" applyBorder="1" applyAlignment="1">
      <alignment horizontal="center" vertical="center" wrapText="1"/>
    </xf>
    <xf numFmtId="0" fontId="7" fillId="0" borderId="2" xfId="1" applyNumberFormat="1" applyFont="1" applyFill="1" applyBorder="1" applyAlignment="1">
      <alignment horizontal="center" vertical="center" wrapText="1"/>
    </xf>
    <xf numFmtId="0" fontId="8" fillId="0" borderId="0" xfId="1" applyFont="1" applyFill="1" applyAlignment="1">
      <alignment horizontal="left" wrapText="1"/>
    </xf>
    <xf numFmtId="0" fontId="10" fillId="0" borderId="2" xfId="1" applyFont="1" applyFill="1" applyBorder="1" applyAlignment="1">
      <alignment horizontal="center" vertical="center" wrapText="1"/>
    </xf>
    <xf numFmtId="0" fontId="11" fillId="0" borderId="2" xfId="1" applyNumberFormat="1" applyFont="1" applyFill="1" applyBorder="1" applyAlignment="1">
      <alignment horizontal="center" vertical="center" wrapText="1"/>
    </xf>
    <xf numFmtId="0" fontId="2" fillId="0" borderId="0" xfId="1" applyFont="1" applyFill="1" applyAlignment="1">
      <alignment horizontal="center" vertical="center"/>
    </xf>
    <xf numFmtId="0" fontId="8" fillId="0" borderId="1" xfId="1" applyFont="1" applyFill="1" applyBorder="1" applyAlignment="1">
      <alignment horizontal="right"/>
    </xf>
    <xf numFmtId="0" fontId="5" fillId="0" borderId="1" xfId="1" applyFont="1" applyFill="1" applyBorder="1" applyAlignment="1">
      <alignment horizontal="right"/>
    </xf>
    <xf numFmtId="0" fontId="39" fillId="0" borderId="2" xfId="1" applyNumberFormat="1" applyFont="1" applyFill="1" applyBorder="1" applyAlignment="1" applyProtection="1">
      <alignment horizontal="center" vertical="center"/>
    </xf>
    <xf numFmtId="0" fontId="43" fillId="0" borderId="2" xfId="1" applyNumberFormat="1" applyFont="1" applyFill="1" applyBorder="1" applyAlignment="1">
      <alignment horizontal="center" vertical="center" wrapText="1"/>
    </xf>
    <xf numFmtId="49" fontId="43" fillId="0" borderId="2" xfId="1" applyNumberFormat="1" applyFont="1" applyFill="1" applyBorder="1" applyAlignment="1">
      <alignment horizontal="center" vertical="center" wrapText="1"/>
    </xf>
    <xf numFmtId="0" fontId="43" fillId="0" borderId="2" xfId="1" applyFont="1" applyFill="1" applyBorder="1" applyAlignment="1">
      <alignment horizontal="center" vertical="center" wrapText="1"/>
    </xf>
    <xf numFmtId="0" fontId="2" fillId="0" borderId="0" xfId="2" applyFont="1" applyAlignment="1">
      <alignment horizontal="center" vertical="center"/>
    </xf>
    <xf numFmtId="0" fontId="35" fillId="0" borderId="4" xfId="2" applyFont="1" applyBorder="1" applyAlignment="1">
      <alignment horizontal="center" vertical="center"/>
    </xf>
    <xf numFmtId="0" fontId="35" fillId="0" borderId="5" xfId="2" applyFont="1" applyBorder="1" applyAlignment="1">
      <alignment horizontal="center" vertical="center"/>
    </xf>
    <xf numFmtId="0" fontId="35" fillId="0" borderId="4" xfId="2" applyFont="1" applyBorder="1" applyAlignment="1">
      <alignment horizontal="center" vertical="center" wrapText="1"/>
    </xf>
    <xf numFmtId="0" fontId="35" fillId="0" borderId="5" xfId="2" applyFont="1" applyBorder="1" applyAlignment="1">
      <alignment horizontal="center" vertical="center" wrapText="1"/>
    </xf>
    <xf numFmtId="0" fontId="2" fillId="0" borderId="0" xfId="2" applyFont="1" applyFill="1" applyAlignment="1">
      <alignment horizontal="center" vertical="center"/>
    </xf>
  </cellXfs>
  <cellStyles count="5">
    <cellStyle name="?鹎%U龡&amp;H齲_x0001_C铣_x0014__x0007__x0001__x0001_" xfId="1"/>
    <cellStyle name="?鹎%U龡&amp;H齲_x0001_C铣_x0014__x0007__x0001__x0001_ 2" xfId="2"/>
    <cellStyle name="常规" xfId="0" builtinId="0"/>
    <cellStyle name="常规 2" xfId="4"/>
    <cellStyle name="常规_exceltmp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4179;&#28525;2017&#24180;&#39044;&#31639;&#25191;&#34892;&#21450;2018&#24180;&#39044;&#31639;&#33609;&#26696;&#24773;&#20917;&#34920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0"/>
      <sheetName val="Sheet1"/>
      <sheetName val="Sheet2"/>
      <sheetName val="Sheet3"/>
      <sheetName val="Sheet4 "/>
      <sheetName val="Sheet5"/>
      <sheetName val="Sheet6"/>
      <sheetName val="Sheet7"/>
    </sheetNames>
    <sheetDataSet>
      <sheetData sheetId="0"/>
      <sheetData sheetId="1">
        <row r="6">
          <cell r="G6">
            <v>295500</v>
          </cell>
        </row>
        <row r="8">
          <cell r="B8">
            <v>5655</v>
          </cell>
        </row>
        <row r="9">
          <cell r="B9">
            <v>42834</v>
          </cell>
        </row>
        <row r="10">
          <cell r="B10">
            <v>33275</v>
          </cell>
        </row>
        <row r="11">
          <cell r="B11">
            <v>30661</v>
          </cell>
        </row>
        <row r="12">
          <cell r="B12">
            <v>14189</v>
          </cell>
        </row>
        <row r="13">
          <cell r="B13">
            <v>53</v>
          </cell>
        </row>
        <row r="14">
          <cell r="B14">
            <v>9012</v>
          </cell>
        </row>
        <row r="15">
          <cell r="B15">
            <v>2276</v>
          </cell>
        </row>
        <row r="16">
          <cell r="B16">
            <v>4301</v>
          </cell>
        </row>
        <row r="17">
          <cell r="B17">
            <v>5720</v>
          </cell>
        </row>
        <row r="18">
          <cell r="B18">
            <v>25162</v>
          </cell>
        </row>
        <row r="19">
          <cell r="B19">
            <v>1619</v>
          </cell>
        </row>
        <row r="20">
          <cell r="B20">
            <v>87</v>
          </cell>
        </row>
        <row r="21">
          <cell r="B21">
            <v>6588</v>
          </cell>
        </row>
        <row r="23">
          <cell r="B23">
            <v>24080</v>
          </cell>
        </row>
        <row r="24">
          <cell r="B24">
            <v>3949</v>
          </cell>
        </row>
        <row r="25">
          <cell r="B25">
            <v>434</v>
          </cell>
        </row>
        <row r="26">
          <cell r="B26">
            <v>1212</v>
          </cell>
        </row>
        <row r="27">
          <cell r="B27">
            <v>9053</v>
          </cell>
        </row>
        <row r="28">
          <cell r="B28">
            <v>9052</v>
          </cell>
        </row>
        <row r="29">
          <cell r="B29">
            <v>7727</v>
          </cell>
        </row>
        <row r="30">
          <cell r="B30">
            <v>35025</v>
          </cell>
        </row>
        <row r="31">
          <cell r="B31">
            <v>1000</v>
          </cell>
        </row>
        <row r="32">
          <cell r="B32">
            <v>13986</v>
          </cell>
        </row>
        <row r="33">
          <cell r="B33">
            <v>888</v>
          </cell>
        </row>
        <row r="34">
          <cell r="B34">
            <v>424</v>
          </cell>
        </row>
        <row r="36">
          <cell r="B36">
            <v>168467</v>
          </cell>
        </row>
        <row r="37">
          <cell r="B37">
            <v>-18105</v>
          </cell>
        </row>
        <row r="38">
          <cell r="B38">
            <v>0</v>
          </cell>
        </row>
        <row r="39">
          <cell r="B39">
            <v>363</v>
          </cell>
        </row>
        <row r="40">
          <cell r="B40">
            <v>759</v>
          </cell>
        </row>
        <row r="41">
          <cell r="B41" t="str">
            <v>---</v>
          </cell>
        </row>
        <row r="42">
          <cell r="B42">
            <v>622</v>
          </cell>
        </row>
        <row r="43">
          <cell r="B43">
            <v>5645</v>
          </cell>
        </row>
        <row r="44">
          <cell r="B44">
            <v>990</v>
          </cell>
        </row>
        <row r="45">
          <cell r="B45" t="str">
            <v>---</v>
          </cell>
        </row>
        <row r="46">
          <cell r="B46">
            <v>683</v>
          </cell>
        </row>
        <row r="48">
          <cell r="B48">
            <v>195</v>
          </cell>
        </row>
        <row r="55">
          <cell r="B55">
            <v>49285</v>
          </cell>
        </row>
        <row r="56">
          <cell r="B56">
            <v>10910</v>
          </cell>
        </row>
        <row r="57">
          <cell r="B57">
            <v>13762</v>
          </cell>
        </row>
        <row r="58">
          <cell r="B58">
            <v>20966</v>
          </cell>
        </row>
        <row r="59">
          <cell r="B59">
            <v>1023</v>
          </cell>
        </row>
        <row r="60">
          <cell r="B60">
            <v>530</v>
          </cell>
        </row>
        <row r="61">
          <cell r="B61">
            <v>501</v>
          </cell>
        </row>
        <row r="63">
          <cell r="B63">
            <v>59975</v>
          </cell>
        </row>
        <row r="64">
          <cell r="B64">
            <v>11808</v>
          </cell>
        </row>
        <row r="65">
          <cell r="B65">
            <v>125407</v>
          </cell>
        </row>
        <row r="66">
          <cell r="B66">
            <v>79180</v>
          </cell>
        </row>
        <row r="68">
          <cell r="B68">
            <v>40043</v>
          </cell>
        </row>
        <row r="69">
          <cell r="B69">
            <v>12</v>
          </cell>
        </row>
        <row r="70">
          <cell r="B70">
            <v>3855</v>
          </cell>
        </row>
        <row r="71">
          <cell r="B71">
            <v>45992</v>
          </cell>
        </row>
        <row r="72">
          <cell r="B72">
            <v>21284</v>
          </cell>
        </row>
      </sheetData>
      <sheetData sheetId="2">
        <row r="5">
          <cell r="F5">
            <v>22028</v>
          </cell>
        </row>
      </sheetData>
      <sheetData sheetId="3"/>
      <sheetData sheetId="4">
        <row r="7">
          <cell r="E7">
            <v>233900</v>
          </cell>
        </row>
      </sheetData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2"/>
  <sheetViews>
    <sheetView workbookViewId="0">
      <selection activeCell="I16" sqref="I16"/>
    </sheetView>
  </sheetViews>
  <sheetFormatPr defaultRowHeight="14.25"/>
  <cols>
    <col min="1" max="1" width="10.5" style="20" bestFit="1" customWidth="1"/>
    <col min="2" max="256" width="9" style="20"/>
    <col min="257" max="257" width="10.5" style="20" bestFit="1" customWidth="1"/>
    <col min="258" max="512" width="9" style="20"/>
    <col min="513" max="513" width="10.5" style="20" bestFit="1" customWidth="1"/>
    <col min="514" max="768" width="9" style="20"/>
    <col min="769" max="769" width="10.5" style="20" bestFit="1" customWidth="1"/>
    <col min="770" max="1024" width="9" style="20"/>
    <col min="1025" max="1025" width="10.5" style="20" bestFit="1" customWidth="1"/>
    <col min="1026" max="1280" width="9" style="20"/>
    <col min="1281" max="1281" width="10.5" style="20" bestFit="1" customWidth="1"/>
    <col min="1282" max="1536" width="9" style="20"/>
    <col min="1537" max="1537" width="10.5" style="20" bestFit="1" customWidth="1"/>
    <col min="1538" max="1792" width="9" style="20"/>
    <col min="1793" max="1793" width="10.5" style="20" bestFit="1" customWidth="1"/>
    <col min="1794" max="2048" width="9" style="20"/>
    <col min="2049" max="2049" width="10.5" style="20" bestFit="1" customWidth="1"/>
    <col min="2050" max="2304" width="9" style="20"/>
    <col min="2305" max="2305" width="10.5" style="20" bestFit="1" customWidth="1"/>
    <col min="2306" max="2560" width="9" style="20"/>
    <col min="2561" max="2561" width="10.5" style="20" bestFit="1" customWidth="1"/>
    <col min="2562" max="2816" width="9" style="20"/>
    <col min="2817" max="2817" width="10.5" style="20" bestFit="1" customWidth="1"/>
    <col min="2818" max="3072" width="9" style="20"/>
    <col min="3073" max="3073" width="10.5" style="20" bestFit="1" customWidth="1"/>
    <col min="3074" max="3328" width="9" style="20"/>
    <col min="3329" max="3329" width="10.5" style="20" bestFit="1" customWidth="1"/>
    <col min="3330" max="3584" width="9" style="20"/>
    <col min="3585" max="3585" width="10.5" style="20" bestFit="1" customWidth="1"/>
    <col min="3586" max="3840" width="9" style="20"/>
    <col min="3841" max="3841" width="10.5" style="20" bestFit="1" customWidth="1"/>
    <col min="3842" max="4096" width="9" style="20"/>
    <col min="4097" max="4097" width="10.5" style="20" bestFit="1" customWidth="1"/>
    <col min="4098" max="4352" width="9" style="20"/>
    <col min="4353" max="4353" width="10.5" style="20" bestFit="1" customWidth="1"/>
    <col min="4354" max="4608" width="9" style="20"/>
    <col min="4609" max="4609" width="10.5" style="20" bestFit="1" customWidth="1"/>
    <col min="4610" max="4864" width="9" style="20"/>
    <col min="4865" max="4865" width="10.5" style="20" bestFit="1" customWidth="1"/>
    <col min="4866" max="5120" width="9" style="20"/>
    <col min="5121" max="5121" width="10.5" style="20" bestFit="1" customWidth="1"/>
    <col min="5122" max="5376" width="9" style="20"/>
    <col min="5377" max="5377" width="10.5" style="20" bestFit="1" customWidth="1"/>
    <col min="5378" max="5632" width="9" style="20"/>
    <col min="5633" max="5633" width="10.5" style="20" bestFit="1" customWidth="1"/>
    <col min="5634" max="5888" width="9" style="20"/>
    <col min="5889" max="5889" width="10.5" style="20" bestFit="1" customWidth="1"/>
    <col min="5890" max="6144" width="9" style="20"/>
    <col min="6145" max="6145" width="10.5" style="20" bestFit="1" customWidth="1"/>
    <col min="6146" max="6400" width="9" style="20"/>
    <col min="6401" max="6401" width="10.5" style="20" bestFit="1" customWidth="1"/>
    <col min="6402" max="6656" width="9" style="20"/>
    <col min="6657" max="6657" width="10.5" style="20" bestFit="1" customWidth="1"/>
    <col min="6658" max="6912" width="9" style="20"/>
    <col min="6913" max="6913" width="10.5" style="20" bestFit="1" customWidth="1"/>
    <col min="6914" max="7168" width="9" style="20"/>
    <col min="7169" max="7169" width="10.5" style="20" bestFit="1" customWidth="1"/>
    <col min="7170" max="7424" width="9" style="20"/>
    <col min="7425" max="7425" width="10.5" style="20" bestFit="1" customWidth="1"/>
    <col min="7426" max="7680" width="9" style="20"/>
    <col min="7681" max="7681" width="10.5" style="20" bestFit="1" customWidth="1"/>
    <col min="7682" max="7936" width="9" style="20"/>
    <col min="7937" max="7937" width="10.5" style="20" bestFit="1" customWidth="1"/>
    <col min="7938" max="8192" width="9" style="20"/>
    <col min="8193" max="8193" width="10.5" style="20" bestFit="1" customWidth="1"/>
    <col min="8194" max="8448" width="9" style="20"/>
    <col min="8449" max="8449" width="10.5" style="20" bestFit="1" customWidth="1"/>
    <col min="8450" max="8704" width="9" style="20"/>
    <col min="8705" max="8705" width="10.5" style="20" bestFit="1" customWidth="1"/>
    <col min="8706" max="8960" width="9" style="20"/>
    <col min="8961" max="8961" width="10.5" style="20" bestFit="1" customWidth="1"/>
    <col min="8962" max="9216" width="9" style="20"/>
    <col min="9217" max="9217" width="10.5" style="20" bestFit="1" customWidth="1"/>
    <col min="9218" max="9472" width="9" style="20"/>
    <col min="9473" max="9473" width="10.5" style="20" bestFit="1" customWidth="1"/>
    <col min="9474" max="9728" width="9" style="20"/>
    <col min="9729" max="9729" width="10.5" style="20" bestFit="1" customWidth="1"/>
    <col min="9730" max="9984" width="9" style="20"/>
    <col min="9985" max="9985" width="10.5" style="20" bestFit="1" customWidth="1"/>
    <col min="9986" max="10240" width="9" style="20"/>
    <col min="10241" max="10241" width="10.5" style="20" bestFit="1" customWidth="1"/>
    <col min="10242" max="10496" width="9" style="20"/>
    <col min="10497" max="10497" width="10.5" style="20" bestFit="1" customWidth="1"/>
    <col min="10498" max="10752" width="9" style="20"/>
    <col min="10753" max="10753" width="10.5" style="20" bestFit="1" customWidth="1"/>
    <col min="10754" max="11008" width="9" style="20"/>
    <col min="11009" max="11009" width="10.5" style="20" bestFit="1" customWidth="1"/>
    <col min="11010" max="11264" width="9" style="20"/>
    <col min="11265" max="11265" width="10.5" style="20" bestFit="1" customWidth="1"/>
    <col min="11266" max="11520" width="9" style="20"/>
    <col min="11521" max="11521" width="10.5" style="20" bestFit="1" customWidth="1"/>
    <col min="11522" max="11776" width="9" style="20"/>
    <col min="11777" max="11777" width="10.5" style="20" bestFit="1" customWidth="1"/>
    <col min="11778" max="12032" width="9" style="20"/>
    <col min="12033" max="12033" width="10.5" style="20" bestFit="1" customWidth="1"/>
    <col min="12034" max="12288" width="9" style="20"/>
    <col min="12289" max="12289" width="10.5" style="20" bestFit="1" customWidth="1"/>
    <col min="12290" max="12544" width="9" style="20"/>
    <col min="12545" max="12545" width="10.5" style="20" bestFit="1" customWidth="1"/>
    <col min="12546" max="12800" width="9" style="20"/>
    <col min="12801" max="12801" width="10.5" style="20" bestFit="1" customWidth="1"/>
    <col min="12802" max="13056" width="9" style="20"/>
    <col min="13057" max="13057" width="10.5" style="20" bestFit="1" customWidth="1"/>
    <col min="13058" max="13312" width="9" style="20"/>
    <col min="13313" max="13313" width="10.5" style="20" bestFit="1" customWidth="1"/>
    <col min="13314" max="13568" width="9" style="20"/>
    <col min="13569" max="13569" width="10.5" style="20" bestFit="1" customWidth="1"/>
    <col min="13570" max="13824" width="9" style="20"/>
    <col min="13825" max="13825" width="10.5" style="20" bestFit="1" customWidth="1"/>
    <col min="13826" max="14080" width="9" style="20"/>
    <col min="14081" max="14081" width="10.5" style="20" bestFit="1" customWidth="1"/>
    <col min="14082" max="14336" width="9" style="20"/>
    <col min="14337" max="14337" width="10.5" style="20" bestFit="1" customWidth="1"/>
    <col min="14338" max="14592" width="9" style="20"/>
    <col min="14593" max="14593" width="10.5" style="20" bestFit="1" customWidth="1"/>
    <col min="14594" max="14848" width="9" style="20"/>
    <col min="14849" max="14849" width="10.5" style="20" bestFit="1" customWidth="1"/>
    <col min="14850" max="15104" width="9" style="20"/>
    <col min="15105" max="15105" width="10.5" style="20" bestFit="1" customWidth="1"/>
    <col min="15106" max="15360" width="9" style="20"/>
    <col min="15361" max="15361" width="10.5" style="20" bestFit="1" customWidth="1"/>
    <col min="15362" max="15616" width="9" style="20"/>
    <col min="15617" max="15617" width="10.5" style="20" bestFit="1" customWidth="1"/>
    <col min="15618" max="15872" width="9" style="20"/>
    <col min="15873" max="15873" width="10.5" style="20" bestFit="1" customWidth="1"/>
    <col min="15874" max="16128" width="9" style="20"/>
    <col min="16129" max="16129" width="10.5" style="20" bestFit="1" customWidth="1"/>
    <col min="16130" max="16384" width="9" style="20"/>
  </cols>
  <sheetData>
    <row r="1" spans="1:9" ht="14.25" customHeight="1">
      <c r="A1" s="228" t="s">
        <v>1059</v>
      </c>
      <c r="B1" s="228"/>
      <c r="C1" s="228"/>
      <c r="D1" s="228"/>
      <c r="E1" s="228"/>
      <c r="F1" s="228"/>
      <c r="G1" s="228"/>
      <c r="H1" s="228"/>
      <c r="I1" s="26"/>
    </row>
    <row r="2" spans="1:9" ht="14.25" customHeight="1">
      <c r="A2" s="228"/>
      <c r="B2" s="228"/>
      <c r="C2" s="228"/>
      <c r="D2" s="228"/>
      <c r="E2" s="228"/>
      <c r="F2" s="228"/>
      <c r="G2" s="228"/>
      <c r="H2" s="228"/>
      <c r="I2" s="229"/>
    </row>
    <row r="3" spans="1:9" ht="14.25" customHeight="1">
      <c r="A3" s="228"/>
      <c r="B3" s="228"/>
      <c r="C3" s="228"/>
      <c r="D3" s="228"/>
      <c r="E3" s="228"/>
      <c r="F3" s="228"/>
      <c r="G3" s="228"/>
      <c r="H3" s="228"/>
      <c r="I3" s="229"/>
    </row>
    <row r="4" spans="1:9" ht="14.25" customHeight="1">
      <c r="A4" s="228"/>
      <c r="B4" s="228"/>
      <c r="C4" s="228"/>
      <c r="D4" s="228"/>
      <c r="E4" s="228"/>
      <c r="F4" s="228"/>
      <c r="G4" s="228"/>
      <c r="H4" s="228"/>
      <c r="I4" s="26"/>
    </row>
    <row r="5" spans="1:9" ht="14.25" customHeight="1">
      <c r="A5" s="228"/>
      <c r="B5" s="228"/>
      <c r="C5" s="228"/>
      <c r="D5" s="228"/>
      <c r="E5" s="228"/>
      <c r="F5" s="228"/>
      <c r="G5" s="228"/>
      <c r="H5" s="228"/>
      <c r="I5" s="26"/>
    </row>
    <row r="6" spans="1:9" ht="31.5" customHeight="1">
      <c r="A6" s="228"/>
      <c r="B6" s="228"/>
      <c r="C6" s="228"/>
      <c r="D6" s="228"/>
      <c r="E6" s="228"/>
      <c r="F6" s="228"/>
      <c r="G6" s="228"/>
      <c r="H6" s="228"/>
      <c r="I6" s="26"/>
    </row>
    <row r="7" spans="1:9" ht="31.5" customHeight="1">
      <c r="A7" s="228"/>
      <c r="B7" s="228"/>
      <c r="C7" s="228"/>
      <c r="D7" s="228"/>
      <c r="E7" s="228"/>
      <c r="F7" s="228"/>
      <c r="G7" s="228"/>
      <c r="H7" s="228"/>
      <c r="I7" s="26"/>
    </row>
    <row r="8" spans="1:9" ht="14.25" customHeight="1">
      <c r="A8" s="26"/>
      <c r="B8" s="26"/>
      <c r="C8" s="26"/>
      <c r="D8" s="26"/>
      <c r="E8" s="26"/>
      <c r="F8" s="26"/>
      <c r="G8" s="26"/>
      <c r="H8" s="26"/>
      <c r="I8" s="26"/>
    </row>
    <row r="9" spans="1:9" ht="14.25" customHeight="1">
      <c r="A9" s="26"/>
      <c r="B9" s="26"/>
      <c r="C9" s="26"/>
      <c r="D9" s="26"/>
      <c r="E9" s="26"/>
      <c r="F9" s="26"/>
      <c r="G9" s="26"/>
      <c r="H9" s="26"/>
      <c r="I9" s="26"/>
    </row>
    <row r="10" spans="1:9" ht="14.25" customHeight="1">
      <c r="A10" s="26"/>
      <c r="B10" s="26"/>
      <c r="C10" s="26"/>
      <c r="D10" s="26"/>
      <c r="E10" s="26"/>
      <c r="F10" s="26"/>
      <c r="G10" s="26"/>
      <c r="H10" s="26"/>
      <c r="I10" s="26"/>
    </row>
    <row r="11" spans="1:9" ht="14.25" customHeight="1">
      <c r="A11" s="26"/>
      <c r="B11" s="26"/>
      <c r="C11" s="26"/>
      <c r="D11" s="26"/>
      <c r="E11" s="26"/>
      <c r="F11" s="26"/>
      <c r="G11" s="26"/>
      <c r="H11" s="26"/>
      <c r="I11" s="26"/>
    </row>
    <row r="12" spans="1:9" ht="14.25" customHeight="1">
      <c r="A12" s="26"/>
      <c r="B12" s="26"/>
      <c r="C12" s="26"/>
      <c r="D12" s="26"/>
      <c r="E12" s="26"/>
      <c r="F12" s="26"/>
      <c r="G12" s="26"/>
      <c r="H12" s="26"/>
      <c r="I12" s="26"/>
    </row>
    <row r="13" spans="1:9" ht="14.25" customHeight="1">
      <c r="A13" s="26"/>
      <c r="B13" s="26"/>
      <c r="C13" s="26"/>
      <c r="D13" s="26"/>
      <c r="E13" s="26"/>
      <c r="F13" s="26"/>
      <c r="G13" s="26"/>
      <c r="H13" s="26"/>
      <c r="I13" s="26"/>
    </row>
    <row r="36" spans="1:9" ht="14.25" customHeight="1">
      <c r="A36" s="230" t="s">
        <v>1430</v>
      </c>
      <c r="B36" s="231"/>
      <c r="C36" s="231"/>
      <c r="D36" s="231"/>
      <c r="E36" s="231"/>
      <c r="F36" s="231"/>
      <c r="G36" s="231"/>
      <c r="H36" s="231"/>
      <c r="I36" s="27"/>
    </row>
    <row r="37" spans="1:9" ht="14.25" customHeight="1">
      <c r="A37" s="231"/>
      <c r="B37" s="231"/>
      <c r="C37" s="231"/>
      <c r="D37" s="231"/>
      <c r="E37" s="231"/>
      <c r="F37" s="231"/>
      <c r="G37" s="231"/>
      <c r="H37" s="231"/>
      <c r="I37" s="27"/>
    </row>
    <row r="38" spans="1:9" ht="14.25" customHeight="1">
      <c r="A38" s="231"/>
      <c r="B38" s="231"/>
      <c r="C38" s="231"/>
      <c r="D38" s="231"/>
      <c r="E38" s="231"/>
      <c r="F38" s="231"/>
      <c r="G38" s="231"/>
      <c r="H38" s="231"/>
      <c r="I38" s="27"/>
    </row>
    <row r="39" spans="1:9" ht="14.25" customHeight="1">
      <c r="A39" s="231"/>
      <c r="B39" s="231"/>
      <c r="C39" s="231"/>
      <c r="D39" s="231"/>
      <c r="E39" s="231"/>
      <c r="F39" s="231"/>
      <c r="G39" s="231"/>
      <c r="H39" s="231"/>
      <c r="I39" s="27"/>
    </row>
    <row r="40" spans="1:9">
      <c r="A40" s="232">
        <v>43101</v>
      </c>
      <c r="B40" s="232"/>
      <c r="C40" s="232"/>
      <c r="D40" s="232"/>
      <c r="E40" s="232"/>
      <c r="F40" s="232"/>
      <c r="G40" s="232"/>
      <c r="H40" s="232"/>
    </row>
    <row r="41" spans="1:9">
      <c r="A41" s="232"/>
      <c r="B41" s="232"/>
      <c r="C41" s="232"/>
      <c r="D41" s="232"/>
      <c r="E41" s="232"/>
      <c r="F41" s="232"/>
      <c r="G41" s="232"/>
      <c r="H41" s="232"/>
    </row>
    <row r="42" spans="1:9">
      <c r="A42" s="232"/>
      <c r="B42" s="232"/>
      <c r="C42" s="232"/>
      <c r="D42" s="232"/>
      <c r="E42" s="232"/>
      <c r="F42" s="232"/>
      <c r="G42" s="232"/>
      <c r="H42" s="232"/>
    </row>
  </sheetData>
  <mergeCells count="4">
    <mergeCell ref="A1:H7"/>
    <mergeCell ref="I2:I3"/>
    <mergeCell ref="A36:H39"/>
    <mergeCell ref="A40:H42"/>
  </mergeCells>
  <phoneticPr fontId="3" type="noConversion"/>
  <printOptions horizontalCentered="1"/>
  <pageMargins left="0.55118110236220474" right="0.55118110236220474" top="0.78740157480314965" bottom="0.98425196850393704" header="0.31496062992125984" footer="0.51181102362204722"/>
  <pageSetup paperSize="9" scale="95" orientation="portrait" verticalDpi="180" r:id="rId1"/>
  <headerFooter differentFirst="1" alignWithMargins="0">
    <oddFooter>第 &amp;P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K258"/>
  <sheetViews>
    <sheetView workbookViewId="0">
      <pane xSplit="1" ySplit="6" topLeftCell="B7" activePane="bottomRight" state="frozen"/>
      <selection activeCell="L41" sqref="L41"/>
      <selection pane="topRight" activeCell="L41" sqref="L41"/>
      <selection pane="bottomLeft" activeCell="L41" sqref="L41"/>
      <selection pane="bottomRight" activeCell="M24" sqref="M24"/>
    </sheetView>
  </sheetViews>
  <sheetFormatPr defaultRowHeight="12.75"/>
  <cols>
    <col min="1" max="1" width="29.5" style="28" customWidth="1"/>
    <col min="2" max="2" width="8.25" style="28" customWidth="1"/>
    <col min="3" max="3" width="8" style="28" customWidth="1"/>
    <col min="4" max="4" width="8.625" style="28" customWidth="1"/>
    <col min="5" max="5" width="9.125" style="28" customWidth="1"/>
    <col min="6" max="7" width="8.375" style="28" customWidth="1"/>
    <col min="8" max="9" width="8.125" style="28" customWidth="1"/>
    <col min="10" max="10" width="8" style="28" customWidth="1"/>
    <col min="11" max="11" width="0" style="2" hidden="1" customWidth="1"/>
    <col min="12" max="256" width="9" style="2"/>
    <col min="257" max="257" width="25.625" style="2" customWidth="1"/>
    <col min="258" max="258" width="8.25" style="2" customWidth="1"/>
    <col min="259" max="259" width="8" style="2" customWidth="1"/>
    <col min="260" max="260" width="8.625" style="2" customWidth="1"/>
    <col min="261" max="261" width="9.125" style="2" customWidth="1"/>
    <col min="262" max="263" width="8.375" style="2" customWidth="1"/>
    <col min="264" max="265" width="8.125" style="2" customWidth="1"/>
    <col min="266" max="266" width="8" style="2" customWidth="1"/>
    <col min="267" max="267" width="0" style="2" hidden="1" customWidth="1"/>
    <col min="268" max="512" width="9" style="2"/>
    <col min="513" max="513" width="25.625" style="2" customWidth="1"/>
    <col min="514" max="514" width="8.25" style="2" customWidth="1"/>
    <col min="515" max="515" width="8" style="2" customWidth="1"/>
    <col min="516" max="516" width="8.625" style="2" customWidth="1"/>
    <col min="517" max="517" width="9.125" style="2" customWidth="1"/>
    <col min="518" max="519" width="8.375" style="2" customWidth="1"/>
    <col min="520" max="521" width="8.125" style="2" customWidth="1"/>
    <col min="522" max="522" width="8" style="2" customWidth="1"/>
    <col min="523" max="523" width="0" style="2" hidden="1" customWidth="1"/>
    <col min="524" max="768" width="9" style="2"/>
    <col min="769" max="769" width="25.625" style="2" customWidth="1"/>
    <col min="770" max="770" width="8.25" style="2" customWidth="1"/>
    <col min="771" max="771" width="8" style="2" customWidth="1"/>
    <col min="772" max="772" width="8.625" style="2" customWidth="1"/>
    <col min="773" max="773" width="9.125" style="2" customWidth="1"/>
    <col min="774" max="775" width="8.375" style="2" customWidth="1"/>
    <col min="776" max="777" width="8.125" style="2" customWidth="1"/>
    <col min="778" max="778" width="8" style="2" customWidth="1"/>
    <col min="779" max="779" width="0" style="2" hidden="1" customWidth="1"/>
    <col min="780" max="1024" width="9" style="2"/>
    <col min="1025" max="1025" width="25.625" style="2" customWidth="1"/>
    <col min="1026" max="1026" width="8.25" style="2" customWidth="1"/>
    <col min="1027" max="1027" width="8" style="2" customWidth="1"/>
    <col min="1028" max="1028" width="8.625" style="2" customWidth="1"/>
    <col min="1029" max="1029" width="9.125" style="2" customWidth="1"/>
    <col min="1030" max="1031" width="8.375" style="2" customWidth="1"/>
    <col min="1032" max="1033" width="8.125" style="2" customWidth="1"/>
    <col min="1034" max="1034" width="8" style="2" customWidth="1"/>
    <col min="1035" max="1035" width="0" style="2" hidden="1" customWidth="1"/>
    <col min="1036" max="1280" width="9" style="2"/>
    <col min="1281" max="1281" width="25.625" style="2" customWidth="1"/>
    <col min="1282" max="1282" width="8.25" style="2" customWidth="1"/>
    <col min="1283" max="1283" width="8" style="2" customWidth="1"/>
    <col min="1284" max="1284" width="8.625" style="2" customWidth="1"/>
    <col min="1285" max="1285" width="9.125" style="2" customWidth="1"/>
    <col min="1286" max="1287" width="8.375" style="2" customWidth="1"/>
    <col min="1288" max="1289" width="8.125" style="2" customWidth="1"/>
    <col min="1290" max="1290" width="8" style="2" customWidth="1"/>
    <col min="1291" max="1291" width="0" style="2" hidden="1" customWidth="1"/>
    <col min="1292" max="1536" width="9" style="2"/>
    <col min="1537" max="1537" width="25.625" style="2" customWidth="1"/>
    <col min="1538" max="1538" width="8.25" style="2" customWidth="1"/>
    <col min="1539" max="1539" width="8" style="2" customWidth="1"/>
    <col min="1540" max="1540" width="8.625" style="2" customWidth="1"/>
    <col min="1541" max="1541" width="9.125" style="2" customWidth="1"/>
    <col min="1542" max="1543" width="8.375" style="2" customWidth="1"/>
    <col min="1544" max="1545" width="8.125" style="2" customWidth="1"/>
    <col min="1546" max="1546" width="8" style="2" customWidth="1"/>
    <col min="1547" max="1547" width="0" style="2" hidden="1" customWidth="1"/>
    <col min="1548" max="1792" width="9" style="2"/>
    <col min="1793" max="1793" width="25.625" style="2" customWidth="1"/>
    <col min="1794" max="1794" width="8.25" style="2" customWidth="1"/>
    <col min="1795" max="1795" width="8" style="2" customWidth="1"/>
    <col min="1796" max="1796" width="8.625" style="2" customWidth="1"/>
    <col min="1797" max="1797" width="9.125" style="2" customWidth="1"/>
    <col min="1798" max="1799" width="8.375" style="2" customWidth="1"/>
    <col min="1800" max="1801" width="8.125" style="2" customWidth="1"/>
    <col min="1802" max="1802" width="8" style="2" customWidth="1"/>
    <col min="1803" max="1803" width="0" style="2" hidden="1" customWidth="1"/>
    <col min="1804" max="2048" width="9" style="2"/>
    <col min="2049" max="2049" width="25.625" style="2" customWidth="1"/>
    <col min="2050" max="2050" width="8.25" style="2" customWidth="1"/>
    <col min="2051" max="2051" width="8" style="2" customWidth="1"/>
    <col min="2052" max="2052" width="8.625" style="2" customWidth="1"/>
    <col min="2053" max="2053" width="9.125" style="2" customWidth="1"/>
    <col min="2054" max="2055" width="8.375" style="2" customWidth="1"/>
    <col min="2056" max="2057" width="8.125" style="2" customWidth="1"/>
    <col min="2058" max="2058" width="8" style="2" customWidth="1"/>
    <col min="2059" max="2059" width="0" style="2" hidden="1" customWidth="1"/>
    <col min="2060" max="2304" width="9" style="2"/>
    <col min="2305" max="2305" width="25.625" style="2" customWidth="1"/>
    <col min="2306" max="2306" width="8.25" style="2" customWidth="1"/>
    <col min="2307" max="2307" width="8" style="2" customWidth="1"/>
    <col min="2308" max="2308" width="8.625" style="2" customWidth="1"/>
    <col min="2309" max="2309" width="9.125" style="2" customWidth="1"/>
    <col min="2310" max="2311" width="8.375" style="2" customWidth="1"/>
    <col min="2312" max="2313" width="8.125" style="2" customWidth="1"/>
    <col min="2314" max="2314" width="8" style="2" customWidth="1"/>
    <col min="2315" max="2315" width="0" style="2" hidden="1" customWidth="1"/>
    <col min="2316" max="2560" width="9" style="2"/>
    <col min="2561" max="2561" width="25.625" style="2" customWidth="1"/>
    <col min="2562" max="2562" width="8.25" style="2" customWidth="1"/>
    <col min="2563" max="2563" width="8" style="2" customWidth="1"/>
    <col min="2564" max="2564" width="8.625" style="2" customWidth="1"/>
    <col min="2565" max="2565" width="9.125" style="2" customWidth="1"/>
    <col min="2566" max="2567" width="8.375" style="2" customWidth="1"/>
    <col min="2568" max="2569" width="8.125" style="2" customWidth="1"/>
    <col min="2570" max="2570" width="8" style="2" customWidth="1"/>
    <col min="2571" max="2571" width="0" style="2" hidden="1" customWidth="1"/>
    <col min="2572" max="2816" width="9" style="2"/>
    <col min="2817" max="2817" width="25.625" style="2" customWidth="1"/>
    <col min="2818" max="2818" width="8.25" style="2" customWidth="1"/>
    <col min="2819" max="2819" width="8" style="2" customWidth="1"/>
    <col min="2820" max="2820" width="8.625" style="2" customWidth="1"/>
    <col min="2821" max="2821" width="9.125" style="2" customWidth="1"/>
    <col min="2822" max="2823" width="8.375" style="2" customWidth="1"/>
    <col min="2824" max="2825" width="8.125" style="2" customWidth="1"/>
    <col min="2826" max="2826" width="8" style="2" customWidth="1"/>
    <col min="2827" max="2827" width="0" style="2" hidden="1" customWidth="1"/>
    <col min="2828" max="3072" width="9" style="2"/>
    <col min="3073" max="3073" width="25.625" style="2" customWidth="1"/>
    <col min="3074" max="3074" width="8.25" style="2" customWidth="1"/>
    <col min="3075" max="3075" width="8" style="2" customWidth="1"/>
    <col min="3076" max="3076" width="8.625" style="2" customWidth="1"/>
    <col min="3077" max="3077" width="9.125" style="2" customWidth="1"/>
    <col min="3078" max="3079" width="8.375" style="2" customWidth="1"/>
    <col min="3080" max="3081" width="8.125" style="2" customWidth="1"/>
    <col min="3082" max="3082" width="8" style="2" customWidth="1"/>
    <col min="3083" max="3083" width="0" style="2" hidden="1" customWidth="1"/>
    <col min="3084" max="3328" width="9" style="2"/>
    <col min="3329" max="3329" width="25.625" style="2" customWidth="1"/>
    <col min="3330" max="3330" width="8.25" style="2" customWidth="1"/>
    <col min="3331" max="3331" width="8" style="2" customWidth="1"/>
    <col min="3332" max="3332" width="8.625" style="2" customWidth="1"/>
    <col min="3333" max="3333" width="9.125" style="2" customWidth="1"/>
    <col min="3334" max="3335" width="8.375" style="2" customWidth="1"/>
    <col min="3336" max="3337" width="8.125" style="2" customWidth="1"/>
    <col min="3338" max="3338" width="8" style="2" customWidth="1"/>
    <col min="3339" max="3339" width="0" style="2" hidden="1" customWidth="1"/>
    <col min="3340" max="3584" width="9" style="2"/>
    <col min="3585" max="3585" width="25.625" style="2" customWidth="1"/>
    <col min="3586" max="3586" width="8.25" style="2" customWidth="1"/>
    <col min="3587" max="3587" width="8" style="2" customWidth="1"/>
    <col min="3588" max="3588" width="8.625" style="2" customWidth="1"/>
    <col min="3589" max="3589" width="9.125" style="2" customWidth="1"/>
    <col min="3590" max="3591" width="8.375" style="2" customWidth="1"/>
    <col min="3592" max="3593" width="8.125" style="2" customWidth="1"/>
    <col min="3594" max="3594" width="8" style="2" customWidth="1"/>
    <col min="3595" max="3595" width="0" style="2" hidden="1" customWidth="1"/>
    <col min="3596" max="3840" width="9" style="2"/>
    <col min="3841" max="3841" width="25.625" style="2" customWidth="1"/>
    <col min="3842" max="3842" width="8.25" style="2" customWidth="1"/>
    <col min="3843" max="3843" width="8" style="2" customWidth="1"/>
    <col min="3844" max="3844" width="8.625" style="2" customWidth="1"/>
    <col min="3845" max="3845" width="9.125" style="2" customWidth="1"/>
    <col min="3846" max="3847" width="8.375" style="2" customWidth="1"/>
    <col min="3848" max="3849" width="8.125" style="2" customWidth="1"/>
    <col min="3850" max="3850" width="8" style="2" customWidth="1"/>
    <col min="3851" max="3851" width="0" style="2" hidden="1" customWidth="1"/>
    <col min="3852" max="4096" width="9" style="2"/>
    <col min="4097" max="4097" width="25.625" style="2" customWidth="1"/>
    <col min="4098" max="4098" width="8.25" style="2" customWidth="1"/>
    <col min="4099" max="4099" width="8" style="2" customWidth="1"/>
    <col min="4100" max="4100" width="8.625" style="2" customWidth="1"/>
    <col min="4101" max="4101" width="9.125" style="2" customWidth="1"/>
    <col min="4102" max="4103" width="8.375" style="2" customWidth="1"/>
    <col min="4104" max="4105" width="8.125" style="2" customWidth="1"/>
    <col min="4106" max="4106" width="8" style="2" customWidth="1"/>
    <col min="4107" max="4107" width="0" style="2" hidden="1" customWidth="1"/>
    <col min="4108" max="4352" width="9" style="2"/>
    <col min="4353" max="4353" width="25.625" style="2" customWidth="1"/>
    <col min="4354" max="4354" width="8.25" style="2" customWidth="1"/>
    <col min="4355" max="4355" width="8" style="2" customWidth="1"/>
    <col min="4356" max="4356" width="8.625" style="2" customWidth="1"/>
    <col min="4357" max="4357" width="9.125" style="2" customWidth="1"/>
    <col min="4358" max="4359" width="8.375" style="2" customWidth="1"/>
    <col min="4360" max="4361" width="8.125" style="2" customWidth="1"/>
    <col min="4362" max="4362" width="8" style="2" customWidth="1"/>
    <col min="4363" max="4363" width="0" style="2" hidden="1" customWidth="1"/>
    <col min="4364" max="4608" width="9" style="2"/>
    <col min="4609" max="4609" width="25.625" style="2" customWidth="1"/>
    <col min="4610" max="4610" width="8.25" style="2" customWidth="1"/>
    <col min="4611" max="4611" width="8" style="2" customWidth="1"/>
    <col min="4612" max="4612" width="8.625" style="2" customWidth="1"/>
    <col min="4613" max="4613" width="9.125" style="2" customWidth="1"/>
    <col min="4614" max="4615" width="8.375" style="2" customWidth="1"/>
    <col min="4616" max="4617" width="8.125" style="2" customWidth="1"/>
    <col min="4618" max="4618" width="8" style="2" customWidth="1"/>
    <col min="4619" max="4619" width="0" style="2" hidden="1" customWidth="1"/>
    <col min="4620" max="4864" width="9" style="2"/>
    <col min="4865" max="4865" width="25.625" style="2" customWidth="1"/>
    <col min="4866" max="4866" width="8.25" style="2" customWidth="1"/>
    <col min="4867" max="4867" width="8" style="2" customWidth="1"/>
    <col min="4868" max="4868" width="8.625" style="2" customWidth="1"/>
    <col min="4869" max="4869" width="9.125" style="2" customWidth="1"/>
    <col min="4870" max="4871" width="8.375" style="2" customWidth="1"/>
    <col min="4872" max="4873" width="8.125" style="2" customWidth="1"/>
    <col min="4874" max="4874" width="8" style="2" customWidth="1"/>
    <col min="4875" max="4875" width="0" style="2" hidden="1" customWidth="1"/>
    <col min="4876" max="5120" width="9" style="2"/>
    <col min="5121" max="5121" width="25.625" style="2" customWidth="1"/>
    <col min="5122" max="5122" width="8.25" style="2" customWidth="1"/>
    <col min="5123" max="5123" width="8" style="2" customWidth="1"/>
    <col min="5124" max="5124" width="8.625" style="2" customWidth="1"/>
    <col min="5125" max="5125" width="9.125" style="2" customWidth="1"/>
    <col min="5126" max="5127" width="8.375" style="2" customWidth="1"/>
    <col min="5128" max="5129" width="8.125" style="2" customWidth="1"/>
    <col min="5130" max="5130" width="8" style="2" customWidth="1"/>
    <col min="5131" max="5131" width="0" style="2" hidden="1" customWidth="1"/>
    <col min="5132" max="5376" width="9" style="2"/>
    <col min="5377" max="5377" width="25.625" style="2" customWidth="1"/>
    <col min="5378" max="5378" width="8.25" style="2" customWidth="1"/>
    <col min="5379" max="5379" width="8" style="2" customWidth="1"/>
    <col min="5380" max="5380" width="8.625" style="2" customWidth="1"/>
    <col min="5381" max="5381" width="9.125" style="2" customWidth="1"/>
    <col min="5382" max="5383" width="8.375" style="2" customWidth="1"/>
    <col min="5384" max="5385" width="8.125" style="2" customWidth="1"/>
    <col min="5386" max="5386" width="8" style="2" customWidth="1"/>
    <col min="5387" max="5387" width="0" style="2" hidden="1" customWidth="1"/>
    <col min="5388" max="5632" width="9" style="2"/>
    <col min="5633" max="5633" width="25.625" style="2" customWidth="1"/>
    <col min="5634" max="5634" width="8.25" style="2" customWidth="1"/>
    <col min="5635" max="5635" width="8" style="2" customWidth="1"/>
    <col min="5636" max="5636" width="8.625" style="2" customWidth="1"/>
    <col min="5637" max="5637" width="9.125" style="2" customWidth="1"/>
    <col min="5638" max="5639" width="8.375" style="2" customWidth="1"/>
    <col min="5640" max="5641" width="8.125" style="2" customWidth="1"/>
    <col min="5642" max="5642" width="8" style="2" customWidth="1"/>
    <col min="5643" max="5643" width="0" style="2" hidden="1" customWidth="1"/>
    <col min="5644" max="5888" width="9" style="2"/>
    <col min="5889" max="5889" width="25.625" style="2" customWidth="1"/>
    <col min="5890" max="5890" width="8.25" style="2" customWidth="1"/>
    <col min="5891" max="5891" width="8" style="2" customWidth="1"/>
    <col min="5892" max="5892" width="8.625" style="2" customWidth="1"/>
    <col min="5893" max="5893" width="9.125" style="2" customWidth="1"/>
    <col min="5894" max="5895" width="8.375" style="2" customWidth="1"/>
    <col min="5896" max="5897" width="8.125" style="2" customWidth="1"/>
    <col min="5898" max="5898" width="8" style="2" customWidth="1"/>
    <col min="5899" max="5899" width="0" style="2" hidden="1" customWidth="1"/>
    <col min="5900" max="6144" width="9" style="2"/>
    <col min="6145" max="6145" width="25.625" style="2" customWidth="1"/>
    <col min="6146" max="6146" width="8.25" style="2" customWidth="1"/>
    <col min="6147" max="6147" width="8" style="2" customWidth="1"/>
    <col min="6148" max="6148" width="8.625" style="2" customWidth="1"/>
    <col min="6149" max="6149" width="9.125" style="2" customWidth="1"/>
    <col min="6150" max="6151" width="8.375" style="2" customWidth="1"/>
    <col min="6152" max="6153" width="8.125" style="2" customWidth="1"/>
    <col min="6154" max="6154" width="8" style="2" customWidth="1"/>
    <col min="6155" max="6155" width="0" style="2" hidden="1" customWidth="1"/>
    <col min="6156" max="6400" width="9" style="2"/>
    <col min="6401" max="6401" width="25.625" style="2" customWidth="1"/>
    <col min="6402" max="6402" width="8.25" style="2" customWidth="1"/>
    <col min="6403" max="6403" width="8" style="2" customWidth="1"/>
    <col min="6404" max="6404" width="8.625" style="2" customWidth="1"/>
    <col min="6405" max="6405" width="9.125" style="2" customWidth="1"/>
    <col min="6406" max="6407" width="8.375" style="2" customWidth="1"/>
    <col min="6408" max="6409" width="8.125" style="2" customWidth="1"/>
    <col min="6410" max="6410" width="8" style="2" customWidth="1"/>
    <col min="6411" max="6411" width="0" style="2" hidden="1" customWidth="1"/>
    <col min="6412" max="6656" width="9" style="2"/>
    <col min="6657" max="6657" width="25.625" style="2" customWidth="1"/>
    <col min="6658" max="6658" width="8.25" style="2" customWidth="1"/>
    <col min="6659" max="6659" width="8" style="2" customWidth="1"/>
    <col min="6660" max="6660" width="8.625" style="2" customWidth="1"/>
    <col min="6661" max="6661" width="9.125" style="2" customWidth="1"/>
    <col min="6662" max="6663" width="8.375" style="2" customWidth="1"/>
    <col min="6664" max="6665" width="8.125" style="2" customWidth="1"/>
    <col min="6666" max="6666" width="8" style="2" customWidth="1"/>
    <col min="6667" max="6667" width="0" style="2" hidden="1" customWidth="1"/>
    <col min="6668" max="6912" width="9" style="2"/>
    <col min="6913" max="6913" width="25.625" style="2" customWidth="1"/>
    <col min="6914" max="6914" width="8.25" style="2" customWidth="1"/>
    <col min="6915" max="6915" width="8" style="2" customWidth="1"/>
    <col min="6916" max="6916" width="8.625" style="2" customWidth="1"/>
    <col min="6917" max="6917" width="9.125" style="2" customWidth="1"/>
    <col min="6918" max="6919" width="8.375" style="2" customWidth="1"/>
    <col min="6920" max="6921" width="8.125" style="2" customWidth="1"/>
    <col min="6922" max="6922" width="8" style="2" customWidth="1"/>
    <col min="6923" max="6923" width="0" style="2" hidden="1" customWidth="1"/>
    <col min="6924" max="7168" width="9" style="2"/>
    <col min="7169" max="7169" width="25.625" style="2" customWidth="1"/>
    <col min="7170" max="7170" width="8.25" style="2" customWidth="1"/>
    <col min="7171" max="7171" width="8" style="2" customWidth="1"/>
    <col min="7172" max="7172" width="8.625" style="2" customWidth="1"/>
    <col min="7173" max="7173" width="9.125" style="2" customWidth="1"/>
    <col min="7174" max="7175" width="8.375" style="2" customWidth="1"/>
    <col min="7176" max="7177" width="8.125" style="2" customWidth="1"/>
    <col min="7178" max="7178" width="8" style="2" customWidth="1"/>
    <col min="7179" max="7179" width="0" style="2" hidden="1" customWidth="1"/>
    <col min="7180" max="7424" width="9" style="2"/>
    <col min="7425" max="7425" width="25.625" style="2" customWidth="1"/>
    <col min="7426" max="7426" width="8.25" style="2" customWidth="1"/>
    <col min="7427" max="7427" width="8" style="2" customWidth="1"/>
    <col min="7428" max="7428" width="8.625" style="2" customWidth="1"/>
    <col min="7429" max="7429" width="9.125" style="2" customWidth="1"/>
    <col min="7430" max="7431" width="8.375" style="2" customWidth="1"/>
    <col min="7432" max="7433" width="8.125" style="2" customWidth="1"/>
    <col min="7434" max="7434" width="8" style="2" customWidth="1"/>
    <col min="7435" max="7435" width="0" style="2" hidden="1" customWidth="1"/>
    <col min="7436" max="7680" width="9" style="2"/>
    <col min="7681" max="7681" width="25.625" style="2" customWidth="1"/>
    <col min="7682" max="7682" width="8.25" style="2" customWidth="1"/>
    <col min="7683" max="7683" width="8" style="2" customWidth="1"/>
    <col min="7684" max="7684" width="8.625" style="2" customWidth="1"/>
    <col min="7685" max="7685" width="9.125" style="2" customWidth="1"/>
    <col min="7686" max="7687" width="8.375" style="2" customWidth="1"/>
    <col min="7688" max="7689" width="8.125" style="2" customWidth="1"/>
    <col min="7690" max="7690" width="8" style="2" customWidth="1"/>
    <col min="7691" max="7691" width="0" style="2" hidden="1" customWidth="1"/>
    <col min="7692" max="7936" width="9" style="2"/>
    <col min="7937" max="7937" width="25.625" style="2" customWidth="1"/>
    <col min="7938" max="7938" width="8.25" style="2" customWidth="1"/>
    <col min="7939" max="7939" width="8" style="2" customWidth="1"/>
    <col min="7940" max="7940" width="8.625" style="2" customWidth="1"/>
    <col min="7941" max="7941" width="9.125" style="2" customWidth="1"/>
    <col min="7942" max="7943" width="8.375" style="2" customWidth="1"/>
    <col min="7944" max="7945" width="8.125" style="2" customWidth="1"/>
    <col min="7946" max="7946" width="8" style="2" customWidth="1"/>
    <col min="7947" max="7947" width="0" style="2" hidden="1" customWidth="1"/>
    <col min="7948" max="8192" width="9" style="2"/>
    <col min="8193" max="8193" width="25.625" style="2" customWidth="1"/>
    <col min="8194" max="8194" width="8.25" style="2" customWidth="1"/>
    <col min="8195" max="8195" width="8" style="2" customWidth="1"/>
    <col min="8196" max="8196" width="8.625" style="2" customWidth="1"/>
    <col min="8197" max="8197" width="9.125" style="2" customWidth="1"/>
    <col min="8198" max="8199" width="8.375" style="2" customWidth="1"/>
    <col min="8200" max="8201" width="8.125" style="2" customWidth="1"/>
    <col min="8202" max="8202" width="8" style="2" customWidth="1"/>
    <col min="8203" max="8203" width="0" style="2" hidden="1" customWidth="1"/>
    <col min="8204" max="8448" width="9" style="2"/>
    <col min="8449" max="8449" width="25.625" style="2" customWidth="1"/>
    <col min="8450" max="8450" width="8.25" style="2" customWidth="1"/>
    <col min="8451" max="8451" width="8" style="2" customWidth="1"/>
    <col min="8452" max="8452" width="8.625" style="2" customWidth="1"/>
    <col min="8453" max="8453" width="9.125" style="2" customWidth="1"/>
    <col min="8454" max="8455" width="8.375" style="2" customWidth="1"/>
    <col min="8456" max="8457" width="8.125" style="2" customWidth="1"/>
    <col min="8458" max="8458" width="8" style="2" customWidth="1"/>
    <col min="8459" max="8459" width="0" style="2" hidden="1" customWidth="1"/>
    <col min="8460" max="8704" width="9" style="2"/>
    <col min="8705" max="8705" width="25.625" style="2" customWidth="1"/>
    <col min="8706" max="8706" width="8.25" style="2" customWidth="1"/>
    <col min="8707" max="8707" width="8" style="2" customWidth="1"/>
    <col min="8708" max="8708" width="8.625" style="2" customWidth="1"/>
    <col min="8709" max="8709" width="9.125" style="2" customWidth="1"/>
    <col min="8710" max="8711" width="8.375" style="2" customWidth="1"/>
    <col min="8712" max="8713" width="8.125" style="2" customWidth="1"/>
    <col min="8714" max="8714" width="8" style="2" customWidth="1"/>
    <col min="8715" max="8715" width="0" style="2" hidden="1" customWidth="1"/>
    <col min="8716" max="8960" width="9" style="2"/>
    <col min="8961" max="8961" width="25.625" style="2" customWidth="1"/>
    <col min="8962" max="8962" width="8.25" style="2" customWidth="1"/>
    <col min="8963" max="8963" width="8" style="2" customWidth="1"/>
    <col min="8964" max="8964" width="8.625" style="2" customWidth="1"/>
    <col min="8965" max="8965" width="9.125" style="2" customWidth="1"/>
    <col min="8966" max="8967" width="8.375" style="2" customWidth="1"/>
    <col min="8968" max="8969" width="8.125" style="2" customWidth="1"/>
    <col min="8970" max="8970" width="8" style="2" customWidth="1"/>
    <col min="8971" max="8971" width="0" style="2" hidden="1" customWidth="1"/>
    <col min="8972" max="9216" width="9" style="2"/>
    <col min="9217" max="9217" width="25.625" style="2" customWidth="1"/>
    <col min="9218" max="9218" width="8.25" style="2" customWidth="1"/>
    <col min="9219" max="9219" width="8" style="2" customWidth="1"/>
    <col min="9220" max="9220" width="8.625" style="2" customWidth="1"/>
    <col min="9221" max="9221" width="9.125" style="2" customWidth="1"/>
    <col min="9222" max="9223" width="8.375" style="2" customWidth="1"/>
    <col min="9224" max="9225" width="8.125" style="2" customWidth="1"/>
    <col min="9226" max="9226" width="8" style="2" customWidth="1"/>
    <col min="9227" max="9227" width="0" style="2" hidden="1" customWidth="1"/>
    <col min="9228" max="9472" width="9" style="2"/>
    <col min="9473" max="9473" width="25.625" style="2" customWidth="1"/>
    <col min="9474" max="9474" width="8.25" style="2" customWidth="1"/>
    <col min="9475" max="9475" width="8" style="2" customWidth="1"/>
    <col min="9476" max="9476" width="8.625" style="2" customWidth="1"/>
    <col min="9477" max="9477" width="9.125" style="2" customWidth="1"/>
    <col min="9478" max="9479" width="8.375" style="2" customWidth="1"/>
    <col min="9480" max="9481" width="8.125" style="2" customWidth="1"/>
    <col min="9482" max="9482" width="8" style="2" customWidth="1"/>
    <col min="9483" max="9483" width="0" style="2" hidden="1" customWidth="1"/>
    <col min="9484" max="9728" width="9" style="2"/>
    <col min="9729" max="9729" width="25.625" style="2" customWidth="1"/>
    <col min="9730" max="9730" width="8.25" style="2" customWidth="1"/>
    <col min="9731" max="9731" width="8" style="2" customWidth="1"/>
    <col min="9732" max="9732" width="8.625" style="2" customWidth="1"/>
    <col min="9733" max="9733" width="9.125" style="2" customWidth="1"/>
    <col min="9734" max="9735" width="8.375" style="2" customWidth="1"/>
    <col min="9736" max="9737" width="8.125" style="2" customWidth="1"/>
    <col min="9738" max="9738" width="8" style="2" customWidth="1"/>
    <col min="9739" max="9739" width="0" style="2" hidden="1" customWidth="1"/>
    <col min="9740" max="9984" width="9" style="2"/>
    <col min="9985" max="9985" width="25.625" style="2" customWidth="1"/>
    <col min="9986" max="9986" width="8.25" style="2" customWidth="1"/>
    <col min="9987" max="9987" width="8" style="2" customWidth="1"/>
    <col min="9988" max="9988" width="8.625" style="2" customWidth="1"/>
    <col min="9989" max="9989" width="9.125" style="2" customWidth="1"/>
    <col min="9990" max="9991" width="8.375" style="2" customWidth="1"/>
    <col min="9992" max="9993" width="8.125" style="2" customWidth="1"/>
    <col min="9994" max="9994" width="8" style="2" customWidth="1"/>
    <col min="9995" max="9995" width="0" style="2" hidden="1" customWidth="1"/>
    <col min="9996" max="10240" width="9" style="2"/>
    <col min="10241" max="10241" width="25.625" style="2" customWidth="1"/>
    <col min="10242" max="10242" width="8.25" style="2" customWidth="1"/>
    <col min="10243" max="10243" width="8" style="2" customWidth="1"/>
    <col min="10244" max="10244" width="8.625" style="2" customWidth="1"/>
    <col min="10245" max="10245" width="9.125" style="2" customWidth="1"/>
    <col min="10246" max="10247" width="8.375" style="2" customWidth="1"/>
    <col min="10248" max="10249" width="8.125" style="2" customWidth="1"/>
    <col min="10250" max="10250" width="8" style="2" customWidth="1"/>
    <col min="10251" max="10251" width="0" style="2" hidden="1" customWidth="1"/>
    <col min="10252" max="10496" width="9" style="2"/>
    <col min="10497" max="10497" width="25.625" style="2" customWidth="1"/>
    <col min="10498" max="10498" width="8.25" style="2" customWidth="1"/>
    <col min="10499" max="10499" width="8" style="2" customWidth="1"/>
    <col min="10500" max="10500" width="8.625" style="2" customWidth="1"/>
    <col min="10501" max="10501" width="9.125" style="2" customWidth="1"/>
    <col min="10502" max="10503" width="8.375" style="2" customWidth="1"/>
    <col min="10504" max="10505" width="8.125" style="2" customWidth="1"/>
    <col min="10506" max="10506" width="8" style="2" customWidth="1"/>
    <col min="10507" max="10507" width="0" style="2" hidden="1" customWidth="1"/>
    <col min="10508" max="10752" width="9" style="2"/>
    <col min="10753" max="10753" width="25.625" style="2" customWidth="1"/>
    <col min="10754" max="10754" width="8.25" style="2" customWidth="1"/>
    <col min="10755" max="10755" width="8" style="2" customWidth="1"/>
    <col min="10756" max="10756" width="8.625" style="2" customWidth="1"/>
    <col min="10757" max="10757" width="9.125" style="2" customWidth="1"/>
    <col min="10758" max="10759" width="8.375" style="2" customWidth="1"/>
    <col min="10760" max="10761" width="8.125" style="2" customWidth="1"/>
    <col min="10762" max="10762" width="8" style="2" customWidth="1"/>
    <col min="10763" max="10763" width="0" style="2" hidden="1" customWidth="1"/>
    <col min="10764" max="11008" width="9" style="2"/>
    <col min="11009" max="11009" width="25.625" style="2" customWidth="1"/>
    <col min="11010" max="11010" width="8.25" style="2" customWidth="1"/>
    <col min="11011" max="11011" width="8" style="2" customWidth="1"/>
    <col min="11012" max="11012" width="8.625" style="2" customWidth="1"/>
    <col min="11013" max="11013" width="9.125" style="2" customWidth="1"/>
    <col min="11014" max="11015" width="8.375" style="2" customWidth="1"/>
    <col min="11016" max="11017" width="8.125" style="2" customWidth="1"/>
    <col min="11018" max="11018" width="8" style="2" customWidth="1"/>
    <col min="11019" max="11019" width="0" style="2" hidden="1" customWidth="1"/>
    <col min="11020" max="11264" width="9" style="2"/>
    <col min="11265" max="11265" width="25.625" style="2" customWidth="1"/>
    <col min="11266" max="11266" width="8.25" style="2" customWidth="1"/>
    <col min="11267" max="11267" width="8" style="2" customWidth="1"/>
    <col min="11268" max="11268" width="8.625" style="2" customWidth="1"/>
    <col min="11269" max="11269" width="9.125" style="2" customWidth="1"/>
    <col min="11270" max="11271" width="8.375" style="2" customWidth="1"/>
    <col min="11272" max="11273" width="8.125" style="2" customWidth="1"/>
    <col min="11274" max="11274" width="8" style="2" customWidth="1"/>
    <col min="11275" max="11275" width="0" style="2" hidden="1" customWidth="1"/>
    <col min="11276" max="11520" width="9" style="2"/>
    <col min="11521" max="11521" width="25.625" style="2" customWidth="1"/>
    <col min="11522" max="11522" width="8.25" style="2" customWidth="1"/>
    <col min="11523" max="11523" width="8" style="2" customWidth="1"/>
    <col min="11524" max="11524" width="8.625" style="2" customWidth="1"/>
    <col min="11525" max="11525" width="9.125" style="2" customWidth="1"/>
    <col min="11526" max="11527" width="8.375" style="2" customWidth="1"/>
    <col min="11528" max="11529" width="8.125" style="2" customWidth="1"/>
    <col min="11530" max="11530" width="8" style="2" customWidth="1"/>
    <col min="11531" max="11531" width="0" style="2" hidden="1" customWidth="1"/>
    <col min="11532" max="11776" width="9" style="2"/>
    <col min="11777" max="11777" width="25.625" style="2" customWidth="1"/>
    <col min="11778" max="11778" width="8.25" style="2" customWidth="1"/>
    <col min="11779" max="11779" width="8" style="2" customWidth="1"/>
    <col min="11780" max="11780" width="8.625" style="2" customWidth="1"/>
    <col min="11781" max="11781" width="9.125" style="2" customWidth="1"/>
    <col min="11782" max="11783" width="8.375" style="2" customWidth="1"/>
    <col min="11784" max="11785" width="8.125" style="2" customWidth="1"/>
    <col min="11786" max="11786" width="8" style="2" customWidth="1"/>
    <col min="11787" max="11787" width="0" style="2" hidden="1" customWidth="1"/>
    <col min="11788" max="12032" width="9" style="2"/>
    <col min="12033" max="12033" width="25.625" style="2" customWidth="1"/>
    <col min="12034" max="12034" width="8.25" style="2" customWidth="1"/>
    <col min="12035" max="12035" width="8" style="2" customWidth="1"/>
    <col min="12036" max="12036" width="8.625" style="2" customWidth="1"/>
    <col min="12037" max="12037" width="9.125" style="2" customWidth="1"/>
    <col min="12038" max="12039" width="8.375" style="2" customWidth="1"/>
    <col min="12040" max="12041" width="8.125" style="2" customWidth="1"/>
    <col min="12042" max="12042" width="8" style="2" customWidth="1"/>
    <col min="12043" max="12043" width="0" style="2" hidden="1" customWidth="1"/>
    <col min="12044" max="12288" width="9" style="2"/>
    <col min="12289" max="12289" width="25.625" style="2" customWidth="1"/>
    <col min="12290" max="12290" width="8.25" style="2" customWidth="1"/>
    <col min="12291" max="12291" width="8" style="2" customWidth="1"/>
    <col min="12292" max="12292" width="8.625" style="2" customWidth="1"/>
    <col min="12293" max="12293" width="9.125" style="2" customWidth="1"/>
    <col min="12294" max="12295" width="8.375" style="2" customWidth="1"/>
    <col min="12296" max="12297" width="8.125" style="2" customWidth="1"/>
    <col min="12298" max="12298" width="8" style="2" customWidth="1"/>
    <col min="12299" max="12299" width="0" style="2" hidden="1" customWidth="1"/>
    <col min="12300" max="12544" width="9" style="2"/>
    <col min="12545" max="12545" width="25.625" style="2" customWidth="1"/>
    <col min="12546" max="12546" width="8.25" style="2" customWidth="1"/>
    <col min="12547" max="12547" width="8" style="2" customWidth="1"/>
    <col min="12548" max="12548" width="8.625" style="2" customWidth="1"/>
    <col min="12549" max="12549" width="9.125" style="2" customWidth="1"/>
    <col min="12550" max="12551" width="8.375" style="2" customWidth="1"/>
    <col min="12552" max="12553" width="8.125" style="2" customWidth="1"/>
    <col min="12554" max="12554" width="8" style="2" customWidth="1"/>
    <col min="12555" max="12555" width="0" style="2" hidden="1" customWidth="1"/>
    <col min="12556" max="12800" width="9" style="2"/>
    <col min="12801" max="12801" width="25.625" style="2" customWidth="1"/>
    <col min="12802" max="12802" width="8.25" style="2" customWidth="1"/>
    <col min="12803" max="12803" width="8" style="2" customWidth="1"/>
    <col min="12804" max="12804" width="8.625" style="2" customWidth="1"/>
    <col min="12805" max="12805" width="9.125" style="2" customWidth="1"/>
    <col min="12806" max="12807" width="8.375" style="2" customWidth="1"/>
    <col min="12808" max="12809" width="8.125" style="2" customWidth="1"/>
    <col min="12810" max="12810" width="8" style="2" customWidth="1"/>
    <col min="12811" max="12811" width="0" style="2" hidden="1" customWidth="1"/>
    <col min="12812" max="13056" width="9" style="2"/>
    <col min="13057" max="13057" width="25.625" style="2" customWidth="1"/>
    <col min="13058" max="13058" width="8.25" style="2" customWidth="1"/>
    <col min="13059" max="13059" width="8" style="2" customWidth="1"/>
    <col min="13060" max="13060" width="8.625" style="2" customWidth="1"/>
    <col min="13061" max="13061" width="9.125" style="2" customWidth="1"/>
    <col min="13062" max="13063" width="8.375" style="2" customWidth="1"/>
    <col min="13064" max="13065" width="8.125" style="2" customWidth="1"/>
    <col min="13066" max="13066" width="8" style="2" customWidth="1"/>
    <col min="13067" max="13067" width="0" style="2" hidden="1" customWidth="1"/>
    <col min="13068" max="13312" width="9" style="2"/>
    <col min="13313" max="13313" width="25.625" style="2" customWidth="1"/>
    <col min="13314" max="13314" width="8.25" style="2" customWidth="1"/>
    <col min="13315" max="13315" width="8" style="2" customWidth="1"/>
    <col min="13316" max="13316" width="8.625" style="2" customWidth="1"/>
    <col min="13317" max="13317" width="9.125" style="2" customWidth="1"/>
    <col min="13318" max="13319" width="8.375" style="2" customWidth="1"/>
    <col min="13320" max="13321" width="8.125" style="2" customWidth="1"/>
    <col min="13322" max="13322" width="8" style="2" customWidth="1"/>
    <col min="13323" max="13323" width="0" style="2" hidden="1" customWidth="1"/>
    <col min="13324" max="13568" width="9" style="2"/>
    <col min="13569" max="13569" width="25.625" style="2" customWidth="1"/>
    <col min="13570" max="13570" width="8.25" style="2" customWidth="1"/>
    <col min="13571" max="13571" width="8" style="2" customWidth="1"/>
    <col min="13572" max="13572" width="8.625" style="2" customWidth="1"/>
    <col min="13573" max="13573" width="9.125" style="2" customWidth="1"/>
    <col min="13574" max="13575" width="8.375" style="2" customWidth="1"/>
    <col min="13576" max="13577" width="8.125" style="2" customWidth="1"/>
    <col min="13578" max="13578" width="8" style="2" customWidth="1"/>
    <col min="13579" max="13579" width="0" style="2" hidden="1" customWidth="1"/>
    <col min="13580" max="13824" width="9" style="2"/>
    <col min="13825" max="13825" width="25.625" style="2" customWidth="1"/>
    <col min="13826" max="13826" width="8.25" style="2" customWidth="1"/>
    <col min="13827" max="13827" width="8" style="2" customWidth="1"/>
    <col min="13828" max="13828" width="8.625" style="2" customWidth="1"/>
    <col min="13829" max="13829" width="9.125" style="2" customWidth="1"/>
    <col min="13830" max="13831" width="8.375" style="2" customWidth="1"/>
    <col min="13832" max="13833" width="8.125" style="2" customWidth="1"/>
    <col min="13834" max="13834" width="8" style="2" customWidth="1"/>
    <col min="13835" max="13835" width="0" style="2" hidden="1" customWidth="1"/>
    <col min="13836" max="14080" width="9" style="2"/>
    <col min="14081" max="14081" width="25.625" style="2" customWidth="1"/>
    <col min="14082" max="14082" width="8.25" style="2" customWidth="1"/>
    <col min="14083" max="14083" width="8" style="2" customWidth="1"/>
    <col min="14084" max="14084" width="8.625" style="2" customWidth="1"/>
    <col min="14085" max="14085" width="9.125" style="2" customWidth="1"/>
    <col min="14086" max="14087" width="8.375" style="2" customWidth="1"/>
    <col min="14088" max="14089" width="8.125" style="2" customWidth="1"/>
    <col min="14090" max="14090" width="8" style="2" customWidth="1"/>
    <col min="14091" max="14091" width="0" style="2" hidden="1" customWidth="1"/>
    <col min="14092" max="14336" width="9" style="2"/>
    <col min="14337" max="14337" width="25.625" style="2" customWidth="1"/>
    <col min="14338" max="14338" width="8.25" style="2" customWidth="1"/>
    <col min="14339" max="14339" width="8" style="2" customWidth="1"/>
    <col min="14340" max="14340" width="8.625" style="2" customWidth="1"/>
    <col min="14341" max="14341" width="9.125" style="2" customWidth="1"/>
    <col min="14342" max="14343" width="8.375" style="2" customWidth="1"/>
    <col min="14344" max="14345" width="8.125" style="2" customWidth="1"/>
    <col min="14346" max="14346" width="8" style="2" customWidth="1"/>
    <col min="14347" max="14347" width="0" style="2" hidden="1" customWidth="1"/>
    <col min="14348" max="14592" width="9" style="2"/>
    <col min="14593" max="14593" width="25.625" style="2" customWidth="1"/>
    <col min="14594" max="14594" width="8.25" style="2" customWidth="1"/>
    <col min="14595" max="14595" width="8" style="2" customWidth="1"/>
    <col min="14596" max="14596" width="8.625" style="2" customWidth="1"/>
    <col min="14597" max="14597" width="9.125" style="2" customWidth="1"/>
    <col min="14598" max="14599" width="8.375" style="2" customWidth="1"/>
    <col min="14600" max="14601" width="8.125" style="2" customWidth="1"/>
    <col min="14602" max="14602" width="8" style="2" customWidth="1"/>
    <col min="14603" max="14603" width="0" style="2" hidden="1" customWidth="1"/>
    <col min="14604" max="14848" width="9" style="2"/>
    <col min="14849" max="14849" width="25.625" style="2" customWidth="1"/>
    <col min="14850" max="14850" width="8.25" style="2" customWidth="1"/>
    <col min="14851" max="14851" width="8" style="2" customWidth="1"/>
    <col min="14852" max="14852" width="8.625" style="2" customWidth="1"/>
    <col min="14853" max="14853" width="9.125" style="2" customWidth="1"/>
    <col min="14854" max="14855" width="8.375" style="2" customWidth="1"/>
    <col min="14856" max="14857" width="8.125" style="2" customWidth="1"/>
    <col min="14858" max="14858" width="8" style="2" customWidth="1"/>
    <col min="14859" max="14859" width="0" style="2" hidden="1" customWidth="1"/>
    <col min="14860" max="15104" width="9" style="2"/>
    <col min="15105" max="15105" width="25.625" style="2" customWidth="1"/>
    <col min="15106" max="15106" width="8.25" style="2" customWidth="1"/>
    <col min="15107" max="15107" width="8" style="2" customWidth="1"/>
    <col min="15108" max="15108" width="8.625" style="2" customWidth="1"/>
    <col min="15109" max="15109" width="9.125" style="2" customWidth="1"/>
    <col min="15110" max="15111" width="8.375" style="2" customWidth="1"/>
    <col min="15112" max="15113" width="8.125" style="2" customWidth="1"/>
    <col min="15114" max="15114" width="8" style="2" customWidth="1"/>
    <col min="15115" max="15115" width="0" style="2" hidden="1" customWidth="1"/>
    <col min="15116" max="15360" width="9" style="2"/>
    <col min="15361" max="15361" width="25.625" style="2" customWidth="1"/>
    <col min="15362" max="15362" width="8.25" style="2" customWidth="1"/>
    <col min="15363" max="15363" width="8" style="2" customWidth="1"/>
    <col min="15364" max="15364" width="8.625" style="2" customWidth="1"/>
    <col min="15365" max="15365" width="9.125" style="2" customWidth="1"/>
    <col min="15366" max="15367" width="8.375" style="2" customWidth="1"/>
    <col min="15368" max="15369" width="8.125" style="2" customWidth="1"/>
    <col min="15370" max="15370" width="8" style="2" customWidth="1"/>
    <col min="15371" max="15371" width="0" style="2" hidden="1" customWidth="1"/>
    <col min="15372" max="15616" width="9" style="2"/>
    <col min="15617" max="15617" width="25.625" style="2" customWidth="1"/>
    <col min="15618" max="15618" width="8.25" style="2" customWidth="1"/>
    <col min="15619" max="15619" width="8" style="2" customWidth="1"/>
    <col min="15620" max="15620" width="8.625" style="2" customWidth="1"/>
    <col min="15621" max="15621" width="9.125" style="2" customWidth="1"/>
    <col min="15622" max="15623" width="8.375" style="2" customWidth="1"/>
    <col min="15624" max="15625" width="8.125" style="2" customWidth="1"/>
    <col min="15626" max="15626" width="8" style="2" customWidth="1"/>
    <col min="15627" max="15627" width="0" style="2" hidden="1" customWidth="1"/>
    <col min="15628" max="15872" width="9" style="2"/>
    <col min="15873" max="15873" width="25.625" style="2" customWidth="1"/>
    <col min="15874" max="15874" width="8.25" style="2" customWidth="1"/>
    <col min="15875" max="15875" width="8" style="2" customWidth="1"/>
    <col min="15876" max="15876" width="8.625" style="2" customWidth="1"/>
    <col min="15877" max="15877" width="9.125" style="2" customWidth="1"/>
    <col min="15878" max="15879" width="8.375" style="2" customWidth="1"/>
    <col min="15880" max="15881" width="8.125" style="2" customWidth="1"/>
    <col min="15882" max="15882" width="8" style="2" customWidth="1"/>
    <col min="15883" max="15883" width="0" style="2" hidden="1" customWidth="1"/>
    <col min="15884" max="16128" width="9" style="2"/>
    <col min="16129" max="16129" width="25.625" style="2" customWidth="1"/>
    <col min="16130" max="16130" width="8.25" style="2" customWidth="1"/>
    <col min="16131" max="16131" width="8" style="2" customWidth="1"/>
    <col min="16132" max="16132" width="8.625" style="2" customWidth="1"/>
    <col min="16133" max="16133" width="9.125" style="2" customWidth="1"/>
    <col min="16134" max="16135" width="8.375" style="2" customWidth="1"/>
    <col min="16136" max="16137" width="8.125" style="2" customWidth="1"/>
    <col min="16138" max="16138" width="8" style="2" customWidth="1"/>
    <col min="16139" max="16139" width="0" style="2" hidden="1" customWidth="1"/>
    <col min="16140" max="16384" width="9" style="2"/>
  </cols>
  <sheetData>
    <row r="1" spans="1:11" ht="19.5" customHeight="1">
      <c r="A1" s="234" t="s">
        <v>1432</v>
      </c>
      <c r="B1" s="234"/>
      <c r="C1" s="234"/>
      <c r="D1" s="234"/>
      <c r="E1" s="234"/>
      <c r="F1" s="234"/>
      <c r="G1" s="234"/>
      <c r="H1" s="234"/>
      <c r="I1" s="234"/>
      <c r="J1" s="234"/>
      <c r="K1" s="234"/>
    </row>
    <row r="2" spans="1:11" ht="20.25" customHeight="1">
      <c r="A2" s="115"/>
      <c r="C2" s="29"/>
      <c r="D2" s="30"/>
      <c r="E2" s="30"/>
      <c r="F2" s="31"/>
      <c r="G2" s="31"/>
      <c r="H2" s="31"/>
      <c r="I2" s="235" t="s">
        <v>0</v>
      </c>
      <c r="J2" s="235"/>
    </row>
    <row r="3" spans="1:11" ht="27" customHeight="1">
      <c r="A3" s="236" t="s">
        <v>1264</v>
      </c>
      <c r="B3" s="237" t="s">
        <v>1261</v>
      </c>
      <c r="C3" s="237"/>
      <c r="D3" s="237" t="s">
        <v>1262</v>
      </c>
      <c r="E3" s="237"/>
      <c r="F3" s="237"/>
      <c r="G3" s="237" t="s">
        <v>1263</v>
      </c>
      <c r="H3" s="237"/>
      <c r="I3" s="237"/>
      <c r="J3" s="238"/>
    </row>
    <row r="4" spans="1:11" ht="12" customHeight="1">
      <c r="A4" s="236"/>
      <c r="B4" s="239" t="s">
        <v>1065</v>
      </c>
      <c r="C4" s="236" t="s">
        <v>1066</v>
      </c>
      <c r="D4" s="239" t="s">
        <v>1114</v>
      </c>
      <c r="E4" s="240" t="s">
        <v>1067</v>
      </c>
      <c r="F4" s="236" t="s">
        <v>1066</v>
      </c>
      <c r="G4" s="240" t="s">
        <v>1068</v>
      </c>
      <c r="H4" s="239" t="s">
        <v>1069</v>
      </c>
      <c r="I4" s="236" t="s">
        <v>1070</v>
      </c>
      <c r="J4" s="239" t="s">
        <v>1071</v>
      </c>
      <c r="K4" s="233" t="s">
        <v>1072</v>
      </c>
    </row>
    <row r="5" spans="1:11" ht="29.25" customHeight="1">
      <c r="A5" s="236"/>
      <c r="B5" s="240"/>
      <c r="C5" s="236"/>
      <c r="D5" s="239"/>
      <c r="E5" s="240"/>
      <c r="F5" s="236"/>
      <c r="G5" s="240"/>
      <c r="H5" s="239"/>
      <c r="I5" s="236"/>
      <c r="J5" s="239"/>
      <c r="K5" s="233"/>
    </row>
    <row r="6" spans="1:11" ht="18.95" customHeight="1">
      <c r="A6" s="161" t="s">
        <v>1177</v>
      </c>
      <c r="B6" s="116">
        <f>B7+B22</f>
        <v>264562</v>
      </c>
      <c r="C6" s="117">
        <f>(B6/K6-1)*100</f>
        <v>35.380537403861403</v>
      </c>
      <c r="D6" s="116">
        <f>D7+D22</f>
        <v>272100</v>
      </c>
      <c r="E6" s="116">
        <f>E7+E22</f>
        <v>272100</v>
      </c>
      <c r="F6" s="117">
        <f>(E6/B6-1)*100</f>
        <v>2.8492376078197212</v>
      </c>
      <c r="G6" s="116">
        <f>G7+G22</f>
        <v>295500</v>
      </c>
      <c r="H6" s="117">
        <f>G6/D6*100</f>
        <v>108.59977949283352</v>
      </c>
      <c r="I6" s="117">
        <f>G6/E6*100</f>
        <v>108.59977949283352</v>
      </c>
      <c r="J6" s="117">
        <f>(G6/B6-1)*100</f>
        <v>11.694045252152607</v>
      </c>
      <c r="K6" s="118">
        <f>K7+K22</f>
        <v>195421</v>
      </c>
    </row>
    <row r="7" spans="1:11" ht="18.95" customHeight="1">
      <c r="A7" s="162" t="s">
        <v>1178</v>
      </c>
      <c r="B7" s="104">
        <f>SUM(B8:B21)</f>
        <v>181432</v>
      </c>
      <c r="C7" s="43">
        <f>(B7/K7-1)*100</f>
        <v>23.607278871243565</v>
      </c>
      <c r="D7" s="104">
        <f>SUM(D8:D21)</f>
        <v>201200</v>
      </c>
      <c r="E7" s="104">
        <f>SUM(E8:E21)</f>
        <v>221200</v>
      </c>
      <c r="F7" s="43">
        <f>(E7/B7-1)*100</f>
        <v>21.918955862251433</v>
      </c>
      <c r="G7" s="104">
        <f>SUM(G8:G21)</f>
        <v>221200</v>
      </c>
      <c r="H7" s="43">
        <f>G7/D7*100</f>
        <v>109.9403578528827</v>
      </c>
      <c r="I7" s="43">
        <f>G7/E7*100</f>
        <v>100</v>
      </c>
      <c r="J7" s="43">
        <f>(G7/B7-1)*100</f>
        <v>21.918955862251433</v>
      </c>
      <c r="K7" s="17">
        <f>SUM(K8:K21)</f>
        <v>146781</v>
      </c>
    </row>
    <row r="8" spans="1:11" ht="18.95" customHeight="1">
      <c r="A8" s="162" t="s">
        <v>1179</v>
      </c>
      <c r="B8" s="105">
        <v>5655</v>
      </c>
      <c r="C8" s="43">
        <f t="shared" ref="C8:C24" si="0">(B8/K8-1)*100</f>
        <v>76.168224299065429</v>
      </c>
      <c r="D8" s="105">
        <v>9900</v>
      </c>
      <c r="E8" s="105">
        <v>9900</v>
      </c>
      <c r="F8" s="43">
        <f t="shared" ref="F8:F36" si="1">(E8/B8-1)*100</f>
        <v>75.066312997347467</v>
      </c>
      <c r="G8" s="105">
        <v>8600</v>
      </c>
      <c r="H8" s="43">
        <f>G8/D8*100</f>
        <v>86.868686868686879</v>
      </c>
      <c r="I8" s="43">
        <f>G8/E8*100</f>
        <v>86.868686868686879</v>
      </c>
      <c r="J8" s="43">
        <f>(G8/B8-1)*100</f>
        <v>52.077807250221042</v>
      </c>
      <c r="K8" s="22">
        <v>3210</v>
      </c>
    </row>
    <row r="9" spans="1:11" ht="18.95" customHeight="1">
      <c r="A9" s="162" t="s">
        <v>1180</v>
      </c>
      <c r="B9" s="105">
        <v>42834</v>
      </c>
      <c r="C9" s="43">
        <f t="shared" si="0"/>
        <v>334.37785214481283</v>
      </c>
      <c r="D9" s="105">
        <v>66600</v>
      </c>
      <c r="E9" s="105">
        <v>49600</v>
      </c>
      <c r="F9" s="43">
        <f t="shared" si="1"/>
        <v>15.795863099407015</v>
      </c>
      <c r="G9" s="105">
        <v>49000</v>
      </c>
      <c r="H9" s="43">
        <f t="shared" ref="H9:H28" si="2">G9/D9*100</f>
        <v>73.573573573573569</v>
      </c>
      <c r="I9" s="43">
        <f t="shared" ref="I9:I44" si="3">G9/E9*100</f>
        <v>98.790322580645167</v>
      </c>
      <c r="J9" s="43">
        <f t="shared" ref="J9:J36" si="4">(G9/B9-1)*100</f>
        <v>14.395106690946434</v>
      </c>
      <c r="K9" s="22">
        <v>9861</v>
      </c>
    </row>
    <row r="10" spans="1:11" ht="18.95" customHeight="1">
      <c r="A10" s="162" t="s">
        <v>1035</v>
      </c>
      <c r="B10" s="105">
        <v>33275</v>
      </c>
      <c r="C10" s="43">
        <f t="shared" si="0"/>
        <v>-46.877294932788402</v>
      </c>
      <c r="D10" s="105"/>
      <c r="E10" s="105"/>
      <c r="F10" s="43">
        <f t="shared" si="1"/>
        <v>-100</v>
      </c>
      <c r="G10" s="105">
        <v>80</v>
      </c>
      <c r="H10" s="43"/>
      <c r="I10" s="43"/>
      <c r="J10" s="43">
        <f t="shared" si="4"/>
        <v>-99.759579263711501</v>
      </c>
      <c r="K10" s="22">
        <v>62638</v>
      </c>
    </row>
    <row r="11" spans="1:11" ht="18.95" customHeight="1">
      <c r="A11" s="162" t="s">
        <v>1036</v>
      </c>
      <c r="B11" s="105">
        <v>30661</v>
      </c>
      <c r="C11" s="43">
        <f t="shared" si="0"/>
        <v>40.853546490260939</v>
      </c>
      <c r="D11" s="105">
        <v>47000</v>
      </c>
      <c r="E11" s="105">
        <v>45000</v>
      </c>
      <c r="F11" s="43">
        <f t="shared" si="1"/>
        <v>46.766250285378817</v>
      </c>
      <c r="G11" s="105">
        <v>38800</v>
      </c>
      <c r="H11" s="43">
        <f t="shared" si="2"/>
        <v>82.553191489361694</v>
      </c>
      <c r="I11" s="43">
        <f t="shared" si="3"/>
        <v>86.222222222222229</v>
      </c>
      <c r="J11" s="43">
        <f t="shared" si="4"/>
        <v>26.54512246828218</v>
      </c>
      <c r="K11" s="22">
        <v>21768</v>
      </c>
    </row>
    <row r="12" spans="1:11" ht="18.95" customHeight="1">
      <c r="A12" s="162" t="s">
        <v>1037</v>
      </c>
      <c r="B12" s="105">
        <v>14189</v>
      </c>
      <c r="C12" s="43">
        <f t="shared" si="0"/>
        <v>71.054852320675096</v>
      </c>
      <c r="D12" s="105">
        <v>10600</v>
      </c>
      <c r="E12" s="105">
        <v>56600</v>
      </c>
      <c r="F12" s="43">
        <f t="shared" si="1"/>
        <v>298.90055676932838</v>
      </c>
      <c r="G12" s="105">
        <v>65300</v>
      </c>
      <c r="H12" s="43">
        <f t="shared" si="2"/>
        <v>616.03773584905662</v>
      </c>
      <c r="I12" s="43">
        <f t="shared" si="3"/>
        <v>115.37102473498233</v>
      </c>
      <c r="J12" s="43">
        <f t="shared" si="4"/>
        <v>360.21566001832406</v>
      </c>
      <c r="K12" s="22">
        <v>8295</v>
      </c>
    </row>
    <row r="13" spans="1:11" ht="18.95" customHeight="1">
      <c r="A13" s="162" t="s">
        <v>1038</v>
      </c>
      <c r="B13" s="105">
        <v>53</v>
      </c>
      <c r="C13" s="43">
        <f t="shared" si="0"/>
        <v>-20.895522388059707</v>
      </c>
      <c r="D13" s="105">
        <v>70</v>
      </c>
      <c r="E13" s="105">
        <v>70</v>
      </c>
      <c r="F13" s="43">
        <f t="shared" si="1"/>
        <v>32.075471698113198</v>
      </c>
      <c r="G13" s="105">
        <v>30</v>
      </c>
      <c r="H13" s="43">
        <f t="shared" si="2"/>
        <v>42.857142857142854</v>
      </c>
      <c r="I13" s="43">
        <f t="shared" si="3"/>
        <v>42.857142857142854</v>
      </c>
      <c r="J13" s="43">
        <f t="shared" si="4"/>
        <v>-43.39622641509434</v>
      </c>
      <c r="K13" s="22">
        <v>67</v>
      </c>
    </row>
    <row r="14" spans="1:11" ht="18.95" customHeight="1">
      <c r="A14" s="162" t="s">
        <v>1039</v>
      </c>
      <c r="B14" s="105">
        <v>9012</v>
      </c>
      <c r="C14" s="43">
        <f t="shared" si="0"/>
        <v>40.111940298507463</v>
      </c>
      <c r="D14" s="105">
        <v>10900</v>
      </c>
      <c r="E14" s="105">
        <v>9900</v>
      </c>
      <c r="F14" s="43">
        <f t="shared" si="1"/>
        <v>9.853528628495333</v>
      </c>
      <c r="G14" s="105">
        <v>8610</v>
      </c>
      <c r="H14" s="43">
        <f t="shared" si="2"/>
        <v>78.9908256880734</v>
      </c>
      <c r="I14" s="43">
        <f t="shared" si="3"/>
        <v>86.969696969696969</v>
      </c>
      <c r="J14" s="43">
        <f t="shared" si="4"/>
        <v>-4.4607190412782938</v>
      </c>
      <c r="K14" s="22">
        <v>6432</v>
      </c>
    </row>
    <row r="15" spans="1:11" ht="18.95" customHeight="1">
      <c r="A15" s="162" t="s">
        <v>1040</v>
      </c>
      <c r="B15" s="105">
        <v>2276</v>
      </c>
      <c r="C15" s="43">
        <f t="shared" si="0"/>
        <v>21.581196581196572</v>
      </c>
      <c r="D15" s="105">
        <v>2400</v>
      </c>
      <c r="E15" s="105">
        <v>2400</v>
      </c>
      <c r="F15" s="43">
        <f t="shared" si="1"/>
        <v>5.4481546572934914</v>
      </c>
      <c r="G15" s="105">
        <v>2740</v>
      </c>
      <c r="H15" s="43">
        <f t="shared" si="2"/>
        <v>114.16666666666666</v>
      </c>
      <c r="I15" s="43">
        <f t="shared" si="3"/>
        <v>114.16666666666666</v>
      </c>
      <c r="J15" s="43">
        <f t="shared" si="4"/>
        <v>20.386643233743417</v>
      </c>
      <c r="K15" s="22">
        <v>1872</v>
      </c>
    </row>
    <row r="16" spans="1:11" ht="18.95" customHeight="1">
      <c r="A16" s="162" t="s">
        <v>1181</v>
      </c>
      <c r="B16" s="105">
        <v>4301</v>
      </c>
      <c r="C16" s="43">
        <f t="shared" si="0"/>
        <v>87.325783972125421</v>
      </c>
      <c r="D16" s="105">
        <v>4200</v>
      </c>
      <c r="E16" s="105">
        <v>4200</v>
      </c>
      <c r="F16" s="43">
        <f t="shared" si="1"/>
        <v>-2.3482910950941682</v>
      </c>
      <c r="G16" s="105">
        <v>4200</v>
      </c>
      <c r="H16" s="43">
        <f t="shared" si="2"/>
        <v>100</v>
      </c>
      <c r="I16" s="43">
        <f t="shared" si="3"/>
        <v>100</v>
      </c>
      <c r="J16" s="43">
        <f t="shared" si="4"/>
        <v>-2.3482910950941682</v>
      </c>
      <c r="K16" s="22">
        <v>2296</v>
      </c>
    </row>
    <row r="17" spans="1:11" ht="18.95" customHeight="1">
      <c r="A17" s="162" t="s">
        <v>1041</v>
      </c>
      <c r="B17" s="105">
        <v>5720</v>
      </c>
      <c r="C17" s="43">
        <f t="shared" si="0"/>
        <v>25.60386473429952</v>
      </c>
      <c r="D17" s="105">
        <v>8760</v>
      </c>
      <c r="E17" s="105">
        <v>5760</v>
      </c>
      <c r="F17" s="43">
        <f t="shared" si="1"/>
        <v>0.69930069930070893</v>
      </c>
      <c r="G17" s="105">
        <v>5360</v>
      </c>
      <c r="H17" s="43">
        <f t="shared" si="2"/>
        <v>61.187214611872143</v>
      </c>
      <c r="I17" s="43">
        <f t="shared" si="3"/>
        <v>93.055555555555557</v>
      </c>
      <c r="J17" s="43">
        <f t="shared" si="4"/>
        <v>-6.2937062937062915</v>
      </c>
      <c r="K17" s="22">
        <v>4554</v>
      </c>
    </row>
    <row r="18" spans="1:11" ht="18.95" customHeight="1">
      <c r="A18" s="162" t="s">
        <v>1042</v>
      </c>
      <c r="B18" s="105">
        <v>25162</v>
      </c>
      <c r="C18" s="43">
        <f t="shared" si="0"/>
        <v>55.330575961479099</v>
      </c>
      <c r="D18" s="105">
        <v>26100</v>
      </c>
      <c r="E18" s="105">
        <v>19100</v>
      </c>
      <c r="F18" s="43">
        <f t="shared" si="1"/>
        <v>-24.091884587870595</v>
      </c>
      <c r="G18" s="105">
        <v>19100</v>
      </c>
      <c r="H18" s="43">
        <f t="shared" si="2"/>
        <v>73.180076628352481</v>
      </c>
      <c r="I18" s="43">
        <f t="shared" si="3"/>
        <v>100</v>
      </c>
      <c r="J18" s="43">
        <f t="shared" si="4"/>
        <v>-24.091884587870595</v>
      </c>
      <c r="K18" s="22">
        <v>16199</v>
      </c>
    </row>
    <row r="19" spans="1:11" ht="18.95" customHeight="1">
      <c r="A19" s="162" t="s">
        <v>1182</v>
      </c>
      <c r="B19" s="105">
        <v>1619</v>
      </c>
      <c r="C19" s="43">
        <f t="shared" si="0"/>
        <v>14.741318214032596</v>
      </c>
      <c r="D19" s="105">
        <v>1750</v>
      </c>
      <c r="E19" s="105">
        <v>1750</v>
      </c>
      <c r="F19" s="43">
        <f t="shared" si="1"/>
        <v>8.0914144533662746</v>
      </c>
      <c r="G19" s="105">
        <v>1750</v>
      </c>
      <c r="H19" s="43">
        <f t="shared" si="2"/>
        <v>100</v>
      </c>
      <c r="I19" s="43">
        <f t="shared" si="3"/>
        <v>100</v>
      </c>
      <c r="J19" s="43">
        <f t="shared" si="4"/>
        <v>8.0914144533662746</v>
      </c>
      <c r="K19" s="19">
        <v>1411</v>
      </c>
    </row>
    <row r="20" spans="1:11" ht="18.95" customHeight="1">
      <c r="A20" s="162" t="s">
        <v>1043</v>
      </c>
      <c r="B20" s="105">
        <v>87</v>
      </c>
      <c r="C20" s="43">
        <f t="shared" si="0"/>
        <v>112.19512195121952</v>
      </c>
      <c r="D20" s="105">
        <v>4000</v>
      </c>
      <c r="E20" s="105"/>
      <c r="F20" s="43">
        <f t="shared" si="1"/>
        <v>-100</v>
      </c>
      <c r="G20" s="105"/>
      <c r="H20" s="43"/>
      <c r="I20" s="43"/>
      <c r="J20" s="43">
        <f t="shared" si="4"/>
        <v>-100</v>
      </c>
      <c r="K20" s="19">
        <v>41</v>
      </c>
    </row>
    <row r="21" spans="1:11" ht="18.95" customHeight="1">
      <c r="A21" s="162" t="s">
        <v>1044</v>
      </c>
      <c r="B21" s="105">
        <v>6588</v>
      </c>
      <c r="C21" s="43">
        <f t="shared" si="0"/>
        <v>-19.036499938552286</v>
      </c>
      <c r="D21" s="105">
        <v>8920</v>
      </c>
      <c r="E21" s="105">
        <v>16920</v>
      </c>
      <c r="F21" s="43">
        <f t="shared" si="1"/>
        <v>156.83060109289619</v>
      </c>
      <c r="G21" s="105">
        <v>17630</v>
      </c>
      <c r="H21" s="43">
        <f t="shared" si="2"/>
        <v>197.64573991031392</v>
      </c>
      <c r="I21" s="43">
        <f t="shared" si="3"/>
        <v>104.19621749408982</v>
      </c>
      <c r="J21" s="43">
        <f t="shared" si="4"/>
        <v>167.60777170613235</v>
      </c>
      <c r="K21" s="19">
        <v>8137</v>
      </c>
    </row>
    <row r="22" spans="1:11" ht="18.95" customHeight="1">
      <c r="A22" s="162" t="s">
        <v>1265</v>
      </c>
      <c r="B22" s="104">
        <f>SUM(B23,B29:B34)</f>
        <v>83130</v>
      </c>
      <c r="C22" s="43">
        <f t="shared" si="0"/>
        <v>70.908717105263165</v>
      </c>
      <c r="D22" s="104">
        <f>SUM(D23,D29:D34)</f>
        <v>70900</v>
      </c>
      <c r="E22" s="104">
        <f>SUM(E23,E29:E34)</f>
        <v>50900</v>
      </c>
      <c r="F22" s="43">
        <f t="shared" si="1"/>
        <v>-38.770600264645736</v>
      </c>
      <c r="G22" s="104">
        <f>SUM(G23,G29:G34)</f>
        <v>74300</v>
      </c>
      <c r="H22" s="43">
        <f t="shared" si="2"/>
        <v>104.79548660084626</v>
      </c>
      <c r="I22" s="43">
        <f t="shared" si="3"/>
        <v>145.97249508840864</v>
      </c>
      <c r="J22" s="43">
        <f t="shared" si="4"/>
        <v>-10.621917478647902</v>
      </c>
      <c r="K22" s="11">
        <f>SUM(K23,K29:K34)</f>
        <v>48640</v>
      </c>
    </row>
    <row r="23" spans="1:11" ht="18.95" customHeight="1">
      <c r="A23" s="162" t="s">
        <v>1045</v>
      </c>
      <c r="B23" s="105">
        <v>24080</v>
      </c>
      <c r="C23" s="43">
        <f t="shared" si="0"/>
        <v>1.9561351511558911</v>
      </c>
      <c r="D23" s="105">
        <v>37550</v>
      </c>
      <c r="E23" s="105">
        <v>22550</v>
      </c>
      <c r="F23" s="43">
        <f t="shared" si="1"/>
        <v>-6.3538205980066431</v>
      </c>
      <c r="G23" s="105">
        <v>17550</v>
      </c>
      <c r="H23" s="43">
        <f t="shared" si="2"/>
        <v>46.737683089214386</v>
      </c>
      <c r="I23" s="43">
        <f t="shared" si="3"/>
        <v>77.827050997782706</v>
      </c>
      <c r="J23" s="43">
        <f t="shared" si="4"/>
        <v>-27.117940199335543</v>
      </c>
      <c r="K23" s="19">
        <v>23618</v>
      </c>
    </row>
    <row r="24" spans="1:11" ht="18.95" customHeight="1">
      <c r="A24" s="66" t="s">
        <v>1266</v>
      </c>
      <c r="B24" s="105">
        <v>3949</v>
      </c>
      <c r="C24" s="43">
        <f t="shared" si="0"/>
        <v>33.502366463826917</v>
      </c>
      <c r="D24" s="105">
        <v>4500</v>
      </c>
      <c r="E24" s="105">
        <v>4500</v>
      </c>
      <c r="F24" s="43">
        <f t="shared" si="1"/>
        <v>13.952899468219805</v>
      </c>
      <c r="G24" s="105">
        <v>3900</v>
      </c>
      <c r="H24" s="43">
        <f t="shared" si="2"/>
        <v>86.666666666666671</v>
      </c>
      <c r="I24" s="43">
        <f t="shared" si="3"/>
        <v>86.666666666666671</v>
      </c>
      <c r="J24" s="43">
        <f t="shared" si="4"/>
        <v>-1.2408204608761686</v>
      </c>
      <c r="K24" s="19">
        <v>2958</v>
      </c>
    </row>
    <row r="25" spans="1:11" ht="18.95" customHeight="1">
      <c r="A25" s="66" t="s">
        <v>1267</v>
      </c>
      <c r="B25" s="104">
        <v>434</v>
      </c>
      <c r="C25" s="119"/>
      <c r="D25" s="104">
        <v>450</v>
      </c>
      <c r="E25" s="104">
        <v>500</v>
      </c>
      <c r="F25" s="43">
        <f t="shared" si="1"/>
        <v>15.207373271889391</v>
      </c>
      <c r="G25" s="104">
        <v>510</v>
      </c>
      <c r="H25" s="43">
        <f t="shared" si="2"/>
        <v>113.33333333333333</v>
      </c>
      <c r="I25" s="43">
        <f t="shared" si="3"/>
        <v>102</v>
      </c>
      <c r="J25" s="43">
        <f t="shared" si="4"/>
        <v>17.511520737327182</v>
      </c>
      <c r="K25" s="11">
        <v>231</v>
      </c>
    </row>
    <row r="26" spans="1:11" ht="18.95" customHeight="1">
      <c r="A26" s="66" t="s">
        <v>1268</v>
      </c>
      <c r="B26" s="104">
        <v>1212</v>
      </c>
      <c r="C26" s="119"/>
      <c r="D26" s="104">
        <v>10000</v>
      </c>
      <c r="E26" s="104">
        <v>6500</v>
      </c>
      <c r="F26" s="43">
        <f t="shared" si="1"/>
        <v>436.30363036303629</v>
      </c>
      <c r="G26" s="104">
        <v>2000</v>
      </c>
      <c r="H26" s="43">
        <f t="shared" si="2"/>
        <v>20</v>
      </c>
      <c r="I26" s="43">
        <f t="shared" si="3"/>
        <v>30.76923076923077</v>
      </c>
      <c r="J26" s="43">
        <f t="shared" si="4"/>
        <v>65.016501650165011</v>
      </c>
      <c r="K26" s="11">
        <v>6340</v>
      </c>
    </row>
    <row r="27" spans="1:11" ht="18.95" customHeight="1">
      <c r="A27" s="66" t="s">
        <v>1269</v>
      </c>
      <c r="B27" s="104">
        <v>9053</v>
      </c>
      <c r="C27" s="119"/>
      <c r="D27" s="104">
        <v>10000</v>
      </c>
      <c r="E27" s="104">
        <v>5377</v>
      </c>
      <c r="F27" s="43">
        <f t="shared" si="1"/>
        <v>-40.605324201922009</v>
      </c>
      <c r="G27" s="104">
        <v>5377</v>
      </c>
      <c r="H27" s="43">
        <f t="shared" si="2"/>
        <v>53.769999999999996</v>
      </c>
      <c r="I27" s="43">
        <f t="shared" si="3"/>
        <v>100</v>
      </c>
      <c r="J27" s="43">
        <f t="shared" si="4"/>
        <v>-40.605324201922009</v>
      </c>
      <c r="K27" s="11">
        <v>6825</v>
      </c>
    </row>
    <row r="28" spans="1:11" ht="18.95" customHeight="1">
      <c r="A28" s="66" t="s">
        <v>1270</v>
      </c>
      <c r="B28" s="104">
        <v>9052</v>
      </c>
      <c r="C28" s="119"/>
      <c r="D28" s="104">
        <v>10000</v>
      </c>
      <c r="E28" s="104">
        <v>5376</v>
      </c>
      <c r="F28" s="43">
        <f t="shared" si="1"/>
        <v>-40.609809986743258</v>
      </c>
      <c r="G28" s="104">
        <v>5376</v>
      </c>
      <c r="H28" s="43">
        <f t="shared" si="2"/>
        <v>53.76</v>
      </c>
      <c r="I28" s="43">
        <f t="shared" si="3"/>
        <v>100</v>
      </c>
      <c r="J28" s="43">
        <f t="shared" si="4"/>
        <v>-40.609809986743258</v>
      </c>
      <c r="K28" s="11">
        <v>6825</v>
      </c>
    </row>
    <row r="29" spans="1:11" ht="18.95" customHeight="1">
      <c r="A29" s="163" t="s">
        <v>1271</v>
      </c>
      <c r="B29" s="105">
        <v>7727</v>
      </c>
      <c r="C29" s="43">
        <f t="shared" ref="C29:C36" si="5">(B29/K29-1)*100</f>
        <v>36.809490084985839</v>
      </c>
      <c r="D29" s="105">
        <v>5740</v>
      </c>
      <c r="E29" s="105">
        <v>8240</v>
      </c>
      <c r="F29" s="43">
        <f t="shared" si="1"/>
        <v>6.6390578491005492</v>
      </c>
      <c r="G29" s="105">
        <v>9694</v>
      </c>
      <c r="H29" s="43">
        <f>G29/D29*100</f>
        <v>168.88501742160278</v>
      </c>
      <c r="I29" s="43">
        <f t="shared" si="3"/>
        <v>117.64563106796118</v>
      </c>
      <c r="J29" s="43">
        <f t="shared" si="4"/>
        <v>25.456192571502534</v>
      </c>
      <c r="K29" s="19">
        <v>5648</v>
      </c>
    </row>
    <row r="30" spans="1:11" ht="18.95" customHeight="1">
      <c r="A30" s="163" t="s">
        <v>1272</v>
      </c>
      <c r="B30" s="105">
        <v>35025</v>
      </c>
      <c r="C30" s="43">
        <f t="shared" si="5"/>
        <v>760.98820058997046</v>
      </c>
      <c r="D30" s="105">
        <v>4350</v>
      </c>
      <c r="E30" s="105">
        <v>4350</v>
      </c>
      <c r="F30" s="43">
        <f t="shared" si="1"/>
        <v>-87.580299785867226</v>
      </c>
      <c r="G30" s="105">
        <v>13360</v>
      </c>
      <c r="H30" s="43">
        <f>G30/D30*100</f>
        <v>307.12643678160919</v>
      </c>
      <c r="I30" s="43">
        <f t="shared" si="3"/>
        <v>307.12643678160919</v>
      </c>
      <c r="J30" s="43">
        <f t="shared" si="4"/>
        <v>-61.855817273376168</v>
      </c>
      <c r="K30" s="19">
        <v>4068</v>
      </c>
    </row>
    <row r="31" spans="1:11" ht="18.95" customHeight="1">
      <c r="A31" s="163" t="s">
        <v>1273</v>
      </c>
      <c r="B31" s="105">
        <v>1000</v>
      </c>
      <c r="C31" s="43">
        <f t="shared" si="5"/>
        <v>356.62100456621005</v>
      </c>
      <c r="D31" s="105">
        <v>0</v>
      </c>
      <c r="E31" s="105">
        <v>0</v>
      </c>
      <c r="F31" s="43">
        <f t="shared" si="1"/>
        <v>-100</v>
      </c>
      <c r="G31" s="105">
        <v>1000</v>
      </c>
      <c r="H31" s="43"/>
      <c r="I31" s="43"/>
      <c r="J31" s="43"/>
      <c r="K31" s="19">
        <v>219</v>
      </c>
    </row>
    <row r="32" spans="1:11" ht="18.95" customHeight="1">
      <c r="A32" s="163" t="s">
        <v>1274</v>
      </c>
      <c r="B32" s="105">
        <v>13986</v>
      </c>
      <c r="C32" s="43">
        <f>(B32/K32-1)*100</f>
        <v>-1.7561112672098922</v>
      </c>
      <c r="D32" s="105">
        <v>18000</v>
      </c>
      <c r="E32" s="105">
        <v>13000</v>
      </c>
      <c r="F32" s="43">
        <f>(E32/B32-1)*100</f>
        <v>-7.0499070499070449</v>
      </c>
      <c r="G32" s="105">
        <v>29500</v>
      </c>
      <c r="H32" s="43"/>
      <c r="I32" s="43">
        <f>G32/E32*100</f>
        <v>226.92307692307691</v>
      </c>
      <c r="J32" s="43">
        <f>(G32/B32-1)*100</f>
        <v>110.92521092521093</v>
      </c>
      <c r="K32" s="19">
        <v>14236</v>
      </c>
    </row>
    <row r="33" spans="1:11" ht="18.95" customHeight="1">
      <c r="A33" s="163" t="s">
        <v>1275</v>
      </c>
      <c r="B33" s="105">
        <v>888</v>
      </c>
      <c r="C33" s="43"/>
      <c r="D33" s="105">
        <v>260</v>
      </c>
      <c r="E33" s="105">
        <v>260</v>
      </c>
      <c r="F33" s="43"/>
      <c r="G33" s="105">
        <v>236</v>
      </c>
      <c r="H33" s="43"/>
      <c r="I33" s="43"/>
      <c r="J33" s="43"/>
      <c r="K33" s="19"/>
    </row>
    <row r="34" spans="1:11" ht="18.95" customHeight="1">
      <c r="A34" s="162" t="s">
        <v>1047</v>
      </c>
      <c r="B34" s="105">
        <v>424</v>
      </c>
      <c r="C34" s="43">
        <f t="shared" si="5"/>
        <v>-50.176263219741479</v>
      </c>
      <c r="D34" s="105">
        <v>5000</v>
      </c>
      <c r="E34" s="105">
        <v>2500</v>
      </c>
      <c r="F34" s="43">
        <f t="shared" si="1"/>
        <v>489.62264150943395</v>
      </c>
      <c r="G34" s="105">
        <v>2960</v>
      </c>
      <c r="H34" s="43"/>
      <c r="I34" s="43">
        <f t="shared" si="3"/>
        <v>118.39999999999999</v>
      </c>
      <c r="J34" s="43">
        <f t="shared" si="4"/>
        <v>598.11320754716974</v>
      </c>
      <c r="K34" s="19">
        <v>851</v>
      </c>
    </row>
    <row r="35" spans="1:11" ht="18.95" customHeight="1">
      <c r="A35" s="161" t="s">
        <v>1276</v>
      </c>
      <c r="B35" s="109">
        <f>B36+B38+B39+B40+B42+B43+B46+B37+B44</f>
        <v>159424</v>
      </c>
      <c r="C35" s="117">
        <f t="shared" si="5"/>
        <v>-43.604854770756759</v>
      </c>
      <c r="D35" s="109">
        <f>D36+D38+D39+D40+D42+D43+D46+D37+D44</f>
        <v>302600</v>
      </c>
      <c r="E35" s="109">
        <f>E36+E38+E39+E40+E42+E43+E46+E37+E44</f>
        <v>302600</v>
      </c>
      <c r="F35" s="117">
        <f>(E35/B35-1)*100</f>
        <v>89.808309915696498</v>
      </c>
      <c r="G35" s="109">
        <f>G36+G38+G39+G40+G42+G43+G46+G37+G44</f>
        <v>303300</v>
      </c>
      <c r="H35" s="117">
        <f>G35/D35*100</f>
        <v>100.23132848645075</v>
      </c>
      <c r="I35" s="117">
        <f t="shared" si="3"/>
        <v>100.23132848645075</v>
      </c>
      <c r="J35" s="117">
        <f t="shared" si="4"/>
        <v>90.24739060618225</v>
      </c>
      <c r="K35" s="11">
        <f>K36+K38+K39+K40+K41+K42+K43+K46+K37+K44+K45</f>
        <v>282691</v>
      </c>
    </row>
    <row r="36" spans="1:11" ht="18.95" customHeight="1">
      <c r="A36" s="163" t="s">
        <v>1277</v>
      </c>
      <c r="B36" s="104">
        <v>168467</v>
      </c>
      <c r="C36" s="43">
        <f t="shared" si="5"/>
        <v>-40.415440552317364</v>
      </c>
      <c r="D36" s="104">
        <v>300000</v>
      </c>
      <c r="E36" s="104">
        <v>300000</v>
      </c>
      <c r="F36" s="43">
        <f t="shared" si="1"/>
        <v>78.076418527070587</v>
      </c>
      <c r="G36" s="104">
        <v>300000</v>
      </c>
      <c r="H36" s="43">
        <f>G36/D36*100</f>
        <v>100</v>
      </c>
      <c r="I36" s="43">
        <f t="shared" si="3"/>
        <v>100</v>
      </c>
      <c r="J36" s="43">
        <f t="shared" si="4"/>
        <v>78.076418527070587</v>
      </c>
      <c r="K36" s="11">
        <v>282736</v>
      </c>
    </row>
    <row r="37" spans="1:11" ht="18.95" customHeight="1">
      <c r="A37" s="163" t="s">
        <v>1306</v>
      </c>
      <c r="B37" s="104">
        <v>-18105</v>
      </c>
      <c r="C37" s="43"/>
      <c r="D37" s="104">
        <v>-10000</v>
      </c>
      <c r="E37" s="104">
        <v>-10000</v>
      </c>
      <c r="F37" s="43"/>
      <c r="G37" s="104">
        <v>-10753</v>
      </c>
      <c r="H37" s="43">
        <f t="shared" ref="H37:H44" si="6">G37/D37*100</f>
        <v>107.52999999999999</v>
      </c>
      <c r="I37" s="43">
        <f t="shared" si="3"/>
        <v>107.52999999999999</v>
      </c>
      <c r="J37" s="43"/>
      <c r="K37" s="23">
        <v>-13650</v>
      </c>
    </row>
    <row r="38" spans="1:11" ht="18.95" customHeight="1">
      <c r="A38" s="163" t="s">
        <v>1278</v>
      </c>
      <c r="B38" s="104">
        <v>0</v>
      </c>
      <c r="C38" s="43"/>
      <c r="D38" s="104">
        <v>0</v>
      </c>
      <c r="E38" s="104">
        <v>0</v>
      </c>
      <c r="F38" s="43"/>
      <c r="G38" s="104">
        <v>0</v>
      </c>
      <c r="H38" s="43"/>
      <c r="I38" s="43"/>
      <c r="J38" s="43"/>
      <c r="K38" s="11">
        <v>0</v>
      </c>
    </row>
    <row r="39" spans="1:11" ht="18.95" customHeight="1">
      <c r="A39" s="163" t="s">
        <v>1279</v>
      </c>
      <c r="B39" s="104">
        <v>363</v>
      </c>
      <c r="C39" s="43">
        <v>-3.5</v>
      </c>
      <c r="D39" s="104">
        <v>450</v>
      </c>
      <c r="E39" s="104">
        <v>450</v>
      </c>
      <c r="F39" s="43">
        <v>24</v>
      </c>
      <c r="G39" s="104">
        <v>398</v>
      </c>
      <c r="H39" s="43">
        <f t="shared" si="6"/>
        <v>88.444444444444443</v>
      </c>
      <c r="I39" s="43">
        <f t="shared" si="3"/>
        <v>88.444444444444443</v>
      </c>
      <c r="J39" s="43">
        <f t="shared" ref="J39:J44" si="7">(G39/B39-1)*100</f>
        <v>9.6418732782369112</v>
      </c>
      <c r="K39" s="11">
        <v>376</v>
      </c>
    </row>
    <row r="40" spans="1:11" ht="18.95" customHeight="1">
      <c r="A40" s="163" t="s">
        <v>1280</v>
      </c>
      <c r="B40" s="104">
        <v>759</v>
      </c>
      <c r="C40" s="43">
        <v>-3.2</v>
      </c>
      <c r="D40" s="104">
        <v>750</v>
      </c>
      <c r="E40" s="104">
        <v>750</v>
      </c>
      <c r="F40" s="43">
        <v>0.1</v>
      </c>
      <c r="G40" s="104">
        <v>1055</v>
      </c>
      <c r="H40" s="43">
        <f t="shared" si="6"/>
        <v>140.66666666666669</v>
      </c>
      <c r="I40" s="43">
        <f t="shared" si="3"/>
        <v>140.66666666666669</v>
      </c>
      <c r="J40" s="43">
        <f t="shared" si="7"/>
        <v>38.998682476943337</v>
      </c>
      <c r="K40" s="11">
        <v>784</v>
      </c>
    </row>
    <row r="41" spans="1:11" ht="18.95" customHeight="1">
      <c r="A41" s="163" t="s">
        <v>1058</v>
      </c>
      <c r="B41" s="106"/>
      <c r="C41" s="43"/>
      <c r="D41" s="106"/>
      <c r="E41" s="106"/>
      <c r="F41" s="106"/>
      <c r="G41" s="106"/>
      <c r="H41" s="106"/>
      <c r="I41" s="106"/>
      <c r="J41" s="106"/>
      <c r="K41" s="11">
        <v>192</v>
      </c>
    </row>
    <row r="42" spans="1:11" ht="18.95" customHeight="1">
      <c r="A42" s="163" t="s">
        <v>1048</v>
      </c>
      <c r="B42" s="104">
        <v>622</v>
      </c>
      <c r="C42" s="43">
        <f>(B42/K42-1)*100</f>
        <v>10.479573712255764</v>
      </c>
      <c r="D42" s="104">
        <v>600</v>
      </c>
      <c r="E42" s="104">
        <v>142</v>
      </c>
      <c r="F42" s="43">
        <f>(E42/B42-1)*100</f>
        <v>-77.170418006430879</v>
      </c>
      <c r="G42" s="104">
        <v>142</v>
      </c>
      <c r="H42" s="43">
        <f t="shared" si="6"/>
        <v>23.666666666666668</v>
      </c>
      <c r="I42" s="43">
        <f t="shared" si="3"/>
        <v>100</v>
      </c>
      <c r="J42" s="43">
        <f t="shared" si="7"/>
        <v>-77.170418006430879</v>
      </c>
      <c r="K42" s="11">
        <v>563</v>
      </c>
    </row>
    <row r="43" spans="1:11" ht="18.95" customHeight="1">
      <c r="A43" s="163" t="s">
        <v>1281</v>
      </c>
      <c r="B43" s="104">
        <v>5645</v>
      </c>
      <c r="C43" s="43">
        <f>(B43/K43-1)*100</f>
        <v>-18.554321165776944</v>
      </c>
      <c r="D43" s="104">
        <v>10000</v>
      </c>
      <c r="E43" s="104">
        <v>10000</v>
      </c>
      <c r="F43" s="43">
        <f>(E43/B43-1)*100</f>
        <v>77.147918511957485</v>
      </c>
      <c r="G43" s="104">
        <v>11200</v>
      </c>
      <c r="H43" s="43">
        <f t="shared" si="6"/>
        <v>112.00000000000001</v>
      </c>
      <c r="I43" s="43">
        <f t="shared" si="3"/>
        <v>112.00000000000001</v>
      </c>
      <c r="J43" s="43">
        <f t="shared" si="7"/>
        <v>98.405668733392389</v>
      </c>
      <c r="K43" s="11">
        <v>6931</v>
      </c>
    </row>
    <row r="44" spans="1:11" ht="18.95" customHeight="1">
      <c r="A44" s="163" t="s">
        <v>1282</v>
      </c>
      <c r="B44" s="104">
        <v>990</v>
      </c>
      <c r="C44" s="43">
        <v>3</v>
      </c>
      <c r="D44" s="104">
        <v>800</v>
      </c>
      <c r="E44" s="104">
        <v>1258</v>
      </c>
      <c r="F44" s="43">
        <f>(E44/B44-1)*100</f>
        <v>27.070707070707066</v>
      </c>
      <c r="G44" s="104">
        <v>1258</v>
      </c>
      <c r="H44" s="43">
        <f t="shared" si="6"/>
        <v>157.25</v>
      </c>
      <c r="I44" s="43">
        <f t="shared" si="3"/>
        <v>100</v>
      </c>
      <c r="J44" s="43">
        <f t="shared" si="7"/>
        <v>27.070707070707066</v>
      </c>
      <c r="K44" s="11">
        <v>961</v>
      </c>
    </row>
    <row r="45" spans="1:11" ht="18.95" customHeight="1">
      <c r="A45" s="163" t="s">
        <v>1283</v>
      </c>
      <c r="B45" s="106"/>
      <c r="C45" s="43"/>
      <c r="D45" s="106"/>
      <c r="E45" s="106"/>
      <c r="F45" s="106"/>
      <c r="G45" s="106"/>
      <c r="H45" s="106"/>
      <c r="I45" s="106"/>
      <c r="J45" s="106"/>
      <c r="K45" s="11">
        <v>1034</v>
      </c>
    </row>
    <row r="46" spans="1:11" ht="18.95" customHeight="1">
      <c r="A46" s="163" t="s">
        <v>1284</v>
      </c>
      <c r="B46" s="104">
        <v>683</v>
      </c>
      <c r="C46" s="43">
        <f>(B46/K46-1)*100</f>
        <v>-75.289435600578869</v>
      </c>
      <c r="D46" s="104">
        <v>0</v>
      </c>
      <c r="E46" s="104">
        <v>0</v>
      </c>
      <c r="F46" s="43">
        <f>(E46/B46-1)*100</f>
        <v>-100</v>
      </c>
      <c r="G46" s="104">
        <v>0</v>
      </c>
      <c r="H46" s="43"/>
      <c r="I46" s="43"/>
      <c r="J46" s="43"/>
      <c r="K46" s="11">
        <v>2764</v>
      </c>
    </row>
    <row r="47" spans="1:11" ht="18.95" customHeight="1">
      <c r="A47" s="161" t="s">
        <v>1285</v>
      </c>
      <c r="B47" s="109">
        <f>SUM(B48:B52)</f>
        <v>195</v>
      </c>
      <c r="C47" s="117">
        <v>82.2</v>
      </c>
      <c r="D47" s="109">
        <f>SUM(D48:D52)</f>
        <v>232</v>
      </c>
      <c r="E47" s="109">
        <f>SUM(E48:E52)</f>
        <v>232</v>
      </c>
      <c r="F47" s="117">
        <f>(E47/B47-1)*100</f>
        <v>18.974358974358974</v>
      </c>
      <c r="G47" s="109">
        <f>SUM(G48:G52)</f>
        <v>232</v>
      </c>
      <c r="H47" s="117">
        <f>G47/D47*100</f>
        <v>100</v>
      </c>
      <c r="I47" s="117">
        <f>G47/E47*100</f>
        <v>100</v>
      </c>
      <c r="J47" s="117">
        <f>(G47/B47-1)*100</f>
        <v>18.974358974358974</v>
      </c>
      <c r="K47" s="17">
        <f>SUM(K48:K52)</f>
        <v>107</v>
      </c>
    </row>
    <row r="48" spans="1:11" ht="18.95" customHeight="1">
      <c r="A48" s="164" t="s">
        <v>1049</v>
      </c>
      <c r="B48" s="107">
        <v>195</v>
      </c>
      <c r="C48" s="43">
        <v>82.2</v>
      </c>
      <c r="D48" s="107">
        <v>232</v>
      </c>
      <c r="E48" s="107">
        <v>232</v>
      </c>
      <c r="F48" s="43">
        <f>(E48/B48-1)*100</f>
        <v>18.974358974358974</v>
      </c>
      <c r="G48" s="108">
        <v>232</v>
      </c>
      <c r="H48" s="43">
        <f>G48/D48*100</f>
        <v>100</v>
      </c>
      <c r="I48" s="43">
        <f>G48/E48*100</f>
        <v>100</v>
      </c>
      <c r="J48" s="43">
        <f>(G48/B48-1)*100</f>
        <v>18.974358974358974</v>
      </c>
      <c r="K48" s="32">
        <v>107</v>
      </c>
    </row>
    <row r="49" spans="1:11" ht="18.95" customHeight="1">
      <c r="A49" s="164" t="s">
        <v>1286</v>
      </c>
      <c r="B49" s="104"/>
      <c r="C49" s="104"/>
      <c r="D49" s="104"/>
      <c r="E49" s="104"/>
      <c r="F49" s="104"/>
      <c r="G49" s="104"/>
      <c r="H49" s="104"/>
      <c r="I49" s="104"/>
      <c r="J49" s="104"/>
      <c r="K49" s="33"/>
    </row>
    <row r="50" spans="1:11" ht="18.95" customHeight="1">
      <c r="A50" s="164" t="s">
        <v>1050</v>
      </c>
      <c r="B50" s="104"/>
      <c r="C50" s="104"/>
      <c r="D50" s="104"/>
      <c r="E50" s="104"/>
      <c r="F50" s="104"/>
      <c r="G50" s="104"/>
      <c r="H50" s="104"/>
      <c r="I50" s="104"/>
      <c r="J50" s="104"/>
      <c r="K50" s="33"/>
    </row>
    <row r="51" spans="1:11" ht="18.95" customHeight="1">
      <c r="A51" s="164" t="s">
        <v>1051</v>
      </c>
      <c r="B51" s="104"/>
      <c r="C51" s="104"/>
      <c r="D51" s="104"/>
      <c r="E51" s="104"/>
      <c r="F51" s="104"/>
      <c r="G51" s="104"/>
      <c r="H51" s="104"/>
      <c r="I51" s="104"/>
      <c r="J51" s="104"/>
      <c r="K51" s="33"/>
    </row>
    <row r="52" spans="1:11" ht="18.95" customHeight="1">
      <c r="A52" s="164" t="s">
        <v>1052</v>
      </c>
      <c r="B52" s="104"/>
      <c r="C52" s="104"/>
      <c r="D52" s="104"/>
      <c r="E52" s="109"/>
      <c r="F52" s="104"/>
      <c r="G52" s="109"/>
      <c r="H52" s="104"/>
      <c r="I52" s="104"/>
      <c r="J52" s="104"/>
      <c r="K52" s="17"/>
    </row>
    <row r="53" spans="1:11" ht="18.95" customHeight="1">
      <c r="A53" s="161" t="s">
        <v>1287</v>
      </c>
      <c r="B53" s="109">
        <f>SUM(B54:B60)</f>
        <v>96977</v>
      </c>
      <c r="C53" s="216">
        <v>35.685303335571973</v>
      </c>
      <c r="D53" s="109">
        <f>SUM(D54:D60)</f>
        <v>78713</v>
      </c>
      <c r="E53" s="109">
        <f>SUM(E54:E60)</f>
        <v>78713</v>
      </c>
      <c r="F53" s="117">
        <f>(E53/B53-1)*100</f>
        <v>-18.833331614712769</v>
      </c>
      <c r="G53" s="109">
        <f>SUM(G54:G60)</f>
        <v>78713</v>
      </c>
      <c r="H53" s="117">
        <f t="shared" ref="H53:H72" si="8">G53/D53*100</f>
        <v>100</v>
      </c>
      <c r="I53" s="117">
        <f t="shared" ref="I53:I72" si="9">G53/E53*100</f>
        <v>100</v>
      </c>
      <c r="J53" s="117">
        <f>(G53/B53-1)*100</f>
        <v>-18.833331614712769</v>
      </c>
      <c r="K53" s="17">
        <f>SUM(K54:K60)</f>
        <v>70976</v>
      </c>
    </row>
    <row r="54" spans="1:11" ht="18.95" customHeight="1">
      <c r="A54" s="164" t="s">
        <v>1288</v>
      </c>
      <c r="B54" s="104">
        <v>49285</v>
      </c>
      <c r="C54" s="217">
        <v>79.846007882061016</v>
      </c>
      <c r="D54" s="104">
        <v>27359</v>
      </c>
      <c r="E54" s="104">
        <v>27359</v>
      </c>
      <c r="F54" s="43">
        <f>(E54/B54-1)*100</f>
        <v>-44.488180988130267</v>
      </c>
      <c r="G54" s="104">
        <v>27359</v>
      </c>
      <c r="H54" s="43">
        <f>G54/D54*100</f>
        <v>100</v>
      </c>
      <c r="I54" s="43">
        <f>G54/E54*100</f>
        <v>100</v>
      </c>
      <c r="J54" s="43">
        <f t="shared" ref="J54:J60" si="10">(G54/B54-1)*100</f>
        <v>-44.488180988130267</v>
      </c>
      <c r="K54" s="17">
        <v>27404</v>
      </c>
    </row>
    <row r="55" spans="1:11" ht="18.95" customHeight="1">
      <c r="A55" s="164" t="s">
        <v>1289</v>
      </c>
      <c r="B55" s="104">
        <v>10910</v>
      </c>
      <c r="C55" s="217">
        <v>19.705946894886985</v>
      </c>
      <c r="D55" s="104">
        <v>12371</v>
      </c>
      <c r="E55" s="104">
        <v>12371</v>
      </c>
      <c r="F55" s="43">
        <f t="shared" ref="F55:F72" si="11">(E55/B55-1)*100</f>
        <v>13.391384051329048</v>
      </c>
      <c r="G55" s="104">
        <v>12371</v>
      </c>
      <c r="H55" s="43">
        <f>G55/D55*100</f>
        <v>100</v>
      </c>
      <c r="I55" s="43">
        <f>G55/E55*100</f>
        <v>100</v>
      </c>
      <c r="J55" s="43">
        <f t="shared" si="10"/>
        <v>13.391384051329048</v>
      </c>
      <c r="K55" s="17">
        <v>9114</v>
      </c>
    </row>
    <row r="56" spans="1:11" ht="18.95" customHeight="1">
      <c r="A56" s="164" t="s">
        <v>1290</v>
      </c>
      <c r="B56" s="104">
        <v>13762</v>
      </c>
      <c r="C56" s="217">
        <v>18.904440988422326</v>
      </c>
      <c r="D56" s="104">
        <v>12573</v>
      </c>
      <c r="E56" s="104">
        <v>12573</v>
      </c>
      <c r="F56" s="43">
        <f t="shared" si="11"/>
        <v>-8.639732597006244</v>
      </c>
      <c r="G56" s="104">
        <v>12573</v>
      </c>
      <c r="H56" s="43">
        <f t="shared" si="8"/>
        <v>100</v>
      </c>
      <c r="I56" s="43">
        <f t="shared" si="9"/>
        <v>100</v>
      </c>
      <c r="J56" s="43">
        <f t="shared" si="10"/>
        <v>-8.639732597006244</v>
      </c>
      <c r="K56" s="17">
        <v>11574</v>
      </c>
    </row>
    <row r="57" spans="1:11" ht="18.95" customHeight="1">
      <c r="A57" s="164" t="s">
        <v>1291</v>
      </c>
      <c r="B57" s="104">
        <v>20966</v>
      </c>
      <c r="C57" s="217">
        <v>13.698481561822126</v>
      </c>
      <c r="D57" s="104">
        <v>21856</v>
      </c>
      <c r="E57" s="104">
        <v>21856</v>
      </c>
      <c r="F57" s="43">
        <f t="shared" si="11"/>
        <v>4.2449680434990089</v>
      </c>
      <c r="G57" s="104">
        <v>21856</v>
      </c>
      <c r="H57" s="43">
        <f t="shared" si="8"/>
        <v>100</v>
      </c>
      <c r="I57" s="43">
        <f t="shared" si="9"/>
        <v>100</v>
      </c>
      <c r="J57" s="43">
        <f t="shared" si="10"/>
        <v>4.2449680434990089</v>
      </c>
      <c r="K57" s="17">
        <v>18440</v>
      </c>
    </row>
    <row r="58" spans="1:11" ht="18.95" customHeight="1">
      <c r="A58" s="164" t="s">
        <v>1292</v>
      </c>
      <c r="B58" s="104">
        <v>1023</v>
      </c>
      <c r="C58" s="217">
        <v>-10.263157894736842</v>
      </c>
      <c r="D58" s="104">
        <v>1842</v>
      </c>
      <c r="E58" s="104">
        <v>1842</v>
      </c>
      <c r="F58" s="43">
        <f t="shared" si="11"/>
        <v>80.058651026392951</v>
      </c>
      <c r="G58" s="104">
        <v>1842</v>
      </c>
      <c r="H58" s="43">
        <f t="shared" si="8"/>
        <v>100</v>
      </c>
      <c r="I58" s="43">
        <f t="shared" si="9"/>
        <v>100</v>
      </c>
      <c r="J58" s="43">
        <f t="shared" si="10"/>
        <v>80.058651026392951</v>
      </c>
      <c r="K58" s="17">
        <v>1140</v>
      </c>
    </row>
    <row r="59" spans="1:11" ht="18.95" customHeight="1">
      <c r="A59" s="164" t="s">
        <v>1293</v>
      </c>
      <c r="B59" s="104">
        <v>530</v>
      </c>
      <c r="C59" s="217">
        <v>-71.226927252985888</v>
      </c>
      <c r="D59" s="104">
        <v>1250</v>
      </c>
      <c r="E59" s="104">
        <v>1250</v>
      </c>
      <c r="F59" s="43">
        <f t="shared" si="11"/>
        <v>135.84905660377359</v>
      </c>
      <c r="G59" s="104">
        <v>1250</v>
      </c>
      <c r="H59" s="43">
        <f t="shared" si="8"/>
        <v>100</v>
      </c>
      <c r="I59" s="43">
        <f t="shared" si="9"/>
        <v>100</v>
      </c>
      <c r="J59" s="43">
        <f t="shared" si="10"/>
        <v>135.84905660377359</v>
      </c>
      <c r="K59" s="17">
        <v>1842</v>
      </c>
    </row>
    <row r="60" spans="1:11" ht="18.95" customHeight="1" thickBot="1">
      <c r="A60" s="164" t="s">
        <v>1294</v>
      </c>
      <c r="B60" s="104">
        <v>501</v>
      </c>
      <c r="C60" s="217">
        <v>-65.731874145006842</v>
      </c>
      <c r="D60" s="104">
        <v>1462</v>
      </c>
      <c r="E60" s="104">
        <v>1462</v>
      </c>
      <c r="F60" s="43">
        <f t="shared" si="11"/>
        <v>191.81636726546904</v>
      </c>
      <c r="G60" s="104">
        <v>1462</v>
      </c>
      <c r="H60" s="43">
        <f t="shared" si="8"/>
        <v>100</v>
      </c>
      <c r="I60" s="43">
        <f t="shared" si="9"/>
        <v>100</v>
      </c>
      <c r="J60" s="43">
        <f t="shared" si="10"/>
        <v>191.81636726546904</v>
      </c>
      <c r="K60" s="24">
        <v>1462</v>
      </c>
    </row>
    <row r="61" spans="1:11" ht="18.95" customHeight="1">
      <c r="A61" s="161" t="s">
        <v>1295</v>
      </c>
      <c r="B61" s="109">
        <f>B62+B64+B65</f>
        <v>264562</v>
      </c>
      <c r="C61" s="117">
        <f>(B61/K61-1)*100</f>
        <v>35.380537403861403</v>
      </c>
      <c r="D61" s="109">
        <f>D62+D64+D65</f>
        <v>272100</v>
      </c>
      <c r="E61" s="109">
        <f>E62+E64+E65</f>
        <v>272100</v>
      </c>
      <c r="F61" s="117">
        <f t="shared" si="11"/>
        <v>2.8492376078197212</v>
      </c>
      <c r="G61" s="109">
        <f>G62+G64+G65</f>
        <v>295500</v>
      </c>
      <c r="H61" s="117">
        <f t="shared" si="8"/>
        <v>108.59977949283352</v>
      </c>
      <c r="I61" s="117">
        <f t="shared" si="9"/>
        <v>108.59977949283352</v>
      </c>
      <c r="J61" s="117">
        <f t="shared" ref="J61:J72" si="12">(G61/B61-1)*100</f>
        <v>11.694045252152607</v>
      </c>
      <c r="K61" s="52">
        <f>K62+K64+K65</f>
        <v>195421</v>
      </c>
    </row>
    <row r="62" spans="1:11" ht="18.95" customHeight="1">
      <c r="A62" s="163" t="s">
        <v>1296</v>
      </c>
      <c r="B62" s="104">
        <v>59975</v>
      </c>
      <c r="C62" s="43">
        <f t="shared" ref="C62:C71" si="13">(B62/K62-1)*100</f>
        <v>158.97059458525843</v>
      </c>
      <c r="D62" s="104">
        <v>117170</v>
      </c>
      <c r="E62" s="104">
        <v>90170</v>
      </c>
      <c r="F62" s="43">
        <f t="shared" si="11"/>
        <v>50.345977490621088</v>
      </c>
      <c r="G62" s="104">
        <v>76450</v>
      </c>
      <c r="H62" s="43">
        <f t="shared" si="8"/>
        <v>65.247076896816594</v>
      </c>
      <c r="I62" s="43">
        <f t="shared" si="9"/>
        <v>84.784296329156035</v>
      </c>
      <c r="J62" s="43">
        <f t="shared" si="12"/>
        <v>27.469779074614429</v>
      </c>
      <c r="K62" s="11">
        <v>23159</v>
      </c>
    </row>
    <row r="63" spans="1:11" ht="18.95" customHeight="1">
      <c r="A63" s="163" t="s">
        <v>1297</v>
      </c>
      <c r="B63" s="105">
        <v>11808</v>
      </c>
      <c r="C63" s="43">
        <f t="shared" si="13"/>
        <v>17.049960348929428</v>
      </c>
      <c r="D63" s="105">
        <v>40670</v>
      </c>
      <c r="E63" s="105">
        <v>30670</v>
      </c>
      <c r="F63" s="43">
        <f t="shared" si="11"/>
        <v>159.73915989159892</v>
      </c>
      <c r="G63" s="105">
        <v>19400</v>
      </c>
      <c r="H63" s="43">
        <f t="shared" si="8"/>
        <v>47.701008114089014</v>
      </c>
      <c r="I63" s="43">
        <f t="shared" si="9"/>
        <v>63.253994131072709</v>
      </c>
      <c r="J63" s="43">
        <f t="shared" si="12"/>
        <v>64.295392953929536</v>
      </c>
      <c r="K63" s="19">
        <v>10088</v>
      </c>
    </row>
    <row r="64" spans="1:11" ht="18.95" customHeight="1">
      <c r="A64" s="163" t="s">
        <v>1298</v>
      </c>
      <c r="B64" s="105">
        <v>125407</v>
      </c>
      <c r="C64" s="43">
        <f t="shared" si="13"/>
        <v>-0.92668668036024471</v>
      </c>
      <c r="D64" s="105">
        <v>88530</v>
      </c>
      <c r="E64" s="105">
        <v>135530</v>
      </c>
      <c r="F64" s="43">
        <f t="shared" si="11"/>
        <v>8.0721171864409413</v>
      </c>
      <c r="G64" s="105">
        <f>G7-G62+G24</f>
        <v>148650</v>
      </c>
      <c r="H64" s="43">
        <f t="shared" si="8"/>
        <v>167.90918332768555</v>
      </c>
      <c r="I64" s="43">
        <f t="shared" si="9"/>
        <v>109.68051353943777</v>
      </c>
      <c r="J64" s="43">
        <f t="shared" si="12"/>
        <v>18.534053123031402</v>
      </c>
      <c r="K64" s="19">
        <v>126580</v>
      </c>
    </row>
    <row r="65" spans="1:11" ht="18.95" customHeight="1">
      <c r="A65" s="163" t="s">
        <v>1299</v>
      </c>
      <c r="B65" s="104">
        <v>79180</v>
      </c>
      <c r="C65" s="43">
        <f t="shared" si="13"/>
        <v>73.32866336850401</v>
      </c>
      <c r="D65" s="104">
        <v>66400</v>
      </c>
      <c r="E65" s="104">
        <v>46400</v>
      </c>
      <c r="F65" s="43">
        <f t="shared" si="11"/>
        <v>-41.399343268502143</v>
      </c>
      <c r="G65" s="104">
        <f>G22-G24</f>
        <v>70400</v>
      </c>
      <c r="H65" s="43">
        <f t="shared" si="8"/>
        <v>106.02409638554218</v>
      </c>
      <c r="I65" s="43">
        <f t="shared" si="9"/>
        <v>151.72413793103448</v>
      </c>
      <c r="J65" s="43">
        <f t="shared" si="12"/>
        <v>-11.088658752210156</v>
      </c>
      <c r="K65" s="11">
        <v>45682</v>
      </c>
    </row>
    <row r="66" spans="1:11" ht="18.95" customHeight="1">
      <c r="A66" s="161" t="s">
        <v>1053</v>
      </c>
      <c r="B66" s="109">
        <f>SUM(B67:B71)</f>
        <v>111186</v>
      </c>
      <c r="C66" s="117">
        <f>(B66/K66-1)*100</f>
        <v>103.14067253144783</v>
      </c>
      <c r="D66" s="109">
        <f>SUM(D67:D71)</f>
        <v>162910</v>
      </c>
      <c r="E66" s="109">
        <f>SUM(E67:E71)</f>
        <v>211910</v>
      </c>
      <c r="F66" s="117">
        <f t="shared" si="11"/>
        <v>90.590541974709041</v>
      </c>
      <c r="G66" s="109">
        <f>SUM(G67:G71)</f>
        <v>213842</v>
      </c>
      <c r="H66" s="117">
        <f t="shared" si="8"/>
        <v>131.2638880363391</v>
      </c>
      <c r="I66" s="117">
        <f t="shared" si="9"/>
        <v>100.91170780048134</v>
      </c>
      <c r="J66" s="117">
        <f t="shared" si="12"/>
        <v>92.328170812872116</v>
      </c>
      <c r="K66" s="120">
        <f>SUM(K67:K71)</f>
        <v>54733.5</v>
      </c>
    </row>
    <row r="67" spans="1:11" ht="18.95" customHeight="1">
      <c r="A67" s="163" t="s">
        <v>1300</v>
      </c>
      <c r="B67" s="105">
        <v>40043</v>
      </c>
      <c r="C67" s="43">
        <f t="shared" si="13"/>
        <v>315.81516095534789</v>
      </c>
      <c r="D67" s="105">
        <v>76500</v>
      </c>
      <c r="E67" s="105">
        <v>59500</v>
      </c>
      <c r="F67" s="43">
        <f t="shared" si="11"/>
        <v>48.590265464625524</v>
      </c>
      <c r="G67" s="105">
        <f>G8+G9</f>
        <v>57600</v>
      </c>
      <c r="H67" s="43">
        <f t="shared" si="8"/>
        <v>75.294117647058826</v>
      </c>
      <c r="I67" s="43">
        <f t="shared" si="9"/>
        <v>96.806722689075627</v>
      </c>
      <c r="J67" s="43">
        <f t="shared" si="12"/>
        <v>43.845366231301355</v>
      </c>
      <c r="K67" s="19">
        <f>K8*3</f>
        <v>9630</v>
      </c>
    </row>
    <row r="68" spans="1:11" ht="18.95" customHeight="1">
      <c r="A68" s="163" t="s">
        <v>1301</v>
      </c>
      <c r="B68" s="105">
        <v>12</v>
      </c>
      <c r="C68" s="43">
        <f t="shared" si="13"/>
        <v>33.333333333333329</v>
      </c>
      <c r="D68" s="105">
        <v>10</v>
      </c>
      <c r="E68" s="105">
        <v>10</v>
      </c>
      <c r="F68" s="43">
        <f t="shared" si="11"/>
        <v>-16.666666666666664</v>
      </c>
      <c r="G68" s="105">
        <v>12</v>
      </c>
      <c r="H68" s="43">
        <f t="shared" si="8"/>
        <v>120</v>
      </c>
      <c r="I68" s="43">
        <f t="shared" si="9"/>
        <v>120</v>
      </c>
      <c r="J68" s="43">
        <f t="shared" si="12"/>
        <v>0</v>
      </c>
      <c r="K68" s="19">
        <v>9</v>
      </c>
    </row>
    <row r="69" spans="1:11" ht="18.95" customHeight="1">
      <c r="A69" s="163" t="s">
        <v>1302</v>
      </c>
      <c r="B69" s="105">
        <v>3855</v>
      </c>
      <c r="C69" s="43"/>
      <c r="D69" s="105"/>
      <c r="E69" s="105"/>
      <c r="F69" s="43"/>
      <c r="G69" s="105">
        <f>G10</f>
        <v>80</v>
      </c>
      <c r="H69" s="43"/>
      <c r="I69" s="43"/>
      <c r="J69" s="43"/>
      <c r="K69" s="19"/>
    </row>
    <row r="70" spans="1:11" ht="18.95" customHeight="1">
      <c r="A70" s="163" t="s">
        <v>1303</v>
      </c>
      <c r="B70" s="105">
        <v>45992</v>
      </c>
      <c r="C70" s="43">
        <f t="shared" si="13"/>
        <v>40.855077790028169</v>
      </c>
      <c r="D70" s="105">
        <v>70500</v>
      </c>
      <c r="E70" s="105">
        <v>67500</v>
      </c>
      <c r="F70" s="43">
        <f t="shared" si="11"/>
        <v>46.764654722560437</v>
      </c>
      <c r="G70" s="105">
        <f>G11*1.5</f>
        <v>58200</v>
      </c>
      <c r="H70" s="43">
        <f t="shared" si="8"/>
        <v>82.553191489361694</v>
      </c>
      <c r="I70" s="43">
        <f t="shared" si="9"/>
        <v>86.222222222222229</v>
      </c>
      <c r="J70" s="43">
        <f t="shared" si="12"/>
        <v>26.543746738563236</v>
      </c>
      <c r="K70" s="19">
        <f>K11*1.5</f>
        <v>32652</v>
      </c>
    </row>
    <row r="71" spans="1:11" ht="18.95" customHeight="1">
      <c r="A71" s="163" t="s">
        <v>1304</v>
      </c>
      <c r="B71" s="105">
        <v>21284</v>
      </c>
      <c r="C71" s="43">
        <f t="shared" si="13"/>
        <v>71.058870805706249</v>
      </c>
      <c r="D71" s="105">
        <f>D12*1.5</f>
        <v>15900</v>
      </c>
      <c r="E71" s="105">
        <v>84900</v>
      </c>
      <c r="F71" s="43">
        <f t="shared" si="11"/>
        <v>298.8911858673182</v>
      </c>
      <c r="G71" s="105">
        <f>G12*1.5</f>
        <v>97950</v>
      </c>
      <c r="H71" s="43">
        <f t="shared" si="8"/>
        <v>616.03773584905662</v>
      </c>
      <c r="I71" s="43">
        <f t="shared" si="9"/>
        <v>115.37102473498233</v>
      </c>
      <c r="J71" s="43">
        <f t="shared" si="12"/>
        <v>360.20484871264802</v>
      </c>
      <c r="K71" s="25">
        <f>K12*1.5</f>
        <v>12442.5</v>
      </c>
    </row>
    <row r="72" spans="1:11" ht="18.95" customHeight="1">
      <c r="A72" s="161" t="s">
        <v>1305</v>
      </c>
      <c r="B72" s="109">
        <f>B66+B6</f>
        <v>375748</v>
      </c>
      <c r="C72" s="117">
        <f>(B72/K72-1)*100</f>
        <v>50.206372461818603</v>
      </c>
      <c r="D72" s="109">
        <f>D66+D6</f>
        <v>435010</v>
      </c>
      <c r="E72" s="109">
        <f>E66+E6</f>
        <v>484010</v>
      </c>
      <c r="F72" s="117">
        <f t="shared" si="11"/>
        <v>28.812395541692837</v>
      </c>
      <c r="G72" s="109">
        <f>G66+G6</f>
        <v>509342</v>
      </c>
      <c r="H72" s="117">
        <f t="shared" si="8"/>
        <v>117.0874232776258</v>
      </c>
      <c r="I72" s="117">
        <f t="shared" si="9"/>
        <v>105.23377616164954</v>
      </c>
      <c r="J72" s="117">
        <f t="shared" si="12"/>
        <v>35.554147992803699</v>
      </c>
      <c r="K72" s="121">
        <f>K66+K61</f>
        <v>250154.5</v>
      </c>
    </row>
    <row r="73" spans="1:11" ht="18.95" customHeight="1"/>
    <row r="74" spans="1:11" ht="18.95" customHeight="1"/>
    <row r="75" spans="1:11" ht="18.95" customHeight="1"/>
    <row r="76" spans="1:11" ht="18.95" customHeight="1"/>
    <row r="77" spans="1:11" ht="18.95" customHeight="1"/>
    <row r="78" spans="1:11" ht="18.95" customHeight="1"/>
    <row r="79" spans="1:11" ht="18.95" customHeight="1"/>
    <row r="80" spans="1:11" ht="18.95" customHeight="1"/>
    <row r="81" ht="18.95" customHeight="1"/>
    <row r="82" ht="18.9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</sheetData>
  <protectedRanges>
    <protectedRange password="CF6E" sqref="D63:E64 D66:E71 K8:K24 K29:K35 B29:B35 K63:K64 K66:K71 G63:G64 D29:E35 G8:G24 G29:G35 B63:B64 B66:B71 B8:B24 D8:E24 G66:G71" name="区域1_1_1_1"/>
    <protectedRange password="CF6E" sqref="C25:C28" name="区域1_3_1_1_1"/>
  </protectedRanges>
  <mergeCells count="16">
    <mergeCell ref="K4:K5"/>
    <mergeCell ref="A1:K1"/>
    <mergeCell ref="I2:J2"/>
    <mergeCell ref="A3:A5"/>
    <mergeCell ref="B3:C3"/>
    <mergeCell ref="D3:F3"/>
    <mergeCell ref="G3:J3"/>
    <mergeCell ref="B4:B5"/>
    <mergeCell ref="C4:C5"/>
    <mergeCell ref="D4:D5"/>
    <mergeCell ref="E4:E5"/>
    <mergeCell ref="F4:F5"/>
    <mergeCell ref="G4:G5"/>
    <mergeCell ref="H4:H5"/>
    <mergeCell ref="I4:I5"/>
    <mergeCell ref="J4:J5"/>
  </mergeCells>
  <phoneticPr fontId="3" type="noConversion"/>
  <printOptions horizontalCentered="1"/>
  <pageMargins left="0.35433070866141736" right="0.35433070866141736" top="0.78740157480314965" bottom="0.98425196850393704" header="0.31496062992125984" footer="0.51181102362204722"/>
  <pageSetup paperSize="9" scale="85" orientation="portrait" useFirstPageNumber="1" verticalDpi="300" r:id="rId1"/>
  <headerFooter alignWithMargins="0">
    <oddFooter>第 &amp;P 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K1363"/>
  <sheetViews>
    <sheetView workbookViewId="0">
      <pane xSplit="1" ySplit="5" topLeftCell="B177" activePane="bottomRight" state="frozen"/>
      <selection activeCell="L41" sqref="L41"/>
      <selection pane="topRight" activeCell="L41" sqref="L41"/>
      <selection pane="bottomLeft" activeCell="L41" sqref="L41"/>
      <selection pane="bottomRight" activeCell="K181" sqref="K181"/>
    </sheetView>
  </sheetViews>
  <sheetFormatPr defaultRowHeight="13.5"/>
  <cols>
    <col min="1" max="1" width="27.5" style="122" customWidth="1"/>
    <col min="2" max="8" width="10.625" style="122" customWidth="1"/>
    <col min="9" max="10" width="9" style="122"/>
    <col min="11" max="11" width="9.625" style="122" bestFit="1" customWidth="1"/>
    <col min="12" max="16384" width="9" style="122"/>
  </cols>
  <sheetData>
    <row r="1" spans="1:8" ht="43.5" customHeight="1">
      <c r="A1" s="241" t="s">
        <v>1433</v>
      </c>
      <c r="B1" s="241"/>
      <c r="C1" s="241"/>
      <c r="D1" s="241"/>
      <c r="E1" s="241"/>
      <c r="F1" s="241"/>
      <c r="G1" s="241"/>
      <c r="H1" s="241"/>
    </row>
    <row r="2" spans="1:8" ht="24" customHeight="1">
      <c r="A2" s="115"/>
      <c r="B2" s="123"/>
      <c r="C2" s="124"/>
      <c r="D2" s="123"/>
      <c r="E2" s="123"/>
      <c r="F2" s="123"/>
      <c r="G2" s="125"/>
      <c r="H2" s="126" t="s">
        <v>1073</v>
      </c>
    </row>
    <row r="3" spans="1:8" ht="18.75" customHeight="1">
      <c r="A3" s="242" t="s">
        <v>1</v>
      </c>
      <c r="B3" s="243" t="s">
        <v>1074</v>
      </c>
      <c r="C3" s="243" t="s">
        <v>1075</v>
      </c>
      <c r="D3" s="244" t="s">
        <v>1076</v>
      </c>
      <c r="E3" s="245"/>
      <c r="F3" s="246"/>
      <c r="G3" s="243" t="s">
        <v>1077</v>
      </c>
      <c r="H3" s="243" t="s">
        <v>1183</v>
      </c>
    </row>
    <row r="4" spans="1:8" ht="16.5" customHeight="1">
      <c r="A4" s="242"/>
      <c r="B4" s="243"/>
      <c r="C4" s="243"/>
      <c r="D4" s="127" t="s">
        <v>1078</v>
      </c>
      <c r="E4" s="127" t="s">
        <v>1079</v>
      </c>
      <c r="F4" s="127" t="s">
        <v>1080</v>
      </c>
      <c r="G4" s="243"/>
      <c r="H4" s="243"/>
    </row>
    <row r="5" spans="1:8" s="128" customFormat="1">
      <c r="A5" s="165" t="s">
        <v>1054</v>
      </c>
      <c r="B5" s="166">
        <v>722400.00000000023</v>
      </c>
      <c r="C5" s="166">
        <v>672700.00000000012</v>
      </c>
      <c r="D5" s="166">
        <v>866616</v>
      </c>
      <c r="E5" s="167">
        <f>D5-F5</f>
        <v>840450</v>
      </c>
      <c r="F5" s="167">
        <v>26166</v>
      </c>
      <c r="G5" s="167">
        <v>-52289</v>
      </c>
      <c r="H5" s="130">
        <v>-5.6903597216251951</v>
      </c>
    </row>
    <row r="6" spans="1:8" s="128" customFormat="1">
      <c r="A6" s="165" t="s">
        <v>11</v>
      </c>
      <c r="B6" s="166">
        <v>51166.68</v>
      </c>
      <c r="C6" s="166">
        <v>51166.68</v>
      </c>
      <c r="D6" s="166">
        <v>57291</v>
      </c>
      <c r="E6" s="167">
        <f t="shared" ref="E6:E69" si="0">D6-F6</f>
        <v>45430</v>
      </c>
      <c r="F6" s="166">
        <v>11861</v>
      </c>
      <c r="G6" s="167">
        <v>12399</v>
      </c>
      <c r="H6" s="130">
        <v>27.619620422346969</v>
      </c>
    </row>
    <row r="7" spans="1:8">
      <c r="A7" s="168" t="s">
        <v>12</v>
      </c>
      <c r="B7" s="169">
        <v>767.92</v>
      </c>
      <c r="C7" s="169">
        <v>767.92</v>
      </c>
      <c r="D7" s="169">
        <v>789</v>
      </c>
      <c r="E7" s="170">
        <f t="shared" si="0"/>
        <v>789</v>
      </c>
      <c r="F7" s="171"/>
      <c r="G7" s="170">
        <v>131</v>
      </c>
      <c r="H7" s="131">
        <v>19.908814589665656</v>
      </c>
    </row>
    <row r="8" spans="1:8" ht="12.75" customHeight="1">
      <c r="A8" s="168" t="s">
        <v>24</v>
      </c>
      <c r="B8" s="171">
        <v>424.14</v>
      </c>
      <c r="C8" s="171">
        <v>424.14</v>
      </c>
      <c r="D8" s="171">
        <v>427</v>
      </c>
      <c r="E8" s="170">
        <f t="shared" si="0"/>
        <v>427</v>
      </c>
      <c r="F8" s="171"/>
      <c r="G8" s="170">
        <v>-15</v>
      </c>
      <c r="H8" s="131">
        <v>-3.3936651583710407</v>
      </c>
    </row>
    <row r="9" spans="1:8" ht="12.75" customHeight="1">
      <c r="A9" s="168" t="s">
        <v>1055</v>
      </c>
      <c r="B9" s="171">
        <v>29034.82</v>
      </c>
      <c r="C9" s="171">
        <v>29034.82</v>
      </c>
      <c r="D9" s="171">
        <v>29035</v>
      </c>
      <c r="E9" s="170">
        <f t="shared" si="0"/>
        <v>17897</v>
      </c>
      <c r="F9" s="171">
        <v>11138</v>
      </c>
      <c r="G9" s="170">
        <v>10444</v>
      </c>
      <c r="H9" s="131">
        <v>56.177720402345223</v>
      </c>
    </row>
    <row r="10" spans="1:8" ht="12.75" customHeight="1">
      <c r="A10" s="168" t="s">
        <v>37</v>
      </c>
      <c r="B10" s="171">
        <v>2563.23</v>
      </c>
      <c r="C10" s="171">
        <v>2563.23</v>
      </c>
      <c r="D10" s="171">
        <v>4459</v>
      </c>
      <c r="E10" s="170">
        <f t="shared" si="0"/>
        <v>4459</v>
      </c>
      <c r="F10" s="171"/>
      <c r="G10" s="170">
        <v>105</v>
      </c>
      <c r="H10" s="131">
        <v>2.4115755627009645</v>
      </c>
    </row>
    <row r="11" spans="1:8" ht="12.75" customHeight="1">
      <c r="A11" s="168" t="s">
        <v>44</v>
      </c>
      <c r="B11" s="171">
        <v>917.97</v>
      </c>
      <c r="C11" s="171">
        <v>917.97</v>
      </c>
      <c r="D11" s="171">
        <v>918</v>
      </c>
      <c r="E11" s="170">
        <f t="shared" si="0"/>
        <v>918</v>
      </c>
      <c r="F11" s="171"/>
      <c r="G11" s="170">
        <v>503</v>
      </c>
      <c r="H11" s="131">
        <v>121.20481927710844</v>
      </c>
    </row>
    <row r="12" spans="1:8" ht="12.75" customHeight="1">
      <c r="A12" s="168" t="s">
        <v>51</v>
      </c>
      <c r="B12" s="171">
        <v>2855.5</v>
      </c>
      <c r="C12" s="171">
        <v>2855.5</v>
      </c>
      <c r="D12" s="171">
        <v>2855</v>
      </c>
      <c r="E12" s="170">
        <f t="shared" si="0"/>
        <v>2132</v>
      </c>
      <c r="F12" s="171">
        <v>723</v>
      </c>
      <c r="G12" s="170">
        <v>156</v>
      </c>
      <c r="H12" s="131">
        <v>5.7799184883290105</v>
      </c>
    </row>
    <row r="13" spans="1:8" ht="12.75" customHeight="1">
      <c r="A13" s="168" t="s">
        <v>58</v>
      </c>
      <c r="B13" s="171">
        <v>2300</v>
      </c>
      <c r="C13" s="171">
        <v>2300</v>
      </c>
      <c r="D13" s="171">
        <v>2300</v>
      </c>
      <c r="E13" s="170">
        <f t="shared" si="0"/>
        <v>2300</v>
      </c>
      <c r="F13" s="171"/>
      <c r="G13" s="170">
        <v>-220</v>
      </c>
      <c r="H13" s="131">
        <v>-8.7301587301587293</v>
      </c>
    </row>
    <row r="14" spans="1:8" ht="12.75" customHeight="1">
      <c r="A14" s="168" t="s">
        <v>65</v>
      </c>
      <c r="B14" s="171">
        <v>381.81</v>
      </c>
      <c r="C14" s="171">
        <v>381.81</v>
      </c>
      <c r="D14" s="171">
        <v>382</v>
      </c>
      <c r="E14" s="170">
        <f t="shared" si="0"/>
        <v>382</v>
      </c>
      <c r="F14" s="171"/>
      <c r="G14" s="170">
        <v>359</v>
      </c>
      <c r="H14" s="131">
        <v>1560.8695652173913</v>
      </c>
    </row>
    <row r="15" spans="1:8" ht="12.75" customHeight="1">
      <c r="A15" s="168" t="s">
        <v>69</v>
      </c>
      <c r="B15" s="171">
        <v>600</v>
      </c>
      <c r="C15" s="171">
        <v>600</v>
      </c>
      <c r="D15" s="171">
        <v>600</v>
      </c>
      <c r="E15" s="170">
        <f t="shared" si="0"/>
        <v>600</v>
      </c>
      <c r="F15" s="171"/>
      <c r="G15" s="170">
        <v>-1496</v>
      </c>
      <c r="H15" s="131">
        <v>-71.374045801526719</v>
      </c>
    </row>
    <row r="16" spans="1:8" ht="12.75" customHeight="1">
      <c r="A16" s="168" t="s">
        <v>74</v>
      </c>
      <c r="B16" s="171">
        <v>2086.4499999999998</v>
      </c>
      <c r="C16" s="171">
        <v>2086.4499999999998</v>
      </c>
      <c r="D16" s="171">
        <v>2807</v>
      </c>
      <c r="E16" s="170">
        <f t="shared" si="0"/>
        <v>2807</v>
      </c>
      <c r="F16" s="171"/>
      <c r="G16" s="170">
        <v>2547</v>
      </c>
      <c r="H16" s="131">
        <v>979.61538461538464</v>
      </c>
    </row>
    <row r="17" spans="1:8" ht="12.75" customHeight="1">
      <c r="A17" s="168" t="s">
        <v>85</v>
      </c>
      <c r="B17" s="171">
        <v>1381.56</v>
      </c>
      <c r="C17" s="171">
        <v>1381.56</v>
      </c>
      <c r="D17" s="171">
        <v>1382</v>
      </c>
      <c r="E17" s="170">
        <f t="shared" si="0"/>
        <v>1382</v>
      </c>
      <c r="F17" s="171"/>
      <c r="G17" s="170">
        <v>-210</v>
      </c>
      <c r="H17" s="131">
        <v>-13.190954773869345</v>
      </c>
    </row>
    <row r="18" spans="1:8" ht="12.75" customHeight="1">
      <c r="A18" s="168" t="s">
        <v>90</v>
      </c>
      <c r="B18" s="171">
        <v>668.75</v>
      </c>
      <c r="C18" s="171">
        <v>668.75</v>
      </c>
      <c r="D18" s="171">
        <v>1037</v>
      </c>
      <c r="E18" s="170">
        <f t="shared" si="0"/>
        <v>1037</v>
      </c>
      <c r="F18" s="171"/>
      <c r="G18" s="170">
        <v>-109</v>
      </c>
      <c r="H18" s="131">
        <v>-9.5113438045375212</v>
      </c>
    </row>
    <row r="19" spans="1:8">
      <c r="A19" s="168" t="s">
        <v>97</v>
      </c>
      <c r="B19" s="171">
        <v>2352.11</v>
      </c>
      <c r="C19" s="171">
        <v>2352.11</v>
      </c>
      <c r="D19" s="171">
        <v>2552</v>
      </c>
      <c r="E19" s="170">
        <f t="shared" si="0"/>
        <v>2552</v>
      </c>
      <c r="F19" s="171"/>
      <c r="G19" s="170">
        <v>122</v>
      </c>
      <c r="H19" s="131">
        <v>5.0205761316872426</v>
      </c>
    </row>
    <row r="20" spans="1:8" ht="12.75" customHeight="1">
      <c r="A20" s="168" t="s">
        <v>102</v>
      </c>
      <c r="B20" s="171">
        <v>455.56</v>
      </c>
      <c r="C20" s="171">
        <v>455.56</v>
      </c>
      <c r="D20" s="171">
        <v>455</v>
      </c>
      <c r="E20" s="170">
        <f t="shared" si="0"/>
        <v>455</v>
      </c>
      <c r="F20" s="171"/>
      <c r="G20" s="170">
        <v>-57</v>
      </c>
      <c r="H20" s="131">
        <v>-11.1328125</v>
      </c>
    </row>
    <row r="21" spans="1:8" ht="12.75" customHeight="1">
      <c r="A21" s="168" t="s">
        <v>110</v>
      </c>
      <c r="B21" s="171"/>
      <c r="C21" s="171"/>
      <c r="D21" s="171"/>
      <c r="E21" s="170"/>
      <c r="F21" s="171"/>
      <c r="G21" s="170"/>
      <c r="H21" s="131"/>
    </row>
    <row r="22" spans="1:8" ht="12.75" customHeight="1">
      <c r="A22" s="168" t="s">
        <v>113</v>
      </c>
      <c r="B22" s="171"/>
      <c r="C22" s="171"/>
      <c r="D22" s="171">
        <v>177</v>
      </c>
      <c r="E22" s="170">
        <f t="shared" si="0"/>
        <v>177</v>
      </c>
      <c r="F22" s="171"/>
      <c r="G22" s="170">
        <v>87</v>
      </c>
      <c r="H22" s="131">
        <v>96.666666666666671</v>
      </c>
    </row>
    <row r="23" spans="1:8" ht="12.75" customHeight="1">
      <c r="A23" s="168" t="s">
        <v>116</v>
      </c>
      <c r="B23" s="171">
        <v>1315.96</v>
      </c>
      <c r="C23" s="171">
        <v>1315.96</v>
      </c>
      <c r="D23" s="171">
        <v>2875</v>
      </c>
      <c r="E23" s="170">
        <f t="shared" si="0"/>
        <v>2875</v>
      </c>
      <c r="F23" s="171"/>
      <c r="G23" s="170">
        <v>1840</v>
      </c>
      <c r="H23" s="131">
        <v>177.77777777777777</v>
      </c>
    </row>
    <row r="24" spans="1:8" ht="12.75" customHeight="1">
      <c r="A24" s="168" t="s">
        <v>121</v>
      </c>
      <c r="B24" s="171">
        <v>142.82</v>
      </c>
      <c r="C24" s="171">
        <v>142.82</v>
      </c>
      <c r="D24" s="171">
        <v>143</v>
      </c>
      <c r="E24" s="170">
        <f t="shared" si="0"/>
        <v>143</v>
      </c>
      <c r="F24" s="171"/>
      <c r="G24" s="170">
        <v>-155</v>
      </c>
      <c r="H24" s="131">
        <v>-52.013422818791945</v>
      </c>
    </row>
    <row r="25" spans="1:8" ht="12.75" customHeight="1">
      <c r="A25" s="168" t="s">
        <v>124</v>
      </c>
      <c r="B25" s="171">
        <v>132.80000000000001</v>
      </c>
      <c r="C25" s="171">
        <v>132.80000000000001</v>
      </c>
      <c r="D25" s="171">
        <v>158</v>
      </c>
      <c r="E25" s="170">
        <f t="shared" si="0"/>
        <v>158</v>
      </c>
      <c r="F25" s="171"/>
      <c r="G25" s="170">
        <v>-7</v>
      </c>
      <c r="H25" s="131">
        <v>-4.2424242424242431</v>
      </c>
    </row>
    <row r="26" spans="1:8" ht="12.75" customHeight="1">
      <c r="A26" s="168" t="s">
        <v>126</v>
      </c>
      <c r="B26" s="171">
        <v>527.87</v>
      </c>
      <c r="C26" s="171">
        <v>527.87</v>
      </c>
      <c r="D26" s="171">
        <v>528</v>
      </c>
      <c r="E26" s="170">
        <f t="shared" si="0"/>
        <v>528</v>
      </c>
      <c r="F26" s="171"/>
      <c r="G26" s="170">
        <v>162</v>
      </c>
      <c r="H26" s="131">
        <v>44.26229508196721</v>
      </c>
    </row>
    <row r="27" spans="1:8" ht="12.75" customHeight="1">
      <c r="A27" s="168" t="s">
        <v>130</v>
      </c>
      <c r="B27" s="171">
        <v>806.51</v>
      </c>
      <c r="C27" s="171">
        <v>806.51</v>
      </c>
      <c r="D27" s="171">
        <v>806</v>
      </c>
      <c r="E27" s="170">
        <f t="shared" si="0"/>
        <v>806</v>
      </c>
      <c r="F27" s="171"/>
      <c r="G27" s="170">
        <v>-2115</v>
      </c>
      <c r="H27" s="131">
        <v>-72.406710030811354</v>
      </c>
    </row>
    <row r="28" spans="1:8">
      <c r="A28" s="168" t="s">
        <v>133</v>
      </c>
      <c r="B28" s="171"/>
      <c r="C28" s="171"/>
      <c r="D28" s="171">
        <v>1158</v>
      </c>
      <c r="E28" s="170">
        <f t="shared" si="0"/>
        <v>1158</v>
      </c>
      <c r="F28" s="171"/>
      <c r="G28" s="170">
        <v>-186</v>
      </c>
      <c r="H28" s="131">
        <v>-13.839285714285715</v>
      </c>
    </row>
    <row r="29" spans="1:8" ht="12.75" customHeight="1">
      <c r="A29" s="168" t="s">
        <v>135</v>
      </c>
      <c r="B29" s="171">
        <v>1450.9</v>
      </c>
      <c r="C29" s="171">
        <v>1450.9</v>
      </c>
      <c r="D29" s="171">
        <v>1448</v>
      </c>
      <c r="E29" s="170">
        <f t="shared" si="0"/>
        <v>1448</v>
      </c>
      <c r="F29" s="171"/>
      <c r="G29" s="170">
        <v>516</v>
      </c>
      <c r="H29" s="131">
        <v>55.36480686695279</v>
      </c>
    </row>
    <row r="30" spans="1:8" ht="12.75" customHeight="1">
      <c r="A30" s="168" t="s">
        <v>137</v>
      </c>
      <c r="B30" s="171"/>
      <c r="C30" s="171"/>
      <c r="D30" s="171"/>
      <c r="E30" s="170"/>
      <c r="F30" s="171"/>
      <c r="G30" s="170"/>
      <c r="H30" s="131"/>
    </row>
    <row r="31" spans="1:8" ht="12.75" customHeight="1">
      <c r="A31" s="168" t="s">
        <v>139</v>
      </c>
      <c r="B31" s="171"/>
      <c r="C31" s="171"/>
      <c r="D31" s="171"/>
      <c r="E31" s="170"/>
      <c r="F31" s="171"/>
      <c r="G31" s="170">
        <v>-3</v>
      </c>
      <c r="H31" s="131">
        <v>-100</v>
      </c>
    </row>
    <row r="32" spans="1:8" s="129" customFormat="1" ht="12.75" customHeight="1">
      <c r="A32" s="165" t="s">
        <v>144</v>
      </c>
      <c r="B32" s="166">
        <v>469.89</v>
      </c>
      <c r="C32" s="166">
        <v>469.89</v>
      </c>
      <c r="D32" s="166">
        <v>685</v>
      </c>
      <c r="E32" s="167">
        <f t="shared" si="0"/>
        <v>669</v>
      </c>
      <c r="F32" s="166">
        <v>16</v>
      </c>
      <c r="G32" s="167">
        <v>-108</v>
      </c>
      <c r="H32" s="130">
        <v>-13.619167717528374</v>
      </c>
    </row>
    <row r="33" spans="1:8" ht="12.75" customHeight="1">
      <c r="A33" s="168" t="s">
        <v>145</v>
      </c>
      <c r="B33" s="171">
        <v>180.49</v>
      </c>
      <c r="C33" s="171">
        <v>180.49</v>
      </c>
      <c r="D33" s="171">
        <v>244</v>
      </c>
      <c r="E33" s="170">
        <f t="shared" si="0"/>
        <v>244</v>
      </c>
      <c r="F33" s="171"/>
      <c r="G33" s="170">
        <v>244</v>
      </c>
      <c r="H33" s="131"/>
    </row>
    <row r="34" spans="1:8" ht="12.75" customHeight="1">
      <c r="A34" s="168" t="s">
        <v>151</v>
      </c>
      <c r="B34" s="171">
        <v>289.32</v>
      </c>
      <c r="C34" s="171">
        <v>289.32</v>
      </c>
      <c r="D34" s="171">
        <v>350</v>
      </c>
      <c r="E34" s="170">
        <f t="shared" si="0"/>
        <v>350</v>
      </c>
      <c r="F34" s="171"/>
      <c r="G34" s="170">
        <v>-383</v>
      </c>
      <c r="H34" s="131">
        <v>-52.251023192360165</v>
      </c>
    </row>
    <row r="35" spans="1:8" ht="12.75" customHeight="1">
      <c r="A35" s="168" t="s">
        <v>160</v>
      </c>
      <c r="B35" s="171">
        <v>0.08</v>
      </c>
      <c r="C35" s="171">
        <v>0.08</v>
      </c>
      <c r="D35" s="171">
        <v>91</v>
      </c>
      <c r="E35" s="170">
        <f t="shared" si="0"/>
        <v>75</v>
      </c>
      <c r="F35" s="171">
        <v>16</v>
      </c>
      <c r="G35" s="170">
        <v>31</v>
      </c>
      <c r="H35" s="131">
        <v>51.666666666666671</v>
      </c>
    </row>
    <row r="36" spans="1:8" s="129" customFormat="1" ht="12.75" customHeight="1">
      <c r="A36" s="165" t="s">
        <v>162</v>
      </c>
      <c r="B36" s="166">
        <v>39404.9</v>
      </c>
      <c r="C36" s="166">
        <v>27904.900000000005</v>
      </c>
      <c r="D36" s="166">
        <v>37905</v>
      </c>
      <c r="E36" s="167">
        <f t="shared" si="0"/>
        <v>37905</v>
      </c>
      <c r="F36" s="166"/>
      <c r="G36" s="167">
        <v>10945</v>
      </c>
      <c r="H36" s="130">
        <v>40.597181008902076</v>
      </c>
    </row>
    <row r="37" spans="1:8" ht="12.75" customHeight="1">
      <c r="A37" s="168" t="s">
        <v>163</v>
      </c>
      <c r="B37" s="171">
        <v>14600.1</v>
      </c>
      <c r="C37" s="171">
        <v>7400.1</v>
      </c>
      <c r="D37" s="171">
        <v>9582</v>
      </c>
      <c r="E37" s="170">
        <f t="shared" si="0"/>
        <v>9582</v>
      </c>
      <c r="F37" s="171"/>
      <c r="G37" s="170">
        <v>5278</v>
      </c>
      <c r="H37" s="131">
        <v>122.63011152416357</v>
      </c>
    </row>
    <row r="38" spans="1:8" ht="12.75" customHeight="1">
      <c r="A38" s="168" t="s">
        <v>173</v>
      </c>
      <c r="B38" s="171">
        <v>23183.81</v>
      </c>
      <c r="C38" s="171">
        <v>18883.810000000001</v>
      </c>
      <c r="D38" s="171">
        <v>23184</v>
      </c>
      <c r="E38" s="170">
        <f t="shared" si="0"/>
        <v>23184</v>
      </c>
      <c r="F38" s="171"/>
      <c r="G38" s="170">
        <v>8532</v>
      </c>
      <c r="H38" s="131">
        <v>58.23095823095823</v>
      </c>
    </row>
    <row r="39" spans="1:8" ht="12.75" customHeight="1">
      <c r="A39" s="168" t="s">
        <v>190</v>
      </c>
      <c r="B39" s="171">
        <v>150</v>
      </c>
      <c r="C39" s="171">
        <v>150</v>
      </c>
      <c r="D39" s="171">
        <v>250</v>
      </c>
      <c r="E39" s="170">
        <f t="shared" si="0"/>
        <v>250</v>
      </c>
      <c r="F39" s="171"/>
      <c r="G39" s="170">
        <v>250</v>
      </c>
      <c r="H39" s="131"/>
    </row>
    <row r="40" spans="1:8">
      <c r="A40" s="168" t="s">
        <v>193</v>
      </c>
      <c r="B40" s="171">
        <v>70</v>
      </c>
      <c r="C40" s="171">
        <v>70</v>
      </c>
      <c r="D40" s="171">
        <v>1377</v>
      </c>
      <c r="E40" s="170">
        <f t="shared" si="0"/>
        <v>1377</v>
      </c>
      <c r="F40" s="171"/>
      <c r="G40" s="170">
        <v>-296</v>
      </c>
      <c r="H40" s="131">
        <v>-17.692767483562463</v>
      </c>
    </row>
    <row r="41" spans="1:8" ht="12.75" customHeight="1">
      <c r="A41" s="168" t="s">
        <v>201</v>
      </c>
      <c r="B41" s="171">
        <v>50</v>
      </c>
      <c r="C41" s="171">
        <v>50</v>
      </c>
      <c r="D41" s="171">
        <v>2153</v>
      </c>
      <c r="E41" s="170">
        <f t="shared" si="0"/>
        <v>2153</v>
      </c>
      <c r="F41" s="171"/>
      <c r="G41" s="170">
        <v>166</v>
      </c>
      <c r="H41" s="131">
        <v>8.3543029693004538</v>
      </c>
    </row>
    <row r="42" spans="1:8" ht="12.75" customHeight="1">
      <c r="A42" s="168" t="s">
        <v>206</v>
      </c>
      <c r="B42" s="171">
        <v>1350.99</v>
      </c>
      <c r="C42" s="171">
        <v>1350.99</v>
      </c>
      <c r="D42" s="171">
        <v>1351</v>
      </c>
      <c r="E42" s="170">
        <f t="shared" si="0"/>
        <v>1351</v>
      </c>
      <c r="F42" s="171"/>
      <c r="G42" s="170">
        <v>32</v>
      </c>
      <c r="H42" s="131">
        <v>2.4260803639120545</v>
      </c>
    </row>
    <row r="43" spans="1:8" ht="12.75" customHeight="1">
      <c r="A43" s="168" t="s">
        <v>214</v>
      </c>
      <c r="B43" s="171"/>
      <c r="C43" s="171"/>
      <c r="D43" s="171"/>
      <c r="E43" s="170"/>
      <c r="F43" s="166"/>
      <c r="G43" s="170"/>
      <c r="H43" s="131"/>
    </row>
    <row r="44" spans="1:8" ht="12.75" customHeight="1">
      <c r="A44" s="168" t="s">
        <v>218</v>
      </c>
      <c r="B44" s="171"/>
      <c r="C44" s="171"/>
      <c r="D44" s="171">
        <v>8</v>
      </c>
      <c r="E44" s="170">
        <f t="shared" si="0"/>
        <v>8</v>
      </c>
      <c r="F44" s="166"/>
      <c r="G44" s="170">
        <v>-3017</v>
      </c>
      <c r="H44" s="131">
        <v>-99.735537190082653</v>
      </c>
    </row>
    <row r="45" spans="1:8" s="129" customFormat="1" ht="12.75" customHeight="1">
      <c r="A45" s="165" t="s">
        <v>221</v>
      </c>
      <c r="B45" s="166">
        <v>79474.12</v>
      </c>
      <c r="C45" s="166">
        <v>73374.12</v>
      </c>
      <c r="D45" s="166">
        <v>91102</v>
      </c>
      <c r="E45" s="167">
        <f t="shared" si="0"/>
        <v>91102</v>
      </c>
      <c r="F45" s="166"/>
      <c r="G45" s="167">
        <v>10200</v>
      </c>
      <c r="H45" s="130">
        <v>12.607846530370079</v>
      </c>
    </row>
    <row r="46" spans="1:8" ht="12.75" customHeight="1">
      <c r="A46" s="168" t="s">
        <v>222</v>
      </c>
      <c r="B46" s="171">
        <v>2635.03</v>
      </c>
      <c r="C46" s="171">
        <v>2635.03</v>
      </c>
      <c r="D46" s="171">
        <v>2635</v>
      </c>
      <c r="E46" s="170">
        <f t="shared" si="0"/>
        <v>2635</v>
      </c>
      <c r="F46" s="171"/>
      <c r="G46" s="170">
        <v>1499</v>
      </c>
      <c r="H46" s="131">
        <v>131.95422535211267</v>
      </c>
    </row>
    <row r="47" spans="1:8" ht="12.75" customHeight="1">
      <c r="A47" s="168" t="s">
        <v>224</v>
      </c>
      <c r="B47" s="171">
        <v>58990.31</v>
      </c>
      <c r="C47" s="171">
        <v>55890.31</v>
      </c>
      <c r="D47" s="171">
        <v>67932</v>
      </c>
      <c r="E47" s="170">
        <f t="shared" si="0"/>
        <v>67932</v>
      </c>
      <c r="F47" s="171"/>
      <c r="G47" s="170">
        <v>-6399</v>
      </c>
      <c r="H47" s="131">
        <v>-8.6087904104613138</v>
      </c>
    </row>
    <row r="48" spans="1:8" ht="12.75" customHeight="1">
      <c r="A48" s="168" t="s">
        <v>232</v>
      </c>
      <c r="B48" s="171">
        <v>10864.29</v>
      </c>
      <c r="C48" s="171">
        <v>7864.29</v>
      </c>
      <c r="D48" s="171">
        <v>11357</v>
      </c>
      <c r="E48" s="170">
        <f t="shared" si="0"/>
        <v>11357</v>
      </c>
      <c r="F48" s="171"/>
      <c r="G48" s="170">
        <v>10175</v>
      </c>
      <c r="H48" s="131">
        <v>860.82910321488998</v>
      </c>
    </row>
    <row r="49" spans="1:8" ht="12.75" customHeight="1">
      <c r="A49" s="168" t="s">
        <v>239</v>
      </c>
      <c r="B49" s="171"/>
      <c r="C49" s="171"/>
      <c r="D49" s="171"/>
      <c r="E49" s="170"/>
      <c r="F49" s="171"/>
      <c r="G49" s="170">
        <v>-4</v>
      </c>
      <c r="H49" s="131">
        <v>-100</v>
      </c>
    </row>
    <row r="50" spans="1:8" ht="12.75" customHeight="1">
      <c r="A50" s="168" t="s">
        <v>245</v>
      </c>
      <c r="B50" s="171"/>
      <c r="C50" s="171"/>
      <c r="D50" s="171"/>
      <c r="E50" s="170"/>
      <c r="F50" s="171"/>
      <c r="G50" s="170"/>
      <c r="H50" s="131"/>
    </row>
    <row r="51" spans="1:8">
      <c r="A51" s="168" t="s">
        <v>253</v>
      </c>
      <c r="B51" s="171">
        <v>248.24</v>
      </c>
      <c r="C51" s="171">
        <v>248.24</v>
      </c>
      <c r="D51" s="171">
        <v>326</v>
      </c>
      <c r="E51" s="170">
        <f t="shared" si="0"/>
        <v>326</v>
      </c>
      <c r="F51" s="171"/>
      <c r="G51" s="170">
        <v>48</v>
      </c>
      <c r="H51" s="131">
        <v>17.266187050359711</v>
      </c>
    </row>
    <row r="52" spans="1:8" ht="12.75" customHeight="1">
      <c r="A52" s="168" t="s">
        <v>257</v>
      </c>
      <c r="B52" s="171">
        <v>783.75</v>
      </c>
      <c r="C52" s="171">
        <v>783.75</v>
      </c>
      <c r="D52" s="171">
        <v>884</v>
      </c>
      <c r="E52" s="170">
        <f t="shared" si="0"/>
        <v>884</v>
      </c>
      <c r="F52" s="171"/>
      <c r="G52" s="170">
        <v>34</v>
      </c>
      <c r="H52" s="131">
        <v>4</v>
      </c>
    </row>
    <row r="53" spans="1:8" ht="12.75" customHeight="1">
      <c r="A53" s="168" t="s">
        <v>263</v>
      </c>
      <c r="B53" s="171">
        <v>3000</v>
      </c>
      <c r="C53" s="171">
        <v>3000</v>
      </c>
      <c r="D53" s="171">
        <v>2300</v>
      </c>
      <c r="E53" s="170">
        <f t="shared" si="0"/>
        <v>2300</v>
      </c>
      <c r="F53" s="171"/>
      <c r="G53" s="170">
        <v>-422</v>
      </c>
      <c r="H53" s="131">
        <v>-15.50330639235856</v>
      </c>
    </row>
    <row r="54" spans="1:8" ht="12.75" customHeight="1">
      <c r="A54" s="168" t="s">
        <v>270</v>
      </c>
      <c r="B54" s="171">
        <v>2952.5</v>
      </c>
      <c r="C54" s="171">
        <v>2952.5</v>
      </c>
      <c r="D54" s="171">
        <v>5668</v>
      </c>
      <c r="E54" s="170">
        <f t="shared" si="0"/>
        <v>5668</v>
      </c>
      <c r="F54" s="171"/>
      <c r="G54" s="170">
        <v>5269</v>
      </c>
      <c r="H54" s="131">
        <v>1320.5513784461155</v>
      </c>
    </row>
    <row r="55" spans="1:8" s="129" customFormat="1" ht="12.75" customHeight="1">
      <c r="A55" s="165" t="s">
        <v>272</v>
      </c>
      <c r="B55" s="166">
        <v>647.91</v>
      </c>
      <c r="C55" s="166">
        <v>647.91</v>
      </c>
      <c r="D55" s="166">
        <v>44169</v>
      </c>
      <c r="E55" s="167">
        <f t="shared" si="0"/>
        <v>43291</v>
      </c>
      <c r="F55" s="166">
        <v>878</v>
      </c>
      <c r="G55" s="167">
        <v>43782</v>
      </c>
      <c r="H55" s="130">
        <v>11313.178294573643</v>
      </c>
    </row>
    <row r="56" spans="1:8" ht="12.75" customHeight="1">
      <c r="A56" s="168" t="s">
        <v>273</v>
      </c>
      <c r="B56" s="171">
        <v>103.91</v>
      </c>
      <c r="C56" s="171">
        <v>103.91</v>
      </c>
      <c r="D56" s="171">
        <v>109</v>
      </c>
      <c r="E56" s="170">
        <f t="shared" si="0"/>
        <v>109</v>
      </c>
      <c r="F56" s="171"/>
      <c r="G56" s="170">
        <v>-69</v>
      </c>
      <c r="H56" s="131">
        <v>-38.764044943820224</v>
      </c>
    </row>
    <row r="57" spans="1:8" ht="12.75" customHeight="1">
      <c r="A57" s="168" t="s">
        <v>275</v>
      </c>
      <c r="B57" s="171">
        <v>74</v>
      </c>
      <c r="C57" s="171">
        <v>74</v>
      </c>
      <c r="D57" s="171">
        <v>67</v>
      </c>
      <c r="E57" s="170">
        <f t="shared" si="0"/>
        <v>67</v>
      </c>
      <c r="F57" s="171"/>
      <c r="G57" s="170">
        <v>67</v>
      </c>
      <c r="H57" s="131"/>
    </row>
    <row r="58" spans="1:8" ht="12.75" customHeight="1">
      <c r="A58" s="168" t="s">
        <v>289</v>
      </c>
      <c r="B58" s="171"/>
      <c r="C58" s="171"/>
      <c r="D58" s="171">
        <v>2973</v>
      </c>
      <c r="E58" s="170">
        <f t="shared" si="0"/>
        <v>2973</v>
      </c>
      <c r="F58" s="171"/>
      <c r="G58" s="170">
        <v>2873</v>
      </c>
      <c r="H58" s="131">
        <v>2873</v>
      </c>
    </row>
    <row r="59" spans="1:8" ht="12.75" customHeight="1">
      <c r="A59" s="168" t="s">
        <v>294</v>
      </c>
      <c r="B59" s="171">
        <v>420</v>
      </c>
      <c r="C59" s="171">
        <v>420</v>
      </c>
      <c r="D59" s="171">
        <v>16446</v>
      </c>
      <c r="E59" s="170">
        <f t="shared" si="0"/>
        <v>15568</v>
      </c>
      <c r="F59" s="171">
        <v>878</v>
      </c>
      <c r="G59" s="170">
        <v>16445</v>
      </c>
      <c r="H59" s="131">
        <v>1644500</v>
      </c>
    </row>
    <row r="60" spans="1:8" ht="12.75" customHeight="1">
      <c r="A60" s="168" t="s">
        <v>1307</v>
      </c>
      <c r="B60" s="171"/>
      <c r="C60" s="171"/>
      <c r="D60" s="171">
        <v>24553</v>
      </c>
      <c r="E60" s="170">
        <f t="shared" si="0"/>
        <v>24553</v>
      </c>
      <c r="F60" s="171"/>
      <c r="G60" s="170">
        <v>24553</v>
      </c>
      <c r="H60" s="131"/>
    </row>
    <row r="61" spans="1:8" ht="12.75" customHeight="1">
      <c r="A61" s="168" t="s">
        <v>303</v>
      </c>
      <c r="B61" s="171">
        <v>50</v>
      </c>
      <c r="C61" s="171">
        <v>50</v>
      </c>
      <c r="D61" s="171">
        <v>21</v>
      </c>
      <c r="E61" s="170">
        <f t="shared" si="0"/>
        <v>21</v>
      </c>
      <c r="F61" s="171"/>
      <c r="G61" s="170">
        <v>-87</v>
      </c>
      <c r="H61" s="131">
        <v>-80.555555555555557</v>
      </c>
    </row>
    <row r="62" spans="1:8" s="129" customFormat="1">
      <c r="A62" s="165" t="s">
        <v>320</v>
      </c>
      <c r="B62" s="166">
        <v>10541.57</v>
      </c>
      <c r="C62" s="166">
        <v>7341.57</v>
      </c>
      <c r="D62" s="166">
        <v>7791</v>
      </c>
      <c r="E62" s="167">
        <f t="shared" si="0"/>
        <v>7625</v>
      </c>
      <c r="F62" s="166">
        <v>166</v>
      </c>
      <c r="G62" s="167">
        <v>-11656</v>
      </c>
      <c r="H62" s="130">
        <v>-59.937265387977575</v>
      </c>
    </row>
    <row r="63" spans="1:8" ht="12.75" customHeight="1">
      <c r="A63" s="168" t="s">
        <v>321</v>
      </c>
      <c r="B63" s="171">
        <v>913.5</v>
      </c>
      <c r="C63" s="171">
        <v>913.5</v>
      </c>
      <c r="D63" s="171">
        <v>978</v>
      </c>
      <c r="E63" s="170">
        <f t="shared" si="0"/>
        <v>812</v>
      </c>
      <c r="F63" s="171">
        <v>166</v>
      </c>
      <c r="G63" s="170">
        <v>-2009</v>
      </c>
      <c r="H63" s="131">
        <v>-67.258118513558756</v>
      </c>
    </row>
    <row r="64" spans="1:8" ht="12.75" customHeight="1">
      <c r="A64" s="168" t="s">
        <v>332</v>
      </c>
      <c r="B64" s="171">
        <v>32</v>
      </c>
      <c r="C64" s="171">
        <v>32</v>
      </c>
      <c r="D64" s="171">
        <v>444</v>
      </c>
      <c r="E64" s="170">
        <f t="shared" si="0"/>
        <v>444</v>
      </c>
      <c r="F64" s="171"/>
      <c r="G64" s="170">
        <v>427</v>
      </c>
      <c r="H64" s="131">
        <v>2511.7647058823527</v>
      </c>
    </row>
    <row r="65" spans="1:8" ht="12.75" customHeight="1">
      <c r="A65" s="168" t="s">
        <v>337</v>
      </c>
      <c r="B65" s="171">
        <v>1319.9</v>
      </c>
      <c r="C65" s="171">
        <v>1319.9</v>
      </c>
      <c r="D65" s="171">
        <v>2777</v>
      </c>
      <c r="E65" s="170">
        <f t="shared" si="0"/>
        <v>2777</v>
      </c>
      <c r="F65" s="171"/>
      <c r="G65" s="170">
        <v>1829</v>
      </c>
      <c r="H65" s="131">
        <v>192.93248945147678</v>
      </c>
    </row>
    <row r="66" spans="1:8" ht="12.75" customHeight="1">
      <c r="A66" s="168" t="s">
        <v>1081</v>
      </c>
      <c r="B66" s="171">
        <v>8276.17</v>
      </c>
      <c r="C66" s="171">
        <v>5076.17</v>
      </c>
      <c r="D66" s="171">
        <v>3408</v>
      </c>
      <c r="E66" s="170">
        <f t="shared" si="0"/>
        <v>3408</v>
      </c>
      <c r="F66" s="171"/>
      <c r="G66" s="170">
        <v>-11556</v>
      </c>
      <c r="H66" s="131">
        <v>-77.225340817963101</v>
      </c>
    </row>
    <row r="67" spans="1:8" ht="12.75" customHeight="1">
      <c r="A67" s="168" t="s">
        <v>355</v>
      </c>
      <c r="B67" s="171"/>
      <c r="C67" s="171"/>
      <c r="D67" s="171">
        <v>184</v>
      </c>
      <c r="E67" s="170">
        <f t="shared" si="0"/>
        <v>184</v>
      </c>
      <c r="F67" s="171"/>
      <c r="G67" s="170">
        <v>-347</v>
      </c>
      <c r="H67" s="131">
        <v>-65.348399246704332</v>
      </c>
    </row>
    <row r="68" spans="1:8" s="129" customFormat="1" ht="12.75" customHeight="1">
      <c r="A68" s="165" t="s">
        <v>359</v>
      </c>
      <c r="B68" s="166">
        <v>45869.52</v>
      </c>
      <c r="C68" s="166">
        <v>33964.519999999997</v>
      </c>
      <c r="D68" s="166">
        <v>47422</v>
      </c>
      <c r="E68" s="167">
        <f t="shared" si="0"/>
        <v>47222</v>
      </c>
      <c r="F68" s="166">
        <v>200</v>
      </c>
      <c r="G68" s="167">
        <v>-2339</v>
      </c>
      <c r="H68" s="130">
        <v>-4.7004682381784928</v>
      </c>
    </row>
    <row r="69" spans="1:8" ht="12.75" customHeight="1">
      <c r="A69" s="168" t="s">
        <v>360</v>
      </c>
      <c r="B69" s="171">
        <v>925.16</v>
      </c>
      <c r="C69" s="171">
        <v>925.16</v>
      </c>
      <c r="D69" s="171">
        <v>925</v>
      </c>
      <c r="E69" s="170">
        <f t="shared" si="0"/>
        <v>925</v>
      </c>
      <c r="F69" s="171"/>
      <c r="G69" s="170">
        <v>-329</v>
      </c>
      <c r="H69" s="131">
        <v>-26.236044657097292</v>
      </c>
    </row>
    <row r="70" spans="1:8" ht="12.75" customHeight="1">
      <c r="A70" s="168" t="s">
        <v>370</v>
      </c>
      <c r="B70" s="171">
        <v>1494.71</v>
      </c>
      <c r="C70" s="171">
        <v>1494.71</v>
      </c>
      <c r="D70" s="171">
        <v>1495</v>
      </c>
      <c r="E70" s="170">
        <f t="shared" ref="E70:E133" si="1">D70-F70</f>
        <v>1495</v>
      </c>
      <c r="F70" s="171"/>
      <c r="G70" s="170">
        <v>-81</v>
      </c>
      <c r="H70" s="131">
        <v>-5.1395939086294415</v>
      </c>
    </row>
    <row r="71" spans="1:8" ht="12.75" customHeight="1">
      <c r="A71" s="168" t="s">
        <v>378</v>
      </c>
      <c r="B71" s="171">
        <v>4368</v>
      </c>
      <c r="C71" s="171">
        <v>4368</v>
      </c>
      <c r="D71" s="171">
        <v>9366</v>
      </c>
      <c r="E71" s="170">
        <f t="shared" si="1"/>
        <v>9366</v>
      </c>
      <c r="F71" s="171"/>
      <c r="G71" s="170">
        <v>522</v>
      </c>
      <c r="H71" s="131">
        <v>5.9023066485753057</v>
      </c>
    </row>
    <row r="72" spans="1:8" ht="12.75" customHeight="1">
      <c r="A72" s="168" t="s">
        <v>386</v>
      </c>
      <c r="B72" s="171">
        <v>26480.27</v>
      </c>
      <c r="C72" s="171">
        <v>15375.27</v>
      </c>
      <c r="D72" s="171">
        <v>15339</v>
      </c>
      <c r="E72" s="170">
        <f t="shared" si="1"/>
        <v>15339</v>
      </c>
      <c r="F72" s="171"/>
      <c r="G72" s="170">
        <v>-7398</v>
      </c>
      <c r="H72" s="131">
        <v>-32.537274046708006</v>
      </c>
    </row>
    <row r="73" spans="1:8">
      <c r="A73" s="168" t="s">
        <v>1308</v>
      </c>
      <c r="B73" s="171"/>
      <c r="C73" s="171"/>
      <c r="D73" s="171">
        <v>196</v>
      </c>
      <c r="E73" s="170">
        <f t="shared" si="1"/>
        <v>196</v>
      </c>
      <c r="F73" s="171"/>
      <c r="G73" s="170">
        <v>196</v>
      </c>
      <c r="H73" s="131"/>
    </row>
    <row r="74" spans="1:8" ht="12.75" customHeight="1">
      <c r="A74" s="168" t="s">
        <v>396</v>
      </c>
      <c r="B74" s="171"/>
      <c r="C74" s="171"/>
      <c r="D74" s="171">
        <v>936</v>
      </c>
      <c r="E74" s="170">
        <f t="shared" si="1"/>
        <v>936</v>
      </c>
      <c r="F74" s="171"/>
      <c r="G74" s="170">
        <v>627</v>
      </c>
      <c r="H74" s="131">
        <v>202.91262135922329</v>
      </c>
    </row>
    <row r="75" spans="1:8" ht="12.75" customHeight="1">
      <c r="A75" s="168" t="s">
        <v>410</v>
      </c>
      <c r="B75" s="171">
        <v>1396.3</v>
      </c>
      <c r="C75" s="171">
        <v>1396.3</v>
      </c>
      <c r="D75" s="171">
        <v>1952</v>
      </c>
      <c r="E75" s="170">
        <f t="shared" si="1"/>
        <v>1952</v>
      </c>
      <c r="F75" s="171"/>
      <c r="G75" s="170">
        <v>803</v>
      </c>
      <c r="H75" s="131">
        <v>69.88685813751087</v>
      </c>
    </row>
    <row r="76" spans="1:8" ht="12.75" customHeight="1">
      <c r="A76" s="168" t="s">
        <v>418</v>
      </c>
      <c r="B76" s="171">
        <v>543.46</v>
      </c>
      <c r="C76" s="171">
        <v>543.46</v>
      </c>
      <c r="D76" s="171">
        <v>925</v>
      </c>
      <c r="E76" s="170">
        <f t="shared" si="1"/>
        <v>925</v>
      </c>
      <c r="F76" s="171"/>
      <c r="G76" s="170">
        <v>461</v>
      </c>
      <c r="H76" s="131">
        <v>99.353448275862064</v>
      </c>
    </row>
    <row r="77" spans="1:8" ht="12.75" customHeight="1">
      <c r="A77" s="168" t="s">
        <v>424</v>
      </c>
      <c r="B77" s="171">
        <v>4012.07</v>
      </c>
      <c r="C77" s="171">
        <v>3212.07</v>
      </c>
      <c r="D77" s="171">
        <v>5655</v>
      </c>
      <c r="E77" s="170">
        <f t="shared" si="1"/>
        <v>5655</v>
      </c>
      <c r="F77" s="171"/>
      <c r="G77" s="170">
        <v>3479</v>
      </c>
      <c r="H77" s="131">
        <v>159.88051470588235</v>
      </c>
    </row>
    <row r="78" spans="1:8" ht="12.75" customHeight="1">
      <c r="A78" s="168" t="s">
        <v>431</v>
      </c>
      <c r="B78" s="171">
        <v>532.91</v>
      </c>
      <c r="C78" s="171">
        <v>532.91</v>
      </c>
      <c r="D78" s="171">
        <v>617</v>
      </c>
      <c r="E78" s="170">
        <f t="shared" si="1"/>
        <v>617</v>
      </c>
      <c r="F78" s="171"/>
      <c r="G78" s="170">
        <v>-528</v>
      </c>
      <c r="H78" s="131">
        <v>-46.113537117903931</v>
      </c>
    </row>
    <row r="79" spans="1:8" ht="12.75" customHeight="1">
      <c r="A79" s="168" t="s">
        <v>436</v>
      </c>
      <c r="B79" s="171">
        <v>200</v>
      </c>
      <c r="C79" s="171">
        <v>200</v>
      </c>
      <c r="D79" s="171">
        <v>752</v>
      </c>
      <c r="E79" s="170">
        <f t="shared" si="1"/>
        <v>552</v>
      </c>
      <c r="F79" s="171">
        <v>200</v>
      </c>
      <c r="G79" s="170">
        <v>512</v>
      </c>
      <c r="H79" s="131">
        <v>213.33333333333334</v>
      </c>
    </row>
    <row r="80" spans="1:8" ht="12.75" customHeight="1">
      <c r="A80" s="168" t="s">
        <v>441</v>
      </c>
      <c r="B80" s="171">
        <v>63.11</v>
      </c>
      <c r="C80" s="171">
        <v>63.11</v>
      </c>
      <c r="D80" s="171">
        <v>39</v>
      </c>
      <c r="E80" s="170">
        <f t="shared" si="1"/>
        <v>39</v>
      </c>
      <c r="F80" s="171"/>
      <c r="G80" s="170">
        <v>5</v>
      </c>
      <c r="H80" s="131">
        <v>14.705882352941178</v>
      </c>
    </row>
    <row r="81" spans="1:8" ht="12.75" customHeight="1">
      <c r="A81" s="168" t="s">
        <v>443</v>
      </c>
      <c r="B81" s="171">
        <v>2452.6</v>
      </c>
      <c r="C81" s="171">
        <v>2452.6</v>
      </c>
      <c r="D81" s="171">
        <v>4215</v>
      </c>
      <c r="E81" s="170">
        <f t="shared" si="1"/>
        <v>4215</v>
      </c>
      <c r="F81" s="171"/>
      <c r="G81" s="170">
        <v>-1268</v>
      </c>
      <c r="H81" s="131">
        <v>-23.126025898230896</v>
      </c>
    </row>
    <row r="82" spans="1:8" ht="12.75" customHeight="1">
      <c r="A82" s="168" t="s">
        <v>446</v>
      </c>
      <c r="B82" s="171">
        <v>82</v>
      </c>
      <c r="C82" s="171">
        <v>82</v>
      </c>
      <c r="D82" s="171">
        <v>248</v>
      </c>
      <c r="E82" s="170">
        <f t="shared" si="1"/>
        <v>248</v>
      </c>
      <c r="F82" s="171"/>
      <c r="G82" s="170">
        <v>-174</v>
      </c>
      <c r="H82" s="131">
        <v>-41.232227488151658</v>
      </c>
    </row>
    <row r="83" spans="1:8" ht="12.75" customHeight="1">
      <c r="A83" s="168" t="s">
        <v>449</v>
      </c>
      <c r="B83" s="171">
        <v>1612.2</v>
      </c>
      <c r="C83" s="171">
        <v>1612.2</v>
      </c>
      <c r="D83" s="171">
        <v>2234</v>
      </c>
      <c r="E83" s="170">
        <f t="shared" si="1"/>
        <v>2234</v>
      </c>
      <c r="F83" s="171"/>
      <c r="G83" s="170">
        <v>498</v>
      </c>
      <c r="H83" s="131">
        <v>28.686635944700463</v>
      </c>
    </row>
    <row r="84" spans="1:8" ht="12.75" customHeight="1">
      <c r="A84" s="168" t="s">
        <v>455</v>
      </c>
      <c r="B84" s="171">
        <v>114.09</v>
      </c>
      <c r="C84" s="171">
        <v>114.09</v>
      </c>
      <c r="D84" s="171">
        <v>338</v>
      </c>
      <c r="E84" s="170">
        <f t="shared" si="1"/>
        <v>338</v>
      </c>
      <c r="F84" s="171"/>
      <c r="G84" s="170">
        <v>183</v>
      </c>
      <c r="H84" s="131">
        <v>118.06451612903226</v>
      </c>
    </row>
    <row r="85" spans="1:8">
      <c r="A85" s="168" t="s">
        <v>458</v>
      </c>
      <c r="B85" s="171">
        <v>1592.64</v>
      </c>
      <c r="C85" s="171">
        <v>1592.64</v>
      </c>
      <c r="D85" s="171">
        <v>2190</v>
      </c>
      <c r="E85" s="170">
        <f t="shared" si="1"/>
        <v>2190</v>
      </c>
      <c r="F85" s="171"/>
      <c r="G85" s="170">
        <v>153</v>
      </c>
      <c r="H85" s="131">
        <v>7.5110456553755522</v>
      </c>
    </row>
    <row r="86" spans="1:8" s="129" customFormat="1" ht="12.75" customHeight="1">
      <c r="A86" s="165" t="s">
        <v>460</v>
      </c>
      <c r="B86" s="166">
        <v>29790.6</v>
      </c>
      <c r="C86" s="166">
        <v>29790.6</v>
      </c>
      <c r="D86" s="166">
        <v>59797</v>
      </c>
      <c r="E86" s="167">
        <f t="shared" si="1"/>
        <v>58397</v>
      </c>
      <c r="F86" s="166">
        <v>1400</v>
      </c>
      <c r="G86" s="167">
        <v>12539</v>
      </c>
      <c r="H86" s="130">
        <v>26.533073765288417</v>
      </c>
    </row>
    <row r="87" spans="1:8" ht="12.75" customHeight="1">
      <c r="A87" s="168" t="s">
        <v>461</v>
      </c>
      <c r="B87" s="171">
        <v>981.78</v>
      </c>
      <c r="C87" s="171">
        <v>981.78</v>
      </c>
      <c r="D87" s="171">
        <v>982</v>
      </c>
      <c r="E87" s="170">
        <f t="shared" si="1"/>
        <v>982</v>
      </c>
      <c r="F87" s="171"/>
      <c r="G87" s="170">
        <v>-946</v>
      </c>
      <c r="H87" s="131">
        <v>-49.066390041493776</v>
      </c>
    </row>
    <row r="88" spans="1:8" ht="12.75" customHeight="1">
      <c r="A88" s="168" t="s">
        <v>463</v>
      </c>
      <c r="B88" s="171">
        <v>5928.59</v>
      </c>
      <c r="C88" s="171">
        <v>5928.59</v>
      </c>
      <c r="D88" s="171">
        <v>18645</v>
      </c>
      <c r="E88" s="170">
        <f t="shared" si="1"/>
        <v>18645</v>
      </c>
      <c r="F88" s="171"/>
      <c r="G88" s="170">
        <v>11399</v>
      </c>
      <c r="H88" s="131">
        <v>157.3143803477781</v>
      </c>
    </row>
    <row r="89" spans="1:8" ht="12.75" customHeight="1">
      <c r="A89" s="168" t="s">
        <v>476</v>
      </c>
      <c r="B89" s="171">
        <v>6820.94</v>
      </c>
      <c r="C89" s="171">
        <v>6820.94</v>
      </c>
      <c r="D89" s="171">
        <v>9997</v>
      </c>
      <c r="E89" s="170">
        <f t="shared" si="1"/>
        <v>9997</v>
      </c>
      <c r="F89" s="171"/>
      <c r="G89" s="170">
        <v>1618</v>
      </c>
      <c r="H89" s="131">
        <v>19.310180212435853</v>
      </c>
    </row>
    <row r="90" spans="1:8" ht="12.75" customHeight="1">
      <c r="A90" s="168" t="s">
        <v>480</v>
      </c>
      <c r="B90" s="171">
        <v>2856.24</v>
      </c>
      <c r="C90" s="171">
        <v>2856.24</v>
      </c>
      <c r="D90" s="171">
        <v>4911</v>
      </c>
      <c r="E90" s="170">
        <f t="shared" si="1"/>
        <v>4911</v>
      </c>
      <c r="F90" s="171"/>
      <c r="G90" s="170">
        <v>308</v>
      </c>
      <c r="H90" s="131">
        <v>6.6912882902454927</v>
      </c>
    </row>
    <row r="91" spans="1:8" ht="12.75" customHeight="1">
      <c r="A91" s="168" t="s">
        <v>492</v>
      </c>
      <c r="B91" s="171"/>
      <c r="C91" s="171"/>
      <c r="D91" s="171"/>
      <c r="E91" s="170"/>
      <c r="F91" s="171"/>
      <c r="G91" s="170">
        <v>-21509</v>
      </c>
      <c r="H91" s="131">
        <v>-100</v>
      </c>
    </row>
    <row r="92" spans="1:8" ht="12.75" customHeight="1">
      <c r="A92" s="168" t="s">
        <v>502</v>
      </c>
      <c r="B92" s="171"/>
      <c r="C92" s="171"/>
      <c r="D92" s="171">
        <v>24</v>
      </c>
      <c r="E92" s="170">
        <f t="shared" si="1"/>
        <v>24</v>
      </c>
      <c r="F92" s="171"/>
      <c r="G92" s="170">
        <v>-297</v>
      </c>
      <c r="H92" s="131">
        <v>-92.523364485981304</v>
      </c>
    </row>
    <row r="93" spans="1:8" ht="12.75" customHeight="1">
      <c r="A93" s="168" t="s">
        <v>505</v>
      </c>
      <c r="B93" s="171">
        <v>3000.6</v>
      </c>
      <c r="C93" s="171">
        <v>3000.6</v>
      </c>
      <c r="D93" s="171">
        <v>3398</v>
      </c>
      <c r="E93" s="170">
        <f t="shared" si="1"/>
        <v>1998</v>
      </c>
      <c r="F93" s="171">
        <v>1400</v>
      </c>
      <c r="G93" s="170">
        <v>379</v>
      </c>
      <c r="H93" s="131">
        <v>12.553825770122556</v>
      </c>
    </row>
    <row r="94" spans="1:8">
      <c r="A94" s="168" t="s">
        <v>1082</v>
      </c>
      <c r="B94" s="171">
        <v>909</v>
      </c>
      <c r="C94" s="171">
        <v>909</v>
      </c>
      <c r="D94" s="171">
        <v>462</v>
      </c>
      <c r="E94" s="170">
        <f t="shared" si="1"/>
        <v>462</v>
      </c>
      <c r="F94" s="171"/>
      <c r="G94" s="170">
        <v>300</v>
      </c>
      <c r="H94" s="131">
        <v>185.18518518518519</v>
      </c>
    </row>
    <row r="95" spans="1:8" ht="12.75" customHeight="1">
      <c r="A95" s="168" t="s">
        <v>515</v>
      </c>
      <c r="B95" s="171">
        <v>3350</v>
      </c>
      <c r="C95" s="171">
        <v>3350</v>
      </c>
      <c r="D95" s="171">
        <v>1850</v>
      </c>
      <c r="E95" s="170">
        <f t="shared" si="1"/>
        <v>1850</v>
      </c>
      <c r="F95" s="171"/>
      <c r="G95" s="170">
        <v>1850</v>
      </c>
      <c r="H95" s="131"/>
    </row>
    <row r="96" spans="1:8" ht="12.75" customHeight="1">
      <c r="A96" s="168" t="s">
        <v>1060</v>
      </c>
      <c r="B96" s="171">
        <v>4936.32</v>
      </c>
      <c r="C96" s="171">
        <v>4936.32</v>
      </c>
      <c r="D96" s="171">
        <v>17553</v>
      </c>
      <c r="E96" s="170">
        <f t="shared" si="1"/>
        <v>17553</v>
      </c>
      <c r="F96" s="171"/>
      <c r="G96" s="170">
        <v>17553</v>
      </c>
      <c r="H96" s="131"/>
    </row>
    <row r="97" spans="1:8" ht="12.75" customHeight="1">
      <c r="A97" s="168" t="s">
        <v>1061</v>
      </c>
      <c r="B97" s="171">
        <v>1000</v>
      </c>
      <c r="C97" s="171">
        <v>1000</v>
      </c>
      <c r="D97" s="171">
        <v>1780</v>
      </c>
      <c r="E97" s="170">
        <f t="shared" si="1"/>
        <v>1780</v>
      </c>
      <c r="F97" s="171"/>
      <c r="G97" s="170">
        <v>1780</v>
      </c>
      <c r="H97" s="131"/>
    </row>
    <row r="98" spans="1:8" ht="12.75" customHeight="1">
      <c r="A98" s="168" t="s">
        <v>1062</v>
      </c>
      <c r="B98" s="171">
        <v>7.13</v>
      </c>
      <c r="C98" s="171">
        <v>7.13</v>
      </c>
      <c r="D98" s="171">
        <v>5</v>
      </c>
      <c r="E98" s="170">
        <f t="shared" si="1"/>
        <v>5</v>
      </c>
      <c r="F98" s="171"/>
      <c r="G98" s="170">
        <v>5</v>
      </c>
      <c r="H98" s="131"/>
    </row>
    <row r="99" spans="1:8" ht="12.75" customHeight="1">
      <c r="A99" s="168" t="s">
        <v>519</v>
      </c>
      <c r="B99" s="171"/>
      <c r="C99" s="171"/>
      <c r="D99" s="171">
        <v>190</v>
      </c>
      <c r="E99" s="170">
        <f t="shared" si="1"/>
        <v>190</v>
      </c>
      <c r="F99" s="171"/>
      <c r="G99" s="170">
        <v>99</v>
      </c>
      <c r="H99" s="131">
        <v>108.79120879120879</v>
      </c>
    </row>
    <row r="100" spans="1:8" s="129" customFormat="1" ht="12.75" customHeight="1">
      <c r="A100" s="165" t="s">
        <v>521</v>
      </c>
      <c r="B100" s="166">
        <v>5222.6900000000005</v>
      </c>
      <c r="C100" s="166">
        <v>4622.6900000000005</v>
      </c>
      <c r="D100" s="166">
        <v>43697</v>
      </c>
      <c r="E100" s="167">
        <f t="shared" si="1"/>
        <v>40962</v>
      </c>
      <c r="F100" s="166">
        <v>2735</v>
      </c>
      <c r="G100" s="167">
        <v>5098</v>
      </c>
      <c r="H100" s="130">
        <v>13.207596051711185</v>
      </c>
    </row>
    <row r="101" spans="1:8" ht="12.75" customHeight="1">
      <c r="A101" s="168" t="s">
        <v>522</v>
      </c>
      <c r="B101" s="171">
        <v>2842.69</v>
      </c>
      <c r="C101" s="171">
        <v>2842.69</v>
      </c>
      <c r="D101" s="171">
        <v>22575</v>
      </c>
      <c r="E101" s="170">
        <f t="shared" si="1"/>
        <v>22575</v>
      </c>
      <c r="F101" s="171"/>
      <c r="G101" s="170">
        <v>-8045</v>
      </c>
      <c r="H101" s="131">
        <v>-26.273677335075114</v>
      </c>
    </row>
    <row r="102" spans="1:8" ht="12.75" customHeight="1">
      <c r="A102" s="168" t="s">
        <v>528</v>
      </c>
      <c r="B102" s="171">
        <v>2380</v>
      </c>
      <c r="C102" s="171">
        <v>1780</v>
      </c>
      <c r="D102" s="171">
        <v>1188</v>
      </c>
      <c r="E102" s="170">
        <f t="shared" si="1"/>
        <v>1188</v>
      </c>
      <c r="F102" s="171"/>
      <c r="G102" s="170">
        <v>504</v>
      </c>
      <c r="H102" s="131">
        <v>73.68421052631578</v>
      </c>
    </row>
    <row r="103" spans="1:8" ht="12.75" customHeight="1">
      <c r="A103" s="168" t="s">
        <v>532</v>
      </c>
      <c r="B103" s="171"/>
      <c r="C103" s="171"/>
      <c r="D103" s="171">
        <v>9423</v>
      </c>
      <c r="E103" s="170">
        <f t="shared" si="1"/>
        <v>6688</v>
      </c>
      <c r="F103" s="171">
        <v>2735</v>
      </c>
      <c r="G103" s="170">
        <v>2130</v>
      </c>
      <c r="H103" s="131">
        <v>29.206088029617444</v>
      </c>
    </row>
    <row r="104" spans="1:8">
      <c r="A104" s="168" t="s">
        <v>541</v>
      </c>
      <c r="B104" s="171"/>
      <c r="C104" s="171"/>
      <c r="D104" s="171">
        <v>10343</v>
      </c>
      <c r="E104" s="170">
        <f t="shared" si="1"/>
        <v>10343</v>
      </c>
      <c r="F104" s="171"/>
      <c r="G104" s="170">
        <v>10343</v>
      </c>
      <c r="H104" s="131"/>
    </row>
    <row r="105" spans="1:8" ht="12.75" customHeight="1">
      <c r="A105" s="168" t="s">
        <v>568</v>
      </c>
      <c r="B105" s="171"/>
      <c r="C105" s="171"/>
      <c r="D105" s="171">
        <v>68</v>
      </c>
      <c r="E105" s="170">
        <f t="shared" si="1"/>
        <v>68</v>
      </c>
      <c r="F105" s="171"/>
      <c r="G105" s="170">
        <v>68</v>
      </c>
      <c r="H105" s="131"/>
    </row>
    <row r="106" spans="1:8" ht="12.75" customHeight="1">
      <c r="A106" s="168" t="s">
        <v>570</v>
      </c>
      <c r="B106" s="171"/>
      <c r="C106" s="171"/>
      <c r="D106" s="171">
        <v>100</v>
      </c>
      <c r="E106" s="170">
        <f t="shared" si="1"/>
        <v>100</v>
      </c>
      <c r="F106" s="171"/>
      <c r="G106" s="170">
        <v>98</v>
      </c>
      <c r="H106" s="131">
        <v>4900</v>
      </c>
    </row>
    <row r="107" spans="1:8" ht="12.75" customHeight="1">
      <c r="A107" s="168" t="s">
        <v>591</v>
      </c>
      <c r="B107" s="171"/>
      <c r="C107" s="171"/>
      <c r="D107" s="171"/>
      <c r="E107" s="170"/>
      <c r="F107" s="166"/>
      <c r="G107" s="170"/>
      <c r="H107" s="131"/>
    </row>
    <row r="108" spans="1:8" s="129" customFormat="1" ht="12.75" customHeight="1">
      <c r="A108" s="165" t="s">
        <v>593</v>
      </c>
      <c r="B108" s="166">
        <v>170371.67</v>
      </c>
      <c r="C108" s="166">
        <v>124976.67000000001</v>
      </c>
      <c r="D108" s="166">
        <v>215909</v>
      </c>
      <c r="E108" s="167">
        <f t="shared" si="1"/>
        <v>214395</v>
      </c>
      <c r="F108" s="166">
        <v>1514</v>
      </c>
      <c r="G108" s="167">
        <v>-116688</v>
      </c>
      <c r="H108" s="130">
        <v>-35.083900335841875</v>
      </c>
    </row>
    <row r="109" spans="1:8" ht="12.75" customHeight="1">
      <c r="A109" s="168" t="s">
        <v>594</v>
      </c>
      <c r="B109" s="171">
        <v>14817.44</v>
      </c>
      <c r="C109" s="171">
        <v>14817.44</v>
      </c>
      <c r="D109" s="171">
        <v>14818</v>
      </c>
      <c r="E109" s="170">
        <f t="shared" si="1"/>
        <v>14818</v>
      </c>
      <c r="F109" s="171"/>
      <c r="G109" s="170">
        <v>7658</v>
      </c>
      <c r="H109" s="131">
        <v>106.95530726256983</v>
      </c>
    </row>
    <row r="110" spans="1:8" ht="12.75" customHeight="1">
      <c r="A110" s="168" t="s">
        <v>603</v>
      </c>
      <c r="B110" s="171">
        <v>5256.88</v>
      </c>
      <c r="C110" s="171">
        <v>3661.88</v>
      </c>
      <c r="D110" s="171">
        <v>4595</v>
      </c>
      <c r="E110" s="170">
        <f t="shared" si="1"/>
        <v>4417</v>
      </c>
      <c r="F110" s="171">
        <v>178</v>
      </c>
      <c r="G110" s="170">
        <v>909</v>
      </c>
      <c r="H110" s="131">
        <v>24.66087900162778</v>
      </c>
    </row>
    <row r="111" spans="1:8" ht="12.75" customHeight="1">
      <c r="A111" s="168" t="s">
        <v>605</v>
      </c>
      <c r="B111" s="171">
        <v>134000</v>
      </c>
      <c r="C111" s="171">
        <v>90200</v>
      </c>
      <c r="D111" s="171">
        <v>185258</v>
      </c>
      <c r="E111" s="170">
        <f t="shared" si="1"/>
        <v>185113</v>
      </c>
      <c r="F111" s="171">
        <v>145</v>
      </c>
      <c r="G111" s="170">
        <v>-58052</v>
      </c>
      <c r="H111" s="131">
        <v>-23.859274176975877</v>
      </c>
    </row>
    <row r="112" spans="1:8" ht="12.75" customHeight="1">
      <c r="A112" s="168" t="s">
        <v>608</v>
      </c>
      <c r="B112" s="171">
        <v>12197.35</v>
      </c>
      <c r="C112" s="171">
        <v>12197.35</v>
      </c>
      <c r="D112" s="171">
        <v>11238</v>
      </c>
      <c r="E112" s="170">
        <f t="shared" si="1"/>
        <v>10047</v>
      </c>
      <c r="F112" s="171">
        <v>1191</v>
      </c>
      <c r="G112" s="170">
        <v>8861</v>
      </c>
      <c r="H112" s="131">
        <v>372.78081615481699</v>
      </c>
    </row>
    <row r="113" spans="1:8" ht="12.75" customHeight="1">
      <c r="A113" s="168" t="s">
        <v>610</v>
      </c>
      <c r="B113" s="171"/>
      <c r="C113" s="171"/>
      <c r="D113" s="171"/>
      <c r="E113" s="170"/>
      <c r="F113" s="171"/>
      <c r="G113" s="170"/>
      <c r="H113" s="131"/>
    </row>
    <row r="114" spans="1:8" ht="12.75" customHeight="1">
      <c r="A114" s="168" t="s">
        <v>612</v>
      </c>
      <c r="B114" s="171">
        <v>4100</v>
      </c>
      <c r="C114" s="171">
        <v>4100</v>
      </c>
      <c r="D114" s="171"/>
      <c r="E114" s="170"/>
      <c r="F114" s="171"/>
      <c r="G114" s="170">
        <v>-76064</v>
      </c>
      <c r="H114" s="131">
        <v>-100</v>
      </c>
    </row>
    <row r="115" spans="1:8" s="129" customFormat="1" ht="12.75" customHeight="1">
      <c r="A115" s="165" t="s">
        <v>616</v>
      </c>
      <c r="B115" s="166">
        <v>16604.87</v>
      </c>
      <c r="C115" s="166">
        <v>13604.869999999999</v>
      </c>
      <c r="D115" s="166">
        <v>59012</v>
      </c>
      <c r="E115" s="167">
        <f t="shared" si="1"/>
        <v>53987</v>
      </c>
      <c r="F115" s="166">
        <v>5025</v>
      </c>
      <c r="G115" s="167">
        <v>30773</v>
      </c>
      <c r="H115" s="130">
        <v>108.97340557385175</v>
      </c>
    </row>
    <row r="116" spans="1:8" ht="12.75" customHeight="1">
      <c r="A116" s="168" t="s">
        <v>617</v>
      </c>
      <c r="B116" s="171">
        <v>3782.62</v>
      </c>
      <c r="C116" s="171">
        <v>3782.62</v>
      </c>
      <c r="D116" s="171">
        <v>9498</v>
      </c>
      <c r="E116" s="170">
        <f t="shared" si="1"/>
        <v>7974</v>
      </c>
      <c r="F116" s="171">
        <v>1524</v>
      </c>
      <c r="G116" s="170">
        <v>-3112</v>
      </c>
      <c r="H116" s="131">
        <v>-24.678826328310866</v>
      </c>
    </row>
    <row r="117" spans="1:8" ht="12.75" customHeight="1">
      <c r="A117" s="168" t="s">
        <v>642</v>
      </c>
      <c r="B117" s="171">
        <v>1528.49</v>
      </c>
      <c r="C117" s="171">
        <v>1528.49</v>
      </c>
      <c r="D117" s="171">
        <v>7877</v>
      </c>
      <c r="E117" s="170">
        <f t="shared" si="1"/>
        <v>7676</v>
      </c>
      <c r="F117" s="171">
        <v>201</v>
      </c>
      <c r="G117" s="170">
        <v>3537</v>
      </c>
      <c r="H117" s="131">
        <v>81.497695852534562</v>
      </c>
    </row>
    <row r="118" spans="1:8" ht="12.75" customHeight="1">
      <c r="A118" s="168" t="s">
        <v>668</v>
      </c>
      <c r="B118" s="171">
        <v>8456.08</v>
      </c>
      <c r="C118" s="171">
        <v>5456.08</v>
      </c>
      <c r="D118" s="171">
        <v>32551</v>
      </c>
      <c r="E118" s="170">
        <f t="shared" si="1"/>
        <v>32551</v>
      </c>
      <c r="F118" s="171"/>
      <c r="G118" s="170">
        <v>23911</v>
      </c>
      <c r="H118" s="131">
        <v>276.74768518518522</v>
      </c>
    </row>
    <row r="119" spans="1:8">
      <c r="A119" s="168" t="s">
        <v>691</v>
      </c>
      <c r="B119" s="171"/>
      <c r="C119" s="171"/>
      <c r="D119" s="171">
        <v>49</v>
      </c>
      <c r="E119" s="170">
        <f t="shared" si="1"/>
        <v>49</v>
      </c>
      <c r="F119" s="171"/>
      <c r="G119" s="170">
        <v>-35</v>
      </c>
      <c r="H119" s="131">
        <v>-41.666666666666671</v>
      </c>
    </row>
    <row r="120" spans="1:8" ht="12.75" customHeight="1">
      <c r="A120" s="168" t="s">
        <v>704</v>
      </c>
      <c r="B120" s="171">
        <v>2417.6799999999998</v>
      </c>
      <c r="C120" s="171">
        <v>2417.6799999999998</v>
      </c>
      <c r="D120" s="171">
        <v>3300</v>
      </c>
      <c r="E120" s="170"/>
      <c r="F120" s="171">
        <v>3300</v>
      </c>
      <c r="G120" s="170">
        <v>1144</v>
      </c>
      <c r="H120" s="131">
        <v>53.061224489795919</v>
      </c>
    </row>
    <row r="121" spans="1:8" ht="12.75" customHeight="1">
      <c r="A121" s="168" t="s">
        <v>715</v>
      </c>
      <c r="B121" s="171">
        <v>350</v>
      </c>
      <c r="C121" s="171">
        <v>350</v>
      </c>
      <c r="D121" s="171">
        <v>1470</v>
      </c>
      <c r="E121" s="170">
        <f t="shared" si="1"/>
        <v>1470</v>
      </c>
      <c r="F121" s="171"/>
      <c r="G121" s="170">
        <v>1261</v>
      </c>
      <c r="H121" s="131">
        <v>603.3492822966507</v>
      </c>
    </row>
    <row r="122" spans="1:8" ht="12.75" customHeight="1">
      <c r="A122" s="168" t="s">
        <v>716</v>
      </c>
      <c r="B122" s="171">
        <v>70</v>
      </c>
      <c r="C122" s="171">
        <v>70</v>
      </c>
      <c r="D122" s="171">
        <v>4267</v>
      </c>
      <c r="E122" s="170">
        <f t="shared" si="1"/>
        <v>4267</v>
      </c>
      <c r="F122" s="171"/>
      <c r="G122" s="170">
        <v>4067</v>
      </c>
      <c r="H122" s="131">
        <v>2033.5</v>
      </c>
    </row>
    <row r="123" spans="1:8" s="129" customFormat="1" ht="12.75" customHeight="1">
      <c r="A123" s="165" t="s">
        <v>719</v>
      </c>
      <c r="B123" s="166">
        <v>4643.55</v>
      </c>
      <c r="C123" s="166">
        <v>4643.55</v>
      </c>
      <c r="D123" s="166">
        <v>12655</v>
      </c>
      <c r="E123" s="167">
        <f t="shared" si="1"/>
        <v>12655</v>
      </c>
      <c r="F123" s="166"/>
      <c r="G123" s="167">
        <v>-9368</v>
      </c>
      <c r="H123" s="130">
        <v>-42.537347318712257</v>
      </c>
    </row>
    <row r="124" spans="1:8" ht="12.75" customHeight="1">
      <c r="A124" s="168" t="s">
        <v>720</v>
      </c>
      <c r="B124" s="171">
        <v>2743</v>
      </c>
      <c r="C124" s="171">
        <v>2743</v>
      </c>
      <c r="D124" s="171">
        <v>5902</v>
      </c>
      <c r="E124" s="170">
        <f t="shared" si="1"/>
        <v>5902</v>
      </c>
      <c r="F124" s="171"/>
      <c r="G124" s="170">
        <v>-14297</v>
      </c>
      <c r="H124" s="131">
        <v>-70.780731719392051</v>
      </c>
    </row>
    <row r="125" spans="1:8" ht="12.75" customHeight="1">
      <c r="A125" s="168" t="s">
        <v>747</v>
      </c>
      <c r="B125" s="171">
        <v>80</v>
      </c>
      <c r="C125" s="171">
        <v>80</v>
      </c>
      <c r="D125" s="171">
        <v>45</v>
      </c>
      <c r="E125" s="170">
        <f t="shared" si="1"/>
        <v>45</v>
      </c>
      <c r="F125" s="171"/>
      <c r="G125" s="170">
        <v>-2</v>
      </c>
      <c r="H125" s="131">
        <v>-4.2553191489361701</v>
      </c>
    </row>
    <row r="126" spans="1:8" ht="12.75" customHeight="1">
      <c r="A126" s="168" t="s">
        <v>753</v>
      </c>
      <c r="B126" s="171"/>
      <c r="C126" s="171"/>
      <c r="D126" s="171">
        <v>1829</v>
      </c>
      <c r="E126" s="170">
        <f t="shared" si="1"/>
        <v>1829</v>
      </c>
      <c r="F126" s="171"/>
      <c r="G126" s="170">
        <v>1829</v>
      </c>
      <c r="H126" s="131"/>
    </row>
    <row r="127" spans="1:8" ht="12.75" customHeight="1">
      <c r="A127" s="168" t="s">
        <v>1063</v>
      </c>
      <c r="B127" s="171">
        <v>20.55</v>
      </c>
      <c r="C127" s="171">
        <v>20.55</v>
      </c>
      <c r="D127" s="171">
        <v>21</v>
      </c>
      <c r="E127" s="170">
        <f t="shared" si="1"/>
        <v>21</v>
      </c>
      <c r="F127" s="171"/>
      <c r="G127" s="170">
        <v>21</v>
      </c>
      <c r="H127" s="131"/>
    </row>
    <row r="128" spans="1:8">
      <c r="A128" s="168" t="s">
        <v>759</v>
      </c>
      <c r="B128" s="171">
        <v>1800</v>
      </c>
      <c r="C128" s="171">
        <v>1800</v>
      </c>
      <c r="D128" s="171">
        <v>4858</v>
      </c>
      <c r="E128" s="170">
        <f t="shared" si="1"/>
        <v>4858</v>
      </c>
      <c r="F128" s="171"/>
      <c r="G128" s="170">
        <v>3081</v>
      </c>
      <c r="H128" s="131">
        <v>173.38210467079347</v>
      </c>
    </row>
    <row r="129" spans="1:8" s="129" customFormat="1" ht="12.75" customHeight="1">
      <c r="A129" s="165" t="s">
        <v>762</v>
      </c>
      <c r="B129" s="166">
        <v>84006.2</v>
      </c>
      <c r="C129" s="166">
        <v>119006.2</v>
      </c>
      <c r="D129" s="166">
        <v>65518</v>
      </c>
      <c r="E129" s="167">
        <f t="shared" si="1"/>
        <v>65440</v>
      </c>
      <c r="F129" s="166">
        <v>78</v>
      </c>
      <c r="G129" s="167">
        <v>-899</v>
      </c>
      <c r="H129" s="130">
        <v>-1.353569116340696</v>
      </c>
    </row>
    <row r="130" spans="1:8" ht="12.75" customHeight="1">
      <c r="A130" s="168" t="s">
        <v>1083</v>
      </c>
      <c r="B130" s="171"/>
      <c r="C130" s="171"/>
      <c r="D130" s="171">
        <v>194</v>
      </c>
      <c r="E130" s="170">
        <f t="shared" si="1"/>
        <v>194</v>
      </c>
      <c r="F130" s="171"/>
      <c r="G130" s="170">
        <v>-72</v>
      </c>
      <c r="H130" s="131">
        <v>-27.06766917293233</v>
      </c>
    </row>
    <row r="131" spans="1:8" ht="12.75" customHeight="1">
      <c r="A131" s="168" t="s">
        <v>763</v>
      </c>
      <c r="B131" s="171">
        <v>315.14999999999998</v>
      </c>
      <c r="C131" s="171">
        <v>315.14999999999998</v>
      </c>
      <c r="D131" s="171">
        <v>304</v>
      </c>
      <c r="E131" s="170">
        <f t="shared" si="1"/>
        <v>304</v>
      </c>
      <c r="F131" s="171"/>
      <c r="G131" s="170">
        <v>-41</v>
      </c>
      <c r="H131" s="131">
        <v>-11.884057971014492</v>
      </c>
    </row>
    <row r="132" spans="1:8" ht="12.75" customHeight="1">
      <c r="A132" s="168" t="s">
        <v>769</v>
      </c>
      <c r="B132" s="171">
        <v>91.05</v>
      </c>
      <c r="C132" s="171">
        <v>91.05</v>
      </c>
      <c r="D132" s="171">
        <v>58</v>
      </c>
      <c r="E132" s="170">
        <f t="shared" si="1"/>
        <v>58</v>
      </c>
      <c r="F132" s="171"/>
      <c r="G132" s="170">
        <v>25</v>
      </c>
      <c r="H132" s="131">
        <v>75.757575757575751</v>
      </c>
    </row>
    <row r="133" spans="1:8" ht="12.75" customHeight="1">
      <c r="A133" s="168" t="s">
        <v>773</v>
      </c>
      <c r="B133" s="171">
        <v>83600</v>
      </c>
      <c r="C133" s="171">
        <v>118600</v>
      </c>
      <c r="D133" s="171">
        <v>64962</v>
      </c>
      <c r="E133" s="170">
        <f t="shared" si="1"/>
        <v>64884</v>
      </c>
      <c r="F133" s="171">
        <v>78</v>
      </c>
      <c r="G133" s="170">
        <v>-506</v>
      </c>
      <c r="H133" s="131">
        <v>-0.77289668234862829</v>
      </c>
    </row>
    <row r="134" spans="1:8" ht="12.75" customHeight="1">
      <c r="A134" s="168" t="s">
        <v>777</v>
      </c>
      <c r="B134" s="171"/>
      <c r="C134" s="171"/>
      <c r="D134" s="171"/>
      <c r="E134" s="170"/>
      <c r="F134" s="171"/>
      <c r="G134" s="170">
        <v>-305</v>
      </c>
      <c r="H134" s="131">
        <v>-100</v>
      </c>
    </row>
    <row r="135" spans="1:8" s="129" customFormat="1" ht="12.75" customHeight="1">
      <c r="A135" s="165" t="s">
        <v>784</v>
      </c>
      <c r="B135" s="166">
        <v>13447.05</v>
      </c>
      <c r="C135" s="166">
        <v>13447.05</v>
      </c>
      <c r="D135" s="166">
        <v>10950</v>
      </c>
      <c r="E135" s="167">
        <f t="shared" ref="E135:E162" si="2">D135-F135</f>
        <v>10950</v>
      </c>
      <c r="F135" s="166"/>
      <c r="G135" s="167">
        <v>-5683</v>
      </c>
      <c r="H135" s="130">
        <v>-34.1670173750977</v>
      </c>
    </row>
    <row r="136" spans="1:8" ht="12.75" customHeight="1">
      <c r="A136" s="168" t="s">
        <v>785</v>
      </c>
      <c r="B136" s="171">
        <v>211.23</v>
      </c>
      <c r="C136" s="171">
        <v>211.23</v>
      </c>
      <c r="D136" s="171">
        <v>466</v>
      </c>
      <c r="E136" s="170">
        <f t="shared" si="2"/>
        <v>466</v>
      </c>
      <c r="F136" s="171"/>
      <c r="G136" s="170">
        <v>-1305</v>
      </c>
      <c r="H136" s="131">
        <v>-73.687182382834564</v>
      </c>
    </row>
    <row r="137" spans="1:8" ht="12.75" customHeight="1">
      <c r="A137" s="168" t="s">
        <v>791</v>
      </c>
      <c r="B137" s="171">
        <v>13235.82</v>
      </c>
      <c r="C137" s="171">
        <v>13235.82</v>
      </c>
      <c r="D137" s="171">
        <v>10079</v>
      </c>
      <c r="E137" s="170">
        <f t="shared" si="2"/>
        <v>10079</v>
      </c>
      <c r="F137" s="171"/>
      <c r="G137" s="170">
        <v>-3443</v>
      </c>
      <c r="H137" s="131">
        <v>-25.462209732288123</v>
      </c>
    </row>
    <row r="138" spans="1:8" ht="12.75" customHeight="1">
      <c r="A138" s="168" t="s">
        <v>795</v>
      </c>
      <c r="B138" s="171"/>
      <c r="C138" s="171"/>
      <c r="D138" s="171">
        <v>85</v>
      </c>
      <c r="E138" s="170">
        <f t="shared" si="2"/>
        <v>85</v>
      </c>
      <c r="F138" s="171"/>
      <c r="G138" s="170">
        <v>-867</v>
      </c>
      <c r="H138" s="131">
        <v>-91.071428571428569</v>
      </c>
    </row>
    <row r="139" spans="1:8">
      <c r="A139" s="168" t="s">
        <v>798</v>
      </c>
      <c r="B139" s="171"/>
      <c r="C139" s="171"/>
      <c r="D139" s="171">
        <v>320</v>
      </c>
      <c r="E139" s="170">
        <f t="shared" si="2"/>
        <v>320</v>
      </c>
      <c r="F139" s="171"/>
      <c r="G139" s="170">
        <v>-68</v>
      </c>
      <c r="H139" s="131">
        <v>-17.525773195876287</v>
      </c>
    </row>
    <row r="140" spans="1:8" s="129" customFormat="1" ht="12.75" customHeight="1">
      <c r="A140" s="165" t="s">
        <v>801</v>
      </c>
      <c r="B140" s="166">
        <v>250</v>
      </c>
      <c r="C140" s="166">
        <v>250</v>
      </c>
      <c r="D140" s="166">
        <v>727</v>
      </c>
      <c r="E140" s="167">
        <f t="shared" si="2"/>
        <v>727</v>
      </c>
      <c r="F140" s="166"/>
      <c r="G140" s="167">
        <v>442</v>
      </c>
      <c r="H140" s="130">
        <v>155.08771929824562</v>
      </c>
    </row>
    <row r="141" spans="1:8" ht="12.75" customHeight="1">
      <c r="A141" s="168" t="s">
        <v>802</v>
      </c>
      <c r="B141" s="171">
        <v>200</v>
      </c>
      <c r="C141" s="171">
        <v>200</v>
      </c>
      <c r="D141" s="171">
        <v>37</v>
      </c>
      <c r="E141" s="170">
        <f t="shared" si="2"/>
        <v>37</v>
      </c>
      <c r="F141" s="171"/>
      <c r="G141" s="170">
        <v>-8</v>
      </c>
      <c r="H141" s="131">
        <v>-17.777777777777779</v>
      </c>
    </row>
    <row r="142" spans="1:8" ht="12.75" customHeight="1">
      <c r="A142" s="168" t="s">
        <v>807</v>
      </c>
      <c r="B142" s="171">
        <v>50</v>
      </c>
      <c r="C142" s="171">
        <v>50</v>
      </c>
      <c r="D142" s="171">
        <v>390</v>
      </c>
      <c r="E142" s="170">
        <f t="shared" si="2"/>
        <v>390</v>
      </c>
      <c r="F142" s="171"/>
      <c r="G142" s="170">
        <v>150</v>
      </c>
      <c r="H142" s="131">
        <v>62.5</v>
      </c>
    </row>
    <row r="143" spans="1:8" ht="12.75" customHeight="1">
      <c r="A143" s="168" t="s">
        <v>1064</v>
      </c>
      <c r="B143" s="171"/>
      <c r="C143" s="171"/>
      <c r="D143" s="171">
        <v>300</v>
      </c>
      <c r="E143" s="170">
        <f t="shared" si="2"/>
        <v>300</v>
      </c>
      <c r="F143" s="171"/>
      <c r="G143" s="170">
        <v>300</v>
      </c>
      <c r="H143" s="131"/>
    </row>
    <row r="144" spans="1:8" s="129" customFormat="1" ht="12.75" customHeight="1">
      <c r="A144" s="165" t="s">
        <v>808</v>
      </c>
      <c r="B144" s="166">
        <v>8498.66</v>
      </c>
      <c r="C144" s="166">
        <v>8498.66</v>
      </c>
      <c r="D144" s="166">
        <v>8562</v>
      </c>
      <c r="E144" s="167">
        <f t="shared" si="2"/>
        <v>8474</v>
      </c>
      <c r="F144" s="166">
        <v>88</v>
      </c>
      <c r="G144" s="167">
        <v>-12707</v>
      </c>
      <c r="H144" s="130">
        <v>-59.744228689642199</v>
      </c>
    </row>
    <row r="145" spans="1:8" ht="12.75" customHeight="1">
      <c r="A145" s="168" t="s">
        <v>809</v>
      </c>
      <c r="B145" s="171">
        <v>3120.78</v>
      </c>
      <c r="C145" s="171">
        <v>3120.78</v>
      </c>
      <c r="D145" s="171">
        <v>4338</v>
      </c>
      <c r="E145" s="170">
        <f t="shared" si="2"/>
        <v>4338</v>
      </c>
      <c r="F145" s="171"/>
      <c r="G145" s="170">
        <v>1466</v>
      </c>
      <c r="H145" s="131">
        <v>51.04456824512534</v>
      </c>
    </row>
    <row r="146" spans="1:8" ht="12.75" customHeight="1">
      <c r="A146" s="168" t="s">
        <v>826</v>
      </c>
      <c r="B146" s="171">
        <v>4709.83</v>
      </c>
      <c r="C146" s="171">
        <v>4709.83</v>
      </c>
      <c r="D146" s="171">
        <v>3329</v>
      </c>
      <c r="E146" s="170">
        <f t="shared" si="2"/>
        <v>3241</v>
      </c>
      <c r="F146" s="171">
        <v>88</v>
      </c>
      <c r="G146" s="170">
        <v>-14168</v>
      </c>
      <c r="H146" s="131">
        <v>-80.973881236783456</v>
      </c>
    </row>
    <row r="147" spans="1:8" ht="12.75" customHeight="1">
      <c r="A147" s="168" t="s">
        <v>842</v>
      </c>
      <c r="B147" s="171">
        <v>90.38</v>
      </c>
      <c r="C147" s="171">
        <v>90.38</v>
      </c>
      <c r="D147" s="171">
        <v>78</v>
      </c>
      <c r="E147" s="170">
        <f t="shared" si="2"/>
        <v>78</v>
      </c>
      <c r="F147" s="171"/>
      <c r="G147" s="170">
        <v>-215</v>
      </c>
      <c r="H147" s="131">
        <v>-73.37883959044369</v>
      </c>
    </row>
    <row r="148" spans="1:8" ht="12.75" customHeight="1">
      <c r="A148" s="168" t="s">
        <v>852</v>
      </c>
      <c r="B148" s="171">
        <v>577.66999999999996</v>
      </c>
      <c r="C148" s="171">
        <v>577.66999999999996</v>
      </c>
      <c r="D148" s="171">
        <v>817</v>
      </c>
      <c r="E148" s="170">
        <f t="shared" si="2"/>
        <v>817</v>
      </c>
      <c r="F148" s="171"/>
      <c r="G148" s="170">
        <v>210</v>
      </c>
      <c r="H148" s="131">
        <v>34.596375617792425</v>
      </c>
    </row>
    <row r="149" spans="1:8" s="129" customFormat="1">
      <c r="A149" s="165" t="s">
        <v>866</v>
      </c>
      <c r="B149" s="166">
        <v>18742.03</v>
      </c>
      <c r="C149" s="166">
        <v>15742.03</v>
      </c>
      <c r="D149" s="166">
        <v>17103</v>
      </c>
      <c r="E149" s="167">
        <f t="shared" si="2"/>
        <v>15489</v>
      </c>
      <c r="F149" s="166">
        <v>1614</v>
      </c>
      <c r="G149" s="167">
        <v>-9057</v>
      </c>
      <c r="H149" s="130">
        <v>-34.621559633027523</v>
      </c>
    </row>
    <row r="150" spans="1:8" ht="12.75" customHeight="1">
      <c r="A150" s="168" t="s">
        <v>867</v>
      </c>
      <c r="B150" s="171">
        <v>8000</v>
      </c>
      <c r="C150" s="171">
        <v>5000</v>
      </c>
      <c r="D150" s="171">
        <v>5022</v>
      </c>
      <c r="E150" s="170">
        <f t="shared" si="2"/>
        <v>5022</v>
      </c>
      <c r="F150" s="171"/>
      <c r="G150" s="170">
        <v>-10450</v>
      </c>
      <c r="H150" s="131">
        <v>-67.541365046535674</v>
      </c>
    </row>
    <row r="151" spans="1:8" ht="12.75" customHeight="1">
      <c r="A151" s="168" t="s">
        <v>876</v>
      </c>
      <c r="B151" s="171">
        <v>10742.03</v>
      </c>
      <c r="C151" s="171">
        <v>10742.03</v>
      </c>
      <c r="D151" s="171">
        <v>12081</v>
      </c>
      <c r="E151" s="170">
        <f t="shared" si="2"/>
        <v>10467</v>
      </c>
      <c r="F151" s="171">
        <v>1614</v>
      </c>
      <c r="G151" s="170">
        <v>1393</v>
      </c>
      <c r="H151" s="131">
        <v>13.033308383233532</v>
      </c>
    </row>
    <row r="152" spans="1:8" ht="12.75" customHeight="1">
      <c r="A152" s="168" t="s">
        <v>880</v>
      </c>
      <c r="B152" s="171"/>
      <c r="C152" s="171"/>
      <c r="D152" s="171"/>
      <c r="E152" s="170"/>
      <c r="F152" s="171"/>
      <c r="G152" s="170"/>
      <c r="H152" s="131"/>
    </row>
    <row r="153" spans="1:8" s="129" customFormat="1" ht="12.75" customHeight="1">
      <c r="A153" s="165" t="s">
        <v>883</v>
      </c>
      <c r="B153" s="166">
        <v>1683.3</v>
      </c>
      <c r="C153" s="166">
        <v>1683.3</v>
      </c>
      <c r="D153" s="166">
        <v>2738</v>
      </c>
      <c r="E153" s="167">
        <f t="shared" si="2"/>
        <v>2738</v>
      </c>
      <c r="F153" s="166"/>
      <c r="G153" s="167">
        <v>-487</v>
      </c>
      <c r="H153" s="130">
        <v>-15.10077519379845</v>
      </c>
    </row>
    <row r="154" spans="1:8" ht="12.75" customHeight="1">
      <c r="A154" s="168" t="s">
        <v>884</v>
      </c>
      <c r="B154" s="171">
        <v>1683.3</v>
      </c>
      <c r="C154" s="171">
        <v>1683.3</v>
      </c>
      <c r="D154" s="171">
        <v>1899</v>
      </c>
      <c r="E154" s="170">
        <f t="shared" si="2"/>
        <v>1899</v>
      </c>
      <c r="F154" s="171"/>
      <c r="G154" s="170">
        <v>-70</v>
      </c>
      <c r="H154" s="131">
        <v>-3.5551041137633312</v>
      </c>
    </row>
    <row r="155" spans="1:8" ht="12.75" customHeight="1">
      <c r="A155" s="168" t="s">
        <v>895</v>
      </c>
      <c r="B155" s="171"/>
      <c r="C155" s="171"/>
      <c r="D155" s="171">
        <v>839</v>
      </c>
      <c r="E155" s="170">
        <f t="shared" si="2"/>
        <v>839</v>
      </c>
      <c r="F155" s="171"/>
      <c r="G155" s="170">
        <v>-417</v>
      </c>
      <c r="H155" s="131">
        <v>-33.20063694267516</v>
      </c>
    </row>
    <row r="156" spans="1:8" s="129" customFormat="1" ht="12.75" customHeight="1">
      <c r="A156" s="165" t="s">
        <v>901</v>
      </c>
      <c r="B156" s="166">
        <v>3000</v>
      </c>
      <c r="C156" s="166">
        <v>3000</v>
      </c>
      <c r="D156" s="166"/>
      <c r="E156" s="167"/>
      <c r="F156" s="166"/>
      <c r="G156" s="167"/>
      <c r="H156" s="130"/>
    </row>
    <row r="157" spans="1:8" s="129" customFormat="1" ht="12.75" customHeight="1">
      <c r="A157" s="165" t="s">
        <v>1084</v>
      </c>
      <c r="B157" s="166">
        <v>65000</v>
      </c>
      <c r="C157" s="166">
        <v>65000</v>
      </c>
      <c r="D157" s="166">
        <v>72248</v>
      </c>
      <c r="E157" s="167">
        <f t="shared" si="2"/>
        <v>72248</v>
      </c>
      <c r="F157" s="166"/>
      <c r="G157" s="167">
        <v>-1106</v>
      </c>
      <c r="H157" s="130">
        <v>-1.5077569048722632</v>
      </c>
    </row>
    <row r="158" spans="1:8" ht="12.75" customHeight="1">
      <c r="A158" s="168" t="s">
        <v>1085</v>
      </c>
      <c r="B158" s="171">
        <v>65000</v>
      </c>
      <c r="C158" s="171">
        <v>65000</v>
      </c>
      <c r="D158" s="171">
        <v>72248</v>
      </c>
      <c r="E158" s="170">
        <f t="shared" si="2"/>
        <v>72248</v>
      </c>
      <c r="F158" s="171"/>
      <c r="G158" s="170">
        <v>-1106</v>
      </c>
      <c r="H158" s="131">
        <v>-1.5077569048722632</v>
      </c>
    </row>
    <row r="159" spans="1:8" s="129" customFormat="1" ht="12.75" customHeight="1">
      <c r="A159" s="165" t="s">
        <v>1086</v>
      </c>
      <c r="B159" s="166"/>
      <c r="C159" s="166"/>
      <c r="D159" s="166">
        <v>105</v>
      </c>
      <c r="E159" s="167">
        <f t="shared" si="2"/>
        <v>105</v>
      </c>
      <c r="F159" s="166"/>
      <c r="G159" s="167">
        <v>105</v>
      </c>
      <c r="H159" s="130"/>
    </row>
    <row r="160" spans="1:8" ht="12.75" customHeight="1">
      <c r="A160" s="168" t="s">
        <v>1087</v>
      </c>
      <c r="B160" s="171"/>
      <c r="C160" s="171"/>
      <c r="D160" s="171">
        <v>105</v>
      </c>
      <c r="E160" s="170">
        <f t="shared" si="2"/>
        <v>105</v>
      </c>
      <c r="F160" s="166"/>
      <c r="G160" s="170">
        <v>105</v>
      </c>
      <c r="H160" s="131"/>
    </row>
    <row r="161" spans="1:8" s="129" customFormat="1" ht="12.75" customHeight="1">
      <c r="A161" s="165" t="s">
        <v>916</v>
      </c>
      <c r="B161" s="166">
        <v>73564.789999999994</v>
      </c>
      <c r="C161" s="166">
        <v>73564.789999999994</v>
      </c>
      <c r="D161" s="166">
        <v>11230</v>
      </c>
      <c r="E161" s="167">
        <f t="shared" si="2"/>
        <v>10639</v>
      </c>
      <c r="F161" s="166">
        <v>591</v>
      </c>
      <c r="G161" s="167">
        <v>-8474</v>
      </c>
      <c r="H161" s="130">
        <v>-43.006496142915147</v>
      </c>
    </row>
    <row r="162" spans="1:8" ht="12.75" customHeight="1">
      <c r="A162" s="168" t="s">
        <v>917</v>
      </c>
      <c r="B162" s="171">
        <v>73564.789999999994</v>
      </c>
      <c r="C162" s="171">
        <v>73564.789999999994</v>
      </c>
      <c r="D162" s="171">
        <v>11230</v>
      </c>
      <c r="E162" s="170">
        <f t="shared" si="2"/>
        <v>10639</v>
      </c>
      <c r="F162" s="171">
        <v>591</v>
      </c>
      <c r="G162" s="170">
        <v>-8474</v>
      </c>
      <c r="H162" s="131">
        <v>-43.006496142915147</v>
      </c>
    </row>
    <row r="163" spans="1:8" s="128" customFormat="1" ht="12.75" customHeight="1">
      <c r="A163" s="165" t="s">
        <v>1056</v>
      </c>
      <c r="B163" s="166">
        <v>302600</v>
      </c>
      <c r="C163" s="166">
        <v>304600</v>
      </c>
      <c r="D163" s="166">
        <v>230552</v>
      </c>
      <c r="E163" s="166">
        <v>219583</v>
      </c>
      <c r="F163" s="166">
        <v>10969</v>
      </c>
      <c r="G163" s="166">
        <v>69077</v>
      </c>
      <c r="H163" s="130">
        <v>42.778758321721625</v>
      </c>
    </row>
    <row r="164" spans="1:8" ht="12.75" customHeight="1">
      <c r="A164" s="165" t="s">
        <v>1221</v>
      </c>
      <c r="B164" s="171"/>
      <c r="C164" s="171"/>
      <c r="D164" s="171">
        <v>32</v>
      </c>
      <c r="E164" s="171">
        <f>D164-F164</f>
        <v>32</v>
      </c>
      <c r="F164" s="171"/>
      <c r="G164" s="171">
        <v>-304</v>
      </c>
      <c r="H164" s="131">
        <v>-90.476190476190482</v>
      </c>
    </row>
    <row r="165" spans="1:8" ht="12.75" customHeight="1">
      <c r="A165" s="165" t="s">
        <v>1223</v>
      </c>
      <c r="B165" s="171"/>
      <c r="C165" s="171"/>
      <c r="D165" s="171">
        <v>18</v>
      </c>
      <c r="E165" s="171">
        <f t="shared" ref="E165:E183" si="3">D165-F165</f>
        <v>18</v>
      </c>
      <c r="F165" s="171"/>
      <c r="G165" s="171"/>
      <c r="H165" s="131"/>
    </row>
    <row r="166" spans="1:8" ht="12.75" customHeight="1">
      <c r="A166" s="165" t="s">
        <v>1222</v>
      </c>
      <c r="B166" s="171"/>
      <c r="C166" s="171"/>
      <c r="D166" s="171"/>
      <c r="E166" s="171"/>
      <c r="F166" s="171"/>
      <c r="G166" s="171"/>
      <c r="H166" s="131"/>
    </row>
    <row r="167" spans="1:8" ht="12.75" customHeight="1">
      <c r="A167" s="165" t="s">
        <v>1224</v>
      </c>
      <c r="B167" s="171">
        <v>290000</v>
      </c>
      <c r="C167" s="171">
        <v>290000</v>
      </c>
      <c r="D167" s="171">
        <v>227267</v>
      </c>
      <c r="E167" s="171">
        <f t="shared" si="3"/>
        <v>216603</v>
      </c>
      <c r="F167" s="171">
        <v>10664</v>
      </c>
      <c r="G167" s="171">
        <v>76892</v>
      </c>
      <c r="H167" s="131">
        <v>51.133499584372402</v>
      </c>
    </row>
    <row r="168" spans="1:8" ht="12.75" customHeight="1">
      <c r="A168" s="165" t="s">
        <v>1225</v>
      </c>
      <c r="B168" s="171">
        <v>600</v>
      </c>
      <c r="C168" s="171">
        <v>765</v>
      </c>
      <c r="D168" s="171">
        <v>308</v>
      </c>
      <c r="E168" s="171">
        <f t="shared" si="3"/>
        <v>308</v>
      </c>
      <c r="F168" s="171"/>
      <c r="G168" s="171">
        <v>-185</v>
      </c>
      <c r="H168" s="131">
        <v>-37.525354969574039</v>
      </c>
    </row>
    <row r="169" spans="1:8">
      <c r="A169" s="165" t="s">
        <v>1226</v>
      </c>
      <c r="B169" s="171"/>
      <c r="C169" s="171"/>
      <c r="D169" s="171"/>
      <c r="E169" s="171"/>
      <c r="F169" s="171"/>
      <c r="G169" s="171">
        <v>-6436</v>
      </c>
      <c r="H169" s="131">
        <v>-100</v>
      </c>
    </row>
    <row r="170" spans="1:8" ht="12.75" customHeight="1">
      <c r="A170" s="168" t="s">
        <v>1227</v>
      </c>
      <c r="B170" s="171"/>
      <c r="C170" s="171"/>
      <c r="D170" s="171"/>
      <c r="E170" s="171"/>
      <c r="F170" s="171"/>
      <c r="G170" s="171">
        <v>-6436</v>
      </c>
      <c r="H170" s="131">
        <v>-100</v>
      </c>
    </row>
    <row r="171" spans="1:8" ht="12.75" customHeight="1">
      <c r="A171" s="165" t="s">
        <v>1228</v>
      </c>
      <c r="B171" s="171"/>
      <c r="C171" s="171"/>
      <c r="D171" s="171">
        <v>160</v>
      </c>
      <c r="E171" s="171">
        <f t="shared" si="3"/>
        <v>160</v>
      </c>
      <c r="F171" s="171"/>
      <c r="G171" s="171">
        <v>160</v>
      </c>
      <c r="H171" s="131"/>
    </row>
    <row r="172" spans="1:8" ht="12.75" customHeight="1">
      <c r="A172" s="165" t="s">
        <v>1229</v>
      </c>
      <c r="B172" s="171"/>
      <c r="C172" s="171"/>
      <c r="D172" s="171"/>
      <c r="E172" s="171"/>
      <c r="F172" s="171"/>
      <c r="G172" s="171">
        <v>-966</v>
      </c>
      <c r="H172" s="131">
        <v>-100</v>
      </c>
    </row>
    <row r="173" spans="1:8" ht="12.75" customHeight="1">
      <c r="A173" s="165" t="s">
        <v>1230</v>
      </c>
      <c r="B173" s="171">
        <v>10000</v>
      </c>
      <c r="C173" s="171">
        <v>10000</v>
      </c>
      <c r="D173" s="171">
        <v>700</v>
      </c>
      <c r="E173" s="171">
        <f t="shared" si="3"/>
        <v>700</v>
      </c>
      <c r="F173" s="171"/>
      <c r="G173" s="171">
        <v>700</v>
      </c>
      <c r="H173" s="131"/>
    </row>
    <row r="174" spans="1:8" ht="12.75" customHeight="1">
      <c r="A174" s="165" t="s">
        <v>1231</v>
      </c>
      <c r="B174" s="171"/>
      <c r="C174" s="171"/>
      <c r="D174" s="171">
        <v>511</v>
      </c>
      <c r="E174" s="171">
        <f t="shared" si="3"/>
        <v>511</v>
      </c>
      <c r="F174" s="171"/>
      <c r="G174" s="171">
        <v>-117</v>
      </c>
      <c r="H174" s="131">
        <v>-18.630573248407643</v>
      </c>
    </row>
    <row r="175" spans="1:8" ht="12.75" customHeight="1">
      <c r="A175" s="165" t="s">
        <v>1232</v>
      </c>
      <c r="B175" s="171"/>
      <c r="C175" s="171"/>
      <c r="D175" s="171">
        <v>38</v>
      </c>
      <c r="E175" s="171">
        <f t="shared" si="3"/>
        <v>38</v>
      </c>
      <c r="F175" s="171"/>
      <c r="G175" s="171">
        <v>38</v>
      </c>
      <c r="H175" s="131"/>
    </row>
    <row r="176" spans="1:8">
      <c r="A176" s="165" t="s">
        <v>1233</v>
      </c>
      <c r="B176" s="171"/>
      <c r="C176" s="171"/>
      <c r="D176" s="171"/>
      <c r="E176" s="171"/>
      <c r="F176" s="171"/>
      <c r="G176" s="171">
        <v>0</v>
      </c>
      <c r="H176" s="131"/>
    </row>
    <row r="177" spans="1:11" ht="12.75" customHeight="1">
      <c r="A177" s="165" t="s">
        <v>1234</v>
      </c>
      <c r="B177" s="171"/>
      <c r="C177" s="171"/>
      <c r="D177" s="171"/>
      <c r="E177" s="171"/>
      <c r="F177" s="171"/>
      <c r="G177" s="171">
        <v>-55</v>
      </c>
      <c r="H177" s="131">
        <v>-100</v>
      </c>
    </row>
    <row r="178" spans="1:11" ht="12.75" customHeight="1">
      <c r="A178" s="165" t="s">
        <v>1235</v>
      </c>
      <c r="B178" s="171"/>
      <c r="C178" s="171"/>
      <c r="D178" s="171">
        <v>305</v>
      </c>
      <c r="E178" s="171"/>
      <c r="F178" s="171">
        <v>305</v>
      </c>
      <c r="G178" s="171">
        <v>305</v>
      </c>
      <c r="H178" s="131"/>
    </row>
    <row r="179" spans="1:11" ht="12.75" customHeight="1">
      <c r="A179" s="165" t="s">
        <v>1236</v>
      </c>
      <c r="B179" s="171">
        <v>1200</v>
      </c>
      <c r="C179" s="171">
        <v>3200</v>
      </c>
      <c r="D179" s="171">
        <v>1040</v>
      </c>
      <c r="E179" s="171">
        <f t="shared" si="3"/>
        <v>1040</v>
      </c>
      <c r="F179" s="171"/>
      <c r="G179" s="171">
        <v>-869</v>
      </c>
      <c r="H179" s="131">
        <v>-45.521215295966478</v>
      </c>
    </row>
    <row r="180" spans="1:11" ht="12.75" customHeight="1">
      <c r="A180" s="168" t="s">
        <v>1237</v>
      </c>
      <c r="B180" s="171"/>
      <c r="C180" s="171"/>
      <c r="D180" s="171">
        <v>464</v>
      </c>
      <c r="E180" s="171">
        <f t="shared" si="3"/>
        <v>464</v>
      </c>
      <c r="F180" s="171"/>
      <c r="G180" s="171">
        <v>-706</v>
      </c>
      <c r="H180" s="131">
        <v>-60.341880341880341</v>
      </c>
    </row>
    <row r="181" spans="1:11" ht="12.75" customHeight="1">
      <c r="A181" s="168" t="s">
        <v>1238</v>
      </c>
      <c r="B181" s="171"/>
      <c r="C181" s="171"/>
      <c r="D181" s="171">
        <v>519</v>
      </c>
      <c r="E181" s="171">
        <f t="shared" si="3"/>
        <v>519</v>
      </c>
      <c r="F181" s="171"/>
      <c r="G181" s="171">
        <v>-220</v>
      </c>
      <c r="H181" s="131">
        <v>-29.769959404600812</v>
      </c>
    </row>
    <row r="182" spans="1:11" ht="12.75" customHeight="1">
      <c r="A182" s="168" t="s">
        <v>1239</v>
      </c>
      <c r="B182" s="171"/>
      <c r="C182" s="171"/>
      <c r="D182" s="171">
        <v>57</v>
      </c>
      <c r="E182" s="171">
        <f t="shared" si="3"/>
        <v>57</v>
      </c>
      <c r="F182" s="171"/>
      <c r="G182" s="171">
        <v>57</v>
      </c>
      <c r="H182" s="131"/>
    </row>
    <row r="183" spans="1:11" ht="12.75" customHeight="1">
      <c r="A183" s="172" t="s">
        <v>1309</v>
      </c>
      <c r="B183" s="171">
        <v>800</v>
      </c>
      <c r="C183" s="171">
        <v>635</v>
      </c>
      <c r="D183" s="171">
        <v>173</v>
      </c>
      <c r="E183" s="171">
        <f t="shared" si="3"/>
        <v>173</v>
      </c>
      <c r="F183" s="171"/>
      <c r="G183" s="171">
        <v>-86</v>
      </c>
      <c r="H183" s="131">
        <v>-33.204633204633204</v>
      </c>
    </row>
    <row r="184" spans="1:11" ht="12.75" customHeight="1">
      <c r="A184" s="165" t="s">
        <v>1057</v>
      </c>
      <c r="B184" s="166">
        <v>336.29</v>
      </c>
      <c r="C184" s="166">
        <v>336.29</v>
      </c>
      <c r="D184" s="166">
        <v>336.29</v>
      </c>
      <c r="E184" s="166">
        <v>336.29</v>
      </c>
      <c r="F184" s="166"/>
      <c r="G184" s="166">
        <v>245.29</v>
      </c>
      <c r="H184" s="130">
        <v>269.55</v>
      </c>
    </row>
    <row r="185" spans="1:11">
      <c r="A185" s="165" t="s">
        <v>981</v>
      </c>
      <c r="B185" s="171">
        <v>336.29</v>
      </c>
      <c r="C185" s="171">
        <v>336.29</v>
      </c>
      <c r="D185" s="171">
        <v>336.29</v>
      </c>
      <c r="E185" s="171">
        <v>336.29</v>
      </c>
      <c r="F185" s="171"/>
      <c r="G185" s="171">
        <v>245.29</v>
      </c>
      <c r="H185" s="131">
        <v>269.55</v>
      </c>
    </row>
    <row r="186" spans="1:11" ht="12.75" customHeight="1">
      <c r="A186" s="168" t="s">
        <v>1240</v>
      </c>
      <c r="B186" s="171">
        <v>336.29</v>
      </c>
      <c r="C186" s="171">
        <v>336.29</v>
      </c>
      <c r="D186" s="171">
        <v>336.29</v>
      </c>
      <c r="E186" s="171">
        <v>336.29</v>
      </c>
      <c r="F186" s="171"/>
      <c r="G186" s="171">
        <v>245.29</v>
      </c>
      <c r="H186" s="131">
        <v>269.55</v>
      </c>
    </row>
    <row r="187" spans="1:11" s="128" customFormat="1" ht="12.75" customHeight="1">
      <c r="A187" s="173" t="s">
        <v>1088</v>
      </c>
      <c r="B187" s="166">
        <v>70951</v>
      </c>
      <c r="C187" s="166">
        <v>70951</v>
      </c>
      <c r="D187" s="166">
        <v>70951</v>
      </c>
      <c r="E187" s="166">
        <v>70951</v>
      </c>
      <c r="F187" s="166"/>
      <c r="G187" s="132">
        <v>-486</v>
      </c>
      <c r="H187" s="174">
        <v>-0.68031972227277182</v>
      </c>
      <c r="K187" s="227"/>
    </row>
    <row r="188" spans="1:11" ht="12.75" customHeight="1">
      <c r="A188" s="175" t="s">
        <v>1089</v>
      </c>
      <c r="B188" s="171">
        <v>28132</v>
      </c>
      <c r="C188" s="171">
        <v>28132</v>
      </c>
      <c r="D188" s="171">
        <v>28132</v>
      </c>
      <c r="E188" s="171">
        <v>28132</v>
      </c>
      <c r="F188" s="171"/>
      <c r="G188" s="133">
        <v>2737</v>
      </c>
      <c r="H188" s="176">
        <v>10.777712148060642</v>
      </c>
      <c r="J188" s="128"/>
      <c r="K188" s="227"/>
    </row>
    <row r="189" spans="1:11" ht="12.75" customHeight="1">
      <c r="A189" s="175" t="s">
        <v>1090</v>
      </c>
      <c r="B189" s="171">
        <v>7990</v>
      </c>
      <c r="C189" s="171">
        <v>7990</v>
      </c>
      <c r="D189" s="171">
        <v>7990</v>
      </c>
      <c r="E189" s="171">
        <v>7990</v>
      </c>
      <c r="F189" s="171"/>
      <c r="G189" s="133">
        <v>-3609</v>
      </c>
      <c r="H189" s="176">
        <v>-31.114751271661351</v>
      </c>
      <c r="J189" s="128"/>
      <c r="K189" s="227"/>
    </row>
    <row r="190" spans="1:11" ht="12.75" customHeight="1">
      <c r="A190" s="175" t="s">
        <v>1091</v>
      </c>
      <c r="B190" s="171">
        <v>12055</v>
      </c>
      <c r="C190" s="171">
        <v>12055</v>
      </c>
      <c r="D190" s="171">
        <v>12055</v>
      </c>
      <c r="E190" s="171">
        <v>12055</v>
      </c>
      <c r="F190" s="171"/>
      <c r="G190" s="133">
        <v>282</v>
      </c>
      <c r="H190" s="176">
        <v>2.3953113055296016</v>
      </c>
      <c r="J190" s="128"/>
      <c r="K190" s="227"/>
    </row>
    <row r="191" spans="1:11">
      <c r="A191" s="177" t="s">
        <v>1092</v>
      </c>
      <c r="B191" s="171">
        <v>21588</v>
      </c>
      <c r="C191" s="171">
        <v>21588</v>
      </c>
      <c r="D191" s="171">
        <v>21588</v>
      </c>
      <c r="E191" s="171">
        <v>21588</v>
      </c>
      <c r="F191" s="171"/>
      <c r="G191" s="133">
        <v>1029</v>
      </c>
      <c r="H191" s="176">
        <v>5.0051072522982638</v>
      </c>
      <c r="J191" s="128"/>
      <c r="K191" s="227"/>
    </row>
    <row r="192" spans="1:11" ht="12.75" customHeight="1">
      <c r="A192" s="175" t="s">
        <v>1093</v>
      </c>
      <c r="B192" s="171">
        <v>376</v>
      </c>
      <c r="C192" s="171">
        <v>376</v>
      </c>
      <c r="D192" s="171">
        <v>376</v>
      </c>
      <c r="E192" s="171">
        <v>376</v>
      </c>
      <c r="F192" s="171"/>
      <c r="G192" s="133">
        <v>-37</v>
      </c>
      <c r="H192" s="176">
        <v>-8.9588377723970947</v>
      </c>
      <c r="J192" s="128"/>
      <c r="K192" s="227"/>
    </row>
    <row r="193" spans="1:11" ht="12.75" customHeight="1">
      <c r="A193" s="177" t="s">
        <v>1094</v>
      </c>
      <c r="B193" s="171">
        <v>310</v>
      </c>
      <c r="C193" s="171">
        <v>310</v>
      </c>
      <c r="D193" s="171">
        <v>310</v>
      </c>
      <c r="E193" s="171">
        <v>310</v>
      </c>
      <c r="F193" s="171"/>
      <c r="G193" s="133">
        <v>-799</v>
      </c>
      <c r="H193" s="176">
        <v>-72.046889089269612</v>
      </c>
      <c r="J193" s="128"/>
      <c r="K193" s="227"/>
    </row>
    <row r="194" spans="1:11" ht="12.75" customHeight="1">
      <c r="A194" s="177" t="s">
        <v>1095</v>
      </c>
      <c r="B194" s="171">
        <v>500</v>
      </c>
      <c r="C194" s="171">
        <v>500</v>
      </c>
      <c r="D194" s="171">
        <v>500</v>
      </c>
      <c r="E194" s="171">
        <v>500</v>
      </c>
      <c r="F194" s="171"/>
      <c r="G194" s="133">
        <v>-89</v>
      </c>
      <c r="H194" s="176">
        <v>-15.110356536502549</v>
      </c>
      <c r="J194" s="128"/>
      <c r="K194" s="227"/>
    </row>
    <row r="195" spans="1:11" ht="12.75" customHeight="1"/>
    <row r="196" spans="1:11" ht="12.75" customHeight="1"/>
    <row r="197" spans="1:11" ht="12.75" customHeight="1"/>
    <row r="199" spans="1:11" ht="12.75" customHeight="1"/>
    <row r="200" spans="1:11" ht="12.75" customHeight="1"/>
    <row r="201" spans="1:11" ht="12.75" customHeight="1"/>
    <row r="202" spans="1:11" ht="12.75" customHeight="1"/>
    <row r="203" spans="1:11" ht="12.75" customHeight="1"/>
    <row r="204" spans="1:11" ht="12.75" customHeight="1"/>
    <row r="205" spans="1:11" ht="12.75" customHeight="1"/>
    <row r="207" spans="1:11" ht="12.75" customHeight="1"/>
    <row r="208" spans="1:11" ht="12.75" customHeight="1"/>
    <row r="209" ht="12.75" customHeight="1"/>
    <row r="210" ht="12.75" customHeight="1"/>
    <row r="211" ht="12.75" customHeight="1"/>
    <row r="212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7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4" ht="12.75" customHeight="1"/>
    <row r="345" ht="12.75" customHeight="1"/>
    <row r="346" ht="12.75" customHeight="1"/>
    <row r="347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4" ht="13.5" customHeight="1"/>
    <row r="365" ht="12.75" customHeight="1"/>
    <row r="366" ht="12.75" customHeight="1"/>
    <row r="367" ht="12.75" customHeight="1"/>
    <row r="368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8" ht="12.75" customHeight="1"/>
    <row r="379" ht="12.75" customHeight="1"/>
    <row r="380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5" ht="12.75" customHeight="1"/>
    <row r="396" ht="13.5" customHeight="1"/>
    <row r="398" ht="12.75" customHeight="1"/>
    <row r="399" ht="12.75" customHeight="1"/>
    <row r="400" ht="12.75" customHeight="1"/>
    <row r="401" ht="12.75" customHeight="1"/>
    <row r="402" ht="11.2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3.5" customHeight="1"/>
    <row r="418" ht="12.75" customHeight="1"/>
    <row r="419" ht="12.75" customHeight="1"/>
    <row r="420" ht="12.75" customHeight="1"/>
    <row r="421" ht="12.75" customHeight="1"/>
    <row r="422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5" ht="12.75" customHeight="1"/>
    <row r="506" ht="12.75" customHeight="1"/>
    <row r="507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7" ht="12.75" customHeight="1"/>
    <row r="598" ht="12.75" customHeight="1"/>
    <row r="599" ht="12.75" customHeight="1"/>
    <row r="600" ht="12.75" customHeight="1"/>
    <row r="602" ht="12.75" customHeight="1"/>
    <row r="603" ht="12.75" customHeight="1"/>
    <row r="604" ht="12.75" customHeight="1"/>
    <row r="605" ht="12.75" customHeight="1"/>
    <row r="607" ht="12.75" customHeight="1"/>
    <row r="608" ht="12.75" customHeight="1"/>
    <row r="610" ht="12.75" customHeight="1"/>
    <row r="611" ht="12.75" customHeight="1"/>
    <row r="613" ht="12.75" customHeight="1"/>
    <row r="614" ht="12.75" customHeight="1"/>
    <row r="615" ht="13.5" customHeight="1"/>
    <row r="616" ht="12.75" customHeight="1"/>
    <row r="617" ht="12.75" customHeight="1"/>
    <row r="619" ht="12.75" customHeight="1"/>
    <row r="620" ht="12.75" customHeight="1"/>
    <row r="622" ht="12.75" customHeight="1"/>
    <row r="625" ht="12.75" customHeight="1"/>
    <row r="626" ht="12.75" customHeight="1"/>
    <row r="627" ht="12.75" customHeight="1"/>
    <row r="628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3" ht="12.75" customHeight="1"/>
    <row r="644" ht="12.75" customHeight="1"/>
    <row r="645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2" ht="12.75" customHeight="1"/>
    <row r="673" ht="12.75" customHeight="1"/>
    <row r="674" ht="12.75" customHeight="1"/>
    <row r="675" ht="16.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90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2" ht="12.75" customHeight="1"/>
    <row r="703" ht="12.75" customHeight="1"/>
    <row r="704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5" ht="12.75" customHeight="1"/>
    <row r="787" ht="12.75" customHeight="1"/>
    <row r="788" ht="12.75" customHeight="1"/>
    <row r="790" ht="12.75" customHeight="1"/>
    <row r="792" ht="12.75" customHeight="1"/>
    <row r="793" ht="12.75" customHeight="1"/>
    <row r="794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10" ht="12.75" customHeight="1"/>
    <row r="911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9" ht="12.75" customHeight="1"/>
    <row r="960" ht="0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8" ht="12.75" customHeight="1"/>
    <row r="1019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1.2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7" ht="12.75" customHeight="1"/>
    <row r="1160" ht="12.75" customHeight="1"/>
    <row r="1162" ht="12.75" customHeight="1"/>
    <row r="1163" ht="12.75" customHeight="1"/>
    <row r="1165" ht="12.75" customHeight="1"/>
    <row r="1166" ht="12.75" customHeight="1"/>
    <row r="1167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7" ht="12.75" customHeight="1"/>
    <row r="1198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42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2" ht="12.75" customHeight="1"/>
    <row r="1347" ht="12.75" customHeight="1"/>
    <row r="1348" ht="12.75" customHeight="1"/>
    <row r="1349" ht="12.75" customHeight="1"/>
    <row r="1350" ht="12.75" customHeight="1"/>
    <row r="1352" ht="12.75" customHeight="1"/>
    <row r="1355" ht="12.75" customHeight="1"/>
    <row r="1363" ht="24" customHeight="1"/>
  </sheetData>
  <sheetProtection formatCells="0" selectLockedCells="1" selectUnlockedCells="1"/>
  <protectedRanges>
    <protectedRange password="CF6E" sqref="F189:F193" name="区域1_1_2"/>
  </protectedRanges>
  <mergeCells count="7">
    <mergeCell ref="A1:H1"/>
    <mergeCell ref="A3:A4"/>
    <mergeCell ref="B3:B4"/>
    <mergeCell ref="C3:C4"/>
    <mergeCell ref="D3:F3"/>
    <mergeCell ref="G3:G4"/>
    <mergeCell ref="H3:H4"/>
  </mergeCells>
  <phoneticPr fontId="3" type="noConversion"/>
  <printOptions horizontalCentered="1"/>
  <pageMargins left="0.35433070866141736" right="0.35433070866141736" top="0.59055118110236227" bottom="0.98425196850393704" header="0.31496062992125984" footer="0.31496062992125984"/>
  <pageSetup paperSize="9" scale="96" firstPageNumber="3" orientation="portrait" useFirstPageNumber="1" verticalDpi="180" r:id="rId1"/>
  <headerFooter alignWithMargins="0">
    <oddFooter>第 &amp;P 页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F55"/>
  <sheetViews>
    <sheetView workbookViewId="0">
      <selection activeCell="I8" sqref="I8"/>
    </sheetView>
  </sheetViews>
  <sheetFormatPr defaultRowHeight="15"/>
  <cols>
    <col min="1" max="1" width="23.375" style="2" customWidth="1"/>
    <col min="2" max="2" width="10.25" style="2" customWidth="1"/>
    <col min="3" max="3" width="17.625" style="2" customWidth="1"/>
    <col min="4" max="4" width="8.375" style="2" customWidth="1"/>
    <col min="5" max="5" width="23.625" style="2" customWidth="1"/>
    <col min="6" max="6" width="10.875" style="2" customWidth="1"/>
    <col min="7" max="256" width="9" style="134"/>
    <col min="257" max="257" width="23.375" style="134" customWidth="1"/>
    <col min="258" max="258" width="10.25" style="134" customWidth="1"/>
    <col min="259" max="259" width="17.625" style="134" customWidth="1"/>
    <col min="260" max="260" width="8.375" style="134" customWidth="1"/>
    <col min="261" max="261" width="23.625" style="134" customWidth="1"/>
    <col min="262" max="262" width="10.875" style="134" customWidth="1"/>
    <col min="263" max="512" width="9" style="134"/>
    <col min="513" max="513" width="23.375" style="134" customWidth="1"/>
    <col min="514" max="514" width="10.25" style="134" customWidth="1"/>
    <col min="515" max="515" width="17.625" style="134" customWidth="1"/>
    <col min="516" max="516" width="8.375" style="134" customWidth="1"/>
    <col min="517" max="517" width="23.625" style="134" customWidth="1"/>
    <col min="518" max="518" width="10.875" style="134" customWidth="1"/>
    <col min="519" max="768" width="9" style="134"/>
    <col min="769" max="769" width="23.375" style="134" customWidth="1"/>
    <col min="770" max="770" width="10.25" style="134" customWidth="1"/>
    <col min="771" max="771" width="17.625" style="134" customWidth="1"/>
    <col min="772" max="772" width="8.375" style="134" customWidth="1"/>
    <col min="773" max="773" width="23.625" style="134" customWidth="1"/>
    <col min="774" max="774" width="10.875" style="134" customWidth="1"/>
    <col min="775" max="1024" width="9" style="134"/>
    <col min="1025" max="1025" width="23.375" style="134" customWidth="1"/>
    <col min="1026" max="1026" width="10.25" style="134" customWidth="1"/>
    <col min="1027" max="1027" width="17.625" style="134" customWidth="1"/>
    <col min="1028" max="1028" width="8.375" style="134" customWidth="1"/>
    <col min="1029" max="1029" width="23.625" style="134" customWidth="1"/>
    <col min="1030" max="1030" width="10.875" style="134" customWidth="1"/>
    <col min="1031" max="1280" width="9" style="134"/>
    <col min="1281" max="1281" width="23.375" style="134" customWidth="1"/>
    <col min="1282" max="1282" width="10.25" style="134" customWidth="1"/>
    <col min="1283" max="1283" width="17.625" style="134" customWidth="1"/>
    <col min="1284" max="1284" width="8.375" style="134" customWidth="1"/>
    <col min="1285" max="1285" width="23.625" style="134" customWidth="1"/>
    <col min="1286" max="1286" width="10.875" style="134" customWidth="1"/>
    <col min="1287" max="1536" width="9" style="134"/>
    <col min="1537" max="1537" width="23.375" style="134" customWidth="1"/>
    <col min="1538" max="1538" width="10.25" style="134" customWidth="1"/>
    <col min="1539" max="1539" width="17.625" style="134" customWidth="1"/>
    <col min="1540" max="1540" width="8.375" style="134" customWidth="1"/>
    <col min="1541" max="1541" width="23.625" style="134" customWidth="1"/>
    <col min="1542" max="1542" width="10.875" style="134" customWidth="1"/>
    <col min="1543" max="1792" width="9" style="134"/>
    <col min="1793" max="1793" width="23.375" style="134" customWidth="1"/>
    <col min="1794" max="1794" width="10.25" style="134" customWidth="1"/>
    <col min="1795" max="1795" width="17.625" style="134" customWidth="1"/>
    <col min="1796" max="1796" width="8.375" style="134" customWidth="1"/>
    <col min="1797" max="1797" width="23.625" style="134" customWidth="1"/>
    <col min="1798" max="1798" width="10.875" style="134" customWidth="1"/>
    <col min="1799" max="2048" width="9" style="134"/>
    <col min="2049" max="2049" width="23.375" style="134" customWidth="1"/>
    <col min="2050" max="2050" width="10.25" style="134" customWidth="1"/>
    <col min="2051" max="2051" width="17.625" style="134" customWidth="1"/>
    <col min="2052" max="2052" width="8.375" style="134" customWidth="1"/>
    <col min="2053" max="2053" width="23.625" style="134" customWidth="1"/>
    <col min="2054" max="2054" width="10.875" style="134" customWidth="1"/>
    <col min="2055" max="2304" width="9" style="134"/>
    <col min="2305" max="2305" width="23.375" style="134" customWidth="1"/>
    <col min="2306" max="2306" width="10.25" style="134" customWidth="1"/>
    <col min="2307" max="2307" width="17.625" style="134" customWidth="1"/>
    <col min="2308" max="2308" width="8.375" style="134" customWidth="1"/>
    <col min="2309" max="2309" width="23.625" style="134" customWidth="1"/>
    <col min="2310" max="2310" width="10.875" style="134" customWidth="1"/>
    <col min="2311" max="2560" width="9" style="134"/>
    <col min="2561" max="2561" width="23.375" style="134" customWidth="1"/>
    <col min="2562" max="2562" width="10.25" style="134" customWidth="1"/>
    <col min="2563" max="2563" width="17.625" style="134" customWidth="1"/>
    <col min="2564" max="2564" width="8.375" style="134" customWidth="1"/>
    <col min="2565" max="2565" width="23.625" style="134" customWidth="1"/>
    <col min="2566" max="2566" width="10.875" style="134" customWidth="1"/>
    <col min="2567" max="2816" width="9" style="134"/>
    <col min="2817" max="2817" width="23.375" style="134" customWidth="1"/>
    <col min="2818" max="2818" width="10.25" style="134" customWidth="1"/>
    <col min="2819" max="2819" width="17.625" style="134" customWidth="1"/>
    <col min="2820" max="2820" width="8.375" style="134" customWidth="1"/>
    <col min="2821" max="2821" width="23.625" style="134" customWidth="1"/>
    <col min="2822" max="2822" width="10.875" style="134" customWidth="1"/>
    <col min="2823" max="3072" width="9" style="134"/>
    <col min="3073" max="3073" width="23.375" style="134" customWidth="1"/>
    <col min="3074" max="3074" width="10.25" style="134" customWidth="1"/>
    <col min="3075" max="3075" width="17.625" style="134" customWidth="1"/>
    <col min="3076" max="3076" width="8.375" style="134" customWidth="1"/>
    <col min="3077" max="3077" width="23.625" style="134" customWidth="1"/>
    <col min="3078" max="3078" width="10.875" style="134" customWidth="1"/>
    <col min="3079" max="3328" width="9" style="134"/>
    <col min="3329" max="3329" width="23.375" style="134" customWidth="1"/>
    <col min="3330" max="3330" width="10.25" style="134" customWidth="1"/>
    <col min="3331" max="3331" width="17.625" style="134" customWidth="1"/>
    <col min="3332" max="3332" width="8.375" style="134" customWidth="1"/>
    <col min="3333" max="3333" width="23.625" style="134" customWidth="1"/>
    <col min="3334" max="3334" width="10.875" style="134" customWidth="1"/>
    <col min="3335" max="3584" width="9" style="134"/>
    <col min="3585" max="3585" width="23.375" style="134" customWidth="1"/>
    <col min="3586" max="3586" width="10.25" style="134" customWidth="1"/>
    <col min="3587" max="3587" width="17.625" style="134" customWidth="1"/>
    <col min="3588" max="3588" width="8.375" style="134" customWidth="1"/>
    <col min="3589" max="3589" width="23.625" style="134" customWidth="1"/>
    <col min="3590" max="3590" width="10.875" style="134" customWidth="1"/>
    <col min="3591" max="3840" width="9" style="134"/>
    <col min="3841" max="3841" width="23.375" style="134" customWidth="1"/>
    <col min="3842" max="3842" width="10.25" style="134" customWidth="1"/>
    <col min="3843" max="3843" width="17.625" style="134" customWidth="1"/>
    <col min="3844" max="3844" width="8.375" style="134" customWidth="1"/>
    <col min="3845" max="3845" width="23.625" style="134" customWidth="1"/>
    <col min="3846" max="3846" width="10.875" style="134" customWidth="1"/>
    <col min="3847" max="4096" width="9" style="134"/>
    <col min="4097" max="4097" width="23.375" style="134" customWidth="1"/>
    <col min="4098" max="4098" width="10.25" style="134" customWidth="1"/>
    <col min="4099" max="4099" width="17.625" style="134" customWidth="1"/>
    <col min="4100" max="4100" width="8.375" style="134" customWidth="1"/>
    <col min="4101" max="4101" width="23.625" style="134" customWidth="1"/>
    <col min="4102" max="4102" width="10.875" style="134" customWidth="1"/>
    <col min="4103" max="4352" width="9" style="134"/>
    <col min="4353" max="4353" width="23.375" style="134" customWidth="1"/>
    <col min="4354" max="4354" width="10.25" style="134" customWidth="1"/>
    <col min="4355" max="4355" width="17.625" style="134" customWidth="1"/>
    <col min="4356" max="4356" width="8.375" style="134" customWidth="1"/>
    <col min="4357" max="4357" width="23.625" style="134" customWidth="1"/>
    <col min="4358" max="4358" width="10.875" style="134" customWidth="1"/>
    <col min="4359" max="4608" width="9" style="134"/>
    <col min="4609" max="4609" width="23.375" style="134" customWidth="1"/>
    <col min="4610" max="4610" width="10.25" style="134" customWidth="1"/>
    <col min="4611" max="4611" width="17.625" style="134" customWidth="1"/>
    <col min="4612" max="4612" width="8.375" style="134" customWidth="1"/>
    <col min="4613" max="4613" width="23.625" style="134" customWidth="1"/>
    <col min="4614" max="4614" width="10.875" style="134" customWidth="1"/>
    <col min="4615" max="4864" width="9" style="134"/>
    <col min="4865" max="4865" width="23.375" style="134" customWidth="1"/>
    <col min="4866" max="4866" width="10.25" style="134" customWidth="1"/>
    <col min="4867" max="4867" width="17.625" style="134" customWidth="1"/>
    <col min="4868" max="4868" width="8.375" style="134" customWidth="1"/>
    <col min="4869" max="4869" width="23.625" style="134" customWidth="1"/>
    <col min="4870" max="4870" width="10.875" style="134" customWidth="1"/>
    <col min="4871" max="5120" width="9" style="134"/>
    <col min="5121" max="5121" width="23.375" style="134" customWidth="1"/>
    <col min="5122" max="5122" width="10.25" style="134" customWidth="1"/>
    <col min="5123" max="5123" width="17.625" style="134" customWidth="1"/>
    <col min="5124" max="5124" width="8.375" style="134" customWidth="1"/>
    <col min="5125" max="5125" width="23.625" style="134" customWidth="1"/>
    <col min="5126" max="5126" width="10.875" style="134" customWidth="1"/>
    <col min="5127" max="5376" width="9" style="134"/>
    <col min="5377" max="5377" width="23.375" style="134" customWidth="1"/>
    <col min="5378" max="5378" width="10.25" style="134" customWidth="1"/>
    <col min="5379" max="5379" width="17.625" style="134" customWidth="1"/>
    <col min="5380" max="5380" width="8.375" style="134" customWidth="1"/>
    <col min="5381" max="5381" width="23.625" style="134" customWidth="1"/>
    <col min="5382" max="5382" width="10.875" style="134" customWidth="1"/>
    <col min="5383" max="5632" width="9" style="134"/>
    <col min="5633" max="5633" width="23.375" style="134" customWidth="1"/>
    <col min="5634" max="5634" width="10.25" style="134" customWidth="1"/>
    <col min="5635" max="5635" width="17.625" style="134" customWidth="1"/>
    <col min="5636" max="5636" width="8.375" style="134" customWidth="1"/>
    <col min="5637" max="5637" width="23.625" style="134" customWidth="1"/>
    <col min="5638" max="5638" width="10.875" style="134" customWidth="1"/>
    <col min="5639" max="5888" width="9" style="134"/>
    <col min="5889" max="5889" width="23.375" style="134" customWidth="1"/>
    <col min="5890" max="5890" width="10.25" style="134" customWidth="1"/>
    <col min="5891" max="5891" width="17.625" style="134" customWidth="1"/>
    <col min="5892" max="5892" width="8.375" style="134" customWidth="1"/>
    <col min="5893" max="5893" width="23.625" style="134" customWidth="1"/>
    <col min="5894" max="5894" width="10.875" style="134" customWidth="1"/>
    <col min="5895" max="6144" width="9" style="134"/>
    <col min="6145" max="6145" width="23.375" style="134" customWidth="1"/>
    <col min="6146" max="6146" width="10.25" style="134" customWidth="1"/>
    <col min="6147" max="6147" width="17.625" style="134" customWidth="1"/>
    <col min="6148" max="6148" width="8.375" style="134" customWidth="1"/>
    <col min="6149" max="6149" width="23.625" style="134" customWidth="1"/>
    <col min="6150" max="6150" width="10.875" style="134" customWidth="1"/>
    <col min="6151" max="6400" width="9" style="134"/>
    <col min="6401" max="6401" width="23.375" style="134" customWidth="1"/>
    <col min="6402" max="6402" width="10.25" style="134" customWidth="1"/>
    <col min="6403" max="6403" width="17.625" style="134" customWidth="1"/>
    <col min="6404" max="6404" width="8.375" style="134" customWidth="1"/>
    <col min="6405" max="6405" width="23.625" style="134" customWidth="1"/>
    <col min="6406" max="6406" width="10.875" style="134" customWidth="1"/>
    <col min="6407" max="6656" width="9" style="134"/>
    <col min="6657" max="6657" width="23.375" style="134" customWidth="1"/>
    <col min="6658" max="6658" width="10.25" style="134" customWidth="1"/>
    <col min="6659" max="6659" width="17.625" style="134" customWidth="1"/>
    <col min="6660" max="6660" width="8.375" style="134" customWidth="1"/>
    <col min="6661" max="6661" width="23.625" style="134" customWidth="1"/>
    <col min="6662" max="6662" width="10.875" style="134" customWidth="1"/>
    <col min="6663" max="6912" width="9" style="134"/>
    <col min="6913" max="6913" width="23.375" style="134" customWidth="1"/>
    <col min="6914" max="6914" width="10.25" style="134" customWidth="1"/>
    <col min="6915" max="6915" width="17.625" style="134" customWidth="1"/>
    <col min="6916" max="6916" width="8.375" style="134" customWidth="1"/>
    <col min="6917" max="6917" width="23.625" style="134" customWidth="1"/>
    <col min="6918" max="6918" width="10.875" style="134" customWidth="1"/>
    <col min="6919" max="7168" width="9" style="134"/>
    <col min="7169" max="7169" width="23.375" style="134" customWidth="1"/>
    <col min="7170" max="7170" width="10.25" style="134" customWidth="1"/>
    <col min="7171" max="7171" width="17.625" style="134" customWidth="1"/>
    <col min="7172" max="7172" width="8.375" style="134" customWidth="1"/>
    <col min="7173" max="7173" width="23.625" style="134" customWidth="1"/>
    <col min="7174" max="7174" width="10.875" style="134" customWidth="1"/>
    <col min="7175" max="7424" width="9" style="134"/>
    <col min="7425" max="7425" width="23.375" style="134" customWidth="1"/>
    <col min="7426" max="7426" width="10.25" style="134" customWidth="1"/>
    <col min="7427" max="7427" width="17.625" style="134" customWidth="1"/>
    <col min="7428" max="7428" width="8.375" style="134" customWidth="1"/>
    <col min="7429" max="7429" width="23.625" style="134" customWidth="1"/>
    <col min="7430" max="7430" width="10.875" style="134" customWidth="1"/>
    <col min="7431" max="7680" width="9" style="134"/>
    <col min="7681" max="7681" width="23.375" style="134" customWidth="1"/>
    <col min="7682" max="7682" width="10.25" style="134" customWidth="1"/>
    <col min="7683" max="7683" width="17.625" style="134" customWidth="1"/>
    <col min="7684" max="7684" width="8.375" style="134" customWidth="1"/>
    <col min="7685" max="7685" width="23.625" style="134" customWidth="1"/>
    <col min="7686" max="7686" width="10.875" style="134" customWidth="1"/>
    <col min="7687" max="7936" width="9" style="134"/>
    <col min="7937" max="7937" width="23.375" style="134" customWidth="1"/>
    <col min="7938" max="7938" width="10.25" style="134" customWidth="1"/>
    <col min="7939" max="7939" width="17.625" style="134" customWidth="1"/>
    <col min="7940" max="7940" width="8.375" style="134" customWidth="1"/>
    <col min="7941" max="7941" width="23.625" style="134" customWidth="1"/>
    <col min="7942" max="7942" width="10.875" style="134" customWidth="1"/>
    <col min="7943" max="8192" width="9" style="134"/>
    <col min="8193" max="8193" width="23.375" style="134" customWidth="1"/>
    <col min="8194" max="8194" width="10.25" style="134" customWidth="1"/>
    <col min="8195" max="8195" width="17.625" style="134" customWidth="1"/>
    <col min="8196" max="8196" width="8.375" style="134" customWidth="1"/>
    <col min="8197" max="8197" width="23.625" style="134" customWidth="1"/>
    <col min="8198" max="8198" width="10.875" style="134" customWidth="1"/>
    <col min="8199" max="8448" width="9" style="134"/>
    <col min="8449" max="8449" width="23.375" style="134" customWidth="1"/>
    <col min="8450" max="8450" width="10.25" style="134" customWidth="1"/>
    <col min="8451" max="8451" width="17.625" style="134" customWidth="1"/>
    <col min="8452" max="8452" width="8.375" style="134" customWidth="1"/>
    <col min="8453" max="8453" width="23.625" style="134" customWidth="1"/>
    <col min="8454" max="8454" width="10.875" style="134" customWidth="1"/>
    <col min="8455" max="8704" width="9" style="134"/>
    <col min="8705" max="8705" width="23.375" style="134" customWidth="1"/>
    <col min="8706" max="8706" width="10.25" style="134" customWidth="1"/>
    <col min="8707" max="8707" width="17.625" style="134" customWidth="1"/>
    <col min="8708" max="8708" width="8.375" style="134" customWidth="1"/>
    <col min="8709" max="8709" width="23.625" style="134" customWidth="1"/>
    <col min="8710" max="8710" width="10.875" style="134" customWidth="1"/>
    <col min="8711" max="8960" width="9" style="134"/>
    <col min="8961" max="8961" width="23.375" style="134" customWidth="1"/>
    <col min="8962" max="8962" width="10.25" style="134" customWidth="1"/>
    <col min="8963" max="8963" width="17.625" style="134" customWidth="1"/>
    <col min="8964" max="8964" width="8.375" style="134" customWidth="1"/>
    <col min="8965" max="8965" width="23.625" style="134" customWidth="1"/>
    <col min="8966" max="8966" width="10.875" style="134" customWidth="1"/>
    <col min="8967" max="9216" width="9" style="134"/>
    <col min="9217" max="9217" width="23.375" style="134" customWidth="1"/>
    <col min="9218" max="9218" width="10.25" style="134" customWidth="1"/>
    <col min="9219" max="9219" width="17.625" style="134" customWidth="1"/>
    <col min="9220" max="9220" width="8.375" style="134" customWidth="1"/>
    <col min="9221" max="9221" width="23.625" style="134" customWidth="1"/>
    <col min="9222" max="9222" width="10.875" style="134" customWidth="1"/>
    <col min="9223" max="9472" width="9" style="134"/>
    <col min="9473" max="9473" width="23.375" style="134" customWidth="1"/>
    <col min="9474" max="9474" width="10.25" style="134" customWidth="1"/>
    <col min="9475" max="9475" width="17.625" style="134" customWidth="1"/>
    <col min="9476" max="9476" width="8.375" style="134" customWidth="1"/>
    <col min="9477" max="9477" width="23.625" style="134" customWidth="1"/>
    <col min="9478" max="9478" width="10.875" style="134" customWidth="1"/>
    <col min="9479" max="9728" width="9" style="134"/>
    <col min="9729" max="9729" width="23.375" style="134" customWidth="1"/>
    <col min="9730" max="9730" width="10.25" style="134" customWidth="1"/>
    <col min="9731" max="9731" width="17.625" style="134" customWidth="1"/>
    <col min="9732" max="9732" width="8.375" style="134" customWidth="1"/>
    <col min="9733" max="9733" width="23.625" style="134" customWidth="1"/>
    <col min="9734" max="9734" width="10.875" style="134" customWidth="1"/>
    <col min="9735" max="9984" width="9" style="134"/>
    <col min="9985" max="9985" width="23.375" style="134" customWidth="1"/>
    <col min="9986" max="9986" width="10.25" style="134" customWidth="1"/>
    <col min="9987" max="9987" width="17.625" style="134" customWidth="1"/>
    <col min="9988" max="9988" width="8.375" style="134" customWidth="1"/>
    <col min="9989" max="9989" width="23.625" style="134" customWidth="1"/>
    <col min="9990" max="9990" width="10.875" style="134" customWidth="1"/>
    <col min="9991" max="10240" width="9" style="134"/>
    <col min="10241" max="10241" width="23.375" style="134" customWidth="1"/>
    <col min="10242" max="10242" width="10.25" style="134" customWidth="1"/>
    <col min="10243" max="10243" width="17.625" style="134" customWidth="1"/>
    <col min="10244" max="10244" width="8.375" style="134" customWidth="1"/>
    <col min="10245" max="10245" width="23.625" style="134" customWidth="1"/>
    <col min="10246" max="10246" width="10.875" style="134" customWidth="1"/>
    <col min="10247" max="10496" width="9" style="134"/>
    <col min="10497" max="10497" width="23.375" style="134" customWidth="1"/>
    <col min="10498" max="10498" width="10.25" style="134" customWidth="1"/>
    <col min="10499" max="10499" width="17.625" style="134" customWidth="1"/>
    <col min="10500" max="10500" width="8.375" style="134" customWidth="1"/>
    <col min="10501" max="10501" width="23.625" style="134" customWidth="1"/>
    <col min="10502" max="10502" width="10.875" style="134" customWidth="1"/>
    <col min="10503" max="10752" width="9" style="134"/>
    <col min="10753" max="10753" width="23.375" style="134" customWidth="1"/>
    <col min="10754" max="10754" width="10.25" style="134" customWidth="1"/>
    <col min="10755" max="10755" width="17.625" style="134" customWidth="1"/>
    <col min="10756" max="10756" width="8.375" style="134" customWidth="1"/>
    <col min="10757" max="10757" width="23.625" style="134" customWidth="1"/>
    <col min="10758" max="10758" width="10.875" style="134" customWidth="1"/>
    <col min="10759" max="11008" width="9" style="134"/>
    <col min="11009" max="11009" width="23.375" style="134" customWidth="1"/>
    <col min="11010" max="11010" width="10.25" style="134" customWidth="1"/>
    <col min="11011" max="11011" width="17.625" style="134" customWidth="1"/>
    <col min="11012" max="11012" width="8.375" style="134" customWidth="1"/>
    <col min="11013" max="11013" width="23.625" style="134" customWidth="1"/>
    <col min="11014" max="11014" width="10.875" style="134" customWidth="1"/>
    <col min="11015" max="11264" width="9" style="134"/>
    <col min="11265" max="11265" width="23.375" style="134" customWidth="1"/>
    <col min="11266" max="11266" width="10.25" style="134" customWidth="1"/>
    <col min="11267" max="11267" width="17.625" style="134" customWidth="1"/>
    <col min="11268" max="11268" width="8.375" style="134" customWidth="1"/>
    <col min="11269" max="11269" width="23.625" style="134" customWidth="1"/>
    <col min="11270" max="11270" width="10.875" style="134" customWidth="1"/>
    <col min="11271" max="11520" width="9" style="134"/>
    <col min="11521" max="11521" width="23.375" style="134" customWidth="1"/>
    <col min="11522" max="11522" width="10.25" style="134" customWidth="1"/>
    <col min="11523" max="11523" width="17.625" style="134" customWidth="1"/>
    <col min="11524" max="11524" width="8.375" style="134" customWidth="1"/>
    <col min="11525" max="11525" width="23.625" style="134" customWidth="1"/>
    <col min="11526" max="11526" width="10.875" style="134" customWidth="1"/>
    <col min="11527" max="11776" width="9" style="134"/>
    <col min="11777" max="11777" width="23.375" style="134" customWidth="1"/>
    <col min="11778" max="11778" width="10.25" style="134" customWidth="1"/>
    <col min="11779" max="11779" width="17.625" style="134" customWidth="1"/>
    <col min="11780" max="11780" width="8.375" style="134" customWidth="1"/>
    <col min="11781" max="11781" width="23.625" style="134" customWidth="1"/>
    <col min="11782" max="11782" width="10.875" style="134" customWidth="1"/>
    <col min="11783" max="12032" width="9" style="134"/>
    <col min="12033" max="12033" width="23.375" style="134" customWidth="1"/>
    <col min="12034" max="12034" width="10.25" style="134" customWidth="1"/>
    <col min="12035" max="12035" width="17.625" style="134" customWidth="1"/>
    <col min="12036" max="12036" width="8.375" style="134" customWidth="1"/>
    <col min="12037" max="12037" width="23.625" style="134" customWidth="1"/>
    <col min="12038" max="12038" width="10.875" style="134" customWidth="1"/>
    <col min="12039" max="12288" width="9" style="134"/>
    <col min="12289" max="12289" width="23.375" style="134" customWidth="1"/>
    <col min="12290" max="12290" width="10.25" style="134" customWidth="1"/>
    <col min="12291" max="12291" width="17.625" style="134" customWidth="1"/>
    <col min="12292" max="12292" width="8.375" style="134" customWidth="1"/>
    <col min="12293" max="12293" width="23.625" style="134" customWidth="1"/>
    <col min="12294" max="12294" width="10.875" style="134" customWidth="1"/>
    <col min="12295" max="12544" width="9" style="134"/>
    <col min="12545" max="12545" width="23.375" style="134" customWidth="1"/>
    <col min="12546" max="12546" width="10.25" style="134" customWidth="1"/>
    <col min="12547" max="12547" width="17.625" style="134" customWidth="1"/>
    <col min="12548" max="12548" width="8.375" style="134" customWidth="1"/>
    <col min="12549" max="12549" width="23.625" style="134" customWidth="1"/>
    <col min="12550" max="12550" width="10.875" style="134" customWidth="1"/>
    <col min="12551" max="12800" width="9" style="134"/>
    <col min="12801" max="12801" width="23.375" style="134" customWidth="1"/>
    <col min="12802" max="12802" width="10.25" style="134" customWidth="1"/>
    <col min="12803" max="12803" width="17.625" style="134" customWidth="1"/>
    <col min="12804" max="12804" width="8.375" style="134" customWidth="1"/>
    <col min="12805" max="12805" width="23.625" style="134" customWidth="1"/>
    <col min="12806" max="12806" width="10.875" style="134" customWidth="1"/>
    <col min="12807" max="13056" width="9" style="134"/>
    <col min="13057" max="13057" width="23.375" style="134" customWidth="1"/>
    <col min="13058" max="13058" width="10.25" style="134" customWidth="1"/>
    <col min="13059" max="13059" width="17.625" style="134" customWidth="1"/>
    <col min="13060" max="13060" width="8.375" style="134" customWidth="1"/>
    <col min="13061" max="13061" width="23.625" style="134" customWidth="1"/>
    <col min="13062" max="13062" width="10.875" style="134" customWidth="1"/>
    <col min="13063" max="13312" width="9" style="134"/>
    <col min="13313" max="13313" width="23.375" style="134" customWidth="1"/>
    <col min="13314" max="13314" width="10.25" style="134" customWidth="1"/>
    <col min="13315" max="13315" width="17.625" style="134" customWidth="1"/>
    <col min="13316" max="13316" width="8.375" style="134" customWidth="1"/>
    <col min="13317" max="13317" width="23.625" style="134" customWidth="1"/>
    <col min="13318" max="13318" width="10.875" style="134" customWidth="1"/>
    <col min="13319" max="13568" width="9" style="134"/>
    <col min="13569" max="13569" width="23.375" style="134" customWidth="1"/>
    <col min="13570" max="13570" width="10.25" style="134" customWidth="1"/>
    <col min="13571" max="13571" width="17.625" style="134" customWidth="1"/>
    <col min="13572" max="13572" width="8.375" style="134" customWidth="1"/>
    <col min="13573" max="13573" width="23.625" style="134" customWidth="1"/>
    <col min="13574" max="13574" width="10.875" style="134" customWidth="1"/>
    <col min="13575" max="13824" width="9" style="134"/>
    <col min="13825" max="13825" width="23.375" style="134" customWidth="1"/>
    <col min="13826" max="13826" width="10.25" style="134" customWidth="1"/>
    <col min="13827" max="13827" width="17.625" style="134" customWidth="1"/>
    <col min="13828" max="13828" width="8.375" style="134" customWidth="1"/>
    <col min="13829" max="13829" width="23.625" style="134" customWidth="1"/>
    <col min="13830" max="13830" width="10.875" style="134" customWidth="1"/>
    <col min="13831" max="14080" width="9" style="134"/>
    <col min="14081" max="14081" width="23.375" style="134" customWidth="1"/>
    <col min="14082" max="14082" width="10.25" style="134" customWidth="1"/>
    <col min="14083" max="14083" width="17.625" style="134" customWidth="1"/>
    <col min="14084" max="14084" width="8.375" style="134" customWidth="1"/>
    <col min="14085" max="14085" width="23.625" style="134" customWidth="1"/>
    <col min="14086" max="14086" width="10.875" style="134" customWidth="1"/>
    <col min="14087" max="14336" width="9" style="134"/>
    <col min="14337" max="14337" width="23.375" style="134" customWidth="1"/>
    <col min="14338" max="14338" width="10.25" style="134" customWidth="1"/>
    <col min="14339" max="14339" width="17.625" style="134" customWidth="1"/>
    <col min="14340" max="14340" width="8.375" style="134" customWidth="1"/>
    <col min="14341" max="14341" width="23.625" style="134" customWidth="1"/>
    <col min="14342" max="14342" width="10.875" style="134" customWidth="1"/>
    <col min="14343" max="14592" width="9" style="134"/>
    <col min="14593" max="14593" width="23.375" style="134" customWidth="1"/>
    <col min="14594" max="14594" width="10.25" style="134" customWidth="1"/>
    <col min="14595" max="14595" width="17.625" style="134" customWidth="1"/>
    <col min="14596" max="14596" width="8.375" style="134" customWidth="1"/>
    <col min="14597" max="14597" width="23.625" style="134" customWidth="1"/>
    <col min="14598" max="14598" width="10.875" style="134" customWidth="1"/>
    <col min="14599" max="14848" width="9" style="134"/>
    <col min="14849" max="14849" width="23.375" style="134" customWidth="1"/>
    <col min="14850" max="14850" width="10.25" style="134" customWidth="1"/>
    <col min="14851" max="14851" width="17.625" style="134" customWidth="1"/>
    <col min="14852" max="14852" width="8.375" style="134" customWidth="1"/>
    <col min="14853" max="14853" width="23.625" style="134" customWidth="1"/>
    <col min="14854" max="14854" width="10.875" style="134" customWidth="1"/>
    <col min="14855" max="15104" width="9" style="134"/>
    <col min="15105" max="15105" width="23.375" style="134" customWidth="1"/>
    <col min="15106" max="15106" width="10.25" style="134" customWidth="1"/>
    <col min="15107" max="15107" width="17.625" style="134" customWidth="1"/>
    <col min="15108" max="15108" width="8.375" style="134" customWidth="1"/>
    <col min="15109" max="15109" width="23.625" style="134" customWidth="1"/>
    <col min="15110" max="15110" width="10.875" style="134" customWidth="1"/>
    <col min="15111" max="15360" width="9" style="134"/>
    <col min="15361" max="15361" width="23.375" style="134" customWidth="1"/>
    <col min="15362" max="15362" width="10.25" style="134" customWidth="1"/>
    <col min="15363" max="15363" width="17.625" style="134" customWidth="1"/>
    <col min="15364" max="15364" width="8.375" style="134" customWidth="1"/>
    <col min="15365" max="15365" width="23.625" style="134" customWidth="1"/>
    <col min="15366" max="15366" width="10.875" style="134" customWidth="1"/>
    <col min="15367" max="15616" width="9" style="134"/>
    <col min="15617" max="15617" width="23.375" style="134" customWidth="1"/>
    <col min="15618" max="15618" width="10.25" style="134" customWidth="1"/>
    <col min="15619" max="15619" width="17.625" style="134" customWidth="1"/>
    <col min="15620" max="15620" width="8.375" style="134" customWidth="1"/>
    <col min="15621" max="15621" width="23.625" style="134" customWidth="1"/>
    <col min="15622" max="15622" width="10.875" style="134" customWidth="1"/>
    <col min="15623" max="15872" width="9" style="134"/>
    <col min="15873" max="15873" width="23.375" style="134" customWidth="1"/>
    <col min="15874" max="15874" width="10.25" style="134" customWidth="1"/>
    <col min="15875" max="15875" width="17.625" style="134" customWidth="1"/>
    <col min="15876" max="15876" width="8.375" style="134" customWidth="1"/>
    <col min="15877" max="15877" width="23.625" style="134" customWidth="1"/>
    <col min="15878" max="15878" width="10.875" style="134" customWidth="1"/>
    <col min="15879" max="16128" width="9" style="134"/>
    <col min="16129" max="16129" width="23.375" style="134" customWidth="1"/>
    <col min="16130" max="16130" width="10.25" style="134" customWidth="1"/>
    <col min="16131" max="16131" width="17.625" style="134" customWidth="1"/>
    <col min="16132" max="16132" width="8.375" style="134" customWidth="1"/>
    <col min="16133" max="16133" width="23.625" style="134" customWidth="1"/>
    <col min="16134" max="16134" width="10.875" style="134" customWidth="1"/>
    <col min="16135" max="16384" width="9" style="134"/>
  </cols>
  <sheetData>
    <row r="1" spans="1:6" ht="24" customHeight="1">
      <c r="A1" s="248" t="s">
        <v>1434</v>
      </c>
      <c r="B1" s="248"/>
      <c r="C1" s="248"/>
      <c r="D1" s="248"/>
      <c r="E1" s="248"/>
      <c r="F1" s="248"/>
    </row>
    <row r="2" spans="1:6" ht="30.75" customHeight="1">
      <c r="A2" s="248"/>
      <c r="B2" s="248"/>
      <c r="C2" s="248"/>
      <c r="D2" s="248"/>
      <c r="E2" s="248"/>
      <c r="F2" s="248"/>
    </row>
    <row r="3" spans="1:6" ht="18.75" customHeight="1">
      <c r="A3" s="115"/>
      <c r="F3" s="2" t="s">
        <v>1096</v>
      </c>
    </row>
    <row r="4" spans="1:6" ht="15.95" customHeight="1">
      <c r="A4" s="247" t="s">
        <v>1097</v>
      </c>
      <c r="B4" s="247"/>
      <c r="C4" s="247"/>
      <c r="D4" s="247"/>
      <c r="E4" s="247"/>
      <c r="F4" s="247"/>
    </row>
    <row r="5" spans="1:6" ht="15.95" customHeight="1">
      <c r="A5" s="249" t="s">
        <v>1098</v>
      </c>
      <c r="B5" s="249"/>
      <c r="C5" s="249" t="s">
        <v>1099</v>
      </c>
      <c r="D5" s="249"/>
      <c r="E5" s="249" t="s">
        <v>1100</v>
      </c>
      <c r="F5" s="249"/>
    </row>
    <row r="6" spans="1:6" ht="15.95" customHeight="1">
      <c r="A6" s="145" t="s">
        <v>1101</v>
      </c>
      <c r="B6" s="145" t="s">
        <v>1102</v>
      </c>
      <c r="C6" s="145" t="s">
        <v>1101</v>
      </c>
      <c r="D6" s="145" t="s">
        <v>1102</v>
      </c>
      <c r="E6" s="145" t="s">
        <v>1101</v>
      </c>
      <c r="F6" s="145" t="s">
        <v>1102</v>
      </c>
    </row>
    <row r="7" spans="1:6" ht="15.95" customHeight="1">
      <c r="A7" s="221" t="s">
        <v>1103</v>
      </c>
      <c r="B7" s="116">
        <v>1099967</v>
      </c>
      <c r="C7" s="221" t="s">
        <v>1103</v>
      </c>
      <c r="D7" s="116">
        <v>39312</v>
      </c>
      <c r="E7" s="221" t="s">
        <v>1103</v>
      </c>
      <c r="F7" s="116">
        <v>1109082</v>
      </c>
    </row>
    <row r="8" spans="1:6" ht="15.95" customHeight="1">
      <c r="A8" s="104" t="s">
        <v>1115</v>
      </c>
      <c r="B8" s="104">
        <v>290270</v>
      </c>
      <c r="C8" s="104" t="s">
        <v>1116</v>
      </c>
      <c r="D8" s="222">
        <v>5230</v>
      </c>
      <c r="E8" s="104" t="s">
        <v>1117</v>
      </c>
      <c r="F8" s="104">
        <v>295500</v>
      </c>
    </row>
    <row r="9" spans="1:6" ht="15.95" customHeight="1">
      <c r="A9" s="104" t="s">
        <v>1118</v>
      </c>
      <c r="B9" s="104">
        <v>303800</v>
      </c>
      <c r="C9" s="104" t="s">
        <v>1104</v>
      </c>
      <c r="D9" s="222">
        <v>26177</v>
      </c>
      <c r="E9" s="104" t="s">
        <v>1118</v>
      </c>
      <c r="F9" s="104">
        <v>303800</v>
      </c>
    </row>
    <row r="10" spans="1:6" ht="15.95" customHeight="1">
      <c r="A10" s="104" t="s">
        <v>1119</v>
      </c>
      <c r="B10" s="104">
        <v>100300</v>
      </c>
      <c r="C10" s="104" t="s">
        <v>1120</v>
      </c>
      <c r="D10" s="222">
        <v>7905</v>
      </c>
      <c r="E10" s="104" t="s">
        <v>1119</v>
      </c>
      <c r="F10" s="104">
        <v>100300</v>
      </c>
    </row>
    <row r="11" spans="1:6" ht="15.95" customHeight="1">
      <c r="A11" s="104" t="s">
        <v>1121</v>
      </c>
      <c r="B11" s="104">
        <v>53594</v>
      </c>
      <c r="C11" s="104" t="s">
        <v>1122</v>
      </c>
      <c r="D11" s="222"/>
      <c r="E11" s="104" t="s">
        <v>1122</v>
      </c>
      <c r="F11" s="104">
        <v>275104</v>
      </c>
    </row>
    <row r="12" spans="1:6" ht="15.95" customHeight="1">
      <c r="A12" s="223" t="s">
        <v>1123</v>
      </c>
      <c r="B12" s="104">
        <v>221510</v>
      </c>
      <c r="C12" s="104"/>
      <c r="D12" s="222"/>
      <c r="E12" s="104" t="s">
        <v>1124</v>
      </c>
      <c r="F12" s="104">
        <v>87785</v>
      </c>
    </row>
    <row r="13" spans="1:6" ht="15.95" customHeight="1">
      <c r="A13" s="104" t="s">
        <v>1125</v>
      </c>
      <c r="B13" s="104">
        <v>87785</v>
      </c>
      <c r="C13" s="104"/>
      <c r="D13" s="222"/>
      <c r="E13" s="104" t="s">
        <v>1126</v>
      </c>
      <c r="F13" s="104">
        <v>0</v>
      </c>
    </row>
    <row r="14" spans="1:6" ht="15.95" customHeight="1">
      <c r="A14" s="104" t="s">
        <v>1127</v>
      </c>
      <c r="B14" s="104">
        <v>0</v>
      </c>
      <c r="C14" s="104"/>
      <c r="D14" s="222"/>
      <c r="E14" s="104" t="s">
        <v>1128</v>
      </c>
      <c r="F14" s="104">
        <v>46593</v>
      </c>
    </row>
    <row r="15" spans="1:6" ht="15.95" customHeight="1">
      <c r="A15" s="104" t="s">
        <v>1129</v>
      </c>
      <c r="B15" s="104">
        <v>38688</v>
      </c>
      <c r="C15" s="104"/>
      <c r="D15" s="222"/>
      <c r="E15" s="104"/>
      <c r="F15" s="104"/>
    </row>
    <row r="16" spans="1:6" ht="15.95" customHeight="1">
      <c r="A16" s="104" t="s">
        <v>1130</v>
      </c>
      <c r="B16" s="104">
        <v>4020</v>
      </c>
      <c r="C16" s="104"/>
      <c r="D16" s="222"/>
      <c r="E16" s="104"/>
      <c r="F16" s="104"/>
    </row>
    <row r="17" spans="1:6" ht="15.95" customHeight="1">
      <c r="A17" s="221" t="s">
        <v>1105</v>
      </c>
      <c r="B17" s="116">
        <v>1067737</v>
      </c>
      <c r="C17" s="221" t="s">
        <v>1105</v>
      </c>
      <c r="D17" s="116">
        <v>36789</v>
      </c>
      <c r="E17" s="221" t="s">
        <v>1105</v>
      </c>
      <c r="F17" s="116">
        <v>1074329</v>
      </c>
    </row>
    <row r="18" spans="1:6" ht="15.95" customHeight="1">
      <c r="A18" s="104" t="s">
        <v>1131</v>
      </c>
      <c r="B18" s="222">
        <v>840450</v>
      </c>
      <c r="C18" s="104" t="s">
        <v>1132</v>
      </c>
      <c r="D18" s="222">
        <v>26166</v>
      </c>
      <c r="E18" s="104" t="s">
        <v>1132</v>
      </c>
      <c r="F18" s="222">
        <v>866616</v>
      </c>
    </row>
    <row r="19" spans="1:6" ht="15.95" customHeight="1">
      <c r="A19" s="104" t="s">
        <v>1133</v>
      </c>
      <c r="B19" s="222">
        <v>143010</v>
      </c>
      <c r="C19" s="104" t="s">
        <v>1134</v>
      </c>
      <c r="D19" s="222">
        <v>4020</v>
      </c>
      <c r="E19" s="104" t="s">
        <v>1133</v>
      </c>
      <c r="F19" s="222">
        <v>143010</v>
      </c>
    </row>
    <row r="20" spans="1:6" ht="15.95" customHeight="1">
      <c r="A20" s="104" t="s">
        <v>1135</v>
      </c>
      <c r="B20" s="222">
        <v>26177</v>
      </c>
      <c r="C20" s="104" t="s">
        <v>1136</v>
      </c>
      <c r="D20" s="222">
        <v>6603</v>
      </c>
      <c r="E20" s="104" t="s">
        <v>1137</v>
      </c>
      <c r="F20" s="222">
        <v>4600</v>
      </c>
    </row>
    <row r="21" spans="1:6" ht="15.95" customHeight="1">
      <c r="A21" s="104" t="s">
        <v>1138</v>
      </c>
      <c r="B21" s="222">
        <v>4600</v>
      </c>
      <c r="C21" s="104"/>
      <c r="D21" s="222"/>
      <c r="E21" s="104" t="s">
        <v>1139</v>
      </c>
      <c r="F21" s="222">
        <v>0</v>
      </c>
    </row>
    <row r="22" spans="1:6" ht="15.95" customHeight="1">
      <c r="A22" s="104" t="s">
        <v>1140</v>
      </c>
      <c r="B22" s="222">
        <v>0</v>
      </c>
      <c r="C22" s="104"/>
      <c r="D22" s="222"/>
      <c r="E22" s="104" t="s">
        <v>1141</v>
      </c>
      <c r="F22" s="222">
        <v>60103</v>
      </c>
    </row>
    <row r="23" spans="1:6" ht="15.95" customHeight="1">
      <c r="A23" s="104" t="s">
        <v>1142</v>
      </c>
      <c r="B23" s="222">
        <v>53500</v>
      </c>
      <c r="C23" s="104"/>
      <c r="D23" s="222"/>
      <c r="E23" s="104" t="s">
        <v>1143</v>
      </c>
      <c r="F23" s="222">
        <v>0</v>
      </c>
    </row>
    <row r="24" spans="1:6" ht="15.95" customHeight="1">
      <c r="A24" s="104" t="s">
        <v>1144</v>
      </c>
      <c r="B24" s="222">
        <v>0</v>
      </c>
      <c r="C24" s="104"/>
      <c r="D24" s="222"/>
      <c r="E24" s="104"/>
      <c r="F24" s="222"/>
    </row>
    <row r="25" spans="1:6" ht="15.95" customHeight="1">
      <c r="A25" s="109" t="s">
        <v>1106</v>
      </c>
      <c r="B25" s="224">
        <v>32230</v>
      </c>
      <c r="C25" s="109" t="s">
        <v>1106</v>
      </c>
      <c r="D25" s="224">
        <v>2523</v>
      </c>
      <c r="E25" s="109" t="s">
        <v>1106</v>
      </c>
      <c r="F25" s="224">
        <v>34753</v>
      </c>
    </row>
    <row r="26" spans="1:6" ht="15.95" customHeight="1">
      <c r="A26" s="104" t="s">
        <v>1145</v>
      </c>
      <c r="B26" s="222">
        <v>32230</v>
      </c>
      <c r="C26" s="104"/>
      <c r="D26" s="222"/>
      <c r="E26" s="104"/>
      <c r="F26" s="222"/>
    </row>
    <row r="27" spans="1:6" ht="15.95" customHeight="1">
      <c r="A27" s="104" t="s">
        <v>1146</v>
      </c>
      <c r="B27" s="222">
        <v>32230</v>
      </c>
      <c r="C27" s="104"/>
      <c r="D27" s="222"/>
      <c r="E27" s="104"/>
      <c r="F27" s="222"/>
    </row>
    <row r="28" spans="1:6" ht="15.95" customHeight="1">
      <c r="A28" s="104" t="s">
        <v>1147</v>
      </c>
      <c r="B28" s="104">
        <v>0</v>
      </c>
      <c r="C28" s="104"/>
      <c r="D28" s="222"/>
      <c r="E28" s="104"/>
      <c r="F28" s="222"/>
    </row>
    <row r="29" spans="1:6" ht="15.95" customHeight="1">
      <c r="A29" s="247" t="s">
        <v>1107</v>
      </c>
      <c r="B29" s="247"/>
      <c r="C29" s="247"/>
      <c r="D29" s="247"/>
      <c r="E29" s="247"/>
      <c r="F29" s="247"/>
    </row>
    <row r="30" spans="1:6" ht="15.95" customHeight="1">
      <c r="A30" s="249" t="s">
        <v>1098</v>
      </c>
      <c r="B30" s="249"/>
      <c r="C30" s="249" t="s">
        <v>1099</v>
      </c>
      <c r="D30" s="249"/>
      <c r="E30" s="249" t="s">
        <v>1100</v>
      </c>
      <c r="F30" s="249"/>
    </row>
    <row r="31" spans="1:6" ht="15.95" customHeight="1">
      <c r="A31" s="145" t="s">
        <v>1101</v>
      </c>
      <c r="B31" s="145" t="s">
        <v>1102</v>
      </c>
      <c r="C31" s="145" t="s">
        <v>1101</v>
      </c>
      <c r="D31" s="145" t="s">
        <v>1102</v>
      </c>
      <c r="E31" s="145" t="s">
        <v>1101</v>
      </c>
      <c r="F31" s="145" t="s">
        <v>1102</v>
      </c>
    </row>
    <row r="32" spans="1:6" ht="15.95" customHeight="1">
      <c r="A32" s="225" t="s">
        <v>1108</v>
      </c>
      <c r="B32" s="116">
        <v>603314</v>
      </c>
      <c r="C32" s="225" t="s">
        <v>1108</v>
      </c>
      <c r="D32" s="145">
        <v>35002</v>
      </c>
      <c r="E32" s="225" t="s">
        <v>1108</v>
      </c>
      <c r="F32" s="116">
        <v>606915</v>
      </c>
    </row>
    <row r="33" spans="1:6" ht="15.95" customHeight="1">
      <c r="A33" s="223" t="s">
        <v>1148</v>
      </c>
      <c r="B33" s="105">
        <v>11633</v>
      </c>
      <c r="C33" s="223" t="s">
        <v>1148</v>
      </c>
      <c r="D33" s="105">
        <v>3601</v>
      </c>
      <c r="E33" s="223" t="s">
        <v>1148</v>
      </c>
      <c r="F33" s="105">
        <v>15234</v>
      </c>
    </row>
    <row r="34" spans="1:6" ht="15.95" customHeight="1">
      <c r="A34" s="104" t="s">
        <v>1109</v>
      </c>
      <c r="B34" s="222">
        <v>3390</v>
      </c>
      <c r="C34" s="104" t="s">
        <v>1104</v>
      </c>
      <c r="D34" s="222">
        <v>13900</v>
      </c>
      <c r="E34" s="104" t="s">
        <v>1109</v>
      </c>
      <c r="F34" s="104">
        <v>3390</v>
      </c>
    </row>
    <row r="35" spans="1:6" ht="15.95" customHeight="1">
      <c r="A35" s="104" t="s">
        <v>1149</v>
      </c>
      <c r="B35" s="222">
        <v>303300</v>
      </c>
      <c r="C35" s="104" t="s">
        <v>1150</v>
      </c>
      <c r="D35" s="222">
        <v>10969</v>
      </c>
      <c r="E35" s="104" t="s">
        <v>1151</v>
      </c>
      <c r="F35" s="104">
        <v>303300</v>
      </c>
    </row>
    <row r="36" spans="1:6" ht="15.95" customHeight="1">
      <c r="A36" s="104" t="s">
        <v>1152</v>
      </c>
      <c r="B36" s="222">
        <v>35506</v>
      </c>
      <c r="C36" s="104" t="s">
        <v>1153</v>
      </c>
      <c r="D36" s="222">
        <v>6532</v>
      </c>
      <c r="E36" s="104" t="s">
        <v>1122</v>
      </c>
      <c r="F36" s="104">
        <v>35506</v>
      </c>
    </row>
    <row r="37" spans="1:6" ht="15.95" customHeight="1">
      <c r="A37" s="104" t="s">
        <v>1154</v>
      </c>
      <c r="B37" s="222">
        <v>249485</v>
      </c>
      <c r="C37" s="104"/>
      <c r="D37" s="222"/>
      <c r="E37" s="104" t="s">
        <v>1154</v>
      </c>
      <c r="F37" s="104">
        <v>249485</v>
      </c>
    </row>
    <row r="38" spans="1:6" ht="15.95" customHeight="1">
      <c r="A38" s="145" t="s">
        <v>1110</v>
      </c>
      <c r="B38" s="224">
        <v>561468</v>
      </c>
      <c r="C38" s="109"/>
      <c r="D38" s="224"/>
      <c r="E38" s="145" t="s">
        <v>1110</v>
      </c>
      <c r="F38" s="109">
        <v>558537</v>
      </c>
    </row>
    <row r="39" spans="1:6" ht="15.95" customHeight="1">
      <c r="A39" s="104" t="s">
        <v>1155</v>
      </c>
      <c r="B39" s="222">
        <v>219583</v>
      </c>
      <c r="C39" s="104"/>
      <c r="D39" s="222"/>
      <c r="E39" s="104" t="s">
        <v>1156</v>
      </c>
      <c r="F39" s="104">
        <v>230552</v>
      </c>
    </row>
    <row r="40" spans="1:6" ht="15.95" customHeight="1">
      <c r="A40" s="104" t="s">
        <v>1157</v>
      </c>
      <c r="B40" s="222">
        <v>0</v>
      </c>
      <c r="C40" s="104"/>
      <c r="D40" s="222"/>
      <c r="E40" s="104" t="s">
        <v>1158</v>
      </c>
      <c r="F40" s="104">
        <v>249485</v>
      </c>
    </row>
    <row r="41" spans="1:6" ht="15.95" customHeight="1">
      <c r="A41" s="104" t="s">
        <v>1159</v>
      </c>
      <c r="B41" s="222">
        <v>249485</v>
      </c>
      <c r="C41" s="104"/>
      <c r="D41" s="222"/>
      <c r="E41" s="104" t="s">
        <v>1160</v>
      </c>
      <c r="F41" s="104">
        <v>78500</v>
      </c>
    </row>
    <row r="42" spans="1:6" ht="15.95" customHeight="1">
      <c r="A42" s="104" t="s">
        <v>1161</v>
      </c>
      <c r="B42" s="222">
        <v>0</v>
      </c>
      <c r="C42" s="104"/>
      <c r="D42" s="222"/>
      <c r="E42" s="104" t="s">
        <v>1162</v>
      </c>
      <c r="F42" s="104">
        <v>0</v>
      </c>
    </row>
    <row r="43" spans="1:6" ht="15.95" customHeight="1">
      <c r="A43" s="104" t="s">
        <v>1140</v>
      </c>
      <c r="B43" s="222">
        <v>78500</v>
      </c>
      <c r="C43" s="104"/>
      <c r="D43" s="222"/>
      <c r="E43" s="104"/>
      <c r="F43" s="104"/>
    </row>
    <row r="44" spans="1:6" ht="15.95" customHeight="1">
      <c r="A44" s="104" t="s">
        <v>1163</v>
      </c>
      <c r="B44" s="222">
        <v>0</v>
      </c>
      <c r="C44" s="104"/>
      <c r="D44" s="222"/>
      <c r="E44" s="104"/>
      <c r="F44" s="104"/>
    </row>
    <row r="45" spans="1:6" ht="15.95" customHeight="1">
      <c r="A45" s="104" t="s">
        <v>1164</v>
      </c>
      <c r="B45" s="222">
        <v>13900</v>
      </c>
      <c r="C45" s="104"/>
      <c r="D45" s="222"/>
      <c r="E45" s="104"/>
      <c r="F45" s="104"/>
    </row>
    <row r="46" spans="1:6" ht="15.95" customHeight="1">
      <c r="A46" s="109" t="s">
        <v>1111</v>
      </c>
      <c r="B46" s="224">
        <v>41846</v>
      </c>
      <c r="C46" s="109"/>
      <c r="D46" s="224"/>
      <c r="E46" s="109" t="s">
        <v>1111</v>
      </c>
      <c r="F46" s="224">
        <v>48378</v>
      </c>
    </row>
    <row r="47" spans="1:6" s="142" customFormat="1" ht="15.95" customHeight="1">
      <c r="A47" s="109" t="s">
        <v>1165</v>
      </c>
      <c r="B47" s="104"/>
      <c r="C47" s="104"/>
      <c r="D47" s="104"/>
      <c r="E47" s="104"/>
      <c r="F47" s="104"/>
    </row>
    <row r="48" spans="1:6" ht="15.95" customHeight="1">
      <c r="A48" s="249" t="s">
        <v>1098</v>
      </c>
      <c r="B48" s="249"/>
      <c r="C48" s="249" t="s">
        <v>1099</v>
      </c>
      <c r="D48" s="249"/>
      <c r="E48" s="249" t="s">
        <v>1100</v>
      </c>
      <c r="F48" s="249"/>
    </row>
    <row r="49" spans="1:6" ht="15.95" customHeight="1">
      <c r="A49" s="104" t="s">
        <v>1166</v>
      </c>
      <c r="B49" s="104">
        <v>336</v>
      </c>
      <c r="C49" s="104"/>
      <c r="D49" s="104"/>
      <c r="E49" s="104" t="s">
        <v>1166</v>
      </c>
      <c r="F49" s="104">
        <v>336</v>
      </c>
    </row>
    <row r="50" spans="1:6" ht="15.95" customHeight="1">
      <c r="A50" s="104" t="s">
        <v>1167</v>
      </c>
      <c r="B50" s="104">
        <v>336</v>
      </c>
      <c r="C50" s="104"/>
      <c r="D50" s="104"/>
      <c r="E50" s="104" t="s">
        <v>1167</v>
      </c>
      <c r="F50" s="104">
        <v>336</v>
      </c>
    </row>
    <row r="51" spans="1:6" ht="15.95" customHeight="1">
      <c r="A51" s="104" t="s">
        <v>1168</v>
      </c>
      <c r="B51" s="104">
        <v>0</v>
      </c>
      <c r="C51" s="104"/>
      <c r="D51" s="104"/>
      <c r="E51" s="104" t="s">
        <v>1168</v>
      </c>
      <c r="F51" s="104">
        <v>0</v>
      </c>
    </row>
    <row r="52" spans="1:6" ht="15.95" customHeight="1">
      <c r="A52" s="145" t="s">
        <v>1169</v>
      </c>
      <c r="B52" s="109"/>
      <c r="C52" s="109"/>
      <c r="D52" s="119"/>
      <c r="E52" s="224"/>
      <c r="F52" s="224"/>
    </row>
    <row r="53" spans="1:6" ht="15.95" customHeight="1">
      <c r="A53" s="223" t="s">
        <v>1170</v>
      </c>
      <c r="B53" s="222">
        <v>78713</v>
      </c>
      <c r="C53" s="109"/>
      <c r="D53" s="223"/>
      <c r="E53" s="223" t="s">
        <v>1171</v>
      </c>
      <c r="F53" s="222">
        <v>70951</v>
      </c>
    </row>
    <row r="54" spans="1:6" ht="15.95" customHeight="1">
      <c r="A54" s="104" t="s">
        <v>1172</v>
      </c>
      <c r="B54" s="222">
        <v>83453</v>
      </c>
      <c r="C54" s="109"/>
      <c r="D54" s="223"/>
      <c r="E54" s="223" t="s">
        <v>1173</v>
      </c>
      <c r="F54" s="222">
        <v>91215</v>
      </c>
    </row>
    <row r="55" spans="1:6" ht="15.95" customHeight="1">
      <c r="A55" s="145" t="s">
        <v>1174</v>
      </c>
      <c r="B55" s="109">
        <v>162166</v>
      </c>
      <c r="C55" s="109"/>
      <c r="D55" s="145"/>
      <c r="E55" s="145" t="s">
        <v>1175</v>
      </c>
      <c r="F55" s="109">
        <v>162166</v>
      </c>
    </row>
  </sheetData>
  <mergeCells count="12">
    <mergeCell ref="A30:B30"/>
    <mergeCell ref="C30:D30"/>
    <mergeCell ref="E30:F30"/>
    <mergeCell ref="A48:B48"/>
    <mergeCell ref="C48:D48"/>
    <mergeCell ref="E48:F48"/>
    <mergeCell ref="A29:F29"/>
    <mergeCell ref="A1:F2"/>
    <mergeCell ref="A4:F4"/>
    <mergeCell ref="A5:B5"/>
    <mergeCell ref="C5:D5"/>
    <mergeCell ref="E5:F5"/>
  </mergeCells>
  <phoneticPr fontId="3" type="noConversion"/>
  <printOptions horizontalCentered="1"/>
  <pageMargins left="0.35433070866141736" right="0.35433070866141736" top="0.19685039370078741" bottom="0.19685039370078741" header="0.31496062992125984" footer="0.11811023622047245"/>
  <pageSetup paperSize="9" scale="88" firstPageNumber="7" orientation="portrait" useFirstPageNumber="1" verticalDpi="180" r:id="rId1"/>
  <headerFooter alignWithMargins="0">
    <oddFooter>第 &amp;P 页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M259"/>
  <sheetViews>
    <sheetView workbookViewId="0">
      <pane xSplit="1" ySplit="5" topLeftCell="B6" activePane="bottomRight" state="frozen"/>
      <selection activeCell="L41" sqref="L41"/>
      <selection pane="topRight" activeCell="L41" sqref="L41"/>
      <selection pane="bottomLeft" activeCell="L41" sqref="L41"/>
      <selection pane="bottomRight" activeCell="N68" sqref="N68"/>
    </sheetView>
  </sheetViews>
  <sheetFormatPr defaultRowHeight="12.75"/>
  <cols>
    <col min="1" max="1" width="30" style="3" customWidth="1"/>
    <col min="2" max="6" width="10.625" style="3" customWidth="1"/>
    <col min="7" max="7" width="11.375" style="3" customWidth="1"/>
    <col min="8" max="8" width="10.625" style="3" customWidth="1"/>
    <col min="9" max="10" width="9" style="2" hidden="1" customWidth="1"/>
    <col min="11" max="11" width="10.375" style="3" hidden="1" customWidth="1"/>
    <col min="12" max="12" width="9" style="2"/>
    <col min="13" max="13" width="9" style="214"/>
    <col min="14" max="257" width="9" style="2"/>
    <col min="258" max="258" width="26.25" style="2" customWidth="1"/>
    <col min="259" max="259" width="8.625" style="2" customWidth="1"/>
    <col min="260" max="260" width="8.5" style="2" customWidth="1"/>
    <col min="261" max="261" width="9.375" style="2" bestFit="1" customWidth="1"/>
    <col min="262" max="262" width="10.375" style="2" customWidth="1"/>
    <col min="263" max="263" width="9.5" style="2" customWidth="1"/>
    <col min="264" max="264" width="13.125" style="2" customWidth="1"/>
    <col min="265" max="267" width="0" style="2" hidden="1" customWidth="1"/>
    <col min="268" max="513" width="9" style="2"/>
    <col min="514" max="514" width="26.25" style="2" customWidth="1"/>
    <col min="515" max="515" width="8.625" style="2" customWidth="1"/>
    <col min="516" max="516" width="8.5" style="2" customWidth="1"/>
    <col min="517" max="517" width="9.375" style="2" bestFit="1" customWidth="1"/>
    <col min="518" max="518" width="10.375" style="2" customWidth="1"/>
    <col min="519" max="519" width="9.5" style="2" customWidth="1"/>
    <col min="520" max="520" width="13.125" style="2" customWidth="1"/>
    <col min="521" max="523" width="0" style="2" hidden="1" customWidth="1"/>
    <col min="524" max="769" width="9" style="2"/>
    <col min="770" max="770" width="26.25" style="2" customWidth="1"/>
    <col min="771" max="771" width="8.625" style="2" customWidth="1"/>
    <col min="772" max="772" width="8.5" style="2" customWidth="1"/>
    <col min="773" max="773" width="9.375" style="2" bestFit="1" customWidth="1"/>
    <col min="774" max="774" width="10.375" style="2" customWidth="1"/>
    <col min="775" max="775" width="9.5" style="2" customWidth="1"/>
    <col min="776" max="776" width="13.125" style="2" customWidth="1"/>
    <col min="777" max="779" width="0" style="2" hidden="1" customWidth="1"/>
    <col min="780" max="1025" width="9" style="2"/>
    <col min="1026" max="1026" width="26.25" style="2" customWidth="1"/>
    <col min="1027" max="1027" width="8.625" style="2" customWidth="1"/>
    <col min="1028" max="1028" width="8.5" style="2" customWidth="1"/>
    <col min="1029" max="1029" width="9.375" style="2" bestFit="1" customWidth="1"/>
    <col min="1030" max="1030" width="10.375" style="2" customWidth="1"/>
    <col min="1031" max="1031" width="9.5" style="2" customWidth="1"/>
    <col min="1032" max="1032" width="13.125" style="2" customWidth="1"/>
    <col min="1033" max="1035" width="0" style="2" hidden="1" customWidth="1"/>
    <col min="1036" max="1281" width="9" style="2"/>
    <col min="1282" max="1282" width="26.25" style="2" customWidth="1"/>
    <col min="1283" max="1283" width="8.625" style="2" customWidth="1"/>
    <col min="1284" max="1284" width="8.5" style="2" customWidth="1"/>
    <col min="1285" max="1285" width="9.375" style="2" bestFit="1" customWidth="1"/>
    <col min="1286" max="1286" width="10.375" style="2" customWidth="1"/>
    <col min="1287" max="1287" width="9.5" style="2" customWidth="1"/>
    <col min="1288" max="1288" width="13.125" style="2" customWidth="1"/>
    <col min="1289" max="1291" width="0" style="2" hidden="1" customWidth="1"/>
    <col min="1292" max="1537" width="9" style="2"/>
    <col min="1538" max="1538" width="26.25" style="2" customWidth="1"/>
    <col min="1539" max="1539" width="8.625" style="2" customWidth="1"/>
    <col min="1540" max="1540" width="8.5" style="2" customWidth="1"/>
    <col min="1541" max="1541" width="9.375" style="2" bestFit="1" customWidth="1"/>
    <col min="1542" max="1542" width="10.375" style="2" customWidth="1"/>
    <col min="1543" max="1543" width="9.5" style="2" customWidth="1"/>
    <col min="1544" max="1544" width="13.125" style="2" customWidth="1"/>
    <col min="1545" max="1547" width="0" style="2" hidden="1" customWidth="1"/>
    <col min="1548" max="1793" width="9" style="2"/>
    <col min="1794" max="1794" width="26.25" style="2" customWidth="1"/>
    <col min="1795" max="1795" width="8.625" style="2" customWidth="1"/>
    <col min="1796" max="1796" width="8.5" style="2" customWidth="1"/>
    <col min="1797" max="1797" width="9.375" style="2" bestFit="1" customWidth="1"/>
    <col min="1798" max="1798" width="10.375" style="2" customWidth="1"/>
    <col min="1799" max="1799" width="9.5" style="2" customWidth="1"/>
    <col min="1800" max="1800" width="13.125" style="2" customWidth="1"/>
    <col min="1801" max="1803" width="0" style="2" hidden="1" customWidth="1"/>
    <col min="1804" max="2049" width="9" style="2"/>
    <col min="2050" max="2050" width="26.25" style="2" customWidth="1"/>
    <col min="2051" max="2051" width="8.625" style="2" customWidth="1"/>
    <col min="2052" max="2052" width="8.5" style="2" customWidth="1"/>
    <col min="2053" max="2053" width="9.375" style="2" bestFit="1" customWidth="1"/>
    <col min="2054" max="2054" width="10.375" style="2" customWidth="1"/>
    <col min="2055" max="2055" width="9.5" style="2" customWidth="1"/>
    <col min="2056" max="2056" width="13.125" style="2" customWidth="1"/>
    <col min="2057" max="2059" width="0" style="2" hidden="1" customWidth="1"/>
    <col min="2060" max="2305" width="9" style="2"/>
    <col min="2306" max="2306" width="26.25" style="2" customWidth="1"/>
    <col min="2307" max="2307" width="8.625" style="2" customWidth="1"/>
    <col min="2308" max="2308" width="8.5" style="2" customWidth="1"/>
    <col min="2309" max="2309" width="9.375" style="2" bestFit="1" customWidth="1"/>
    <col min="2310" max="2310" width="10.375" style="2" customWidth="1"/>
    <col min="2311" max="2311" width="9.5" style="2" customWidth="1"/>
    <col min="2312" max="2312" width="13.125" style="2" customWidth="1"/>
    <col min="2313" max="2315" width="0" style="2" hidden="1" customWidth="1"/>
    <col min="2316" max="2561" width="9" style="2"/>
    <col min="2562" max="2562" width="26.25" style="2" customWidth="1"/>
    <col min="2563" max="2563" width="8.625" style="2" customWidth="1"/>
    <col min="2564" max="2564" width="8.5" style="2" customWidth="1"/>
    <col min="2565" max="2565" width="9.375" style="2" bestFit="1" customWidth="1"/>
    <col min="2566" max="2566" width="10.375" style="2" customWidth="1"/>
    <col min="2567" max="2567" width="9.5" style="2" customWidth="1"/>
    <col min="2568" max="2568" width="13.125" style="2" customWidth="1"/>
    <col min="2569" max="2571" width="0" style="2" hidden="1" customWidth="1"/>
    <col min="2572" max="2817" width="9" style="2"/>
    <col min="2818" max="2818" width="26.25" style="2" customWidth="1"/>
    <col min="2819" max="2819" width="8.625" style="2" customWidth="1"/>
    <col min="2820" max="2820" width="8.5" style="2" customWidth="1"/>
    <col min="2821" max="2821" width="9.375" style="2" bestFit="1" customWidth="1"/>
    <col min="2822" max="2822" width="10.375" style="2" customWidth="1"/>
    <col min="2823" max="2823" width="9.5" style="2" customWidth="1"/>
    <col min="2824" max="2824" width="13.125" style="2" customWidth="1"/>
    <col min="2825" max="2827" width="0" style="2" hidden="1" customWidth="1"/>
    <col min="2828" max="3073" width="9" style="2"/>
    <col min="3074" max="3074" width="26.25" style="2" customWidth="1"/>
    <col min="3075" max="3075" width="8.625" style="2" customWidth="1"/>
    <col min="3076" max="3076" width="8.5" style="2" customWidth="1"/>
    <col min="3077" max="3077" width="9.375" style="2" bestFit="1" customWidth="1"/>
    <col min="3078" max="3078" width="10.375" style="2" customWidth="1"/>
    <col min="3079" max="3079" width="9.5" style="2" customWidth="1"/>
    <col min="3080" max="3080" width="13.125" style="2" customWidth="1"/>
    <col min="3081" max="3083" width="0" style="2" hidden="1" customWidth="1"/>
    <col min="3084" max="3329" width="9" style="2"/>
    <col min="3330" max="3330" width="26.25" style="2" customWidth="1"/>
    <col min="3331" max="3331" width="8.625" style="2" customWidth="1"/>
    <col min="3332" max="3332" width="8.5" style="2" customWidth="1"/>
    <col min="3333" max="3333" width="9.375" style="2" bestFit="1" customWidth="1"/>
    <col min="3334" max="3334" width="10.375" style="2" customWidth="1"/>
    <col min="3335" max="3335" width="9.5" style="2" customWidth="1"/>
    <col min="3336" max="3336" width="13.125" style="2" customWidth="1"/>
    <col min="3337" max="3339" width="0" style="2" hidden="1" customWidth="1"/>
    <col min="3340" max="3585" width="9" style="2"/>
    <col min="3586" max="3586" width="26.25" style="2" customWidth="1"/>
    <col min="3587" max="3587" width="8.625" style="2" customWidth="1"/>
    <col min="3588" max="3588" width="8.5" style="2" customWidth="1"/>
    <col min="3589" max="3589" width="9.375" style="2" bestFit="1" customWidth="1"/>
    <col min="3590" max="3590" width="10.375" style="2" customWidth="1"/>
    <col min="3591" max="3591" width="9.5" style="2" customWidth="1"/>
    <col min="3592" max="3592" width="13.125" style="2" customWidth="1"/>
    <col min="3593" max="3595" width="0" style="2" hidden="1" customWidth="1"/>
    <col min="3596" max="3841" width="9" style="2"/>
    <col min="3842" max="3842" width="26.25" style="2" customWidth="1"/>
    <col min="3843" max="3843" width="8.625" style="2" customWidth="1"/>
    <col min="3844" max="3844" width="8.5" style="2" customWidth="1"/>
    <col min="3845" max="3845" width="9.375" style="2" bestFit="1" customWidth="1"/>
    <col min="3846" max="3846" width="10.375" style="2" customWidth="1"/>
    <col min="3847" max="3847" width="9.5" style="2" customWidth="1"/>
    <col min="3848" max="3848" width="13.125" style="2" customWidth="1"/>
    <col min="3849" max="3851" width="0" style="2" hidden="1" customWidth="1"/>
    <col min="3852" max="4097" width="9" style="2"/>
    <col min="4098" max="4098" width="26.25" style="2" customWidth="1"/>
    <col min="4099" max="4099" width="8.625" style="2" customWidth="1"/>
    <col min="4100" max="4100" width="8.5" style="2" customWidth="1"/>
    <col min="4101" max="4101" width="9.375" style="2" bestFit="1" customWidth="1"/>
    <col min="4102" max="4102" width="10.375" style="2" customWidth="1"/>
    <col min="4103" max="4103" width="9.5" style="2" customWidth="1"/>
    <col min="4104" max="4104" width="13.125" style="2" customWidth="1"/>
    <col min="4105" max="4107" width="0" style="2" hidden="1" customWidth="1"/>
    <col min="4108" max="4353" width="9" style="2"/>
    <col min="4354" max="4354" width="26.25" style="2" customWidth="1"/>
    <col min="4355" max="4355" width="8.625" style="2" customWidth="1"/>
    <col min="4356" max="4356" width="8.5" style="2" customWidth="1"/>
    <col min="4357" max="4357" width="9.375" style="2" bestFit="1" customWidth="1"/>
    <col min="4358" max="4358" width="10.375" style="2" customWidth="1"/>
    <col min="4359" max="4359" width="9.5" style="2" customWidth="1"/>
    <col min="4360" max="4360" width="13.125" style="2" customWidth="1"/>
    <col min="4361" max="4363" width="0" style="2" hidden="1" customWidth="1"/>
    <col min="4364" max="4609" width="9" style="2"/>
    <col min="4610" max="4610" width="26.25" style="2" customWidth="1"/>
    <col min="4611" max="4611" width="8.625" style="2" customWidth="1"/>
    <col min="4612" max="4612" width="8.5" style="2" customWidth="1"/>
    <col min="4613" max="4613" width="9.375" style="2" bestFit="1" customWidth="1"/>
    <col min="4614" max="4614" width="10.375" style="2" customWidth="1"/>
    <col min="4615" max="4615" width="9.5" style="2" customWidth="1"/>
    <col min="4616" max="4616" width="13.125" style="2" customWidth="1"/>
    <col min="4617" max="4619" width="0" style="2" hidden="1" customWidth="1"/>
    <col min="4620" max="4865" width="9" style="2"/>
    <col min="4866" max="4866" width="26.25" style="2" customWidth="1"/>
    <col min="4867" max="4867" width="8.625" style="2" customWidth="1"/>
    <col min="4868" max="4868" width="8.5" style="2" customWidth="1"/>
    <col min="4869" max="4869" width="9.375" style="2" bestFit="1" customWidth="1"/>
    <col min="4870" max="4870" width="10.375" style="2" customWidth="1"/>
    <col min="4871" max="4871" width="9.5" style="2" customWidth="1"/>
    <col min="4872" max="4872" width="13.125" style="2" customWidth="1"/>
    <col min="4873" max="4875" width="0" style="2" hidden="1" customWidth="1"/>
    <col min="4876" max="5121" width="9" style="2"/>
    <col min="5122" max="5122" width="26.25" style="2" customWidth="1"/>
    <col min="5123" max="5123" width="8.625" style="2" customWidth="1"/>
    <col min="5124" max="5124" width="8.5" style="2" customWidth="1"/>
    <col min="5125" max="5125" width="9.375" style="2" bestFit="1" customWidth="1"/>
    <col min="5126" max="5126" width="10.375" style="2" customWidth="1"/>
    <col min="5127" max="5127" width="9.5" style="2" customWidth="1"/>
    <col min="5128" max="5128" width="13.125" style="2" customWidth="1"/>
    <col min="5129" max="5131" width="0" style="2" hidden="1" customWidth="1"/>
    <col min="5132" max="5377" width="9" style="2"/>
    <col min="5378" max="5378" width="26.25" style="2" customWidth="1"/>
    <col min="5379" max="5379" width="8.625" style="2" customWidth="1"/>
    <col min="5380" max="5380" width="8.5" style="2" customWidth="1"/>
    <col min="5381" max="5381" width="9.375" style="2" bestFit="1" customWidth="1"/>
    <col min="5382" max="5382" width="10.375" style="2" customWidth="1"/>
    <col min="5383" max="5383" width="9.5" style="2" customWidth="1"/>
    <col min="5384" max="5384" width="13.125" style="2" customWidth="1"/>
    <col min="5385" max="5387" width="0" style="2" hidden="1" customWidth="1"/>
    <col min="5388" max="5633" width="9" style="2"/>
    <col min="5634" max="5634" width="26.25" style="2" customWidth="1"/>
    <col min="5635" max="5635" width="8.625" style="2" customWidth="1"/>
    <col min="5636" max="5636" width="8.5" style="2" customWidth="1"/>
    <col min="5637" max="5637" width="9.375" style="2" bestFit="1" customWidth="1"/>
    <col min="5638" max="5638" width="10.375" style="2" customWidth="1"/>
    <col min="5639" max="5639" width="9.5" style="2" customWidth="1"/>
    <col min="5640" max="5640" width="13.125" style="2" customWidth="1"/>
    <col min="5641" max="5643" width="0" style="2" hidden="1" customWidth="1"/>
    <col min="5644" max="5889" width="9" style="2"/>
    <col min="5890" max="5890" width="26.25" style="2" customWidth="1"/>
    <col min="5891" max="5891" width="8.625" style="2" customWidth="1"/>
    <col min="5892" max="5892" width="8.5" style="2" customWidth="1"/>
    <col min="5893" max="5893" width="9.375" style="2" bestFit="1" customWidth="1"/>
    <col min="5894" max="5894" width="10.375" style="2" customWidth="1"/>
    <col min="5895" max="5895" width="9.5" style="2" customWidth="1"/>
    <col min="5896" max="5896" width="13.125" style="2" customWidth="1"/>
    <col min="5897" max="5899" width="0" style="2" hidden="1" customWidth="1"/>
    <col min="5900" max="6145" width="9" style="2"/>
    <col min="6146" max="6146" width="26.25" style="2" customWidth="1"/>
    <col min="6147" max="6147" width="8.625" style="2" customWidth="1"/>
    <col min="6148" max="6148" width="8.5" style="2" customWidth="1"/>
    <col min="6149" max="6149" width="9.375" style="2" bestFit="1" customWidth="1"/>
    <col min="6150" max="6150" width="10.375" style="2" customWidth="1"/>
    <col min="6151" max="6151" width="9.5" style="2" customWidth="1"/>
    <col min="6152" max="6152" width="13.125" style="2" customWidth="1"/>
    <col min="6153" max="6155" width="0" style="2" hidden="1" customWidth="1"/>
    <col min="6156" max="6401" width="9" style="2"/>
    <col min="6402" max="6402" width="26.25" style="2" customWidth="1"/>
    <col min="6403" max="6403" width="8.625" style="2" customWidth="1"/>
    <col min="6404" max="6404" width="8.5" style="2" customWidth="1"/>
    <col min="6405" max="6405" width="9.375" style="2" bestFit="1" customWidth="1"/>
    <col min="6406" max="6406" width="10.375" style="2" customWidth="1"/>
    <col min="6407" max="6407" width="9.5" style="2" customWidth="1"/>
    <col min="6408" max="6408" width="13.125" style="2" customWidth="1"/>
    <col min="6409" max="6411" width="0" style="2" hidden="1" customWidth="1"/>
    <col min="6412" max="6657" width="9" style="2"/>
    <col min="6658" max="6658" width="26.25" style="2" customWidth="1"/>
    <col min="6659" max="6659" width="8.625" style="2" customWidth="1"/>
    <col min="6660" max="6660" width="8.5" style="2" customWidth="1"/>
    <col min="6661" max="6661" width="9.375" style="2" bestFit="1" customWidth="1"/>
    <col min="6662" max="6662" width="10.375" style="2" customWidth="1"/>
    <col min="6663" max="6663" width="9.5" style="2" customWidth="1"/>
    <col min="6664" max="6664" width="13.125" style="2" customWidth="1"/>
    <col min="6665" max="6667" width="0" style="2" hidden="1" customWidth="1"/>
    <col min="6668" max="6913" width="9" style="2"/>
    <col min="6914" max="6914" width="26.25" style="2" customWidth="1"/>
    <col min="6915" max="6915" width="8.625" style="2" customWidth="1"/>
    <col min="6916" max="6916" width="8.5" style="2" customWidth="1"/>
    <col min="6917" max="6917" width="9.375" style="2" bestFit="1" customWidth="1"/>
    <col min="6918" max="6918" width="10.375" style="2" customWidth="1"/>
    <col min="6919" max="6919" width="9.5" style="2" customWidth="1"/>
    <col min="6920" max="6920" width="13.125" style="2" customWidth="1"/>
    <col min="6921" max="6923" width="0" style="2" hidden="1" customWidth="1"/>
    <col min="6924" max="7169" width="9" style="2"/>
    <col min="7170" max="7170" width="26.25" style="2" customWidth="1"/>
    <col min="7171" max="7171" width="8.625" style="2" customWidth="1"/>
    <col min="7172" max="7172" width="8.5" style="2" customWidth="1"/>
    <col min="7173" max="7173" width="9.375" style="2" bestFit="1" customWidth="1"/>
    <col min="7174" max="7174" width="10.375" style="2" customWidth="1"/>
    <col min="7175" max="7175" width="9.5" style="2" customWidth="1"/>
    <col min="7176" max="7176" width="13.125" style="2" customWidth="1"/>
    <col min="7177" max="7179" width="0" style="2" hidden="1" customWidth="1"/>
    <col min="7180" max="7425" width="9" style="2"/>
    <col min="7426" max="7426" width="26.25" style="2" customWidth="1"/>
    <col min="7427" max="7427" width="8.625" style="2" customWidth="1"/>
    <col min="7428" max="7428" width="8.5" style="2" customWidth="1"/>
    <col min="7429" max="7429" width="9.375" style="2" bestFit="1" customWidth="1"/>
    <col min="7430" max="7430" width="10.375" style="2" customWidth="1"/>
    <col min="7431" max="7431" width="9.5" style="2" customWidth="1"/>
    <col min="7432" max="7432" width="13.125" style="2" customWidth="1"/>
    <col min="7433" max="7435" width="0" style="2" hidden="1" customWidth="1"/>
    <col min="7436" max="7681" width="9" style="2"/>
    <col min="7682" max="7682" width="26.25" style="2" customWidth="1"/>
    <col min="7683" max="7683" width="8.625" style="2" customWidth="1"/>
    <col min="7684" max="7684" width="8.5" style="2" customWidth="1"/>
    <col min="7685" max="7685" width="9.375" style="2" bestFit="1" customWidth="1"/>
    <col min="7686" max="7686" width="10.375" style="2" customWidth="1"/>
    <col min="7687" max="7687" width="9.5" style="2" customWidth="1"/>
    <col min="7688" max="7688" width="13.125" style="2" customWidth="1"/>
    <col min="7689" max="7691" width="0" style="2" hidden="1" customWidth="1"/>
    <col min="7692" max="7937" width="9" style="2"/>
    <col min="7938" max="7938" width="26.25" style="2" customWidth="1"/>
    <col min="7939" max="7939" width="8.625" style="2" customWidth="1"/>
    <col min="7940" max="7940" width="8.5" style="2" customWidth="1"/>
    <col min="7941" max="7941" width="9.375" style="2" bestFit="1" customWidth="1"/>
    <col min="7942" max="7942" width="10.375" style="2" customWidth="1"/>
    <col min="7943" max="7943" width="9.5" style="2" customWidth="1"/>
    <col min="7944" max="7944" width="13.125" style="2" customWidth="1"/>
    <col min="7945" max="7947" width="0" style="2" hidden="1" customWidth="1"/>
    <col min="7948" max="8193" width="9" style="2"/>
    <col min="8194" max="8194" width="26.25" style="2" customWidth="1"/>
    <col min="8195" max="8195" width="8.625" style="2" customWidth="1"/>
    <col min="8196" max="8196" width="8.5" style="2" customWidth="1"/>
    <col min="8197" max="8197" width="9.375" style="2" bestFit="1" customWidth="1"/>
    <col min="8198" max="8198" width="10.375" style="2" customWidth="1"/>
    <col min="8199" max="8199" width="9.5" style="2" customWidth="1"/>
    <col min="8200" max="8200" width="13.125" style="2" customWidth="1"/>
    <col min="8201" max="8203" width="0" style="2" hidden="1" customWidth="1"/>
    <col min="8204" max="8449" width="9" style="2"/>
    <col min="8450" max="8450" width="26.25" style="2" customWidth="1"/>
    <col min="8451" max="8451" width="8.625" style="2" customWidth="1"/>
    <col min="8452" max="8452" width="8.5" style="2" customWidth="1"/>
    <col min="8453" max="8453" width="9.375" style="2" bestFit="1" customWidth="1"/>
    <col min="8454" max="8454" width="10.375" style="2" customWidth="1"/>
    <col min="8455" max="8455" width="9.5" style="2" customWidth="1"/>
    <col min="8456" max="8456" width="13.125" style="2" customWidth="1"/>
    <col min="8457" max="8459" width="0" style="2" hidden="1" customWidth="1"/>
    <col min="8460" max="8705" width="9" style="2"/>
    <col min="8706" max="8706" width="26.25" style="2" customWidth="1"/>
    <col min="8707" max="8707" width="8.625" style="2" customWidth="1"/>
    <col min="8708" max="8708" width="8.5" style="2" customWidth="1"/>
    <col min="8709" max="8709" width="9.375" style="2" bestFit="1" customWidth="1"/>
    <col min="8710" max="8710" width="10.375" style="2" customWidth="1"/>
    <col min="8711" max="8711" width="9.5" style="2" customWidth="1"/>
    <col min="8712" max="8712" width="13.125" style="2" customWidth="1"/>
    <col min="8713" max="8715" width="0" style="2" hidden="1" customWidth="1"/>
    <col min="8716" max="8961" width="9" style="2"/>
    <col min="8962" max="8962" width="26.25" style="2" customWidth="1"/>
    <col min="8963" max="8963" width="8.625" style="2" customWidth="1"/>
    <col min="8964" max="8964" width="8.5" style="2" customWidth="1"/>
    <col min="8965" max="8965" width="9.375" style="2" bestFit="1" customWidth="1"/>
    <col min="8966" max="8966" width="10.375" style="2" customWidth="1"/>
    <col min="8967" max="8967" width="9.5" style="2" customWidth="1"/>
    <col min="8968" max="8968" width="13.125" style="2" customWidth="1"/>
    <col min="8969" max="8971" width="0" style="2" hidden="1" customWidth="1"/>
    <col min="8972" max="9217" width="9" style="2"/>
    <col min="9218" max="9218" width="26.25" style="2" customWidth="1"/>
    <col min="9219" max="9219" width="8.625" style="2" customWidth="1"/>
    <col min="9220" max="9220" width="8.5" style="2" customWidth="1"/>
    <col min="9221" max="9221" width="9.375" style="2" bestFit="1" customWidth="1"/>
    <col min="9222" max="9222" width="10.375" style="2" customWidth="1"/>
    <col min="9223" max="9223" width="9.5" style="2" customWidth="1"/>
    <col min="9224" max="9224" width="13.125" style="2" customWidth="1"/>
    <col min="9225" max="9227" width="0" style="2" hidden="1" customWidth="1"/>
    <col min="9228" max="9473" width="9" style="2"/>
    <col min="9474" max="9474" width="26.25" style="2" customWidth="1"/>
    <col min="9475" max="9475" width="8.625" style="2" customWidth="1"/>
    <col min="9476" max="9476" width="8.5" style="2" customWidth="1"/>
    <col min="9477" max="9477" width="9.375" style="2" bestFit="1" customWidth="1"/>
    <col min="9478" max="9478" width="10.375" style="2" customWidth="1"/>
    <col min="9479" max="9479" width="9.5" style="2" customWidth="1"/>
    <col min="9480" max="9480" width="13.125" style="2" customWidth="1"/>
    <col min="9481" max="9483" width="0" style="2" hidden="1" customWidth="1"/>
    <col min="9484" max="9729" width="9" style="2"/>
    <col min="9730" max="9730" width="26.25" style="2" customWidth="1"/>
    <col min="9731" max="9731" width="8.625" style="2" customWidth="1"/>
    <col min="9732" max="9732" width="8.5" style="2" customWidth="1"/>
    <col min="9733" max="9733" width="9.375" style="2" bestFit="1" customWidth="1"/>
    <col min="9734" max="9734" width="10.375" style="2" customWidth="1"/>
    <col min="9735" max="9735" width="9.5" style="2" customWidth="1"/>
    <col min="9736" max="9736" width="13.125" style="2" customWidth="1"/>
    <col min="9737" max="9739" width="0" style="2" hidden="1" customWidth="1"/>
    <col min="9740" max="9985" width="9" style="2"/>
    <col min="9986" max="9986" width="26.25" style="2" customWidth="1"/>
    <col min="9987" max="9987" width="8.625" style="2" customWidth="1"/>
    <col min="9988" max="9988" width="8.5" style="2" customWidth="1"/>
    <col min="9989" max="9989" width="9.375" style="2" bestFit="1" customWidth="1"/>
    <col min="9990" max="9990" width="10.375" style="2" customWidth="1"/>
    <col min="9991" max="9991" width="9.5" style="2" customWidth="1"/>
    <col min="9992" max="9992" width="13.125" style="2" customWidth="1"/>
    <col min="9993" max="9995" width="0" style="2" hidden="1" customWidth="1"/>
    <col min="9996" max="10241" width="9" style="2"/>
    <col min="10242" max="10242" width="26.25" style="2" customWidth="1"/>
    <col min="10243" max="10243" width="8.625" style="2" customWidth="1"/>
    <col min="10244" max="10244" width="8.5" style="2" customWidth="1"/>
    <col min="10245" max="10245" width="9.375" style="2" bestFit="1" customWidth="1"/>
    <col min="10246" max="10246" width="10.375" style="2" customWidth="1"/>
    <col min="10247" max="10247" width="9.5" style="2" customWidth="1"/>
    <col min="10248" max="10248" width="13.125" style="2" customWidth="1"/>
    <col min="10249" max="10251" width="0" style="2" hidden="1" customWidth="1"/>
    <col min="10252" max="10497" width="9" style="2"/>
    <col min="10498" max="10498" width="26.25" style="2" customWidth="1"/>
    <col min="10499" max="10499" width="8.625" style="2" customWidth="1"/>
    <col min="10500" max="10500" width="8.5" style="2" customWidth="1"/>
    <col min="10501" max="10501" width="9.375" style="2" bestFit="1" customWidth="1"/>
    <col min="10502" max="10502" width="10.375" style="2" customWidth="1"/>
    <col min="10503" max="10503" width="9.5" style="2" customWidth="1"/>
    <col min="10504" max="10504" width="13.125" style="2" customWidth="1"/>
    <col min="10505" max="10507" width="0" style="2" hidden="1" customWidth="1"/>
    <col min="10508" max="10753" width="9" style="2"/>
    <col min="10754" max="10754" width="26.25" style="2" customWidth="1"/>
    <col min="10755" max="10755" width="8.625" style="2" customWidth="1"/>
    <col min="10756" max="10756" width="8.5" style="2" customWidth="1"/>
    <col min="10757" max="10757" width="9.375" style="2" bestFit="1" customWidth="1"/>
    <col min="10758" max="10758" width="10.375" style="2" customWidth="1"/>
    <col min="10759" max="10759" width="9.5" style="2" customWidth="1"/>
    <col min="10760" max="10760" width="13.125" style="2" customWidth="1"/>
    <col min="10761" max="10763" width="0" style="2" hidden="1" customWidth="1"/>
    <col min="10764" max="11009" width="9" style="2"/>
    <col min="11010" max="11010" width="26.25" style="2" customWidth="1"/>
    <col min="11011" max="11011" width="8.625" style="2" customWidth="1"/>
    <col min="11012" max="11012" width="8.5" style="2" customWidth="1"/>
    <col min="11013" max="11013" width="9.375" style="2" bestFit="1" customWidth="1"/>
    <col min="11014" max="11014" width="10.375" style="2" customWidth="1"/>
    <col min="11015" max="11015" width="9.5" style="2" customWidth="1"/>
    <col min="11016" max="11016" width="13.125" style="2" customWidth="1"/>
    <col min="11017" max="11019" width="0" style="2" hidden="1" customWidth="1"/>
    <col min="11020" max="11265" width="9" style="2"/>
    <col min="11266" max="11266" width="26.25" style="2" customWidth="1"/>
    <col min="11267" max="11267" width="8.625" style="2" customWidth="1"/>
    <col min="11268" max="11268" width="8.5" style="2" customWidth="1"/>
    <col min="11269" max="11269" width="9.375" style="2" bestFit="1" customWidth="1"/>
    <col min="11270" max="11270" width="10.375" style="2" customWidth="1"/>
    <col min="11271" max="11271" width="9.5" style="2" customWidth="1"/>
    <col min="11272" max="11272" width="13.125" style="2" customWidth="1"/>
    <col min="11273" max="11275" width="0" style="2" hidden="1" customWidth="1"/>
    <col min="11276" max="11521" width="9" style="2"/>
    <col min="11522" max="11522" width="26.25" style="2" customWidth="1"/>
    <col min="11523" max="11523" width="8.625" style="2" customWidth="1"/>
    <col min="11524" max="11524" width="8.5" style="2" customWidth="1"/>
    <col min="11525" max="11525" width="9.375" style="2" bestFit="1" customWidth="1"/>
    <col min="11526" max="11526" width="10.375" style="2" customWidth="1"/>
    <col min="11527" max="11527" width="9.5" style="2" customWidth="1"/>
    <col min="11528" max="11528" width="13.125" style="2" customWidth="1"/>
    <col min="11529" max="11531" width="0" style="2" hidden="1" customWidth="1"/>
    <col min="11532" max="11777" width="9" style="2"/>
    <col min="11778" max="11778" width="26.25" style="2" customWidth="1"/>
    <col min="11779" max="11779" width="8.625" style="2" customWidth="1"/>
    <col min="11780" max="11780" width="8.5" style="2" customWidth="1"/>
    <col min="11781" max="11781" width="9.375" style="2" bestFit="1" customWidth="1"/>
    <col min="11782" max="11782" width="10.375" style="2" customWidth="1"/>
    <col min="11783" max="11783" width="9.5" style="2" customWidth="1"/>
    <col min="11784" max="11784" width="13.125" style="2" customWidth="1"/>
    <col min="11785" max="11787" width="0" style="2" hidden="1" customWidth="1"/>
    <col min="11788" max="12033" width="9" style="2"/>
    <col min="12034" max="12034" width="26.25" style="2" customWidth="1"/>
    <col min="12035" max="12035" width="8.625" style="2" customWidth="1"/>
    <col min="12036" max="12036" width="8.5" style="2" customWidth="1"/>
    <col min="12037" max="12037" width="9.375" style="2" bestFit="1" customWidth="1"/>
    <col min="12038" max="12038" width="10.375" style="2" customWidth="1"/>
    <col min="12039" max="12039" width="9.5" style="2" customWidth="1"/>
    <col min="12040" max="12040" width="13.125" style="2" customWidth="1"/>
    <col min="12041" max="12043" width="0" style="2" hidden="1" customWidth="1"/>
    <col min="12044" max="12289" width="9" style="2"/>
    <col min="12290" max="12290" width="26.25" style="2" customWidth="1"/>
    <col min="12291" max="12291" width="8.625" style="2" customWidth="1"/>
    <col min="12292" max="12292" width="8.5" style="2" customWidth="1"/>
    <col min="12293" max="12293" width="9.375" style="2" bestFit="1" customWidth="1"/>
    <col min="12294" max="12294" width="10.375" style="2" customWidth="1"/>
    <col min="12295" max="12295" width="9.5" style="2" customWidth="1"/>
    <col min="12296" max="12296" width="13.125" style="2" customWidth="1"/>
    <col min="12297" max="12299" width="0" style="2" hidden="1" customWidth="1"/>
    <col min="12300" max="12545" width="9" style="2"/>
    <col min="12546" max="12546" width="26.25" style="2" customWidth="1"/>
    <col min="12547" max="12547" width="8.625" style="2" customWidth="1"/>
    <col min="12548" max="12548" width="8.5" style="2" customWidth="1"/>
    <col min="12549" max="12549" width="9.375" style="2" bestFit="1" customWidth="1"/>
    <col min="12550" max="12550" width="10.375" style="2" customWidth="1"/>
    <col min="12551" max="12551" width="9.5" style="2" customWidth="1"/>
    <col min="12552" max="12552" width="13.125" style="2" customWidth="1"/>
    <col min="12553" max="12555" width="0" style="2" hidden="1" customWidth="1"/>
    <col min="12556" max="12801" width="9" style="2"/>
    <col min="12802" max="12802" width="26.25" style="2" customWidth="1"/>
    <col min="12803" max="12803" width="8.625" style="2" customWidth="1"/>
    <col min="12804" max="12804" width="8.5" style="2" customWidth="1"/>
    <col min="12805" max="12805" width="9.375" style="2" bestFit="1" customWidth="1"/>
    <col min="12806" max="12806" width="10.375" style="2" customWidth="1"/>
    <col min="12807" max="12807" width="9.5" style="2" customWidth="1"/>
    <col min="12808" max="12808" width="13.125" style="2" customWidth="1"/>
    <col min="12809" max="12811" width="0" style="2" hidden="1" customWidth="1"/>
    <col min="12812" max="13057" width="9" style="2"/>
    <col min="13058" max="13058" width="26.25" style="2" customWidth="1"/>
    <col min="13059" max="13059" width="8.625" style="2" customWidth="1"/>
    <col min="13060" max="13060" width="8.5" style="2" customWidth="1"/>
    <col min="13061" max="13061" width="9.375" style="2" bestFit="1" customWidth="1"/>
    <col min="13062" max="13062" width="10.375" style="2" customWidth="1"/>
    <col min="13063" max="13063" width="9.5" style="2" customWidth="1"/>
    <col min="13064" max="13064" width="13.125" style="2" customWidth="1"/>
    <col min="13065" max="13067" width="0" style="2" hidden="1" customWidth="1"/>
    <col min="13068" max="13313" width="9" style="2"/>
    <col min="13314" max="13314" width="26.25" style="2" customWidth="1"/>
    <col min="13315" max="13315" width="8.625" style="2" customWidth="1"/>
    <col min="13316" max="13316" width="8.5" style="2" customWidth="1"/>
    <col min="13317" max="13317" width="9.375" style="2" bestFit="1" customWidth="1"/>
    <col min="13318" max="13318" width="10.375" style="2" customWidth="1"/>
    <col min="13319" max="13319" width="9.5" style="2" customWidth="1"/>
    <col min="13320" max="13320" width="13.125" style="2" customWidth="1"/>
    <col min="13321" max="13323" width="0" style="2" hidden="1" customWidth="1"/>
    <col min="13324" max="13569" width="9" style="2"/>
    <col min="13570" max="13570" width="26.25" style="2" customWidth="1"/>
    <col min="13571" max="13571" width="8.625" style="2" customWidth="1"/>
    <col min="13572" max="13572" width="8.5" style="2" customWidth="1"/>
    <col min="13573" max="13573" width="9.375" style="2" bestFit="1" customWidth="1"/>
    <col min="13574" max="13574" width="10.375" style="2" customWidth="1"/>
    <col min="13575" max="13575" width="9.5" style="2" customWidth="1"/>
    <col min="13576" max="13576" width="13.125" style="2" customWidth="1"/>
    <col min="13577" max="13579" width="0" style="2" hidden="1" customWidth="1"/>
    <col min="13580" max="13825" width="9" style="2"/>
    <col min="13826" max="13826" width="26.25" style="2" customWidth="1"/>
    <col min="13827" max="13827" width="8.625" style="2" customWidth="1"/>
    <col min="13828" max="13828" width="8.5" style="2" customWidth="1"/>
    <col min="13829" max="13829" width="9.375" style="2" bestFit="1" customWidth="1"/>
    <col min="13830" max="13830" width="10.375" style="2" customWidth="1"/>
    <col min="13831" max="13831" width="9.5" style="2" customWidth="1"/>
    <col min="13832" max="13832" width="13.125" style="2" customWidth="1"/>
    <col min="13833" max="13835" width="0" style="2" hidden="1" customWidth="1"/>
    <col min="13836" max="14081" width="9" style="2"/>
    <col min="14082" max="14082" width="26.25" style="2" customWidth="1"/>
    <col min="14083" max="14083" width="8.625" style="2" customWidth="1"/>
    <col min="14084" max="14084" width="8.5" style="2" customWidth="1"/>
    <col min="14085" max="14085" width="9.375" style="2" bestFit="1" customWidth="1"/>
    <col min="14086" max="14086" width="10.375" style="2" customWidth="1"/>
    <col min="14087" max="14087" width="9.5" style="2" customWidth="1"/>
    <col min="14088" max="14088" width="13.125" style="2" customWidth="1"/>
    <col min="14089" max="14091" width="0" style="2" hidden="1" customWidth="1"/>
    <col min="14092" max="14337" width="9" style="2"/>
    <col min="14338" max="14338" width="26.25" style="2" customWidth="1"/>
    <col min="14339" max="14339" width="8.625" style="2" customWidth="1"/>
    <col min="14340" max="14340" width="8.5" style="2" customWidth="1"/>
    <col min="14341" max="14341" width="9.375" style="2" bestFit="1" customWidth="1"/>
    <col min="14342" max="14342" width="10.375" style="2" customWidth="1"/>
    <col min="14343" max="14343" width="9.5" style="2" customWidth="1"/>
    <col min="14344" max="14344" width="13.125" style="2" customWidth="1"/>
    <col min="14345" max="14347" width="0" style="2" hidden="1" customWidth="1"/>
    <col min="14348" max="14593" width="9" style="2"/>
    <col min="14594" max="14594" width="26.25" style="2" customWidth="1"/>
    <col min="14595" max="14595" width="8.625" style="2" customWidth="1"/>
    <col min="14596" max="14596" width="8.5" style="2" customWidth="1"/>
    <col min="14597" max="14597" width="9.375" style="2" bestFit="1" customWidth="1"/>
    <col min="14598" max="14598" width="10.375" style="2" customWidth="1"/>
    <col min="14599" max="14599" width="9.5" style="2" customWidth="1"/>
    <col min="14600" max="14600" width="13.125" style="2" customWidth="1"/>
    <col min="14601" max="14603" width="0" style="2" hidden="1" customWidth="1"/>
    <col min="14604" max="14849" width="9" style="2"/>
    <col min="14850" max="14850" width="26.25" style="2" customWidth="1"/>
    <col min="14851" max="14851" width="8.625" style="2" customWidth="1"/>
    <col min="14852" max="14852" width="8.5" style="2" customWidth="1"/>
    <col min="14853" max="14853" width="9.375" style="2" bestFit="1" customWidth="1"/>
    <col min="14854" max="14854" width="10.375" style="2" customWidth="1"/>
    <col min="14855" max="14855" width="9.5" style="2" customWidth="1"/>
    <col min="14856" max="14856" width="13.125" style="2" customWidth="1"/>
    <col min="14857" max="14859" width="0" style="2" hidden="1" customWidth="1"/>
    <col min="14860" max="15105" width="9" style="2"/>
    <col min="15106" max="15106" width="26.25" style="2" customWidth="1"/>
    <col min="15107" max="15107" width="8.625" style="2" customWidth="1"/>
    <col min="15108" max="15108" width="8.5" style="2" customWidth="1"/>
    <col min="15109" max="15109" width="9.375" style="2" bestFit="1" customWidth="1"/>
    <col min="15110" max="15110" width="10.375" style="2" customWidth="1"/>
    <col min="15111" max="15111" width="9.5" style="2" customWidth="1"/>
    <col min="15112" max="15112" width="13.125" style="2" customWidth="1"/>
    <col min="15113" max="15115" width="0" style="2" hidden="1" customWidth="1"/>
    <col min="15116" max="15361" width="9" style="2"/>
    <col min="15362" max="15362" width="26.25" style="2" customWidth="1"/>
    <col min="15363" max="15363" width="8.625" style="2" customWidth="1"/>
    <col min="15364" max="15364" width="8.5" style="2" customWidth="1"/>
    <col min="15365" max="15365" width="9.375" style="2" bestFit="1" customWidth="1"/>
    <col min="15366" max="15366" width="10.375" style="2" customWidth="1"/>
    <col min="15367" max="15367" width="9.5" style="2" customWidth="1"/>
    <col min="15368" max="15368" width="13.125" style="2" customWidth="1"/>
    <col min="15369" max="15371" width="0" style="2" hidden="1" customWidth="1"/>
    <col min="15372" max="15617" width="9" style="2"/>
    <col min="15618" max="15618" width="26.25" style="2" customWidth="1"/>
    <col min="15619" max="15619" width="8.625" style="2" customWidth="1"/>
    <col min="15620" max="15620" width="8.5" style="2" customWidth="1"/>
    <col min="15621" max="15621" width="9.375" style="2" bestFit="1" customWidth="1"/>
    <col min="15622" max="15622" width="10.375" style="2" customWidth="1"/>
    <col min="15623" max="15623" width="9.5" style="2" customWidth="1"/>
    <col min="15624" max="15624" width="13.125" style="2" customWidth="1"/>
    <col min="15625" max="15627" width="0" style="2" hidden="1" customWidth="1"/>
    <col min="15628" max="15873" width="9" style="2"/>
    <col min="15874" max="15874" width="26.25" style="2" customWidth="1"/>
    <col min="15875" max="15875" width="8.625" style="2" customWidth="1"/>
    <col min="15876" max="15876" width="8.5" style="2" customWidth="1"/>
    <col min="15877" max="15877" width="9.375" style="2" bestFit="1" customWidth="1"/>
    <col min="15878" max="15878" width="10.375" style="2" customWidth="1"/>
    <col min="15879" max="15879" width="9.5" style="2" customWidth="1"/>
    <col min="15880" max="15880" width="13.125" style="2" customWidth="1"/>
    <col min="15881" max="15883" width="0" style="2" hidden="1" customWidth="1"/>
    <col min="15884" max="16129" width="9" style="2"/>
    <col min="16130" max="16130" width="26.25" style="2" customWidth="1"/>
    <col min="16131" max="16131" width="8.625" style="2" customWidth="1"/>
    <col min="16132" max="16132" width="8.5" style="2" customWidth="1"/>
    <col min="16133" max="16133" width="9.375" style="2" bestFit="1" customWidth="1"/>
    <col min="16134" max="16134" width="10.375" style="2" customWidth="1"/>
    <col min="16135" max="16135" width="9.5" style="2" customWidth="1"/>
    <col min="16136" max="16136" width="13.125" style="2" customWidth="1"/>
    <col min="16137" max="16139" width="0" style="2" hidden="1" customWidth="1"/>
    <col min="16140" max="16384" width="9" style="2"/>
  </cols>
  <sheetData>
    <row r="1" spans="1:11" ht="19.5" customHeight="1">
      <c r="A1" s="253" t="s">
        <v>1435</v>
      </c>
      <c r="B1" s="253"/>
      <c r="C1" s="253"/>
      <c r="D1" s="253"/>
      <c r="E1" s="253"/>
      <c r="F1" s="253"/>
      <c r="G1" s="253"/>
      <c r="H1" s="253"/>
      <c r="K1" s="2"/>
    </row>
    <row r="2" spans="1:11" ht="20.25" customHeight="1" thickBot="1">
      <c r="A2" s="49"/>
      <c r="B2" s="49"/>
      <c r="E2" s="4"/>
      <c r="F2" s="5"/>
      <c r="G2" s="5"/>
      <c r="H2" s="6" t="s">
        <v>1032</v>
      </c>
      <c r="K2" s="5"/>
    </row>
    <row r="3" spans="1:11" ht="27" customHeight="1">
      <c r="A3" s="254" t="s">
        <v>1352</v>
      </c>
      <c r="B3" s="259" t="s">
        <v>1353</v>
      </c>
      <c r="C3" s="260"/>
      <c r="D3" s="260"/>
      <c r="E3" s="261"/>
      <c r="F3" s="255" t="s">
        <v>1354</v>
      </c>
      <c r="G3" s="255"/>
      <c r="H3" s="256"/>
      <c r="K3" s="2"/>
    </row>
    <row r="4" spans="1:11" ht="12" customHeight="1">
      <c r="A4" s="236"/>
      <c r="B4" s="262" t="s">
        <v>1431</v>
      </c>
      <c r="C4" s="257" t="s">
        <v>1355</v>
      </c>
      <c r="D4" s="236" t="s">
        <v>1356</v>
      </c>
      <c r="E4" s="236" t="s">
        <v>1357</v>
      </c>
      <c r="F4" s="236" t="s">
        <v>1358</v>
      </c>
      <c r="G4" s="236" t="s">
        <v>1438</v>
      </c>
      <c r="H4" s="258" t="s">
        <v>1439</v>
      </c>
      <c r="I4" s="250" t="s">
        <v>1034</v>
      </c>
      <c r="K4" s="251" t="s">
        <v>1033</v>
      </c>
    </row>
    <row r="5" spans="1:11" ht="29.25" customHeight="1">
      <c r="A5" s="236"/>
      <c r="B5" s="263"/>
      <c r="C5" s="257"/>
      <c r="D5" s="236"/>
      <c r="E5" s="236"/>
      <c r="F5" s="236"/>
      <c r="G5" s="236"/>
      <c r="H5" s="258"/>
      <c r="I5" s="250"/>
      <c r="K5" s="251"/>
    </row>
    <row r="6" spans="1:11" ht="18.95" customHeight="1">
      <c r="A6" s="57" t="s">
        <v>1359</v>
      </c>
      <c r="B6" s="208">
        <v>272100</v>
      </c>
      <c r="C6" s="58">
        <v>272100</v>
      </c>
      <c r="D6" s="58">
        <v>295500</v>
      </c>
      <c r="E6" s="59">
        <v>11.694045252152607</v>
      </c>
      <c r="F6" s="58">
        <v>339825</v>
      </c>
      <c r="G6" s="60">
        <v>44325</v>
      </c>
      <c r="H6" s="61">
        <v>14.999999999999991</v>
      </c>
      <c r="I6" s="10">
        <f>I7+I22</f>
        <v>264562</v>
      </c>
      <c r="K6" s="10">
        <f>K7+K22</f>
        <v>307100</v>
      </c>
    </row>
    <row r="7" spans="1:11" ht="18.95" customHeight="1">
      <c r="A7" s="62" t="s">
        <v>1360</v>
      </c>
      <c r="B7" s="205">
        <v>201200</v>
      </c>
      <c r="C7" s="41">
        <v>221200</v>
      </c>
      <c r="D7" s="41">
        <v>221200</v>
      </c>
      <c r="E7" s="39">
        <v>21.918955862251433</v>
      </c>
      <c r="F7" s="41">
        <v>285525</v>
      </c>
      <c r="G7" s="63">
        <v>64325</v>
      </c>
      <c r="H7" s="64">
        <v>29.080018083182637</v>
      </c>
      <c r="I7" s="17">
        <f>SUM(I8:I21)</f>
        <v>181432</v>
      </c>
      <c r="K7" s="8">
        <f>SUM(K8:K21)</f>
        <v>241200</v>
      </c>
    </row>
    <row r="8" spans="1:11" ht="18.95" customHeight="1">
      <c r="A8" s="62" t="s">
        <v>1361</v>
      </c>
      <c r="B8" s="205">
        <v>9900</v>
      </c>
      <c r="C8" s="40">
        <v>9900</v>
      </c>
      <c r="D8" s="40">
        <v>8600</v>
      </c>
      <c r="E8" s="39">
        <v>52.077807250221042</v>
      </c>
      <c r="F8" s="40">
        <v>15500</v>
      </c>
      <c r="G8" s="63">
        <v>6900</v>
      </c>
      <c r="H8" s="64">
        <v>80.232558139534888</v>
      </c>
      <c r="I8" s="22">
        <f>[1]Sheet1!B8</f>
        <v>5655</v>
      </c>
      <c r="K8" s="9">
        <v>9900</v>
      </c>
    </row>
    <row r="9" spans="1:11" ht="18.95" customHeight="1">
      <c r="A9" s="62" t="s">
        <v>1362</v>
      </c>
      <c r="B9" s="205">
        <v>66600</v>
      </c>
      <c r="C9" s="40">
        <v>49600</v>
      </c>
      <c r="D9" s="40">
        <v>49000</v>
      </c>
      <c r="E9" s="39">
        <v>14.395106690946434</v>
      </c>
      <c r="F9" s="40">
        <v>57500</v>
      </c>
      <c r="G9" s="63">
        <v>8500</v>
      </c>
      <c r="H9" s="64">
        <v>17.34693877551021</v>
      </c>
      <c r="I9" s="22">
        <f>[1]Sheet1!B9</f>
        <v>42834</v>
      </c>
      <c r="K9" s="9">
        <v>86600</v>
      </c>
    </row>
    <row r="10" spans="1:11" ht="18.95" customHeight="1">
      <c r="A10" s="62" t="s">
        <v>1035</v>
      </c>
      <c r="B10" s="205">
        <v>0</v>
      </c>
      <c r="C10" s="40">
        <v>0</v>
      </c>
      <c r="D10" s="40">
        <v>80</v>
      </c>
      <c r="E10" s="39">
        <v>-99.759579263711501</v>
      </c>
      <c r="F10" s="40">
        <v>0</v>
      </c>
      <c r="G10" s="63">
        <v>-80</v>
      </c>
      <c r="H10" s="64">
        <v>-100</v>
      </c>
      <c r="I10" s="22">
        <f>[1]Sheet1!B10</f>
        <v>33275</v>
      </c>
      <c r="K10" s="9">
        <v>0</v>
      </c>
    </row>
    <row r="11" spans="1:11" ht="18.95" customHeight="1">
      <c r="A11" s="62" t="s">
        <v>1036</v>
      </c>
      <c r="B11" s="205">
        <v>47000</v>
      </c>
      <c r="C11" s="40">
        <v>45000</v>
      </c>
      <c r="D11" s="40">
        <v>38800</v>
      </c>
      <c r="E11" s="39">
        <v>26.54512246828218</v>
      </c>
      <c r="F11" s="40">
        <v>72970</v>
      </c>
      <c r="G11" s="63">
        <v>34170</v>
      </c>
      <c r="H11" s="64">
        <v>88.067010309278345</v>
      </c>
      <c r="I11" s="22">
        <f>[1]Sheet1!B11</f>
        <v>30661</v>
      </c>
      <c r="K11" s="9">
        <v>52300</v>
      </c>
    </row>
    <row r="12" spans="1:11" ht="18.95" customHeight="1">
      <c r="A12" s="62" t="s">
        <v>1037</v>
      </c>
      <c r="B12" s="205">
        <v>10600</v>
      </c>
      <c r="C12" s="40">
        <v>56600</v>
      </c>
      <c r="D12" s="40">
        <v>65300</v>
      </c>
      <c r="E12" s="39">
        <v>360.21566001832406</v>
      </c>
      <c r="F12" s="40">
        <v>42300</v>
      </c>
      <c r="G12" s="63">
        <v>-23000</v>
      </c>
      <c r="H12" s="64">
        <v>-35.222052067381313</v>
      </c>
      <c r="I12" s="22">
        <f>[1]Sheet1!B12</f>
        <v>14189</v>
      </c>
      <c r="K12" s="9">
        <v>20300</v>
      </c>
    </row>
    <row r="13" spans="1:11" ht="18.95" customHeight="1">
      <c r="A13" s="62" t="s">
        <v>1038</v>
      </c>
      <c r="B13" s="205">
        <v>70</v>
      </c>
      <c r="C13" s="40">
        <v>70</v>
      </c>
      <c r="D13" s="40">
        <v>30</v>
      </c>
      <c r="E13" s="39">
        <v>-43.39622641509434</v>
      </c>
      <c r="F13" s="40">
        <v>70</v>
      </c>
      <c r="G13" s="63">
        <v>40</v>
      </c>
      <c r="H13" s="64">
        <v>133.33333333333334</v>
      </c>
      <c r="I13" s="22">
        <f>[1]Sheet1!B13</f>
        <v>53</v>
      </c>
      <c r="K13" s="9">
        <v>70</v>
      </c>
    </row>
    <row r="14" spans="1:11" ht="18.95" customHeight="1">
      <c r="A14" s="62" t="s">
        <v>1039</v>
      </c>
      <c r="B14" s="205">
        <v>10900</v>
      </c>
      <c r="C14" s="40">
        <v>9900</v>
      </c>
      <c r="D14" s="40">
        <v>8610</v>
      </c>
      <c r="E14" s="39">
        <v>-4.4607190412782938</v>
      </c>
      <c r="F14" s="40">
        <v>11200</v>
      </c>
      <c r="G14" s="63">
        <v>2590</v>
      </c>
      <c r="H14" s="64">
        <v>30.081300813008127</v>
      </c>
      <c r="I14" s="22">
        <f>[1]Sheet1!B14</f>
        <v>9012</v>
      </c>
      <c r="K14" s="9">
        <v>10900</v>
      </c>
    </row>
    <row r="15" spans="1:11" ht="18.95" customHeight="1">
      <c r="A15" s="62" t="s">
        <v>1040</v>
      </c>
      <c r="B15" s="205">
        <v>2400</v>
      </c>
      <c r="C15" s="40">
        <v>2400</v>
      </c>
      <c r="D15" s="40">
        <v>2740</v>
      </c>
      <c r="E15" s="39">
        <v>20.386643233743417</v>
      </c>
      <c r="F15" s="40">
        <v>3150</v>
      </c>
      <c r="G15" s="63">
        <v>410</v>
      </c>
      <c r="H15" s="64">
        <v>14.963503649635035</v>
      </c>
      <c r="I15" s="22">
        <f>[1]Sheet1!B15</f>
        <v>2276</v>
      </c>
      <c r="K15" s="9">
        <v>2400</v>
      </c>
    </row>
    <row r="16" spans="1:11" ht="18.95" customHeight="1">
      <c r="A16" s="62" t="s">
        <v>1363</v>
      </c>
      <c r="B16" s="205">
        <v>4200</v>
      </c>
      <c r="C16" s="40">
        <v>4200</v>
      </c>
      <c r="D16" s="40">
        <v>4200</v>
      </c>
      <c r="E16" s="39">
        <v>-2.3482910950941682</v>
      </c>
      <c r="F16" s="40">
        <v>4800</v>
      </c>
      <c r="G16" s="63">
        <v>600</v>
      </c>
      <c r="H16" s="64">
        <v>14.285714285714279</v>
      </c>
      <c r="I16" s="22">
        <f>[1]Sheet1!B16</f>
        <v>4301</v>
      </c>
      <c r="K16" s="9">
        <v>4200</v>
      </c>
    </row>
    <row r="17" spans="1:11" ht="18.95" customHeight="1">
      <c r="A17" s="62" t="s">
        <v>1041</v>
      </c>
      <c r="B17" s="205">
        <v>8760</v>
      </c>
      <c r="C17" s="40">
        <v>5760</v>
      </c>
      <c r="D17" s="40">
        <v>5360</v>
      </c>
      <c r="E17" s="39">
        <v>-6.2937062937062915</v>
      </c>
      <c r="F17" s="40">
        <v>8760</v>
      </c>
      <c r="G17" s="63">
        <v>3400</v>
      </c>
      <c r="H17" s="64">
        <v>63.432835820895519</v>
      </c>
      <c r="I17" s="22">
        <f>[1]Sheet1!B17</f>
        <v>5720</v>
      </c>
      <c r="K17" s="9">
        <v>8760</v>
      </c>
    </row>
    <row r="18" spans="1:11" ht="18.95" customHeight="1">
      <c r="A18" s="62" t="s">
        <v>1042</v>
      </c>
      <c r="B18" s="205">
        <v>26100</v>
      </c>
      <c r="C18" s="40">
        <v>19100</v>
      </c>
      <c r="D18" s="40">
        <v>19100</v>
      </c>
      <c r="E18" s="39">
        <v>-24.091884587870595</v>
      </c>
      <c r="F18" s="40">
        <v>32100</v>
      </c>
      <c r="G18" s="63">
        <v>13000</v>
      </c>
      <c r="H18" s="64">
        <v>68.062827225130889</v>
      </c>
      <c r="I18" s="22">
        <f>[1]Sheet1!B18</f>
        <v>25162</v>
      </c>
      <c r="K18" s="9">
        <v>26100</v>
      </c>
    </row>
    <row r="19" spans="1:11" ht="18.95" customHeight="1">
      <c r="A19" s="62" t="s">
        <v>1364</v>
      </c>
      <c r="B19" s="205">
        <v>1750</v>
      </c>
      <c r="C19" s="40">
        <v>1750</v>
      </c>
      <c r="D19" s="40">
        <v>1750</v>
      </c>
      <c r="E19" s="39">
        <v>8.0914144533662746</v>
      </c>
      <c r="F19" s="40">
        <v>1900</v>
      </c>
      <c r="G19" s="63">
        <v>150</v>
      </c>
      <c r="H19" s="64">
        <v>8.5714285714285623</v>
      </c>
      <c r="I19" s="22">
        <f>[1]Sheet1!B19</f>
        <v>1619</v>
      </c>
      <c r="K19" s="10">
        <v>1730</v>
      </c>
    </row>
    <row r="20" spans="1:11" ht="18.95" customHeight="1">
      <c r="A20" s="62" t="s">
        <v>1043</v>
      </c>
      <c r="B20" s="205">
        <v>4000</v>
      </c>
      <c r="C20" s="40">
        <v>0</v>
      </c>
      <c r="D20" s="40">
        <v>0</v>
      </c>
      <c r="E20" s="39">
        <v>-100</v>
      </c>
      <c r="F20" s="40">
        <v>15000</v>
      </c>
      <c r="G20" s="63">
        <v>15000</v>
      </c>
      <c r="H20" s="64"/>
      <c r="I20" s="22">
        <f>[1]Sheet1!B20</f>
        <v>87</v>
      </c>
      <c r="K20" s="10">
        <v>9020</v>
      </c>
    </row>
    <row r="21" spans="1:11" ht="18.95" customHeight="1">
      <c r="A21" s="62" t="s">
        <v>1044</v>
      </c>
      <c r="B21" s="205">
        <v>8920</v>
      </c>
      <c r="C21" s="40">
        <v>16920</v>
      </c>
      <c r="D21" s="40">
        <v>17630</v>
      </c>
      <c r="E21" s="39">
        <v>167.60777170613235</v>
      </c>
      <c r="F21" s="40">
        <v>20275</v>
      </c>
      <c r="G21" s="63">
        <v>2645</v>
      </c>
      <c r="H21" s="64">
        <v>15.002836074872384</v>
      </c>
      <c r="I21" s="22">
        <f>[1]Sheet1!B21</f>
        <v>6588</v>
      </c>
      <c r="K21" s="10">
        <v>8920</v>
      </c>
    </row>
    <row r="22" spans="1:11" ht="18.95" customHeight="1">
      <c r="A22" s="62" t="s">
        <v>1310</v>
      </c>
      <c r="B22" s="205">
        <v>70900</v>
      </c>
      <c r="C22" s="41">
        <v>50900</v>
      </c>
      <c r="D22" s="41">
        <v>74300</v>
      </c>
      <c r="E22" s="39">
        <v>-10.621917478647902</v>
      </c>
      <c r="F22" s="41">
        <v>54300</v>
      </c>
      <c r="G22" s="63">
        <v>-20000</v>
      </c>
      <c r="H22" s="64">
        <v>-26.917900403768503</v>
      </c>
      <c r="I22" s="11">
        <f>SUM(I23,I29:I34)</f>
        <v>83130</v>
      </c>
      <c r="K22" s="12">
        <f>SUM(K23,K29:K34)</f>
        <v>65900</v>
      </c>
    </row>
    <row r="23" spans="1:11" ht="18.95" customHeight="1">
      <c r="A23" s="62" t="s">
        <v>1045</v>
      </c>
      <c r="B23" s="205">
        <v>37550</v>
      </c>
      <c r="C23" s="40">
        <v>22550</v>
      </c>
      <c r="D23" s="40">
        <v>17550</v>
      </c>
      <c r="E23" s="39">
        <v>-27.117940199335543</v>
      </c>
      <c r="F23" s="40">
        <v>37550</v>
      </c>
      <c r="G23" s="63">
        <v>20000</v>
      </c>
      <c r="H23" s="64">
        <v>113.96011396011394</v>
      </c>
      <c r="I23" s="22">
        <f>[1]Sheet1!B23</f>
        <v>24080</v>
      </c>
      <c r="K23" s="10">
        <v>37550</v>
      </c>
    </row>
    <row r="24" spans="1:11" ht="18.95" customHeight="1">
      <c r="A24" s="65" t="s">
        <v>1311</v>
      </c>
      <c r="B24" s="205">
        <v>4500</v>
      </c>
      <c r="C24" s="40">
        <v>4500</v>
      </c>
      <c r="D24" s="40">
        <v>3900</v>
      </c>
      <c r="E24" s="39">
        <v>-1.2408204608761686</v>
      </c>
      <c r="F24" s="40">
        <v>4500</v>
      </c>
      <c r="G24" s="63">
        <v>600</v>
      </c>
      <c r="H24" s="64">
        <v>15.384615384615374</v>
      </c>
      <c r="I24" s="22">
        <f>[1]Sheet1!B24</f>
        <v>3949</v>
      </c>
      <c r="K24" s="10">
        <v>4500</v>
      </c>
    </row>
    <row r="25" spans="1:11" ht="18.95" customHeight="1">
      <c r="A25" s="66" t="s">
        <v>1312</v>
      </c>
      <c r="B25" s="206">
        <v>450</v>
      </c>
      <c r="C25" s="40">
        <v>500</v>
      </c>
      <c r="D25" s="40">
        <v>510</v>
      </c>
      <c r="E25" s="215">
        <v>17.511520737327189</v>
      </c>
      <c r="F25" s="41">
        <v>450</v>
      </c>
      <c r="G25" s="63">
        <v>-60</v>
      </c>
      <c r="H25" s="64">
        <v>-11.764705882352944</v>
      </c>
      <c r="I25" s="22">
        <f>[1]Sheet1!B25</f>
        <v>434</v>
      </c>
      <c r="K25" s="12">
        <v>450</v>
      </c>
    </row>
    <row r="26" spans="1:11" ht="18.95" customHeight="1">
      <c r="A26" s="66" t="s">
        <v>1313</v>
      </c>
      <c r="B26" s="206">
        <v>10000</v>
      </c>
      <c r="C26" s="40">
        <v>6500</v>
      </c>
      <c r="D26" s="40">
        <v>2000</v>
      </c>
      <c r="E26" s="215">
        <v>65.016501650165011</v>
      </c>
      <c r="F26" s="41">
        <v>10000</v>
      </c>
      <c r="G26" s="63">
        <v>8000</v>
      </c>
      <c r="H26" s="64">
        <v>400</v>
      </c>
      <c r="I26" s="22">
        <f>[1]Sheet1!B26</f>
        <v>1212</v>
      </c>
      <c r="K26" s="12">
        <v>10000</v>
      </c>
    </row>
    <row r="27" spans="1:11" ht="18.95" customHeight="1">
      <c r="A27" s="66" t="s">
        <v>1314</v>
      </c>
      <c r="B27" s="206">
        <v>10000</v>
      </c>
      <c r="C27" s="40">
        <v>5377</v>
      </c>
      <c r="D27" s="40">
        <v>5377</v>
      </c>
      <c r="E27" s="215">
        <v>-40.605324201922016</v>
      </c>
      <c r="F27" s="41">
        <v>12000</v>
      </c>
      <c r="G27" s="63">
        <v>6623</v>
      </c>
      <c r="H27" s="64">
        <v>123.17277292170354</v>
      </c>
      <c r="I27" s="22">
        <f>[1]Sheet1!B27</f>
        <v>9053</v>
      </c>
      <c r="K27" s="12">
        <v>10000</v>
      </c>
    </row>
    <row r="28" spans="1:11" ht="18.95" customHeight="1">
      <c r="A28" s="66" t="s">
        <v>1315</v>
      </c>
      <c r="B28" s="206">
        <v>10000</v>
      </c>
      <c r="C28" s="40">
        <v>5376</v>
      </c>
      <c r="D28" s="40">
        <v>5376</v>
      </c>
      <c r="E28" s="215">
        <v>-40.609809986743258</v>
      </c>
      <c r="F28" s="41">
        <v>12000</v>
      </c>
      <c r="G28" s="63">
        <v>6624</v>
      </c>
      <c r="H28" s="64">
        <v>123.21428571428572</v>
      </c>
      <c r="I28" s="22">
        <f>[1]Sheet1!B28</f>
        <v>9052</v>
      </c>
      <c r="K28" s="12">
        <v>10000</v>
      </c>
    </row>
    <row r="29" spans="1:11" ht="18.95" customHeight="1">
      <c r="A29" s="67" t="s">
        <v>1316</v>
      </c>
      <c r="B29" s="207">
        <v>5740</v>
      </c>
      <c r="C29" s="40">
        <v>8240</v>
      </c>
      <c r="D29" s="40">
        <v>9694</v>
      </c>
      <c r="E29" s="39">
        <v>25.456192571502534</v>
      </c>
      <c r="F29" s="40">
        <v>5860</v>
      </c>
      <c r="G29" s="63">
        <v>-3834</v>
      </c>
      <c r="H29" s="64">
        <v>-39.550237260160927</v>
      </c>
      <c r="I29" s="22">
        <f>[1]Sheet1!B29</f>
        <v>7727</v>
      </c>
      <c r="K29" s="10">
        <v>5740</v>
      </c>
    </row>
    <row r="30" spans="1:11" ht="18.95" customHeight="1">
      <c r="A30" s="67" t="s">
        <v>1317</v>
      </c>
      <c r="B30" s="207">
        <v>4350</v>
      </c>
      <c r="C30" s="40">
        <v>4350</v>
      </c>
      <c r="D30" s="40">
        <v>13360</v>
      </c>
      <c r="E30" s="39">
        <v>-61.855817273376168</v>
      </c>
      <c r="F30" s="40">
        <v>4350</v>
      </c>
      <c r="G30" s="63">
        <v>-9010</v>
      </c>
      <c r="H30" s="64">
        <v>-67.440119760479035</v>
      </c>
      <c r="I30" s="22">
        <f>[1]Sheet1!B30</f>
        <v>35025</v>
      </c>
      <c r="K30" s="10">
        <v>4350</v>
      </c>
    </row>
    <row r="31" spans="1:11" ht="18.95" customHeight="1">
      <c r="A31" s="67" t="s">
        <v>1318</v>
      </c>
      <c r="B31" s="207">
        <v>0</v>
      </c>
      <c r="C31" s="40">
        <v>0</v>
      </c>
      <c r="D31" s="40">
        <v>1000</v>
      </c>
      <c r="E31" s="39"/>
      <c r="F31" s="40">
        <v>0</v>
      </c>
      <c r="G31" s="63">
        <v>-1000</v>
      </c>
      <c r="H31" s="64">
        <v>-100</v>
      </c>
      <c r="I31" s="22">
        <f>[1]Sheet1!B31</f>
        <v>1000</v>
      </c>
      <c r="K31" s="10">
        <v>0</v>
      </c>
    </row>
    <row r="32" spans="1:11" ht="18.95" customHeight="1">
      <c r="A32" s="67" t="s">
        <v>1319</v>
      </c>
      <c r="B32" s="207">
        <v>18000</v>
      </c>
      <c r="C32" s="40">
        <v>13000</v>
      </c>
      <c r="D32" s="40">
        <v>29500</v>
      </c>
      <c r="E32" s="39">
        <v>110.92521092521093</v>
      </c>
      <c r="F32" s="40">
        <v>3780</v>
      </c>
      <c r="G32" s="63">
        <v>-25720</v>
      </c>
      <c r="H32" s="64">
        <v>-87.186440677966104</v>
      </c>
      <c r="I32" s="22">
        <f>[1]Sheet1!B32</f>
        <v>13986</v>
      </c>
      <c r="K32" s="10">
        <v>13000</v>
      </c>
    </row>
    <row r="33" spans="1:11" ht="18.95" customHeight="1">
      <c r="A33" s="65" t="s">
        <v>1320</v>
      </c>
      <c r="B33" s="205">
        <v>260</v>
      </c>
      <c r="C33" s="40">
        <v>260</v>
      </c>
      <c r="D33" s="40">
        <v>236</v>
      </c>
      <c r="E33" s="143"/>
      <c r="F33" s="41">
        <v>260</v>
      </c>
      <c r="G33" s="63">
        <v>24</v>
      </c>
      <c r="H33" s="64">
        <v>10.169491525423723</v>
      </c>
      <c r="I33" s="22">
        <f>[1]Sheet1!B33</f>
        <v>888</v>
      </c>
      <c r="K33" s="12">
        <v>260</v>
      </c>
    </row>
    <row r="34" spans="1:11" ht="18.95" customHeight="1">
      <c r="A34" s="62" t="s">
        <v>1047</v>
      </c>
      <c r="B34" s="205">
        <v>5000</v>
      </c>
      <c r="C34" s="40">
        <v>2500</v>
      </c>
      <c r="D34" s="40">
        <v>2960</v>
      </c>
      <c r="E34" s="39">
        <v>598.11320754716974</v>
      </c>
      <c r="F34" s="40">
        <v>2500</v>
      </c>
      <c r="G34" s="63">
        <v>-460</v>
      </c>
      <c r="H34" s="64">
        <v>-15.540540540540537</v>
      </c>
      <c r="I34" s="22">
        <f>[1]Sheet1!B34</f>
        <v>424</v>
      </c>
      <c r="K34" s="10">
        <v>5000</v>
      </c>
    </row>
    <row r="35" spans="1:11" ht="18.95" customHeight="1">
      <c r="A35" s="57" t="s">
        <v>1321</v>
      </c>
      <c r="B35" s="208">
        <v>302600</v>
      </c>
      <c r="C35" s="42">
        <v>302600</v>
      </c>
      <c r="D35" s="42">
        <v>303300</v>
      </c>
      <c r="E35" s="59">
        <v>90.246197271444245</v>
      </c>
      <c r="F35" s="42">
        <v>588200</v>
      </c>
      <c r="G35" s="60">
        <v>284900</v>
      </c>
      <c r="H35" s="61">
        <v>93.933399274645566</v>
      </c>
      <c r="I35" s="11">
        <f>SUM(I36:I46)</f>
        <v>159424</v>
      </c>
      <c r="K35" s="12">
        <f>SUM(K36:K46)</f>
        <v>302600</v>
      </c>
    </row>
    <row r="36" spans="1:11" ht="18.95" customHeight="1">
      <c r="A36" s="67" t="s">
        <v>1322</v>
      </c>
      <c r="B36" s="207">
        <v>300000</v>
      </c>
      <c r="C36" s="40">
        <v>300000</v>
      </c>
      <c r="D36" s="104">
        <v>300000</v>
      </c>
      <c r="E36" s="39">
        <v>78.075361492983831</v>
      </c>
      <c r="F36" s="41">
        <v>600000</v>
      </c>
      <c r="G36" s="63">
        <v>300000</v>
      </c>
      <c r="H36" s="64">
        <v>100</v>
      </c>
      <c r="I36" s="22">
        <f>[1]Sheet1!B36</f>
        <v>168467</v>
      </c>
      <c r="K36" s="12">
        <v>300000</v>
      </c>
    </row>
    <row r="37" spans="1:11" ht="18.95" customHeight="1">
      <c r="A37" s="68" t="s">
        <v>1323</v>
      </c>
      <c r="B37" s="209">
        <v>-10000</v>
      </c>
      <c r="C37" s="40">
        <v>-10000</v>
      </c>
      <c r="D37" s="104">
        <v>-10753</v>
      </c>
      <c r="E37" s="39">
        <v>-40.607566970450151</v>
      </c>
      <c r="F37" s="44">
        <v>-24000</v>
      </c>
      <c r="G37" s="63">
        <v>-13247</v>
      </c>
      <c r="H37" s="64">
        <v>123.19352738770574</v>
      </c>
      <c r="I37" s="22">
        <f>[1]Sheet1!B37</f>
        <v>-18105</v>
      </c>
      <c r="K37" s="13">
        <v>-10000</v>
      </c>
    </row>
    <row r="38" spans="1:11" ht="18.95" customHeight="1">
      <c r="A38" s="67" t="s">
        <v>1324</v>
      </c>
      <c r="B38" s="207"/>
      <c r="C38" s="40"/>
      <c r="D38" s="104"/>
      <c r="E38" s="39"/>
      <c r="F38" s="41">
        <v>0</v>
      </c>
      <c r="G38" s="63">
        <v>0</v>
      </c>
      <c r="H38" s="64"/>
      <c r="I38" s="22">
        <f>[1]Sheet1!B38</f>
        <v>0</v>
      </c>
      <c r="K38" s="12">
        <v>0</v>
      </c>
    </row>
    <row r="39" spans="1:11" ht="18.95" customHeight="1">
      <c r="A39" s="67" t="s">
        <v>1325</v>
      </c>
      <c r="B39" s="207">
        <v>450</v>
      </c>
      <c r="C39" s="40">
        <v>450</v>
      </c>
      <c r="D39" s="104">
        <v>398</v>
      </c>
      <c r="E39" s="39">
        <v>9.6418732782369148</v>
      </c>
      <c r="F39" s="41">
        <v>450</v>
      </c>
      <c r="G39" s="63">
        <v>52</v>
      </c>
      <c r="H39" s="64">
        <v>13.06532663316583</v>
      </c>
      <c r="I39" s="22">
        <f>[1]Sheet1!B39</f>
        <v>363</v>
      </c>
      <c r="K39" s="12">
        <v>600</v>
      </c>
    </row>
    <row r="40" spans="1:11" ht="18.95" customHeight="1">
      <c r="A40" s="67" t="s">
        <v>1326</v>
      </c>
      <c r="B40" s="207">
        <v>750</v>
      </c>
      <c r="C40" s="40">
        <v>750</v>
      </c>
      <c r="D40" s="104">
        <v>1055</v>
      </c>
      <c r="E40" s="39">
        <v>38.998682476943344</v>
      </c>
      <c r="F40" s="41">
        <v>750</v>
      </c>
      <c r="G40" s="63">
        <v>-305</v>
      </c>
      <c r="H40" s="64">
        <v>-28.90995260663507</v>
      </c>
      <c r="I40" s="22">
        <f>[1]Sheet1!B40</f>
        <v>759</v>
      </c>
      <c r="K40" s="12">
        <v>700</v>
      </c>
    </row>
    <row r="41" spans="1:11" ht="18.95" customHeight="1">
      <c r="A41" s="67" t="s">
        <v>1320</v>
      </c>
      <c r="B41" s="207"/>
      <c r="C41" s="40"/>
      <c r="D41" s="106"/>
      <c r="E41" s="39"/>
      <c r="F41" s="143"/>
      <c r="G41" s="63">
        <v>0</v>
      </c>
      <c r="H41" s="64"/>
      <c r="I41" s="22" t="str">
        <f>[1]Sheet1!B41</f>
        <v>---</v>
      </c>
      <c r="K41" s="50" t="s">
        <v>1046</v>
      </c>
    </row>
    <row r="42" spans="1:11" ht="18.95" customHeight="1">
      <c r="A42" s="67" t="s">
        <v>1048</v>
      </c>
      <c r="B42" s="207">
        <v>600</v>
      </c>
      <c r="C42" s="40">
        <v>142</v>
      </c>
      <c r="D42" s="104">
        <v>142</v>
      </c>
      <c r="E42" s="39">
        <v>-77.170418006430864</v>
      </c>
      <c r="F42" s="41"/>
      <c r="G42" s="63">
        <v>-142</v>
      </c>
      <c r="H42" s="64">
        <v>-100</v>
      </c>
      <c r="I42" s="22">
        <f>[1]Sheet1!B42</f>
        <v>622</v>
      </c>
      <c r="K42" s="12">
        <v>600</v>
      </c>
    </row>
    <row r="43" spans="1:11" ht="18.95" customHeight="1">
      <c r="A43" s="67" t="s">
        <v>1327</v>
      </c>
      <c r="B43" s="207">
        <v>10000</v>
      </c>
      <c r="C43" s="40">
        <v>10000</v>
      </c>
      <c r="D43" s="104">
        <v>11200</v>
      </c>
      <c r="E43" s="43">
        <v>98.405668733392389</v>
      </c>
      <c r="F43" s="41">
        <v>10000</v>
      </c>
      <c r="G43" s="63">
        <v>-1200</v>
      </c>
      <c r="H43" s="64">
        <v>-10.714285714285714</v>
      </c>
      <c r="I43" s="22">
        <f>[1]Sheet1!B43</f>
        <v>5645</v>
      </c>
      <c r="K43" s="12">
        <v>10000</v>
      </c>
    </row>
    <row r="44" spans="1:11" ht="18.95" customHeight="1">
      <c r="A44" s="69" t="s">
        <v>1328</v>
      </c>
      <c r="B44" s="210">
        <v>800</v>
      </c>
      <c r="C44" s="110">
        <v>1258</v>
      </c>
      <c r="D44" s="104">
        <v>1258</v>
      </c>
      <c r="E44" s="46">
        <v>27.070707070707073</v>
      </c>
      <c r="F44" s="45">
        <v>1000</v>
      </c>
      <c r="G44" s="63">
        <v>-258</v>
      </c>
      <c r="H44" s="64">
        <v>-20.5087440381558</v>
      </c>
      <c r="I44" s="51">
        <f>[1]Sheet1!B44</f>
        <v>990</v>
      </c>
      <c r="K44" s="14">
        <v>700</v>
      </c>
    </row>
    <row r="45" spans="1:11" ht="18.95" customHeight="1">
      <c r="A45" s="67" t="s">
        <v>1329</v>
      </c>
      <c r="B45" s="207"/>
      <c r="C45" s="40"/>
      <c r="D45" s="106"/>
      <c r="E45" s="39"/>
      <c r="F45" s="143"/>
      <c r="G45" s="63"/>
      <c r="H45" s="64"/>
      <c r="I45" s="22" t="str">
        <f>[1]Sheet1!B45</f>
        <v>---</v>
      </c>
      <c r="K45" s="50" t="s">
        <v>1046</v>
      </c>
    </row>
    <row r="46" spans="1:11" ht="18.95" customHeight="1">
      <c r="A46" s="67" t="s">
        <v>1330</v>
      </c>
      <c r="B46" s="207"/>
      <c r="C46" s="40"/>
      <c r="D46" s="104"/>
      <c r="E46" s="39">
        <v>-100</v>
      </c>
      <c r="F46" s="41"/>
      <c r="G46" s="63"/>
      <c r="H46" s="61"/>
      <c r="I46" s="22">
        <f>[1]Sheet1!B46</f>
        <v>683</v>
      </c>
      <c r="K46" s="12">
        <v>0</v>
      </c>
    </row>
    <row r="47" spans="1:11" ht="18.95" customHeight="1">
      <c r="A47" s="57" t="s">
        <v>1331</v>
      </c>
      <c r="B47" s="208">
        <v>232</v>
      </c>
      <c r="C47" s="42">
        <v>232</v>
      </c>
      <c r="D47" s="42">
        <v>232</v>
      </c>
      <c r="E47" s="76">
        <v>19</v>
      </c>
      <c r="F47" s="42">
        <v>334</v>
      </c>
      <c r="G47" s="60">
        <f t="shared" ref="G47:G60" si="0">F47-B47</f>
        <v>102</v>
      </c>
      <c r="H47" s="61">
        <f t="shared" ref="H47:H60" si="1">(F47/B47-1)*100</f>
        <v>43.965517241379317</v>
      </c>
      <c r="I47" s="17">
        <f>SUM(I48:I52)</f>
        <v>195</v>
      </c>
      <c r="K47" s="8">
        <f>SUM(K48:K52)</f>
        <v>232</v>
      </c>
    </row>
    <row r="48" spans="1:11" ht="18.95" customHeight="1">
      <c r="A48" s="70" t="s">
        <v>1049</v>
      </c>
      <c r="B48" s="211">
        <v>232</v>
      </c>
      <c r="C48" s="40">
        <v>232</v>
      </c>
      <c r="D48" s="40">
        <v>232</v>
      </c>
      <c r="E48" s="220">
        <v>19</v>
      </c>
      <c r="F48" s="47">
        <v>334</v>
      </c>
      <c r="G48" s="63">
        <f t="shared" si="0"/>
        <v>102</v>
      </c>
      <c r="H48" s="64">
        <f t="shared" si="1"/>
        <v>43.965517241379317</v>
      </c>
      <c r="I48" s="22">
        <f>[1]Sheet1!B48</f>
        <v>195</v>
      </c>
      <c r="K48" s="15">
        <v>232</v>
      </c>
    </row>
    <row r="49" spans="1:11" ht="18.95" customHeight="1">
      <c r="A49" s="70" t="s">
        <v>1332</v>
      </c>
      <c r="B49" s="211"/>
      <c r="C49" s="48"/>
      <c r="D49" s="48"/>
      <c r="E49" s="48"/>
      <c r="F49" s="48"/>
      <c r="G49" s="63">
        <f t="shared" si="0"/>
        <v>0</v>
      </c>
      <c r="H49" s="64"/>
      <c r="I49" s="16"/>
      <c r="K49" s="16"/>
    </row>
    <row r="50" spans="1:11" ht="18.95" customHeight="1">
      <c r="A50" s="70" t="s">
        <v>1050</v>
      </c>
      <c r="B50" s="211"/>
      <c r="C50" s="48"/>
      <c r="D50" s="48"/>
      <c r="E50" s="48"/>
      <c r="F50" s="48"/>
      <c r="G50" s="63">
        <f t="shared" si="0"/>
        <v>0</v>
      </c>
      <c r="H50" s="64"/>
      <c r="I50" s="16"/>
      <c r="K50" s="16"/>
    </row>
    <row r="51" spans="1:11" ht="18.95" customHeight="1">
      <c r="A51" s="70" t="s">
        <v>1051</v>
      </c>
      <c r="B51" s="211"/>
      <c r="C51" s="48"/>
      <c r="D51" s="48"/>
      <c r="E51" s="48"/>
      <c r="F51" s="48"/>
      <c r="G51" s="63">
        <f t="shared" si="0"/>
        <v>0</v>
      </c>
      <c r="H51" s="64"/>
      <c r="I51" s="16"/>
      <c r="K51" s="16"/>
    </row>
    <row r="52" spans="1:11" ht="18.95" customHeight="1">
      <c r="A52" s="70" t="s">
        <v>1052</v>
      </c>
      <c r="B52" s="211"/>
      <c r="C52" s="41"/>
      <c r="D52" s="48"/>
      <c r="E52" s="48"/>
      <c r="F52" s="41"/>
      <c r="G52" s="63">
        <f t="shared" si="0"/>
        <v>0</v>
      </c>
      <c r="H52" s="64"/>
      <c r="I52" s="17"/>
      <c r="K52" s="8"/>
    </row>
    <row r="53" spans="1:11" ht="18.95" customHeight="1">
      <c r="A53" s="57" t="s">
        <v>1333</v>
      </c>
      <c r="B53" s="208">
        <v>78713</v>
      </c>
      <c r="C53" s="42">
        <v>78713</v>
      </c>
      <c r="D53" s="42">
        <v>78713</v>
      </c>
      <c r="E53" s="218">
        <v>-18.833331614712769</v>
      </c>
      <c r="F53" s="42">
        <v>81792</v>
      </c>
      <c r="G53" s="60">
        <f t="shared" si="0"/>
        <v>3079</v>
      </c>
      <c r="H53" s="61">
        <f t="shared" si="1"/>
        <v>3.9116791381347493</v>
      </c>
      <c r="I53" s="17">
        <f>SUM(I54:I60)</f>
        <v>96977</v>
      </c>
      <c r="K53" s="8">
        <f>SUM(K54:K60)</f>
        <v>78713</v>
      </c>
    </row>
    <row r="54" spans="1:11" ht="18.95" customHeight="1">
      <c r="A54" s="70" t="s">
        <v>1334</v>
      </c>
      <c r="B54" s="211">
        <v>27359</v>
      </c>
      <c r="C54" s="40">
        <v>27359</v>
      </c>
      <c r="D54" s="40">
        <v>27359</v>
      </c>
      <c r="E54" s="219">
        <v>-44.488180988130267</v>
      </c>
      <c r="F54" s="40">
        <v>24673</v>
      </c>
      <c r="G54" s="63">
        <f t="shared" si="0"/>
        <v>-2686</v>
      </c>
      <c r="H54" s="64">
        <f t="shared" si="1"/>
        <v>-9.8176102927738604</v>
      </c>
      <c r="I54" s="22">
        <f>[1]Sheet1!B55</f>
        <v>49285</v>
      </c>
      <c r="K54" s="8">
        <f>25395+7276</f>
        <v>32671</v>
      </c>
    </row>
    <row r="55" spans="1:11" ht="18.95" customHeight="1">
      <c r="A55" s="70" t="s">
        <v>1335</v>
      </c>
      <c r="B55" s="211">
        <v>12371</v>
      </c>
      <c r="C55" s="40">
        <v>12371</v>
      </c>
      <c r="D55" s="40">
        <v>12371</v>
      </c>
      <c r="E55" s="219">
        <v>13.391384051329048</v>
      </c>
      <c r="F55" s="40">
        <v>12217</v>
      </c>
      <c r="G55" s="63">
        <f t="shared" si="0"/>
        <v>-154</v>
      </c>
      <c r="H55" s="64">
        <f t="shared" si="1"/>
        <v>-1.2448468191738726</v>
      </c>
      <c r="I55" s="22">
        <f>[1]Sheet1!B56</f>
        <v>10910</v>
      </c>
      <c r="K55" s="8">
        <v>11599</v>
      </c>
    </row>
    <row r="56" spans="1:11" ht="18.95" customHeight="1">
      <c r="A56" s="70" t="s">
        <v>1336</v>
      </c>
      <c r="B56" s="211">
        <v>12573</v>
      </c>
      <c r="C56" s="40">
        <v>12573</v>
      </c>
      <c r="D56" s="40">
        <v>12573</v>
      </c>
      <c r="E56" s="219">
        <v>-8.639732597006244</v>
      </c>
      <c r="F56" s="40">
        <v>16345</v>
      </c>
      <c r="G56" s="63">
        <f t="shared" si="0"/>
        <v>3772</v>
      </c>
      <c r="H56" s="64">
        <f t="shared" si="1"/>
        <v>30.000795355126051</v>
      </c>
      <c r="I56" s="22">
        <f>[1]Sheet1!B57</f>
        <v>13762</v>
      </c>
      <c r="K56" s="8">
        <v>11773</v>
      </c>
    </row>
    <row r="57" spans="1:11" ht="18.95" customHeight="1">
      <c r="A57" s="70" t="s">
        <v>1337</v>
      </c>
      <c r="B57" s="211">
        <v>21856</v>
      </c>
      <c r="C57" s="40">
        <v>21856</v>
      </c>
      <c r="D57" s="40">
        <v>21856</v>
      </c>
      <c r="E57" s="219">
        <v>4.2449680434990089</v>
      </c>
      <c r="F57" s="40">
        <v>25820</v>
      </c>
      <c r="G57" s="63">
        <f t="shared" si="0"/>
        <v>3964</v>
      </c>
      <c r="H57" s="64">
        <f t="shared" si="1"/>
        <v>18.136896046852115</v>
      </c>
      <c r="I57" s="22">
        <f>[1]Sheet1!B58</f>
        <v>20966</v>
      </c>
      <c r="K57" s="8">
        <v>20559</v>
      </c>
    </row>
    <row r="58" spans="1:11" ht="18.95" customHeight="1">
      <c r="A58" s="70" t="s">
        <v>1338</v>
      </c>
      <c r="B58" s="211">
        <v>1842</v>
      </c>
      <c r="C58" s="40">
        <v>1842</v>
      </c>
      <c r="D58" s="40">
        <v>1842</v>
      </c>
      <c r="E58" s="219">
        <v>80.058651026392951</v>
      </c>
      <c r="F58" s="40">
        <v>1355</v>
      </c>
      <c r="G58" s="63">
        <f t="shared" si="0"/>
        <v>-487</v>
      </c>
      <c r="H58" s="64">
        <f t="shared" si="1"/>
        <v>-26.438653637350708</v>
      </c>
      <c r="I58" s="22">
        <f>[1]Sheet1!B59</f>
        <v>1023</v>
      </c>
      <c r="K58" s="8">
        <v>413</v>
      </c>
    </row>
    <row r="59" spans="1:11" ht="18.95" customHeight="1">
      <c r="A59" s="70" t="s">
        <v>1339</v>
      </c>
      <c r="B59" s="211">
        <v>1250</v>
      </c>
      <c r="C59" s="40">
        <v>1250</v>
      </c>
      <c r="D59" s="40">
        <v>1250</v>
      </c>
      <c r="E59" s="219">
        <v>135.84905660377359</v>
      </c>
      <c r="F59" s="40">
        <v>741</v>
      </c>
      <c r="G59" s="63">
        <f t="shared" si="0"/>
        <v>-509</v>
      </c>
      <c r="H59" s="64">
        <f t="shared" si="1"/>
        <v>-40.72</v>
      </c>
      <c r="I59" s="22">
        <f>[1]Sheet1!B60</f>
        <v>530</v>
      </c>
      <c r="K59" s="8">
        <v>1109</v>
      </c>
    </row>
    <row r="60" spans="1:11" ht="18.95" customHeight="1" thickBot="1">
      <c r="A60" s="71" t="s">
        <v>1340</v>
      </c>
      <c r="B60" s="212">
        <v>1462</v>
      </c>
      <c r="C60" s="40">
        <v>1462</v>
      </c>
      <c r="D60" s="40">
        <v>1462</v>
      </c>
      <c r="E60" s="219">
        <v>191.81636726546904</v>
      </c>
      <c r="F60" s="40">
        <v>641</v>
      </c>
      <c r="G60" s="63">
        <f t="shared" si="0"/>
        <v>-821</v>
      </c>
      <c r="H60" s="64">
        <f t="shared" si="1"/>
        <v>-56.155950752393977</v>
      </c>
      <c r="I60" s="22">
        <f>[1]Sheet1!B61</f>
        <v>501</v>
      </c>
      <c r="K60" s="18">
        <v>589</v>
      </c>
    </row>
    <row r="61" spans="1:11" ht="18.95" customHeight="1">
      <c r="A61" s="74" t="s">
        <v>1341</v>
      </c>
      <c r="B61" s="213">
        <v>272100</v>
      </c>
      <c r="C61" s="72">
        <v>272100</v>
      </c>
      <c r="D61" s="72">
        <v>295500</v>
      </c>
      <c r="E61" s="73">
        <v>11.694045252152607</v>
      </c>
      <c r="F61" s="72">
        <v>339825</v>
      </c>
      <c r="G61" s="63">
        <v>44325</v>
      </c>
      <c r="H61" s="64">
        <v>14.999999999999991</v>
      </c>
      <c r="I61" s="52">
        <f>I62+I64+I65</f>
        <v>264562</v>
      </c>
      <c r="K61" s="53">
        <f>K62+K64+K65</f>
        <v>307100</v>
      </c>
    </row>
    <row r="62" spans="1:11" ht="18.95" customHeight="1">
      <c r="A62" s="67" t="s">
        <v>1342</v>
      </c>
      <c r="B62" s="207">
        <v>117170</v>
      </c>
      <c r="C62" s="40">
        <v>90170</v>
      </c>
      <c r="D62" s="40">
        <v>76450</v>
      </c>
      <c r="E62" s="39">
        <v>27.469779074614429</v>
      </c>
      <c r="F62" s="41">
        <v>139970</v>
      </c>
      <c r="G62" s="63">
        <v>63520</v>
      </c>
      <c r="H62" s="64">
        <v>83.086984957488568</v>
      </c>
      <c r="I62" s="22">
        <f>[1]Sheet1!B63</f>
        <v>59975</v>
      </c>
      <c r="K62" s="12">
        <v>142170</v>
      </c>
    </row>
    <row r="63" spans="1:11" ht="18.95" customHeight="1">
      <c r="A63" s="67" t="s">
        <v>1343</v>
      </c>
      <c r="B63" s="207">
        <v>40670</v>
      </c>
      <c r="C63" s="40">
        <v>30670</v>
      </c>
      <c r="D63" s="40">
        <v>19400</v>
      </c>
      <c r="E63" s="39">
        <v>64.295392953929536</v>
      </c>
      <c r="F63" s="40">
        <v>66970</v>
      </c>
      <c r="G63" s="63">
        <v>47570</v>
      </c>
      <c r="H63" s="64">
        <v>245.20618556701032</v>
      </c>
      <c r="I63" s="22">
        <f>[1]Sheet1!B64</f>
        <v>11808</v>
      </c>
      <c r="K63" s="19">
        <v>45670</v>
      </c>
    </row>
    <row r="64" spans="1:11" ht="18.95" customHeight="1">
      <c r="A64" s="67" t="s">
        <v>1344</v>
      </c>
      <c r="B64" s="207">
        <v>88530</v>
      </c>
      <c r="C64" s="40">
        <v>135530</v>
      </c>
      <c r="D64" s="40">
        <v>148650</v>
      </c>
      <c r="E64" s="39">
        <v>18.534053123031402</v>
      </c>
      <c r="F64" s="40">
        <v>150055</v>
      </c>
      <c r="G64" s="63">
        <v>1405</v>
      </c>
      <c r="H64" s="64">
        <v>0.94517322569793727</v>
      </c>
      <c r="I64" s="22">
        <f>[1]Sheet1!B65</f>
        <v>125407</v>
      </c>
      <c r="K64" s="10">
        <f>98530+5000</f>
        <v>103530</v>
      </c>
    </row>
    <row r="65" spans="1:12" ht="18.95" customHeight="1">
      <c r="A65" s="67" t="s">
        <v>1345</v>
      </c>
      <c r="B65" s="207">
        <v>66400</v>
      </c>
      <c r="C65" s="40">
        <v>46400</v>
      </c>
      <c r="D65" s="40">
        <v>70400</v>
      </c>
      <c r="E65" s="39">
        <v>-11.088658752210156</v>
      </c>
      <c r="F65" s="41">
        <v>49800</v>
      </c>
      <c r="G65" s="63">
        <v>-20600</v>
      </c>
      <c r="H65" s="64">
        <v>-29.261363636363637</v>
      </c>
      <c r="I65" s="22">
        <f>[1]Sheet1!B66</f>
        <v>79180</v>
      </c>
      <c r="K65" s="12">
        <v>61400</v>
      </c>
    </row>
    <row r="66" spans="1:12" ht="18.95" customHeight="1">
      <c r="A66" s="70" t="s">
        <v>1053</v>
      </c>
      <c r="B66" s="211">
        <v>162910</v>
      </c>
      <c r="C66" s="41">
        <v>211910</v>
      </c>
      <c r="D66" s="63">
        <v>213842</v>
      </c>
      <c r="E66" s="39">
        <v>92.328170812872116</v>
      </c>
      <c r="F66" s="75">
        <v>245925</v>
      </c>
      <c r="G66" s="63">
        <v>32083</v>
      </c>
      <c r="H66" s="64">
        <v>15.003133154385011</v>
      </c>
      <c r="I66" s="11">
        <f>SUM(I67:I71)</f>
        <v>111186</v>
      </c>
      <c r="K66" s="54">
        <f>SUM(K67:K71)</f>
        <v>205410</v>
      </c>
    </row>
    <row r="67" spans="1:12" ht="18.95" customHeight="1">
      <c r="A67" s="67" t="s">
        <v>1346</v>
      </c>
      <c r="B67" s="207">
        <v>76500</v>
      </c>
      <c r="C67" s="40">
        <v>59500</v>
      </c>
      <c r="D67" s="40">
        <v>57600</v>
      </c>
      <c r="E67" s="39">
        <v>43.845366231301355</v>
      </c>
      <c r="F67" s="40">
        <v>73000</v>
      </c>
      <c r="G67" s="63">
        <v>15400</v>
      </c>
      <c r="H67" s="64">
        <v>26.736111111111114</v>
      </c>
      <c r="I67" s="22">
        <f>[1]Sheet1!B68</f>
        <v>40043</v>
      </c>
      <c r="K67" s="10">
        <f>K8+K9</f>
        <v>96500</v>
      </c>
    </row>
    <row r="68" spans="1:12" ht="18.95" customHeight="1">
      <c r="A68" s="67" t="s">
        <v>1347</v>
      </c>
      <c r="B68" s="207">
        <v>10</v>
      </c>
      <c r="C68" s="40">
        <v>10</v>
      </c>
      <c r="D68" s="40">
        <v>12</v>
      </c>
      <c r="E68" s="39"/>
      <c r="F68" s="40">
        <v>20</v>
      </c>
      <c r="G68" s="63">
        <v>8</v>
      </c>
      <c r="H68" s="64">
        <v>66.666666666666671</v>
      </c>
      <c r="I68" s="22">
        <f>[1]Sheet1!B69</f>
        <v>12</v>
      </c>
      <c r="K68" s="10">
        <v>10</v>
      </c>
    </row>
    <row r="69" spans="1:12" ht="18.95" customHeight="1">
      <c r="A69" s="67" t="s">
        <v>1348</v>
      </c>
      <c r="B69" s="207">
        <v>0</v>
      </c>
      <c r="C69" s="40"/>
      <c r="D69" s="40">
        <v>80</v>
      </c>
      <c r="E69" s="39"/>
      <c r="F69" s="40">
        <v>0</v>
      </c>
      <c r="G69" s="63">
        <v>-80</v>
      </c>
      <c r="H69" s="64">
        <v>-100</v>
      </c>
      <c r="I69" s="22">
        <f>[1]Sheet1!B70</f>
        <v>3855</v>
      </c>
      <c r="J69" s="7"/>
      <c r="K69" s="10">
        <f>K10</f>
        <v>0</v>
      </c>
    </row>
    <row r="70" spans="1:12" ht="18.95" customHeight="1">
      <c r="A70" s="67" t="s">
        <v>1349</v>
      </c>
      <c r="B70" s="207">
        <v>70500</v>
      </c>
      <c r="C70" s="40">
        <v>67500</v>
      </c>
      <c r="D70" s="40">
        <v>58200</v>
      </c>
      <c r="E70" s="39">
        <v>26.543746738563236</v>
      </c>
      <c r="F70" s="40">
        <v>109455</v>
      </c>
      <c r="G70" s="63">
        <v>51255</v>
      </c>
      <c r="H70" s="64">
        <v>88.067010309278345</v>
      </c>
      <c r="I70" s="22">
        <f>[1]Sheet1!B71</f>
        <v>45992</v>
      </c>
      <c r="K70" s="10">
        <f>K11*1.5</f>
        <v>78450</v>
      </c>
    </row>
    <row r="71" spans="1:12" ht="18.95" customHeight="1">
      <c r="A71" s="67" t="s">
        <v>1350</v>
      </c>
      <c r="B71" s="207">
        <v>15900</v>
      </c>
      <c r="C71" s="40">
        <v>84900</v>
      </c>
      <c r="D71" s="40">
        <v>97950</v>
      </c>
      <c r="E71" s="39">
        <v>360.20484871264802</v>
      </c>
      <c r="F71" s="40">
        <v>63450</v>
      </c>
      <c r="G71" s="63">
        <v>-34500</v>
      </c>
      <c r="H71" s="64">
        <v>-35.222052067381313</v>
      </c>
      <c r="I71" s="22">
        <f>[1]Sheet1!B72</f>
        <v>21284</v>
      </c>
      <c r="K71" s="10">
        <f>K12*1.5</f>
        <v>30450</v>
      </c>
    </row>
    <row r="72" spans="1:12" ht="18.95" customHeight="1">
      <c r="A72" s="57" t="s">
        <v>1351</v>
      </c>
      <c r="B72" s="208">
        <v>435010</v>
      </c>
      <c r="C72" s="138">
        <v>484010</v>
      </c>
      <c r="D72" s="138">
        <v>509342</v>
      </c>
      <c r="E72" s="59">
        <v>35.554147992803699</v>
      </c>
      <c r="F72" s="178">
        <v>585750</v>
      </c>
      <c r="G72" s="60">
        <v>76408</v>
      </c>
      <c r="H72" s="61">
        <v>15.001315422643335</v>
      </c>
      <c r="I72" s="55">
        <f>I66+I61</f>
        <v>375748</v>
      </c>
      <c r="K72" s="56">
        <f>K66+K6</f>
        <v>512510</v>
      </c>
      <c r="L72" s="214"/>
    </row>
    <row r="73" spans="1:12" ht="18.95" customHeight="1">
      <c r="A73" s="252"/>
      <c r="B73" s="252"/>
      <c r="C73" s="252"/>
      <c r="D73" s="252"/>
      <c r="E73" s="252"/>
      <c r="F73" s="252"/>
      <c r="G73" s="252"/>
      <c r="H73" s="252"/>
      <c r="K73" s="2"/>
    </row>
    <row r="74" spans="1:12" ht="18.95" customHeight="1"/>
    <row r="75" spans="1:12" ht="18.95" customHeight="1"/>
    <row r="76" spans="1:12" ht="18.95" customHeight="1"/>
    <row r="77" spans="1:12" ht="18.95" customHeight="1"/>
    <row r="78" spans="1:12" ht="18.95" customHeight="1"/>
    <row r="79" spans="1:12" ht="18.95" customHeight="1"/>
    <row r="80" spans="1:12" ht="18.95" customHeight="1"/>
    <row r="81" ht="18.95" customHeight="1"/>
    <row r="82" ht="18.95" customHeight="1"/>
    <row r="83" ht="18.95" customHeight="1"/>
    <row r="84" ht="18.95" customHeight="1"/>
    <row r="85" ht="18.95" customHeight="1"/>
    <row r="86" ht="18.95" customHeight="1"/>
    <row r="87" ht="18.95" customHeight="1"/>
    <row r="88" ht="18.95" customHeight="1"/>
    <row r="89" ht="18.95" customHeight="1"/>
    <row r="90" ht="18.95" customHeight="1"/>
    <row r="91" ht="18.95" customHeight="1"/>
    <row r="92" ht="18.95" customHeight="1"/>
    <row r="93" ht="18.95" customHeight="1"/>
    <row r="94" ht="18.95" customHeight="1"/>
    <row r="95" ht="18.95" customHeight="1"/>
    <row r="96" ht="18.95" customHeight="1"/>
    <row r="97" ht="18.95" customHeight="1"/>
    <row r="98" ht="18.9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</sheetData>
  <protectedRanges>
    <protectedRange password="CF6E" sqref="I22" name="区域1"/>
    <protectedRange password="CF6E" sqref="I8:I21 I36:I46 I62:I71 I54:I60 I48 I34 I23:I31" name="区域1_3"/>
    <protectedRange password="CF6E" sqref="K63:K64 K8:K24 K29:K31 K34:K35 K66:K68 K70:K71" name="区域1_1"/>
    <protectedRange password="CF6E" sqref="K41 K45" name="区域1_3_1"/>
    <protectedRange password="CF6E" sqref="K69" name="区域1_1_1"/>
    <protectedRange password="CF6E" sqref="F63:F64 C22:D22 F8:F24 F29:F31 F34:F35 F66:F68 F70:F71" name="区域1_4"/>
    <protectedRange password="CF6E" sqref="D48 D54:D60 D34 D8:D21 D23:D31 D62:D71" name="区域1_1_3"/>
    <protectedRange password="CF6E" sqref="C54:C60 E33 C48 C34 C23:C31 C62:C71 C36:C46 C8:C21 F54:F60 E25:E28" name="区域1_3_3"/>
    <protectedRange password="CF6E" sqref="F41 F45" name="区域1_3_1_1"/>
    <protectedRange password="CF6E" sqref="F69" name="区域1_1_1_2"/>
  </protectedRanges>
  <mergeCells count="14">
    <mergeCell ref="I4:I5"/>
    <mergeCell ref="K4:K5"/>
    <mergeCell ref="A73:H73"/>
    <mergeCell ref="A1:H1"/>
    <mergeCell ref="A3:A5"/>
    <mergeCell ref="F3:H3"/>
    <mergeCell ref="C4:C5"/>
    <mergeCell ref="D4:D5"/>
    <mergeCell ref="E4:E5"/>
    <mergeCell ref="F4:F5"/>
    <mergeCell ref="G4:G5"/>
    <mergeCell ref="H4:H5"/>
    <mergeCell ref="B3:E3"/>
    <mergeCell ref="B4:B5"/>
  </mergeCells>
  <phoneticPr fontId="3" type="noConversion"/>
  <printOptions horizontalCentered="1"/>
  <pageMargins left="0.55118110236220474" right="0.35433070866141736" top="0.78740157480314965" bottom="0.98425196850393704" header="0.31496062992125984" footer="0.51181102362204722"/>
  <pageSetup paperSize="9" scale="85" firstPageNumber="8" orientation="portrait" useFirstPageNumber="1" verticalDpi="180" r:id="rId1"/>
  <headerFooter alignWithMargins="0">
    <oddFooter>第 &amp;P 页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R1380"/>
  <sheetViews>
    <sheetView workbookViewId="0">
      <pane xSplit="1" ySplit="4" topLeftCell="B5" activePane="bottomRight" state="frozen"/>
      <selection activeCell="H11" sqref="H11"/>
      <selection pane="topRight" activeCell="H11" sqref="H11"/>
      <selection pane="bottomLeft" activeCell="H11" sqref="H11"/>
      <selection pane="bottomRight" activeCell="R129" sqref="R129"/>
    </sheetView>
  </sheetViews>
  <sheetFormatPr defaultRowHeight="12.75"/>
  <cols>
    <col min="1" max="1" width="27.125" style="77" customWidth="1"/>
    <col min="2" max="2" width="10.5" style="81" customWidth="1"/>
    <col min="3" max="3" width="10.75" style="1" customWidth="1"/>
    <col min="4" max="4" width="11.625" style="81" customWidth="1"/>
    <col min="5" max="5" width="10.375" style="1" customWidth="1"/>
    <col min="6" max="6" width="10.625" style="103" customWidth="1"/>
    <col min="7" max="7" width="9" style="77" hidden="1" customWidth="1"/>
    <col min="8" max="8" width="10.5" style="77" hidden="1" customWidth="1"/>
    <col min="9" max="10" width="10.5" style="78" hidden="1" customWidth="1"/>
    <col min="11" max="12" width="10.5" style="79" hidden="1" customWidth="1"/>
    <col min="13" max="13" width="10.5" style="78" hidden="1" customWidth="1"/>
    <col min="14" max="14" width="9" style="77" hidden="1" customWidth="1"/>
    <col min="15" max="16" width="10.5" style="78" hidden="1" customWidth="1"/>
    <col min="17" max="16384" width="9" style="77"/>
  </cols>
  <sheetData>
    <row r="1" spans="1:18" ht="43.5" customHeight="1">
      <c r="A1" s="270" t="s">
        <v>1436</v>
      </c>
      <c r="B1" s="270"/>
      <c r="C1" s="270"/>
      <c r="D1" s="270"/>
      <c r="E1" s="270"/>
      <c r="F1" s="270"/>
    </row>
    <row r="2" spans="1:18" ht="29.25" customHeight="1">
      <c r="A2" s="80"/>
      <c r="E2" s="271" t="s">
        <v>0</v>
      </c>
      <c r="F2" s="272"/>
      <c r="H2" s="82"/>
      <c r="I2" s="83"/>
      <c r="J2" s="83"/>
      <c r="K2" s="84"/>
      <c r="L2" s="84"/>
      <c r="M2" s="83"/>
      <c r="O2" s="83"/>
      <c r="P2" s="83"/>
    </row>
    <row r="3" spans="1:18" ht="18.75" customHeight="1">
      <c r="A3" s="273" t="s">
        <v>1365</v>
      </c>
      <c r="B3" s="274" t="s">
        <v>1366</v>
      </c>
      <c r="C3" s="274" t="s">
        <v>1367</v>
      </c>
      <c r="D3" s="274" t="s">
        <v>1368</v>
      </c>
      <c r="E3" s="275" t="s">
        <v>1369</v>
      </c>
      <c r="F3" s="276" t="s">
        <v>1370</v>
      </c>
      <c r="H3" s="268" t="s">
        <v>2</v>
      </c>
      <c r="I3" s="265" t="s">
        <v>3</v>
      </c>
      <c r="J3" s="265" t="s">
        <v>4</v>
      </c>
      <c r="K3" s="269" t="s">
        <v>5</v>
      </c>
      <c r="L3" s="269" t="s">
        <v>6</v>
      </c>
      <c r="M3" s="265" t="s">
        <v>7</v>
      </c>
      <c r="O3" s="264"/>
      <c r="P3" s="266" t="s">
        <v>8</v>
      </c>
    </row>
    <row r="4" spans="1:18" ht="18.75" customHeight="1">
      <c r="A4" s="273"/>
      <c r="B4" s="274"/>
      <c r="C4" s="274"/>
      <c r="D4" s="274"/>
      <c r="E4" s="275"/>
      <c r="F4" s="276"/>
      <c r="H4" s="268"/>
      <c r="I4" s="265"/>
      <c r="J4" s="265"/>
      <c r="K4" s="269"/>
      <c r="L4" s="269"/>
      <c r="M4" s="265"/>
      <c r="O4" s="265"/>
      <c r="P4" s="265"/>
    </row>
    <row r="5" spans="1:18" s="85" customFormat="1" ht="18.75" customHeight="1">
      <c r="A5" s="179" t="s">
        <v>9</v>
      </c>
      <c r="B5" s="180">
        <f>B6+B1167</f>
        <v>722400</v>
      </c>
      <c r="C5" s="180">
        <f>C6+C1167</f>
        <v>672700</v>
      </c>
      <c r="D5" s="180">
        <f>D6+D1167</f>
        <v>733054.00000000012</v>
      </c>
      <c r="E5" s="180">
        <f>E6+E1167</f>
        <v>60354.000000000007</v>
      </c>
      <c r="F5" s="181">
        <f>E5/C5*100</f>
        <v>8.9719042663891795</v>
      </c>
      <c r="H5" s="86"/>
      <c r="I5" s="38"/>
      <c r="J5" s="38"/>
      <c r="K5" s="87"/>
      <c r="L5" s="87"/>
      <c r="M5" s="38"/>
      <c r="O5" s="38"/>
      <c r="P5" s="38"/>
    </row>
    <row r="6" spans="1:18">
      <c r="A6" s="179" t="s">
        <v>10</v>
      </c>
      <c r="B6" s="182">
        <f>B7+B241+B259+B343+B397+B452+B508+B623+B691+B771+B798+B916+B965+B997+B1024+B1035+B1108+B1125+B1147+B1162+B1148</f>
        <v>710055.31</v>
      </c>
      <c r="C6" s="183">
        <f>C7+C241+C259+C343+C397+C452+C508+C623+C691+C771+C798+C916+C965+C997+C1024+C1035+C1108+C1125+C1147+C1162+C1148</f>
        <v>660355.31000000006</v>
      </c>
      <c r="D6" s="184">
        <f>D7+D241+D259+D343+D397+D452+D508+D623+D691+D771+D798+D916+D965+D997+D1024+D1035+D1108+D1125+D1147+D1162+D1148</f>
        <v>715588.21000000008</v>
      </c>
      <c r="E6" s="185">
        <f>SUM(E7,E241,E259,E343,E397,E452,E508,E623,E691,E771,E798,E916,E965,E997,E1024,E1035,E1108,E1125,E1147,E1148,E1162)</f>
        <v>55232.900000000009</v>
      </c>
      <c r="F6" s="186">
        <f>E6/C6*100</f>
        <v>8.3641184016525898</v>
      </c>
      <c r="H6" s="88">
        <f t="shared" ref="H6:M6" si="0">SUM(H7,H241,H259,H343,H397,H452,H508,H623,H691,H771,H798,H916,H965,H997,H1024,H1035,H1108,H1125,H1147,H1148,H1162)</f>
        <v>300123</v>
      </c>
      <c r="I6" s="88">
        <f t="shared" si="0"/>
        <v>141512</v>
      </c>
      <c r="J6" s="88">
        <f t="shared" si="0"/>
        <v>7978</v>
      </c>
      <c r="K6" s="89">
        <f t="shared" si="0"/>
        <v>182699</v>
      </c>
      <c r="L6" s="89">
        <f t="shared" si="0"/>
        <v>0</v>
      </c>
      <c r="M6" s="88">
        <f t="shared" si="0"/>
        <v>0</v>
      </c>
      <c r="O6" s="88">
        <f>SUM(O7,O241,O259,O343,O397,O452,O508,O623,O691,O771,O798,O916,O965,O997,O1024,O1035,O1108,O1125,O1147,O1148,O1162)</f>
        <v>0</v>
      </c>
      <c r="P6" s="88">
        <f>SUM(P7,P241,P259,P343,P397,P452,P508,P623,P691,P771,P798,P916,P965,P997,P1024,P1035,P1108,P1125,P1147,P1148,P1162)</f>
        <v>253400</v>
      </c>
      <c r="Q6" s="85"/>
      <c r="R6" s="85"/>
    </row>
    <row r="7" spans="1:18">
      <c r="A7" s="179" t="s">
        <v>11</v>
      </c>
      <c r="B7" s="182">
        <f>SUM(B8,B20,B29,B41,B52,B63,B74,B86,B95,B105,B120,B129,B140,B150,B163,B170,B177,B186,B192,B199,B207,B214,B220,B226,B232,B238)</f>
        <v>44872.480000000003</v>
      </c>
      <c r="C7" s="182">
        <f>SUM(C8,C20,C29,C41,C52,C63,C74,C86,C95,C105,C120,C129,C140,C150,C163,C170,C177,C186,C192,C199,C207,C214,C220,C226,C232,C238)</f>
        <v>44872.480000000003</v>
      </c>
      <c r="D7" s="182">
        <f>SUM(D8,D20,D29,D41,D52,D63,D74,D86,D95,D105,D120,D129,D140,D150,D163,D170,D177,D186,D192,D199,D207,D214,D220,D226,D232,D238)</f>
        <v>57892.9</v>
      </c>
      <c r="E7" s="185">
        <f>SUM(E8,E20,E29,E41,E52,E63,E74,E86,E95,E105,E120,E129,E140,E150,E163,E170,E177,E186,E192,E199,E207,E214,E220,E226,E232,E238)</f>
        <v>13020.420000000004</v>
      </c>
      <c r="F7" s="186">
        <f t="shared" ref="F7:F70" si="1">E7/C7*100</f>
        <v>29.016492959604644</v>
      </c>
      <c r="H7" s="88">
        <f t="shared" ref="H7:M7" si="2">SUM(H8,H20,H29,H41,H52,H63,H74,H86,H95,H105,H120,H129,H140,H150,H163,H170,H177,H186,H192,H199,H207,H214,H220,H226,H232,H238)</f>
        <v>14681</v>
      </c>
      <c r="I7" s="88">
        <f t="shared" si="2"/>
        <v>8208</v>
      </c>
      <c r="J7" s="88">
        <f t="shared" si="2"/>
        <v>4056</v>
      </c>
      <c r="K7" s="88">
        <f t="shared" si="2"/>
        <v>1167</v>
      </c>
      <c r="L7" s="88">
        <f t="shared" si="2"/>
        <v>55</v>
      </c>
      <c r="M7" s="88">
        <f t="shared" si="2"/>
        <v>0</v>
      </c>
      <c r="O7" s="88">
        <f>SUM(O8,O20,O29,O41,O52,O63,O74,O86,O95,O105,O120,O129,O140,O150,O163,O170,O177,O186,O192,O199,O207,O214,O220,O226,O232,O238)</f>
        <v>0</v>
      </c>
      <c r="P7" s="88">
        <f>SUM(P8,P20,P29,P41,P52,P63,P74,P86,P95,P105,P120,P129,P140,P150,P163,P170,P177,P186,P192,P199,P207,P214,P220,P226,P232,P238)</f>
        <v>0</v>
      </c>
      <c r="R7" s="85"/>
    </row>
    <row r="8" spans="1:18">
      <c r="A8" s="187" t="s">
        <v>12</v>
      </c>
      <c r="B8" s="188">
        <v>767.92</v>
      </c>
      <c r="C8" s="188">
        <v>767.92</v>
      </c>
      <c r="D8" s="188">
        <v>849.71</v>
      </c>
      <c r="E8" s="189">
        <f>D8-C8</f>
        <v>81.790000000000077</v>
      </c>
      <c r="F8" s="190">
        <f t="shared" si="1"/>
        <v>10.650849046775717</v>
      </c>
      <c r="H8" s="90">
        <f t="shared" ref="H8:M8" si="3">SUM(H9:H19)</f>
        <v>0</v>
      </c>
      <c r="I8" s="90">
        <f t="shared" si="3"/>
        <v>405</v>
      </c>
      <c r="J8" s="90">
        <f t="shared" si="3"/>
        <v>0</v>
      </c>
      <c r="K8" s="91">
        <f t="shared" si="3"/>
        <v>0</v>
      </c>
      <c r="L8" s="91">
        <f t="shared" si="3"/>
        <v>0</v>
      </c>
      <c r="M8" s="90">
        <f t="shared" si="3"/>
        <v>0</v>
      </c>
      <c r="O8" s="90">
        <f>SUM(O9:O19)</f>
        <v>0</v>
      </c>
      <c r="P8" s="90">
        <f>SUM(P9:P19)</f>
        <v>0</v>
      </c>
    </row>
    <row r="9" spans="1:18" ht="12.75" hidden="1" customHeight="1">
      <c r="A9" s="187" t="s">
        <v>13</v>
      </c>
      <c r="B9" s="188"/>
      <c r="C9" s="188"/>
      <c r="D9" s="188"/>
      <c r="E9" s="189">
        <f t="shared" ref="E9:E72" si="4">D9-C9</f>
        <v>0</v>
      </c>
      <c r="F9" s="190" t="e">
        <f t="shared" si="1"/>
        <v>#DIV/0!</v>
      </c>
      <c r="H9" s="88"/>
      <c r="I9" s="88">
        <v>334</v>
      </c>
      <c r="J9" s="88"/>
      <c r="K9" s="89"/>
      <c r="L9" s="89"/>
      <c r="M9" s="88"/>
      <c r="O9" s="88"/>
      <c r="P9" s="88"/>
    </row>
    <row r="10" spans="1:18" ht="12.75" hidden="1" customHeight="1">
      <c r="A10" s="187" t="s">
        <v>14</v>
      </c>
      <c r="B10" s="188"/>
      <c r="C10" s="188"/>
      <c r="D10" s="188"/>
      <c r="E10" s="189">
        <f t="shared" si="4"/>
        <v>0</v>
      </c>
      <c r="F10" s="190" t="e">
        <f t="shared" si="1"/>
        <v>#DIV/0!</v>
      </c>
      <c r="H10" s="88"/>
      <c r="I10" s="88"/>
      <c r="J10" s="88"/>
      <c r="K10" s="89"/>
      <c r="L10" s="89"/>
      <c r="M10" s="88"/>
      <c r="O10" s="88"/>
      <c r="P10" s="88"/>
    </row>
    <row r="11" spans="1:18" ht="12.75" hidden="1" customHeight="1">
      <c r="A11" s="187" t="s">
        <v>15</v>
      </c>
      <c r="B11" s="188"/>
      <c r="C11" s="188"/>
      <c r="D11" s="188"/>
      <c r="E11" s="189">
        <f t="shared" si="4"/>
        <v>0</v>
      </c>
      <c r="F11" s="190" t="e">
        <f t="shared" si="1"/>
        <v>#DIV/0!</v>
      </c>
      <c r="H11" s="88"/>
      <c r="I11" s="88"/>
      <c r="J11" s="88"/>
      <c r="K11" s="89"/>
      <c r="L11" s="89"/>
      <c r="M11" s="88"/>
      <c r="O11" s="88"/>
      <c r="P11" s="88"/>
    </row>
    <row r="12" spans="1:18" ht="12.75" hidden="1" customHeight="1">
      <c r="A12" s="187" t="s">
        <v>16</v>
      </c>
      <c r="B12" s="188"/>
      <c r="C12" s="188"/>
      <c r="D12" s="188"/>
      <c r="E12" s="189">
        <f t="shared" si="4"/>
        <v>0</v>
      </c>
      <c r="F12" s="190" t="e">
        <f t="shared" si="1"/>
        <v>#DIV/0!</v>
      </c>
      <c r="H12" s="88"/>
      <c r="I12" s="88">
        <v>40</v>
      </c>
      <c r="J12" s="88"/>
      <c r="K12" s="89"/>
      <c r="L12" s="89"/>
      <c r="M12" s="88"/>
      <c r="O12" s="88"/>
      <c r="P12" s="88"/>
    </row>
    <row r="13" spans="1:18" ht="12.75" hidden="1" customHeight="1">
      <c r="A13" s="187" t="s">
        <v>17</v>
      </c>
      <c r="B13" s="188"/>
      <c r="C13" s="188"/>
      <c r="D13" s="188"/>
      <c r="E13" s="189">
        <f t="shared" si="4"/>
        <v>0</v>
      </c>
      <c r="F13" s="190" t="e">
        <f t="shared" si="1"/>
        <v>#DIV/0!</v>
      </c>
      <c r="H13" s="88"/>
      <c r="I13" s="88"/>
      <c r="J13" s="88"/>
      <c r="K13" s="89"/>
      <c r="L13" s="89"/>
      <c r="M13" s="88"/>
      <c r="O13" s="88"/>
      <c r="P13" s="88"/>
    </row>
    <row r="14" spans="1:18" ht="12.75" hidden="1" customHeight="1">
      <c r="A14" s="187" t="s">
        <v>18</v>
      </c>
      <c r="B14" s="188"/>
      <c r="C14" s="188"/>
      <c r="D14" s="188"/>
      <c r="E14" s="189">
        <f t="shared" si="4"/>
        <v>0</v>
      </c>
      <c r="F14" s="190" t="e">
        <f t="shared" si="1"/>
        <v>#DIV/0!</v>
      </c>
      <c r="H14" s="88"/>
      <c r="I14" s="88"/>
      <c r="J14" s="88"/>
      <c r="K14" s="89"/>
      <c r="L14" s="92"/>
      <c r="M14" s="88"/>
      <c r="O14" s="88"/>
      <c r="P14" s="88"/>
    </row>
    <row r="15" spans="1:18" ht="12.75" hidden="1" customHeight="1">
      <c r="A15" s="187" t="s">
        <v>19</v>
      </c>
      <c r="B15" s="188"/>
      <c r="C15" s="188"/>
      <c r="D15" s="188"/>
      <c r="E15" s="189">
        <f t="shared" si="4"/>
        <v>0</v>
      </c>
      <c r="F15" s="190" t="e">
        <f t="shared" si="1"/>
        <v>#DIV/0!</v>
      </c>
      <c r="H15" s="88"/>
      <c r="I15" s="88">
        <v>10</v>
      </c>
      <c r="J15" s="88"/>
      <c r="K15" s="89"/>
      <c r="L15" s="89"/>
      <c r="M15" s="88"/>
      <c r="O15" s="88"/>
      <c r="P15" s="88"/>
    </row>
    <row r="16" spans="1:18" ht="12.75" hidden="1" customHeight="1">
      <c r="A16" s="187" t="s">
        <v>20</v>
      </c>
      <c r="B16" s="188"/>
      <c r="C16" s="188"/>
      <c r="D16" s="188"/>
      <c r="E16" s="189">
        <f t="shared" si="4"/>
        <v>0</v>
      </c>
      <c r="F16" s="190" t="e">
        <f t="shared" si="1"/>
        <v>#DIV/0!</v>
      </c>
      <c r="H16" s="88"/>
      <c r="I16" s="88">
        <v>21</v>
      </c>
      <c r="J16" s="88"/>
      <c r="K16" s="89"/>
      <c r="L16" s="89"/>
      <c r="M16" s="88"/>
      <c r="O16" s="88"/>
      <c r="P16" s="88"/>
    </row>
    <row r="17" spans="1:16" ht="12.75" hidden="1" customHeight="1">
      <c r="A17" s="187" t="s">
        <v>21</v>
      </c>
      <c r="B17" s="188"/>
      <c r="C17" s="188"/>
      <c r="D17" s="188"/>
      <c r="E17" s="189">
        <f t="shared" si="4"/>
        <v>0</v>
      </c>
      <c r="F17" s="190" t="e">
        <f t="shared" si="1"/>
        <v>#DIV/0!</v>
      </c>
      <c r="H17" s="88"/>
      <c r="I17" s="88"/>
      <c r="J17" s="88"/>
      <c r="K17" s="89"/>
      <c r="L17" s="89"/>
      <c r="M17" s="88"/>
      <c r="O17" s="88"/>
      <c r="P17" s="88"/>
    </row>
    <row r="18" spans="1:16" ht="12.75" hidden="1" customHeight="1">
      <c r="A18" s="187" t="s">
        <v>22</v>
      </c>
      <c r="B18" s="188"/>
      <c r="C18" s="188"/>
      <c r="D18" s="188"/>
      <c r="E18" s="189">
        <f t="shared" si="4"/>
        <v>0</v>
      </c>
      <c r="F18" s="190" t="e">
        <f t="shared" si="1"/>
        <v>#DIV/0!</v>
      </c>
      <c r="H18" s="88"/>
      <c r="I18" s="88"/>
      <c r="J18" s="88"/>
      <c r="K18" s="89"/>
      <c r="L18" s="89"/>
      <c r="M18" s="88"/>
      <c r="O18" s="88"/>
      <c r="P18" s="88"/>
    </row>
    <row r="19" spans="1:16" ht="12.75" hidden="1" customHeight="1">
      <c r="A19" s="187" t="s">
        <v>23</v>
      </c>
      <c r="B19" s="188"/>
      <c r="C19" s="188"/>
      <c r="D19" s="188"/>
      <c r="E19" s="189">
        <f t="shared" si="4"/>
        <v>0</v>
      </c>
      <c r="F19" s="190" t="e">
        <f t="shared" si="1"/>
        <v>#DIV/0!</v>
      </c>
      <c r="H19" s="88"/>
      <c r="I19" s="88"/>
      <c r="J19" s="88"/>
      <c r="K19" s="89"/>
      <c r="L19" s="89"/>
      <c r="M19" s="88"/>
      <c r="O19" s="88"/>
      <c r="P19" s="88"/>
    </row>
    <row r="20" spans="1:16">
      <c r="A20" s="187" t="s">
        <v>24</v>
      </c>
      <c r="B20" s="188">
        <v>424.14</v>
      </c>
      <c r="C20" s="188">
        <v>424.14</v>
      </c>
      <c r="D20" s="188">
        <v>543.73</v>
      </c>
      <c r="E20" s="189">
        <f t="shared" si="4"/>
        <v>119.59000000000003</v>
      </c>
      <c r="F20" s="190">
        <f t="shared" si="1"/>
        <v>28.195878719290807</v>
      </c>
      <c r="H20" s="93">
        <f t="shared" ref="H20:M20" si="5">SUM(H21:H28)</f>
        <v>0</v>
      </c>
      <c r="I20" s="93">
        <f t="shared" si="5"/>
        <v>251</v>
      </c>
      <c r="J20" s="93">
        <f t="shared" si="5"/>
        <v>0</v>
      </c>
      <c r="K20" s="94">
        <f t="shared" si="5"/>
        <v>0</v>
      </c>
      <c r="L20" s="94">
        <f t="shared" si="5"/>
        <v>0</v>
      </c>
      <c r="M20" s="93">
        <f t="shared" si="5"/>
        <v>0</v>
      </c>
      <c r="O20" s="93">
        <f>SUM(O21:O28)</f>
        <v>0</v>
      </c>
      <c r="P20" s="93">
        <f>SUM(P21:P28)</f>
        <v>0</v>
      </c>
    </row>
    <row r="21" spans="1:16" ht="12.75" hidden="1" customHeight="1">
      <c r="A21" s="187" t="s">
        <v>13</v>
      </c>
      <c r="B21" s="188"/>
      <c r="C21" s="188"/>
      <c r="D21" s="188"/>
      <c r="E21" s="189">
        <f t="shared" si="4"/>
        <v>0</v>
      </c>
      <c r="F21" s="190" t="e">
        <f t="shared" si="1"/>
        <v>#DIV/0!</v>
      </c>
      <c r="H21" s="88"/>
      <c r="I21" s="88">
        <v>203</v>
      </c>
      <c r="J21" s="88"/>
      <c r="K21" s="89"/>
      <c r="L21" s="89"/>
      <c r="M21" s="88"/>
      <c r="O21" s="88"/>
      <c r="P21" s="88"/>
    </row>
    <row r="22" spans="1:16" ht="12.75" hidden="1" customHeight="1">
      <c r="A22" s="187" t="s">
        <v>14</v>
      </c>
      <c r="B22" s="188"/>
      <c r="C22" s="188"/>
      <c r="D22" s="188"/>
      <c r="E22" s="189">
        <f t="shared" si="4"/>
        <v>0</v>
      </c>
      <c r="F22" s="190" t="e">
        <f t="shared" si="1"/>
        <v>#DIV/0!</v>
      </c>
      <c r="H22" s="88"/>
      <c r="I22" s="88"/>
      <c r="J22" s="88"/>
      <c r="K22" s="89"/>
      <c r="L22" s="89"/>
      <c r="M22" s="88"/>
      <c r="O22" s="88"/>
      <c r="P22" s="88"/>
    </row>
    <row r="23" spans="1:16" ht="12.75" hidden="1" customHeight="1">
      <c r="A23" s="187" t="s">
        <v>15</v>
      </c>
      <c r="B23" s="188"/>
      <c r="C23" s="188"/>
      <c r="D23" s="188"/>
      <c r="E23" s="189">
        <f t="shared" si="4"/>
        <v>0</v>
      </c>
      <c r="F23" s="190" t="e">
        <f t="shared" si="1"/>
        <v>#DIV/0!</v>
      </c>
      <c r="H23" s="88"/>
      <c r="I23" s="88"/>
      <c r="J23" s="88"/>
      <c r="K23" s="89"/>
      <c r="L23" s="89"/>
      <c r="M23" s="88"/>
      <c r="O23" s="88"/>
      <c r="P23" s="88"/>
    </row>
    <row r="24" spans="1:16" ht="12.75" hidden="1" customHeight="1">
      <c r="A24" s="187" t="s">
        <v>25</v>
      </c>
      <c r="B24" s="188"/>
      <c r="C24" s="188"/>
      <c r="D24" s="188"/>
      <c r="E24" s="189">
        <f t="shared" si="4"/>
        <v>0</v>
      </c>
      <c r="F24" s="190" t="e">
        <f t="shared" si="1"/>
        <v>#DIV/0!</v>
      </c>
      <c r="H24" s="88"/>
      <c r="I24" s="88">
        <v>25</v>
      </c>
      <c r="J24" s="88"/>
      <c r="K24" s="89"/>
      <c r="L24" s="89"/>
      <c r="M24" s="88"/>
      <c r="O24" s="88"/>
      <c r="P24" s="88"/>
    </row>
    <row r="25" spans="1:16" ht="12.75" hidden="1" customHeight="1">
      <c r="A25" s="187" t="s">
        <v>26</v>
      </c>
      <c r="B25" s="188"/>
      <c r="C25" s="188"/>
      <c r="D25" s="188"/>
      <c r="E25" s="189">
        <f t="shared" si="4"/>
        <v>0</v>
      </c>
      <c r="F25" s="190" t="e">
        <f t="shared" si="1"/>
        <v>#DIV/0!</v>
      </c>
      <c r="H25" s="88"/>
      <c r="I25" s="88">
        <v>23</v>
      </c>
      <c r="J25" s="88"/>
      <c r="K25" s="89"/>
      <c r="L25" s="89"/>
      <c r="M25" s="88"/>
      <c r="O25" s="88"/>
      <c r="P25" s="88"/>
    </row>
    <row r="26" spans="1:16" ht="12.75" hidden="1" customHeight="1">
      <c r="A26" s="187" t="s">
        <v>27</v>
      </c>
      <c r="B26" s="188"/>
      <c r="C26" s="188"/>
      <c r="D26" s="188"/>
      <c r="E26" s="189">
        <f t="shared" si="4"/>
        <v>0</v>
      </c>
      <c r="F26" s="190" t="e">
        <f t="shared" si="1"/>
        <v>#DIV/0!</v>
      </c>
      <c r="H26" s="88"/>
      <c r="I26" s="88"/>
      <c r="J26" s="88"/>
      <c r="K26" s="89"/>
      <c r="L26" s="89"/>
      <c r="M26" s="88"/>
      <c r="O26" s="88"/>
      <c r="P26" s="88"/>
    </row>
    <row r="27" spans="1:16" ht="12.75" hidden="1" customHeight="1">
      <c r="A27" s="187" t="s">
        <v>22</v>
      </c>
      <c r="B27" s="188"/>
      <c r="C27" s="188"/>
      <c r="D27" s="188"/>
      <c r="E27" s="189">
        <f t="shared" si="4"/>
        <v>0</v>
      </c>
      <c r="F27" s="190" t="e">
        <f t="shared" si="1"/>
        <v>#DIV/0!</v>
      </c>
      <c r="H27" s="88"/>
      <c r="I27" s="88"/>
      <c r="J27" s="88"/>
      <c r="K27" s="89"/>
      <c r="L27" s="89"/>
      <c r="M27" s="88"/>
      <c r="O27" s="88"/>
      <c r="P27" s="88"/>
    </row>
    <row r="28" spans="1:16" ht="12.75" hidden="1" customHeight="1">
      <c r="A28" s="187" t="s">
        <v>28</v>
      </c>
      <c r="B28" s="188"/>
      <c r="C28" s="188"/>
      <c r="D28" s="188"/>
      <c r="E28" s="189">
        <f t="shared" si="4"/>
        <v>0</v>
      </c>
      <c r="F28" s="190" t="e">
        <f t="shared" si="1"/>
        <v>#DIV/0!</v>
      </c>
      <c r="H28" s="88"/>
      <c r="I28" s="88"/>
      <c r="J28" s="88"/>
      <c r="K28" s="89"/>
      <c r="L28" s="89"/>
      <c r="M28" s="88"/>
      <c r="O28" s="88"/>
      <c r="P28" s="88"/>
    </row>
    <row r="29" spans="1:16">
      <c r="A29" s="187" t="s">
        <v>29</v>
      </c>
      <c r="B29" s="188">
        <v>23330</v>
      </c>
      <c r="C29" s="188">
        <v>23330</v>
      </c>
      <c r="D29" s="188">
        <v>24523.83</v>
      </c>
      <c r="E29" s="189">
        <f t="shared" si="4"/>
        <v>1193.8300000000017</v>
      </c>
      <c r="F29" s="190">
        <f t="shared" si="1"/>
        <v>5.1171453064723611</v>
      </c>
      <c r="H29" s="88">
        <f t="shared" ref="H29:M29" si="6">SUM(H30:H40)</f>
        <v>9690</v>
      </c>
      <c r="I29" s="88">
        <f t="shared" si="6"/>
        <v>1874</v>
      </c>
      <c r="J29" s="88">
        <f t="shared" si="6"/>
        <v>3618</v>
      </c>
      <c r="K29" s="89">
        <f t="shared" si="6"/>
        <v>967</v>
      </c>
      <c r="L29" s="89">
        <f t="shared" si="6"/>
        <v>0</v>
      </c>
      <c r="M29" s="88">
        <f t="shared" si="6"/>
        <v>0</v>
      </c>
      <c r="O29" s="88">
        <f>SUM(O30:O40)</f>
        <v>0</v>
      </c>
      <c r="P29" s="88">
        <f>SUM(P30:P40)</f>
        <v>0</v>
      </c>
    </row>
    <row r="30" spans="1:16" ht="12.75" hidden="1" customHeight="1">
      <c r="A30" s="187" t="s">
        <v>13</v>
      </c>
      <c r="B30" s="188"/>
      <c r="C30" s="188"/>
      <c r="D30" s="188"/>
      <c r="E30" s="189">
        <f t="shared" si="4"/>
        <v>0</v>
      </c>
      <c r="F30" s="190" t="e">
        <f t="shared" si="1"/>
        <v>#DIV/0!</v>
      </c>
      <c r="H30" s="88">
        <v>9190</v>
      </c>
      <c r="I30" s="88">
        <v>1474</v>
      </c>
      <c r="J30" s="88">
        <v>3618</v>
      </c>
      <c r="K30" s="89">
        <v>967</v>
      </c>
      <c r="L30" s="89"/>
      <c r="M30" s="88"/>
      <c r="O30" s="88"/>
      <c r="P30" s="88"/>
    </row>
    <row r="31" spans="1:16" ht="12.75" hidden="1" customHeight="1">
      <c r="A31" s="187" t="s">
        <v>14</v>
      </c>
      <c r="B31" s="188"/>
      <c r="C31" s="188"/>
      <c r="D31" s="188"/>
      <c r="E31" s="189">
        <f t="shared" si="4"/>
        <v>0</v>
      </c>
      <c r="F31" s="190" t="e">
        <f t="shared" si="1"/>
        <v>#DIV/0!</v>
      </c>
      <c r="H31" s="88"/>
      <c r="I31" s="88">
        <v>0</v>
      </c>
      <c r="J31" s="88"/>
      <c r="K31" s="89"/>
      <c r="L31" s="89"/>
      <c r="M31" s="88"/>
      <c r="O31" s="88"/>
      <c r="P31" s="88"/>
    </row>
    <row r="32" spans="1:16" ht="12.75" hidden="1" customHeight="1">
      <c r="A32" s="187" t="s">
        <v>15</v>
      </c>
      <c r="B32" s="188"/>
      <c r="C32" s="188"/>
      <c r="D32" s="188"/>
      <c r="E32" s="189">
        <f t="shared" si="4"/>
        <v>0</v>
      </c>
      <c r="F32" s="190" t="e">
        <f t="shared" si="1"/>
        <v>#DIV/0!</v>
      </c>
      <c r="H32" s="88"/>
      <c r="I32" s="88"/>
      <c r="J32" s="88"/>
      <c r="K32" s="89"/>
      <c r="L32" s="89"/>
      <c r="M32" s="88"/>
      <c r="O32" s="88"/>
      <c r="P32" s="88"/>
    </row>
    <row r="33" spans="1:16" ht="12.75" hidden="1" customHeight="1">
      <c r="A33" s="187" t="s">
        <v>30</v>
      </c>
      <c r="B33" s="188"/>
      <c r="C33" s="188"/>
      <c r="D33" s="188"/>
      <c r="E33" s="189">
        <f t="shared" si="4"/>
        <v>0</v>
      </c>
      <c r="F33" s="190" t="e">
        <f t="shared" si="1"/>
        <v>#DIV/0!</v>
      </c>
      <c r="H33" s="88"/>
      <c r="I33" s="88"/>
      <c r="J33" s="88"/>
      <c r="K33" s="89"/>
      <c r="L33" s="89"/>
      <c r="M33" s="88"/>
      <c r="O33" s="88"/>
      <c r="P33" s="88"/>
    </row>
    <row r="34" spans="1:16" ht="12.75" hidden="1" customHeight="1">
      <c r="A34" s="187" t="s">
        <v>31</v>
      </c>
      <c r="B34" s="188"/>
      <c r="C34" s="188"/>
      <c r="D34" s="188"/>
      <c r="E34" s="189">
        <f t="shared" si="4"/>
        <v>0</v>
      </c>
      <c r="F34" s="190" t="e">
        <f t="shared" si="1"/>
        <v>#DIV/0!</v>
      </c>
      <c r="H34" s="88"/>
      <c r="I34" s="88"/>
      <c r="J34" s="88"/>
      <c r="K34" s="89"/>
      <c r="L34" s="89"/>
      <c r="M34" s="88"/>
      <c r="O34" s="88"/>
      <c r="P34" s="88"/>
    </row>
    <row r="35" spans="1:16" ht="12.75" hidden="1" customHeight="1">
      <c r="A35" s="187" t="s">
        <v>32</v>
      </c>
      <c r="B35" s="188"/>
      <c r="C35" s="188"/>
      <c r="D35" s="188"/>
      <c r="E35" s="189">
        <f t="shared" si="4"/>
        <v>0</v>
      </c>
      <c r="F35" s="190" t="e">
        <f t="shared" si="1"/>
        <v>#DIV/0!</v>
      </c>
      <c r="H35" s="88"/>
      <c r="I35" s="88"/>
      <c r="J35" s="88"/>
      <c r="K35" s="89"/>
      <c r="L35" s="89"/>
      <c r="M35" s="88"/>
      <c r="O35" s="88"/>
      <c r="P35" s="88"/>
    </row>
    <row r="36" spans="1:16" ht="12.75" hidden="1" customHeight="1">
      <c r="A36" s="187" t="s">
        <v>33</v>
      </c>
      <c r="B36" s="188"/>
      <c r="C36" s="188"/>
      <c r="D36" s="188"/>
      <c r="E36" s="189">
        <f t="shared" si="4"/>
        <v>0</v>
      </c>
      <c r="F36" s="190" t="e">
        <f t="shared" si="1"/>
        <v>#DIV/0!</v>
      </c>
      <c r="H36" s="88"/>
      <c r="I36" s="88"/>
      <c r="J36" s="88"/>
      <c r="K36" s="89"/>
      <c r="L36" s="89"/>
      <c r="M36" s="88"/>
      <c r="O36" s="88"/>
      <c r="P36" s="88"/>
    </row>
    <row r="37" spans="1:16" ht="12.75" hidden="1" customHeight="1">
      <c r="A37" s="187" t="s">
        <v>34</v>
      </c>
      <c r="B37" s="188"/>
      <c r="C37" s="188"/>
      <c r="D37" s="188"/>
      <c r="E37" s="189">
        <f t="shared" si="4"/>
        <v>0</v>
      </c>
      <c r="F37" s="190" t="e">
        <f t="shared" si="1"/>
        <v>#DIV/0!</v>
      </c>
      <c r="H37" s="88"/>
      <c r="I37" s="88"/>
      <c r="J37" s="88"/>
      <c r="K37" s="89"/>
      <c r="L37" s="89"/>
      <c r="M37" s="88"/>
      <c r="O37" s="88"/>
      <c r="P37" s="88"/>
    </row>
    <row r="38" spans="1:16" ht="12.75" hidden="1" customHeight="1">
      <c r="A38" s="187" t="s">
        <v>35</v>
      </c>
      <c r="B38" s="188"/>
      <c r="C38" s="188"/>
      <c r="D38" s="188"/>
      <c r="E38" s="189">
        <f t="shared" si="4"/>
        <v>0</v>
      </c>
      <c r="F38" s="190" t="e">
        <f t="shared" si="1"/>
        <v>#DIV/0!</v>
      </c>
      <c r="H38" s="88"/>
      <c r="I38" s="88"/>
      <c r="J38" s="88"/>
      <c r="K38" s="89"/>
      <c r="L38" s="89"/>
      <c r="M38" s="88"/>
      <c r="O38" s="88"/>
      <c r="P38" s="88"/>
    </row>
    <row r="39" spans="1:16" ht="12.75" hidden="1" customHeight="1">
      <c r="A39" s="187" t="s">
        <v>22</v>
      </c>
      <c r="B39" s="188"/>
      <c r="C39" s="188"/>
      <c r="D39" s="188"/>
      <c r="E39" s="189">
        <f t="shared" si="4"/>
        <v>0</v>
      </c>
      <c r="F39" s="190" t="e">
        <f t="shared" si="1"/>
        <v>#DIV/0!</v>
      </c>
      <c r="H39" s="88"/>
      <c r="I39" s="88"/>
      <c r="J39" s="88"/>
      <c r="K39" s="89"/>
      <c r="L39" s="89"/>
      <c r="M39" s="88"/>
      <c r="O39" s="88"/>
      <c r="P39" s="88"/>
    </row>
    <row r="40" spans="1:16" ht="12.75" hidden="1" customHeight="1">
      <c r="A40" s="187" t="s">
        <v>36</v>
      </c>
      <c r="B40" s="188"/>
      <c r="C40" s="188"/>
      <c r="D40" s="188"/>
      <c r="E40" s="189">
        <f t="shared" si="4"/>
        <v>0</v>
      </c>
      <c r="F40" s="190" t="e">
        <f t="shared" si="1"/>
        <v>#DIV/0!</v>
      </c>
      <c r="H40" s="88">
        <v>500</v>
      </c>
      <c r="I40" s="88">
        <v>400</v>
      </c>
      <c r="J40" s="88"/>
      <c r="K40" s="89"/>
      <c r="L40" s="89"/>
      <c r="M40" s="88"/>
      <c r="O40" s="88"/>
      <c r="P40" s="88"/>
    </row>
    <row r="41" spans="1:16">
      <c r="A41" s="187" t="s">
        <v>37</v>
      </c>
      <c r="B41" s="188">
        <v>2563.23</v>
      </c>
      <c r="C41" s="188">
        <v>2563.23</v>
      </c>
      <c r="D41" s="188">
        <v>3363.34</v>
      </c>
      <c r="E41" s="189">
        <f t="shared" si="4"/>
        <v>800.11000000000013</v>
      </c>
      <c r="F41" s="190">
        <f t="shared" si="1"/>
        <v>31.214912434701535</v>
      </c>
      <c r="H41" s="88">
        <f t="shared" ref="H41:M41" si="7">SUM(H42:H51)</f>
        <v>1557</v>
      </c>
      <c r="I41" s="88">
        <f t="shared" si="7"/>
        <v>215</v>
      </c>
      <c r="J41" s="88">
        <f t="shared" si="7"/>
        <v>0</v>
      </c>
      <c r="K41" s="89">
        <f t="shared" si="7"/>
        <v>0</v>
      </c>
      <c r="L41" s="89">
        <f t="shared" si="7"/>
        <v>0</v>
      </c>
      <c r="M41" s="88">
        <f t="shared" si="7"/>
        <v>0</v>
      </c>
      <c r="O41" s="88">
        <f>SUM(O42:O51)</f>
        <v>0</v>
      </c>
      <c r="P41" s="88">
        <f>SUM(P42:P51)</f>
        <v>0</v>
      </c>
    </row>
    <row r="42" spans="1:16" ht="12.75" hidden="1" customHeight="1">
      <c r="A42" s="187" t="s">
        <v>13</v>
      </c>
      <c r="B42" s="188"/>
      <c r="C42" s="188"/>
      <c r="D42" s="188"/>
      <c r="E42" s="189">
        <f t="shared" si="4"/>
        <v>0</v>
      </c>
      <c r="F42" s="190" t="e">
        <f t="shared" si="1"/>
        <v>#DIV/0!</v>
      </c>
      <c r="H42" s="88">
        <v>1557</v>
      </c>
      <c r="I42" s="88">
        <v>63</v>
      </c>
      <c r="J42" s="88"/>
      <c r="K42" s="89"/>
      <c r="L42" s="89"/>
      <c r="M42" s="88"/>
      <c r="O42" s="88"/>
      <c r="P42" s="88"/>
    </row>
    <row r="43" spans="1:16" ht="12.75" hidden="1" customHeight="1">
      <c r="A43" s="187" t="s">
        <v>14</v>
      </c>
      <c r="B43" s="188"/>
      <c r="C43" s="188"/>
      <c r="D43" s="188"/>
      <c r="E43" s="189">
        <f t="shared" si="4"/>
        <v>0</v>
      </c>
      <c r="F43" s="190" t="e">
        <f t="shared" si="1"/>
        <v>#DIV/0!</v>
      </c>
      <c r="H43" s="88"/>
      <c r="I43" s="88"/>
      <c r="J43" s="88"/>
      <c r="K43" s="89"/>
      <c r="L43" s="89"/>
      <c r="M43" s="88"/>
      <c r="O43" s="88"/>
      <c r="P43" s="88"/>
    </row>
    <row r="44" spans="1:16" ht="12.75" hidden="1" customHeight="1">
      <c r="A44" s="187" t="s">
        <v>15</v>
      </c>
      <c r="B44" s="188"/>
      <c r="C44" s="188"/>
      <c r="D44" s="188"/>
      <c r="E44" s="189">
        <f t="shared" si="4"/>
        <v>0</v>
      </c>
      <c r="F44" s="190" t="e">
        <f t="shared" si="1"/>
        <v>#DIV/0!</v>
      </c>
      <c r="H44" s="88"/>
      <c r="I44" s="88"/>
      <c r="J44" s="88"/>
      <c r="K44" s="89"/>
      <c r="L44" s="89"/>
      <c r="M44" s="88"/>
      <c r="O44" s="88"/>
      <c r="P44" s="88"/>
    </row>
    <row r="45" spans="1:16" ht="12.75" hidden="1" customHeight="1">
      <c r="A45" s="187" t="s">
        <v>38</v>
      </c>
      <c r="B45" s="188"/>
      <c r="C45" s="188"/>
      <c r="D45" s="188"/>
      <c r="E45" s="189">
        <f t="shared" si="4"/>
        <v>0</v>
      </c>
      <c r="F45" s="190" t="e">
        <f t="shared" si="1"/>
        <v>#DIV/0!</v>
      </c>
      <c r="H45" s="88"/>
      <c r="I45" s="88"/>
      <c r="J45" s="88"/>
      <c r="K45" s="89"/>
      <c r="L45" s="89"/>
      <c r="M45" s="88"/>
      <c r="O45" s="88"/>
      <c r="P45" s="88"/>
    </row>
    <row r="46" spans="1:16" ht="12.75" hidden="1" customHeight="1">
      <c r="A46" s="191" t="s">
        <v>39</v>
      </c>
      <c r="B46" s="188"/>
      <c r="C46" s="188"/>
      <c r="D46" s="188"/>
      <c r="E46" s="189">
        <f t="shared" si="4"/>
        <v>0</v>
      </c>
      <c r="F46" s="190" t="e">
        <f t="shared" si="1"/>
        <v>#DIV/0!</v>
      </c>
      <c r="H46" s="88"/>
      <c r="I46" s="88"/>
      <c r="J46" s="88"/>
      <c r="K46" s="89"/>
      <c r="L46" s="89"/>
      <c r="M46" s="88"/>
      <c r="O46" s="88"/>
      <c r="P46" s="88"/>
    </row>
    <row r="47" spans="1:16" ht="12.75" hidden="1" customHeight="1">
      <c r="A47" s="187" t="s">
        <v>40</v>
      </c>
      <c r="B47" s="188"/>
      <c r="C47" s="188"/>
      <c r="D47" s="188"/>
      <c r="E47" s="189">
        <f t="shared" si="4"/>
        <v>0</v>
      </c>
      <c r="F47" s="190" t="e">
        <f t="shared" si="1"/>
        <v>#DIV/0!</v>
      </c>
      <c r="H47" s="88"/>
      <c r="I47" s="88"/>
      <c r="J47" s="88"/>
      <c r="K47" s="89"/>
      <c r="L47" s="89"/>
      <c r="M47" s="88"/>
      <c r="O47" s="88"/>
      <c r="P47" s="88"/>
    </row>
    <row r="48" spans="1:16" ht="12.75" hidden="1" customHeight="1">
      <c r="A48" s="187" t="s">
        <v>41</v>
      </c>
      <c r="B48" s="188"/>
      <c r="C48" s="188"/>
      <c r="D48" s="188"/>
      <c r="E48" s="189">
        <f t="shared" si="4"/>
        <v>0</v>
      </c>
      <c r="F48" s="190" t="e">
        <f t="shared" si="1"/>
        <v>#DIV/0!</v>
      </c>
      <c r="H48" s="88"/>
      <c r="I48" s="88"/>
      <c r="J48" s="88"/>
      <c r="K48" s="89"/>
      <c r="L48" s="89"/>
      <c r="M48" s="88"/>
      <c r="O48" s="88"/>
      <c r="P48" s="88"/>
    </row>
    <row r="49" spans="1:16" ht="12.75" hidden="1" customHeight="1">
      <c r="A49" s="187" t="s">
        <v>42</v>
      </c>
      <c r="B49" s="188"/>
      <c r="C49" s="188"/>
      <c r="D49" s="188"/>
      <c r="E49" s="189">
        <f t="shared" si="4"/>
        <v>0</v>
      </c>
      <c r="F49" s="190" t="e">
        <f t="shared" si="1"/>
        <v>#DIV/0!</v>
      </c>
      <c r="H49" s="88"/>
      <c r="I49" s="88">
        <v>152</v>
      </c>
      <c r="J49" s="88"/>
      <c r="K49" s="89"/>
      <c r="L49" s="89"/>
      <c r="M49" s="88"/>
      <c r="O49" s="88"/>
      <c r="P49" s="88"/>
    </row>
    <row r="50" spans="1:16" ht="12.75" hidden="1" customHeight="1">
      <c r="A50" s="187" t="s">
        <v>22</v>
      </c>
      <c r="B50" s="188"/>
      <c r="C50" s="188"/>
      <c r="D50" s="188"/>
      <c r="E50" s="189">
        <f t="shared" si="4"/>
        <v>0</v>
      </c>
      <c r="F50" s="190" t="e">
        <f t="shared" si="1"/>
        <v>#DIV/0!</v>
      </c>
      <c r="H50" s="88"/>
      <c r="I50" s="88"/>
      <c r="J50" s="88"/>
      <c r="K50" s="89"/>
      <c r="L50" s="89"/>
      <c r="M50" s="88"/>
      <c r="O50" s="88"/>
      <c r="P50" s="88"/>
    </row>
    <row r="51" spans="1:16" ht="12.75" hidden="1" customHeight="1">
      <c r="A51" s="187" t="s">
        <v>43</v>
      </c>
      <c r="B51" s="188"/>
      <c r="C51" s="188"/>
      <c r="D51" s="188"/>
      <c r="E51" s="189">
        <f t="shared" si="4"/>
        <v>0</v>
      </c>
      <c r="F51" s="190" t="e">
        <f t="shared" si="1"/>
        <v>#DIV/0!</v>
      </c>
      <c r="H51" s="88"/>
      <c r="I51" s="88"/>
      <c r="J51" s="88"/>
      <c r="K51" s="89"/>
      <c r="L51" s="89"/>
      <c r="M51" s="88"/>
      <c r="O51" s="88"/>
      <c r="P51" s="88"/>
    </row>
    <row r="52" spans="1:16">
      <c r="A52" s="187" t="s">
        <v>44</v>
      </c>
      <c r="B52" s="188">
        <v>917.97</v>
      </c>
      <c r="C52" s="188">
        <v>917.97</v>
      </c>
      <c r="D52" s="188">
        <v>562.62</v>
      </c>
      <c r="E52" s="189">
        <f t="shared" si="4"/>
        <v>-355.35</v>
      </c>
      <c r="F52" s="190">
        <f t="shared" si="1"/>
        <v>-38.710415373051411</v>
      </c>
      <c r="H52" s="88">
        <f t="shared" ref="H52:M52" si="8">SUM(H53:H62)</f>
        <v>101</v>
      </c>
      <c r="I52" s="88">
        <f t="shared" si="8"/>
        <v>225</v>
      </c>
      <c r="J52" s="88">
        <f t="shared" si="8"/>
        <v>0</v>
      </c>
      <c r="K52" s="89">
        <f t="shared" si="8"/>
        <v>0</v>
      </c>
      <c r="L52" s="89">
        <f t="shared" si="8"/>
        <v>0</v>
      </c>
      <c r="M52" s="88">
        <f t="shared" si="8"/>
        <v>0</v>
      </c>
      <c r="O52" s="88">
        <f>SUM(O53:O62)</f>
        <v>0</v>
      </c>
      <c r="P52" s="88">
        <f>SUM(P53:P62)</f>
        <v>0</v>
      </c>
    </row>
    <row r="53" spans="1:16" ht="12.75" hidden="1" customHeight="1">
      <c r="A53" s="187" t="s">
        <v>13</v>
      </c>
      <c r="B53" s="188"/>
      <c r="C53" s="188"/>
      <c r="D53" s="188"/>
      <c r="E53" s="189">
        <f t="shared" si="4"/>
        <v>0</v>
      </c>
      <c r="F53" s="190" t="e">
        <f t="shared" si="1"/>
        <v>#DIV/0!</v>
      </c>
      <c r="H53" s="88">
        <v>101</v>
      </c>
      <c r="I53" s="88">
        <v>158</v>
      </c>
      <c r="J53" s="88"/>
      <c r="K53" s="89"/>
      <c r="L53" s="89"/>
      <c r="M53" s="88"/>
      <c r="O53" s="88"/>
      <c r="P53" s="88"/>
    </row>
    <row r="54" spans="1:16" ht="12.75" hidden="1" customHeight="1">
      <c r="A54" s="187" t="s">
        <v>14</v>
      </c>
      <c r="B54" s="188"/>
      <c r="C54" s="188"/>
      <c r="D54" s="188"/>
      <c r="E54" s="189">
        <f t="shared" si="4"/>
        <v>0</v>
      </c>
      <c r="F54" s="190" t="e">
        <f t="shared" si="1"/>
        <v>#DIV/0!</v>
      </c>
      <c r="H54" s="88"/>
      <c r="I54" s="88"/>
      <c r="J54" s="88"/>
      <c r="K54" s="89"/>
      <c r="L54" s="89"/>
      <c r="M54" s="88"/>
      <c r="O54" s="88"/>
      <c r="P54" s="88"/>
    </row>
    <row r="55" spans="1:16" ht="12.75" hidden="1" customHeight="1">
      <c r="A55" s="187" t="s">
        <v>15</v>
      </c>
      <c r="B55" s="188"/>
      <c r="C55" s="188"/>
      <c r="D55" s="188"/>
      <c r="E55" s="189">
        <f t="shared" si="4"/>
        <v>0</v>
      </c>
      <c r="F55" s="190" t="e">
        <f t="shared" si="1"/>
        <v>#DIV/0!</v>
      </c>
      <c r="H55" s="88"/>
      <c r="I55" s="88"/>
      <c r="J55" s="88"/>
      <c r="K55" s="89"/>
      <c r="L55" s="89"/>
      <c r="M55" s="88"/>
      <c r="O55" s="88"/>
      <c r="P55" s="88"/>
    </row>
    <row r="56" spans="1:16" ht="12.75" hidden="1" customHeight="1">
      <c r="A56" s="187" t="s">
        <v>45</v>
      </c>
      <c r="B56" s="188"/>
      <c r="C56" s="188"/>
      <c r="D56" s="188"/>
      <c r="E56" s="189">
        <f t="shared" si="4"/>
        <v>0</v>
      </c>
      <c r="F56" s="190" t="e">
        <f t="shared" si="1"/>
        <v>#DIV/0!</v>
      </c>
      <c r="H56" s="88"/>
      <c r="I56" s="88"/>
      <c r="J56" s="88"/>
      <c r="K56" s="89"/>
      <c r="L56" s="89"/>
      <c r="M56" s="88"/>
      <c r="O56" s="88"/>
      <c r="P56" s="88"/>
    </row>
    <row r="57" spans="1:16" ht="12.75" hidden="1" customHeight="1">
      <c r="A57" s="187" t="s">
        <v>46</v>
      </c>
      <c r="B57" s="188"/>
      <c r="C57" s="188"/>
      <c r="D57" s="188"/>
      <c r="E57" s="189">
        <f t="shared" si="4"/>
        <v>0</v>
      </c>
      <c r="F57" s="190" t="e">
        <f t="shared" si="1"/>
        <v>#DIV/0!</v>
      </c>
      <c r="H57" s="88"/>
      <c r="I57" s="88"/>
      <c r="J57" s="88"/>
      <c r="K57" s="89"/>
      <c r="L57" s="89"/>
      <c r="M57" s="88"/>
      <c r="O57" s="88"/>
      <c r="P57" s="88"/>
    </row>
    <row r="58" spans="1:16" ht="12.75" hidden="1" customHeight="1">
      <c r="A58" s="187" t="s">
        <v>47</v>
      </c>
      <c r="B58" s="188"/>
      <c r="C58" s="188"/>
      <c r="D58" s="188"/>
      <c r="E58" s="189">
        <f t="shared" si="4"/>
        <v>0</v>
      </c>
      <c r="F58" s="190" t="e">
        <f t="shared" si="1"/>
        <v>#DIV/0!</v>
      </c>
      <c r="H58" s="88"/>
      <c r="I58" s="88"/>
      <c r="J58" s="88"/>
      <c r="K58" s="89"/>
      <c r="L58" s="89"/>
      <c r="M58" s="88"/>
      <c r="O58" s="88"/>
      <c r="P58" s="88"/>
    </row>
    <row r="59" spans="1:16" ht="12.75" hidden="1" customHeight="1">
      <c r="A59" s="187" t="s">
        <v>48</v>
      </c>
      <c r="B59" s="188"/>
      <c r="C59" s="188"/>
      <c r="D59" s="188"/>
      <c r="E59" s="189">
        <f t="shared" si="4"/>
        <v>0</v>
      </c>
      <c r="F59" s="190" t="e">
        <f t="shared" si="1"/>
        <v>#DIV/0!</v>
      </c>
      <c r="H59" s="88"/>
      <c r="I59" s="88">
        <v>50</v>
      </c>
      <c r="J59" s="88"/>
      <c r="K59" s="89"/>
      <c r="L59" s="89"/>
      <c r="M59" s="88"/>
      <c r="O59" s="88"/>
      <c r="P59" s="88"/>
    </row>
    <row r="60" spans="1:16" ht="12.75" hidden="1" customHeight="1">
      <c r="A60" s="187" t="s">
        <v>49</v>
      </c>
      <c r="B60" s="188"/>
      <c r="C60" s="188"/>
      <c r="D60" s="188"/>
      <c r="E60" s="189">
        <f t="shared" si="4"/>
        <v>0</v>
      </c>
      <c r="F60" s="190" t="e">
        <f t="shared" si="1"/>
        <v>#DIV/0!</v>
      </c>
      <c r="H60" s="88"/>
      <c r="I60" s="88"/>
      <c r="J60" s="88"/>
      <c r="K60" s="89"/>
      <c r="L60" s="89"/>
      <c r="M60" s="88"/>
      <c r="O60" s="88"/>
      <c r="P60" s="88"/>
    </row>
    <row r="61" spans="1:16" ht="12.75" hidden="1" customHeight="1">
      <c r="A61" s="187" t="s">
        <v>22</v>
      </c>
      <c r="B61" s="188"/>
      <c r="C61" s="188"/>
      <c r="D61" s="188"/>
      <c r="E61" s="189">
        <f t="shared" si="4"/>
        <v>0</v>
      </c>
      <c r="F61" s="190" t="e">
        <f t="shared" si="1"/>
        <v>#DIV/0!</v>
      </c>
      <c r="H61" s="88"/>
      <c r="I61" s="88"/>
      <c r="J61" s="88"/>
      <c r="K61" s="89"/>
      <c r="L61" s="89"/>
      <c r="M61" s="88"/>
      <c r="O61" s="88"/>
      <c r="P61" s="88"/>
    </row>
    <row r="62" spans="1:16" ht="12.75" hidden="1" customHeight="1">
      <c r="A62" s="187" t="s">
        <v>50</v>
      </c>
      <c r="B62" s="188"/>
      <c r="C62" s="188"/>
      <c r="D62" s="188"/>
      <c r="E62" s="189">
        <f t="shared" si="4"/>
        <v>0</v>
      </c>
      <c r="F62" s="190" t="e">
        <f t="shared" si="1"/>
        <v>#DIV/0!</v>
      </c>
      <c r="H62" s="88"/>
      <c r="I62" s="88">
        <v>17</v>
      </c>
      <c r="J62" s="88"/>
      <c r="K62" s="89"/>
      <c r="L62" s="89"/>
      <c r="M62" s="88"/>
      <c r="O62" s="88"/>
      <c r="P62" s="88"/>
    </row>
    <row r="63" spans="1:16">
      <c r="A63" s="187" t="s">
        <v>51</v>
      </c>
      <c r="B63" s="188">
        <v>2266.12</v>
      </c>
      <c r="C63" s="188">
        <v>2266.12</v>
      </c>
      <c r="D63" s="188">
        <v>3001.47</v>
      </c>
      <c r="E63" s="189">
        <f t="shared" si="4"/>
        <v>735.34999999999991</v>
      </c>
      <c r="F63" s="190">
        <f t="shared" si="1"/>
        <v>32.449737877958803</v>
      </c>
      <c r="H63" s="88">
        <f t="shared" ref="H63:M63" si="9">SUM(H64:H73)</f>
        <v>524</v>
      </c>
      <c r="I63" s="88">
        <f t="shared" si="9"/>
        <v>785</v>
      </c>
      <c r="J63" s="88">
        <f t="shared" si="9"/>
        <v>438</v>
      </c>
      <c r="K63" s="89">
        <f t="shared" si="9"/>
        <v>0</v>
      </c>
      <c r="L63" s="89">
        <f t="shared" si="9"/>
        <v>55</v>
      </c>
      <c r="M63" s="88">
        <f t="shared" si="9"/>
        <v>0</v>
      </c>
      <c r="O63" s="88">
        <f>SUM(O64:O73)</f>
        <v>0</v>
      </c>
      <c r="P63" s="88">
        <f>SUM(P64:P73)</f>
        <v>0</v>
      </c>
    </row>
    <row r="64" spans="1:16" ht="12.75" hidden="1" customHeight="1">
      <c r="A64" s="187" t="s">
        <v>13</v>
      </c>
      <c r="B64" s="188"/>
      <c r="C64" s="188"/>
      <c r="D64" s="188"/>
      <c r="E64" s="189">
        <f t="shared" si="4"/>
        <v>0</v>
      </c>
      <c r="F64" s="190" t="e">
        <f t="shared" si="1"/>
        <v>#DIV/0!</v>
      </c>
      <c r="H64" s="88">
        <v>524</v>
      </c>
      <c r="I64" s="88">
        <v>689</v>
      </c>
      <c r="J64" s="88">
        <v>438</v>
      </c>
      <c r="K64" s="89"/>
      <c r="L64" s="89">
        <v>2</v>
      </c>
      <c r="M64" s="88"/>
      <c r="O64" s="88"/>
      <c r="P64" s="88"/>
    </row>
    <row r="65" spans="1:16" ht="12.75" hidden="1" customHeight="1">
      <c r="A65" s="187" t="s">
        <v>14</v>
      </c>
      <c r="B65" s="188"/>
      <c r="C65" s="188"/>
      <c r="D65" s="188"/>
      <c r="E65" s="189">
        <f t="shared" si="4"/>
        <v>0</v>
      </c>
      <c r="F65" s="190" t="e">
        <f t="shared" si="1"/>
        <v>#DIV/0!</v>
      </c>
      <c r="H65" s="88"/>
      <c r="I65" s="88"/>
      <c r="J65" s="88"/>
      <c r="K65" s="89"/>
      <c r="L65" s="89"/>
      <c r="M65" s="88"/>
      <c r="O65" s="88"/>
      <c r="P65" s="88"/>
    </row>
    <row r="66" spans="1:16" ht="12.75" hidden="1" customHeight="1">
      <c r="A66" s="187" t="s">
        <v>15</v>
      </c>
      <c r="B66" s="188"/>
      <c r="C66" s="188"/>
      <c r="D66" s="188"/>
      <c r="E66" s="189">
        <f t="shared" si="4"/>
        <v>0</v>
      </c>
      <c r="F66" s="190" t="e">
        <f t="shared" si="1"/>
        <v>#DIV/0!</v>
      </c>
      <c r="H66" s="88"/>
      <c r="I66" s="88"/>
      <c r="J66" s="88"/>
      <c r="K66" s="89"/>
      <c r="L66" s="89"/>
      <c r="M66" s="88"/>
      <c r="O66" s="88"/>
      <c r="P66" s="88"/>
    </row>
    <row r="67" spans="1:16" ht="12.75" hidden="1" customHeight="1">
      <c r="A67" s="187" t="s">
        <v>52</v>
      </c>
      <c r="B67" s="188"/>
      <c r="C67" s="188"/>
      <c r="D67" s="188"/>
      <c r="E67" s="189">
        <f t="shared" si="4"/>
        <v>0</v>
      </c>
      <c r="F67" s="190" t="e">
        <f t="shared" si="1"/>
        <v>#DIV/0!</v>
      </c>
      <c r="H67" s="88"/>
      <c r="I67" s="88">
        <v>10</v>
      </c>
      <c r="J67" s="88"/>
      <c r="K67" s="89"/>
      <c r="L67" s="89"/>
      <c r="M67" s="88"/>
      <c r="O67" s="88"/>
      <c r="P67" s="88"/>
    </row>
    <row r="68" spans="1:16" ht="12.75" hidden="1" customHeight="1">
      <c r="A68" s="187" t="s">
        <v>53</v>
      </c>
      <c r="B68" s="188"/>
      <c r="C68" s="188"/>
      <c r="D68" s="188"/>
      <c r="E68" s="189">
        <f t="shared" si="4"/>
        <v>0</v>
      </c>
      <c r="F68" s="190" t="e">
        <f t="shared" si="1"/>
        <v>#DIV/0!</v>
      </c>
      <c r="H68" s="88"/>
      <c r="I68" s="88">
        <v>30</v>
      </c>
      <c r="J68" s="88"/>
      <c r="K68" s="89"/>
      <c r="L68" s="89"/>
      <c r="M68" s="88"/>
      <c r="O68" s="88"/>
      <c r="P68" s="88"/>
    </row>
    <row r="69" spans="1:16" ht="12.75" hidden="1" customHeight="1">
      <c r="A69" s="187" t="s">
        <v>54</v>
      </c>
      <c r="B69" s="188"/>
      <c r="C69" s="188"/>
      <c r="D69" s="188"/>
      <c r="E69" s="189">
        <f t="shared" si="4"/>
        <v>0</v>
      </c>
      <c r="F69" s="190" t="e">
        <f t="shared" si="1"/>
        <v>#DIV/0!</v>
      </c>
      <c r="H69" s="88"/>
      <c r="I69" s="88"/>
      <c r="J69" s="88"/>
      <c r="K69" s="89"/>
      <c r="L69" s="89"/>
      <c r="M69" s="88"/>
      <c r="O69" s="88"/>
      <c r="P69" s="88"/>
    </row>
    <row r="70" spans="1:16" ht="12.75" hidden="1" customHeight="1">
      <c r="A70" s="187" t="s">
        <v>55</v>
      </c>
      <c r="B70" s="188"/>
      <c r="C70" s="188"/>
      <c r="D70" s="188"/>
      <c r="E70" s="189">
        <f t="shared" si="4"/>
        <v>0</v>
      </c>
      <c r="F70" s="190" t="e">
        <f t="shared" si="1"/>
        <v>#DIV/0!</v>
      </c>
      <c r="H70" s="88"/>
      <c r="I70" s="88"/>
      <c r="J70" s="88"/>
      <c r="K70" s="89"/>
      <c r="L70" s="89"/>
      <c r="M70" s="88"/>
      <c r="O70" s="88"/>
      <c r="P70" s="88"/>
    </row>
    <row r="71" spans="1:16" ht="12.75" hidden="1" customHeight="1">
      <c r="A71" s="187" t="s">
        <v>56</v>
      </c>
      <c r="B71" s="188"/>
      <c r="C71" s="188"/>
      <c r="D71" s="188"/>
      <c r="E71" s="189">
        <f t="shared" si="4"/>
        <v>0</v>
      </c>
      <c r="F71" s="190" t="e">
        <f t="shared" ref="F71:F134" si="10">E71/C71*100</f>
        <v>#DIV/0!</v>
      </c>
      <c r="H71" s="88"/>
      <c r="I71" s="88"/>
      <c r="J71" s="88"/>
      <c r="K71" s="89"/>
      <c r="L71" s="89"/>
      <c r="M71" s="88"/>
      <c r="O71" s="88"/>
      <c r="P71" s="88"/>
    </row>
    <row r="72" spans="1:16" ht="12.75" hidden="1" customHeight="1">
      <c r="A72" s="187" t="s">
        <v>22</v>
      </c>
      <c r="B72" s="188"/>
      <c r="C72" s="188"/>
      <c r="D72" s="188"/>
      <c r="E72" s="189">
        <f t="shared" si="4"/>
        <v>0</v>
      </c>
      <c r="F72" s="190" t="e">
        <f t="shared" si="10"/>
        <v>#DIV/0!</v>
      </c>
      <c r="H72" s="88"/>
      <c r="I72" s="88">
        <v>49</v>
      </c>
      <c r="J72" s="88"/>
      <c r="K72" s="89"/>
      <c r="L72" s="89"/>
      <c r="M72" s="88"/>
      <c r="O72" s="88"/>
      <c r="P72" s="88"/>
    </row>
    <row r="73" spans="1:16" ht="12.75" hidden="1" customHeight="1">
      <c r="A73" s="187" t="s">
        <v>57</v>
      </c>
      <c r="B73" s="188"/>
      <c r="C73" s="188"/>
      <c r="D73" s="188"/>
      <c r="E73" s="189">
        <f t="shared" ref="E73:E136" si="11">D73-C73</f>
        <v>0</v>
      </c>
      <c r="F73" s="190" t="e">
        <f t="shared" si="10"/>
        <v>#DIV/0!</v>
      </c>
      <c r="H73" s="88"/>
      <c r="I73" s="88">
        <v>7</v>
      </c>
      <c r="J73" s="88"/>
      <c r="K73" s="89"/>
      <c r="L73" s="89">
        <v>53</v>
      </c>
      <c r="M73" s="88"/>
      <c r="O73" s="88"/>
      <c r="P73" s="88"/>
    </row>
    <row r="74" spans="1:16">
      <c r="A74" s="187" t="s">
        <v>58</v>
      </c>
      <c r="B74" s="188">
        <v>2300</v>
      </c>
      <c r="C74" s="188">
        <v>2300</v>
      </c>
      <c r="D74" s="188">
        <v>2300</v>
      </c>
      <c r="E74" s="189">
        <f t="shared" si="11"/>
        <v>0</v>
      </c>
      <c r="F74" s="190">
        <f t="shared" si="10"/>
        <v>0</v>
      </c>
      <c r="H74" s="88">
        <f t="shared" ref="H74:M74" si="12">SUM(H75:H85)</f>
        <v>150</v>
      </c>
      <c r="I74" s="88">
        <f t="shared" si="12"/>
        <v>1503</v>
      </c>
      <c r="J74" s="88">
        <f t="shared" si="12"/>
        <v>0</v>
      </c>
      <c r="K74" s="89">
        <f t="shared" si="12"/>
        <v>0</v>
      </c>
      <c r="L74" s="89">
        <f t="shared" si="12"/>
        <v>0</v>
      </c>
      <c r="M74" s="88">
        <f t="shared" si="12"/>
        <v>0</v>
      </c>
      <c r="O74" s="88">
        <f>SUM(O75:O85)</f>
        <v>0</v>
      </c>
      <c r="P74" s="88">
        <f>SUM(P75:P85)</f>
        <v>0</v>
      </c>
    </row>
    <row r="75" spans="1:16" ht="12.75" hidden="1" customHeight="1">
      <c r="A75" s="187" t="s">
        <v>13</v>
      </c>
      <c r="B75" s="188"/>
      <c r="C75" s="188"/>
      <c r="D75" s="188"/>
      <c r="E75" s="189">
        <f t="shared" si="11"/>
        <v>0</v>
      </c>
      <c r="F75" s="190" t="e">
        <f t="shared" si="10"/>
        <v>#DIV/0!</v>
      </c>
      <c r="H75" s="88"/>
      <c r="I75" s="88"/>
      <c r="J75" s="88"/>
      <c r="K75" s="89"/>
      <c r="L75" s="89"/>
      <c r="M75" s="88"/>
      <c r="O75" s="88"/>
      <c r="P75" s="88"/>
    </row>
    <row r="76" spans="1:16" ht="12.75" hidden="1" customHeight="1">
      <c r="A76" s="187" t="s">
        <v>14</v>
      </c>
      <c r="B76" s="188"/>
      <c r="C76" s="188"/>
      <c r="D76" s="188"/>
      <c r="E76" s="189">
        <f t="shared" si="11"/>
        <v>0</v>
      </c>
      <c r="F76" s="190" t="e">
        <f t="shared" si="10"/>
        <v>#DIV/0!</v>
      </c>
      <c r="H76" s="88">
        <v>150</v>
      </c>
      <c r="I76" s="88">
        <v>903</v>
      </c>
      <c r="J76" s="88"/>
      <c r="K76" s="89"/>
      <c r="L76" s="89"/>
      <c r="M76" s="88"/>
      <c r="O76" s="88"/>
      <c r="P76" s="88"/>
    </row>
    <row r="77" spans="1:16" ht="12.75" hidden="1" customHeight="1">
      <c r="A77" s="187" t="s">
        <v>15</v>
      </c>
      <c r="B77" s="188"/>
      <c r="C77" s="188"/>
      <c r="D77" s="188"/>
      <c r="E77" s="189">
        <f t="shared" si="11"/>
        <v>0</v>
      </c>
      <c r="F77" s="190" t="e">
        <f t="shared" si="10"/>
        <v>#DIV/0!</v>
      </c>
      <c r="H77" s="88"/>
      <c r="I77" s="88"/>
      <c r="J77" s="88"/>
      <c r="K77" s="89"/>
      <c r="L77" s="89"/>
      <c r="M77" s="88"/>
      <c r="O77" s="88"/>
      <c r="P77" s="88"/>
    </row>
    <row r="78" spans="1:16" ht="12.75" hidden="1" customHeight="1">
      <c r="A78" s="187" t="s">
        <v>59</v>
      </c>
      <c r="B78" s="188"/>
      <c r="C78" s="188"/>
      <c r="D78" s="188"/>
      <c r="E78" s="189">
        <f t="shared" si="11"/>
        <v>0</v>
      </c>
      <c r="F78" s="190" t="e">
        <f t="shared" si="10"/>
        <v>#DIV/0!</v>
      </c>
      <c r="H78" s="88"/>
      <c r="I78" s="88"/>
      <c r="J78" s="88"/>
      <c r="K78" s="89"/>
      <c r="L78" s="89"/>
      <c r="M78" s="88"/>
      <c r="O78" s="88"/>
      <c r="P78" s="88"/>
    </row>
    <row r="79" spans="1:16" ht="12.75" hidden="1" customHeight="1">
      <c r="A79" s="187" t="s">
        <v>60</v>
      </c>
      <c r="B79" s="188"/>
      <c r="C79" s="188"/>
      <c r="D79" s="188"/>
      <c r="E79" s="189">
        <f t="shared" si="11"/>
        <v>0</v>
      </c>
      <c r="F79" s="190" t="e">
        <f t="shared" si="10"/>
        <v>#DIV/0!</v>
      </c>
      <c r="H79" s="88"/>
      <c r="I79" s="88"/>
      <c r="J79" s="88"/>
      <c r="K79" s="89"/>
      <c r="L79" s="89"/>
      <c r="M79" s="88"/>
      <c r="O79" s="88"/>
      <c r="P79" s="88"/>
    </row>
    <row r="80" spans="1:16" ht="12.75" hidden="1" customHeight="1">
      <c r="A80" s="187" t="s">
        <v>61</v>
      </c>
      <c r="B80" s="188"/>
      <c r="C80" s="188"/>
      <c r="D80" s="188"/>
      <c r="E80" s="189">
        <f t="shared" si="11"/>
        <v>0</v>
      </c>
      <c r="F80" s="190" t="e">
        <f t="shared" si="10"/>
        <v>#DIV/0!</v>
      </c>
      <c r="H80" s="88"/>
      <c r="I80" s="88"/>
      <c r="J80" s="88"/>
      <c r="K80" s="89"/>
      <c r="L80" s="89"/>
      <c r="M80" s="88"/>
      <c r="O80" s="88"/>
      <c r="P80" s="88"/>
    </row>
    <row r="81" spans="1:16" ht="12.75" hidden="1" customHeight="1">
      <c r="A81" s="187" t="s">
        <v>62</v>
      </c>
      <c r="B81" s="188"/>
      <c r="C81" s="188"/>
      <c r="D81" s="188"/>
      <c r="E81" s="189">
        <f t="shared" si="11"/>
        <v>0</v>
      </c>
      <c r="F81" s="190" t="e">
        <f t="shared" si="10"/>
        <v>#DIV/0!</v>
      </c>
      <c r="H81" s="88"/>
      <c r="I81" s="88"/>
      <c r="J81" s="88"/>
      <c r="K81" s="89"/>
      <c r="L81" s="89"/>
      <c r="M81" s="88"/>
      <c r="O81" s="88"/>
      <c r="P81" s="88"/>
    </row>
    <row r="82" spans="1:16" ht="12.75" hidden="1" customHeight="1">
      <c r="A82" s="187" t="s">
        <v>63</v>
      </c>
      <c r="B82" s="188"/>
      <c r="C82" s="188"/>
      <c r="D82" s="188"/>
      <c r="E82" s="189">
        <f t="shared" si="11"/>
        <v>0</v>
      </c>
      <c r="F82" s="190" t="e">
        <f t="shared" si="10"/>
        <v>#DIV/0!</v>
      </c>
      <c r="H82" s="88"/>
      <c r="I82" s="88"/>
      <c r="J82" s="88"/>
      <c r="K82" s="89"/>
      <c r="L82" s="89"/>
      <c r="M82" s="88"/>
      <c r="O82" s="88"/>
      <c r="P82" s="88"/>
    </row>
    <row r="83" spans="1:16" ht="12.75" hidden="1" customHeight="1">
      <c r="A83" s="187" t="s">
        <v>55</v>
      </c>
      <c r="B83" s="188"/>
      <c r="C83" s="188"/>
      <c r="D83" s="188"/>
      <c r="E83" s="189">
        <f t="shared" si="11"/>
        <v>0</v>
      </c>
      <c r="F83" s="190" t="e">
        <f t="shared" si="10"/>
        <v>#DIV/0!</v>
      </c>
      <c r="H83" s="88"/>
      <c r="I83" s="88"/>
      <c r="J83" s="88"/>
      <c r="K83" s="89"/>
      <c r="L83" s="89"/>
      <c r="M83" s="88"/>
      <c r="O83" s="88"/>
      <c r="P83" s="88"/>
    </row>
    <row r="84" spans="1:16" ht="12.75" hidden="1" customHeight="1">
      <c r="A84" s="187" t="s">
        <v>22</v>
      </c>
      <c r="B84" s="188"/>
      <c r="C84" s="188"/>
      <c r="D84" s="188"/>
      <c r="E84" s="189">
        <f t="shared" si="11"/>
        <v>0</v>
      </c>
      <c r="F84" s="190" t="e">
        <f t="shared" si="10"/>
        <v>#DIV/0!</v>
      </c>
      <c r="H84" s="88"/>
      <c r="I84" s="88"/>
      <c r="J84" s="88"/>
      <c r="K84" s="89"/>
      <c r="L84" s="89"/>
      <c r="M84" s="88"/>
      <c r="O84" s="88"/>
      <c r="P84" s="88"/>
    </row>
    <row r="85" spans="1:16" ht="12.75" hidden="1" customHeight="1">
      <c r="A85" s="187" t="s">
        <v>64</v>
      </c>
      <c r="B85" s="188"/>
      <c r="C85" s="188"/>
      <c r="D85" s="188"/>
      <c r="E85" s="189">
        <f t="shared" si="11"/>
        <v>0</v>
      </c>
      <c r="F85" s="190" t="e">
        <f t="shared" si="10"/>
        <v>#DIV/0!</v>
      </c>
      <c r="H85" s="88"/>
      <c r="I85" s="88">
        <v>600</v>
      </c>
      <c r="J85" s="88"/>
      <c r="K85" s="89"/>
      <c r="L85" s="89"/>
      <c r="M85" s="88"/>
      <c r="O85" s="88"/>
      <c r="P85" s="88"/>
    </row>
    <row r="86" spans="1:16">
      <c r="A86" s="187" t="s">
        <v>65</v>
      </c>
      <c r="B86" s="188">
        <v>381.81</v>
      </c>
      <c r="C86" s="188">
        <v>381.81</v>
      </c>
      <c r="D86" s="188">
        <v>412.33</v>
      </c>
      <c r="E86" s="189">
        <f t="shared" si="11"/>
        <v>30.519999999999982</v>
      </c>
      <c r="F86" s="190">
        <f t="shared" si="10"/>
        <v>7.9935046227181008</v>
      </c>
      <c r="H86" s="88">
        <f t="shared" ref="H86:M86" si="13">SUM(H87:H94)</f>
        <v>120</v>
      </c>
      <c r="I86" s="88">
        <f t="shared" si="13"/>
        <v>153</v>
      </c>
      <c r="J86" s="88">
        <f t="shared" si="13"/>
        <v>0</v>
      </c>
      <c r="K86" s="89">
        <f t="shared" si="13"/>
        <v>0</v>
      </c>
      <c r="L86" s="89">
        <f t="shared" si="13"/>
        <v>0</v>
      </c>
      <c r="M86" s="88">
        <f t="shared" si="13"/>
        <v>0</v>
      </c>
      <c r="O86" s="88">
        <f>SUM(O87:O94)</f>
        <v>0</v>
      </c>
      <c r="P86" s="88">
        <f>SUM(P87:P94)</f>
        <v>0</v>
      </c>
    </row>
    <row r="87" spans="1:16" ht="12.75" hidden="1" customHeight="1">
      <c r="A87" s="187" t="s">
        <v>13</v>
      </c>
      <c r="B87" s="188"/>
      <c r="C87" s="188"/>
      <c r="D87" s="188"/>
      <c r="E87" s="189">
        <f t="shared" si="11"/>
        <v>0</v>
      </c>
      <c r="F87" s="190" t="e">
        <f t="shared" si="10"/>
        <v>#DIV/0!</v>
      </c>
      <c r="H87" s="88">
        <v>70</v>
      </c>
      <c r="I87" s="88">
        <v>138</v>
      </c>
      <c r="J87" s="88"/>
      <c r="K87" s="89"/>
      <c r="L87" s="89"/>
      <c r="M87" s="88"/>
      <c r="O87" s="88"/>
      <c r="P87" s="88"/>
    </row>
    <row r="88" spans="1:16" ht="12.75" hidden="1" customHeight="1">
      <c r="A88" s="187" t="s">
        <v>14</v>
      </c>
      <c r="B88" s="188"/>
      <c r="C88" s="188"/>
      <c r="D88" s="188"/>
      <c r="E88" s="189">
        <f t="shared" si="11"/>
        <v>0</v>
      </c>
      <c r="F88" s="190" t="e">
        <f t="shared" si="10"/>
        <v>#DIV/0!</v>
      </c>
      <c r="H88" s="88"/>
      <c r="I88" s="88"/>
      <c r="J88" s="88"/>
      <c r="K88" s="89"/>
      <c r="L88" s="89"/>
      <c r="M88" s="88"/>
      <c r="O88" s="88"/>
      <c r="P88" s="88"/>
    </row>
    <row r="89" spans="1:16" ht="12.75" hidden="1" customHeight="1">
      <c r="A89" s="187" t="s">
        <v>15</v>
      </c>
      <c r="B89" s="188"/>
      <c r="C89" s="188"/>
      <c r="D89" s="188"/>
      <c r="E89" s="189">
        <f t="shared" si="11"/>
        <v>0</v>
      </c>
      <c r="F89" s="190" t="e">
        <f t="shared" si="10"/>
        <v>#DIV/0!</v>
      </c>
      <c r="H89" s="88"/>
      <c r="I89" s="88"/>
      <c r="J89" s="88"/>
      <c r="K89" s="89"/>
      <c r="L89" s="89"/>
      <c r="M89" s="88"/>
      <c r="O89" s="88"/>
      <c r="P89" s="88"/>
    </row>
    <row r="90" spans="1:16" ht="12.75" hidden="1" customHeight="1">
      <c r="A90" s="187" t="s">
        <v>66</v>
      </c>
      <c r="B90" s="188"/>
      <c r="C90" s="188"/>
      <c r="D90" s="188"/>
      <c r="E90" s="189">
        <f t="shared" si="11"/>
        <v>0</v>
      </c>
      <c r="F90" s="190" t="e">
        <f t="shared" si="10"/>
        <v>#DIV/0!</v>
      </c>
      <c r="H90" s="88">
        <v>50</v>
      </c>
      <c r="I90" s="88">
        <v>15</v>
      </c>
      <c r="J90" s="88"/>
      <c r="K90" s="89"/>
      <c r="L90" s="89"/>
      <c r="M90" s="88"/>
      <c r="O90" s="88"/>
      <c r="P90" s="88"/>
    </row>
    <row r="91" spans="1:16" ht="12.75" hidden="1" customHeight="1">
      <c r="A91" s="187" t="s">
        <v>67</v>
      </c>
      <c r="B91" s="188"/>
      <c r="C91" s="188"/>
      <c r="D91" s="188"/>
      <c r="E91" s="189">
        <f t="shared" si="11"/>
        <v>0</v>
      </c>
      <c r="F91" s="190" t="e">
        <f t="shared" si="10"/>
        <v>#DIV/0!</v>
      </c>
      <c r="H91" s="88"/>
      <c r="I91" s="88"/>
      <c r="J91" s="88"/>
      <c r="K91" s="89"/>
      <c r="L91" s="89"/>
      <c r="M91" s="88"/>
      <c r="O91" s="88"/>
      <c r="P91" s="88"/>
    </row>
    <row r="92" spans="1:16" ht="12.75" hidden="1" customHeight="1">
      <c r="A92" s="187" t="s">
        <v>55</v>
      </c>
      <c r="B92" s="188"/>
      <c r="C92" s="188"/>
      <c r="D92" s="188"/>
      <c r="E92" s="189">
        <f t="shared" si="11"/>
        <v>0</v>
      </c>
      <c r="F92" s="190" t="e">
        <f t="shared" si="10"/>
        <v>#DIV/0!</v>
      </c>
      <c r="H92" s="88"/>
      <c r="I92" s="88"/>
      <c r="J92" s="88"/>
      <c r="K92" s="89"/>
      <c r="L92" s="89"/>
      <c r="M92" s="88"/>
      <c r="O92" s="88"/>
      <c r="P92" s="88"/>
    </row>
    <row r="93" spans="1:16" ht="12.75" hidden="1" customHeight="1">
      <c r="A93" s="187" t="s">
        <v>22</v>
      </c>
      <c r="B93" s="188"/>
      <c r="C93" s="188"/>
      <c r="D93" s="188"/>
      <c r="E93" s="189">
        <f t="shared" si="11"/>
        <v>0</v>
      </c>
      <c r="F93" s="190" t="e">
        <f t="shared" si="10"/>
        <v>#DIV/0!</v>
      </c>
      <c r="H93" s="88"/>
      <c r="I93" s="88"/>
      <c r="J93" s="88"/>
      <c r="K93" s="89"/>
      <c r="L93" s="89"/>
      <c r="M93" s="88"/>
      <c r="O93" s="88"/>
      <c r="P93" s="88"/>
    </row>
    <row r="94" spans="1:16" ht="12.75" hidden="1" customHeight="1">
      <c r="A94" s="187" t="s">
        <v>68</v>
      </c>
      <c r="B94" s="188"/>
      <c r="C94" s="188"/>
      <c r="D94" s="188"/>
      <c r="E94" s="189">
        <f t="shared" si="11"/>
        <v>0</v>
      </c>
      <c r="F94" s="190" t="e">
        <f t="shared" si="10"/>
        <v>#DIV/0!</v>
      </c>
      <c r="H94" s="88"/>
      <c r="I94" s="88"/>
      <c r="J94" s="88"/>
      <c r="K94" s="89"/>
      <c r="L94" s="89"/>
      <c r="M94" s="88"/>
      <c r="O94" s="88"/>
      <c r="P94" s="88"/>
    </row>
    <row r="95" spans="1:16">
      <c r="A95" s="187" t="s">
        <v>69</v>
      </c>
      <c r="B95" s="188">
        <v>600</v>
      </c>
      <c r="C95" s="188">
        <v>600</v>
      </c>
      <c r="D95" s="188">
        <v>600</v>
      </c>
      <c r="E95" s="189">
        <f t="shared" si="11"/>
        <v>0</v>
      </c>
      <c r="F95" s="190">
        <f t="shared" si="10"/>
        <v>0</v>
      </c>
      <c r="H95" s="88">
        <f t="shared" ref="H95:M95" si="14">SUM(H96:H103)</f>
        <v>1540</v>
      </c>
      <c r="I95" s="88">
        <f t="shared" si="14"/>
        <v>0</v>
      </c>
      <c r="J95" s="88">
        <f t="shared" si="14"/>
        <v>0</v>
      </c>
      <c r="K95" s="89">
        <f t="shared" si="14"/>
        <v>200</v>
      </c>
      <c r="L95" s="89">
        <f t="shared" si="14"/>
        <v>0</v>
      </c>
      <c r="M95" s="88">
        <f t="shared" si="14"/>
        <v>0</v>
      </c>
      <c r="O95" s="88">
        <f>SUM(O96:O103)</f>
        <v>0</v>
      </c>
      <c r="P95" s="88">
        <f>SUM(P96:P103)</f>
        <v>0</v>
      </c>
    </row>
    <row r="96" spans="1:16" ht="12.75" hidden="1" customHeight="1">
      <c r="A96" s="187" t="s">
        <v>13</v>
      </c>
      <c r="B96" s="188"/>
      <c r="C96" s="188"/>
      <c r="D96" s="188"/>
      <c r="E96" s="189">
        <f t="shared" si="11"/>
        <v>0</v>
      </c>
      <c r="F96" s="190" t="e">
        <f t="shared" si="10"/>
        <v>#DIV/0!</v>
      </c>
      <c r="H96" s="88">
        <v>1540</v>
      </c>
      <c r="I96" s="88"/>
      <c r="J96" s="88"/>
      <c r="K96" s="89"/>
      <c r="L96" s="89"/>
      <c r="M96" s="88"/>
      <c r="O96" s="88"/>
      <c r="P96" s="88"/>
    </row>
    <row r="97" spans="1:16" ht="12.75" hidden="1" customHeight="1">
      <c r="A97" s="187" t="s">
        <v>14</v>
      </c>
      <c r="B97" s="188"/>
      <c r="C97" s="188"/>
      <c r="D97" s="188"/>
      <c r="E97" s="189">
        <f t="shared" si="11"/>
        <v>0</v>
      </c>
      <c r="F97" s="190" t="e">
        <f t="shared" si="10"/>
        <v>#DIV/0!</v>
      </c>
      <c r="H97" s="88"/>
      <c r="I97" s="88"/>
      <c r="J97" s="88"/>
      <c r="K97" s="89"/>
      <c r="L97" s="89"/>
      <c r="M97" s="88"/>
      <c r="O97" s="88"/>
      <c r="P97" s="88"/>
    </row>
    <row r="98" spans="1:16" ht="12.75" hidden="1" customHeight="1">
      <c r="A98" s="187" t="s">
        <v>15</v>
      </c>
      <c r="B98" s="188"/>
      <c r="C98" s="188"/>
      <c r="D98" s="188"/>
      <c r="E98" s="189">
        <f t="shared" si="11"/>
        <v>0</v>
      </c>
      <c r="F98" s="190" t="e">
        <f t="shared" si="10"/>
        <v>#DIV/0!</v>
      </c>
      <c r="H98" s="88"/>
      <c r="I98" s="88"/>
      <c r="J98" s="88"/>
      <c r="K98" s="89"/>
      <c r="L98" s="89"/>
      <c r="M98" s="88"/>
      <c r="O98" s="88"/>
      <c r="P98" s="88"/>
    </row>
    <row r="99" spans="1:16" ht="12.75" hidden="1" customHeight="1">
      <c r="A99" s="187" t="s">
        <v>70</v>
      </c>
      <c r="B99" s="188"/>
      <c r="C99" s="188"/>
      <c r="D99" s="188"/>
      <c r="E99" s="189">
        <f t="shared" si="11"/>
        <v>0</v>
      </c>
      <c r="F99" s="190" t="e">
        <f t="shared" si="10"/>
        <v>#DIV/0!</v>
      </c>
      <c r="H99" s="88"/>
      <c r="I99" s="88"/>
      <c r="J99" s="88"/>
      <c r="K99" s="89"/>
      <c r="L99" s="89"/>
      <c r="M99" s="88"/>
      <c r="O99" s="88"/>
      <c r="P99" s="88"/>
    </row>
    <row r="100" spans="1:16" ht="12.75" hidden="1" customHeight="1">
      <c r="A100" s="187" t="s">
        <v>71</v>
      </c>
      <c r="B100" s="188"/>
      <c r="C100" s="188"/>
      <c r="D100" s="188"/>
      <c r="E100" s="189">
        <f t="shared" si="11"/>
        <v>0</v>
      </c>
      <c r="F100" s="190" t="e">
        <f t="shared" si="10"/>
        <v>#DIV/0!</v>
      </c>
      <c r="H100" s="88"/>
      <c r="I100" s="88"/>
      <c r="J100" s="88"/>
      <c r="K100" s="89"/>
      <c r="L100" s="89"/>
      <c r="M100" s="88"/>
      <c r="O100" s="88"/>
      <c r="P100" s="88"/>
    </row>
    <row r="101" spans="1:16" ht="12.75" hidden="1" customHeight="1">
      <c r="A101" s="187" t="s">
        <v>72</v>
      </c>
      <c r="B101" s="188"/>
      <c r="C101" s="188"/>
      <c r="D101" s="188"/>
      <c r="E101" s="189">
        <f t="shared" si="11"/>
        <v>0</v>
      </c>
      <c r="F101" s="190" t="e">
        <f t="shared" si="10"/>
        <v>#DIV/0!</v>
      </c>
      <c r="H101" s="88"/>
      <c r="I101" s="88"/>
      <c r="J101" s="88"/>
      <c r="K101" s="89">
        <v>200</v>
      </c>
      <c r="L101" s="89"/>
      <c r="M101" s="88"/>
      <c r="O101" s="88"/>
      <c r="P101" s="88"/>
    </row>
    <row r="102" spans="1:16" ht="12.75" hidden="1" customHeight="1">
      <c r="A102" s="187" t="s">
        <v>55</v>
      </c>
      <c r="B102" s="188"/>
      <c r="C102" s="188"/>
      <c r="D102" s="188"/>
      <c r="E102" s="189">
        <f t="shared" si="11"/>
        <v>0</v>
      </c>
      <c r="F102" s="190" t="e">
        <f t="shared" si="10"/>
        <v>#DIV/0!</v>
      </c>
      <c r="H102" s="88"/>
      <c r="I102" s="88"/>
      <c r="J102" s="88"/>
      <c r="K102" s="89"/>
      <c r="L102" s="89"/>
      <c r="M102" s="88"/>
      <c r="O102" s="88"/>
      <c r="P102" s="88"/>
    </row>
    <row r="103" spans="1:16" ht="12.75" hidden="1" customHeight="1">
      <c r="A103" s="187" t="s">
        <v>22</v>
      </c>
      <c r="B103" s="188"/>
      <c r="C103" s="188"/>
      <c r="D103" s="188"/>
      <c r="E103" s="189">
        <f t="shared" si="11"/>
        <v>0</v>
      </c>
      <c r="F103" s="190" t="e">
        <f t="shared" si="10"/>
        <v>#DIV/0!</v>
      </c>
      <c r="H103" s="88"/>
      <c r="I103" s="88"/>
      <c r="J103" s="88"/>
      <c r="K103" s="89"/>
      <c r="L103" s="89"/>
      <c r="M103" s="88"/>
      <c r="O103" s="88"/>
      <c r="P103" s="88"/>
    </row>
    <row r="104" spans="1:16" ht="12.75" hidden="1" customHeight="1">
      <c r="A104" s="187" t="s">
        <v>73</v>
      </c>
      <c r="B104" s="188"/>
      <c r="C104" s="188"/>
      <c r="D104" s="188"/>
      <c r="E104" s="189">
        <f t="shared" si="11"/>
        <v>0</v>
      </c>
      <c r="F104" s="190" t="e">
        <f t="shared" si="10"/>
        <v>#DIV/0!</v>
      </c>
      <c r="H104" s="88"/>
      <c r="I104" s="88"/>
      <c r="J104" s="88"/>
      <c r="K104" s="89"/>
      <c r="L104" s="89"/>
      <c r="M104" s="88"/>
      <c r="O104" s="88"/>
      <c r="P104" s="88"/>
    </row>
    <row r="105" spans="1:16">
      <c r="A105" s="187" t="s">
        <v>74</v>
      </c>
      <c r="B105" s="188">
        <v>2086.4499999999998</v>
      </c>
      <c r="C105" s="188">
        <v>2086.4499999999998</v>
      </c>
      <c r="D105" s="188">
        <v>6596.26</v>
      </c>
      <c r="E105" s="189">
        <f t="shared" si="11"/>
        <v>4509.8100000000004</v>
      </c>
      <c r="F105" s="190">
        <f t="shared" si="10"/>
        <v>216.14752330513554</v>
      </c>
      <c r="H105" s="88">
        <f t="shared" ref="H105:M105" si="15">SUM(H106:H119)</f>
        <v>0</v>
      </c>
      <c r="I105" s="88">
        <f t="shared" si="15"/>
        <v>178</v>
      </c>
      <c r="J105" s="88">
        <f t="shared" si="15"/>
        <v>0</v>
      </c>
      <c r="K105" s="89">
        <f t="shared" si="15"/>
        <v>0</v>
      </c>
      <c r="L105" s="89">
        <f t="shared" si="15"/>
        <v>0</v>
      </c>
      <c r="M105" s="88">
        <f t="shared" si="15"/>
        <v>0</v>
      </c>
      <c r="O105" s="88">
        <f>SUM(O106:O119)</f>
        <v>0</v>
      </c>
      <c r="P105" s="88">
        <f>SUM(P106:P119)</f>
        <v>0</v>
      </c>
    </row>
    <row r="106" spans="1:16" ht="12.75" hidden="1" customHeight="1">
      <c r="A106" s="187" t="s">
        <v>13</v>
      </c>
      <c r="B106" s="188"/>
      <c r="C106" s="188"/>
      <c r="D106" s="188"/>
      <c r="E106" s="189">
        <f t="shared" si="11"/>
        <v>0</v>
      </c>
      <c r="F106" s="190" t="e">
        <f t="shared" si="10"/>
        <v>#DIV/0!</v>
      </c>
      <c r="H106" s="88"/>
      <c r="I106" s="88">
        <v>154</v>
      </c>
      <c r="J106" s="88"/>
      <c r="K106" s="89"/>
      <c r="L106" s="89"/>
      <c r="M106" s="88"/>
      <c r="O106" s="88"/>
      <c r="P106" s="88"/>
    </row>
    <row r="107" spans="1:16" ht="12.75" hidden="1" customHeight="1">
      <c r="A107" s="187" t="s">
        <v>14</v>
      </c>
      <c r="B107" s="188"/>
      <c r="C107" s="188"/>
      <c r="D107" s="188"/>
      <c r="E107" s="189">
        <f t="shared" si="11"/>
        <v>0</v>
      </c>
      <c r="F107" s="190" t="e">
        <f t="shared" si="10"/>
        <v>#DIV/0!</v>
      </c>
      <c r="H107" s="88"/>
      <c r="I107" s="88"/>
      <c r="J107" s="88"/>
      <c r="K107" s="89"/>
      <c r="L107" s="89"/>
      <c r="M107" s="88"/>
      <c r="O107" s="88"/>
      <c r="P107" s="88"/>
    </row>
    <row r="108" spans="1:16" ht="12.75" hidden="1" customHeight="1">
      <c r="A108" s="187" t="s">
        <v>15</v>
      </c>
      <c r="B108" s="188"/>
      <c r="C108" s="188"/>
      <c r="D108" s="188"/>
      <c r="E108" s="189">
        <f t="shared" si="11"/>
        <v>0</v>
      </c>
      <c r="F108" s="190" t="e">
        <f t="shared" si="10"/>
        <v>#DIV/0!</v>
      </c>
      <c r="H108" s="88"/>
      <c r="I108" s="88"/>
      <c r="J108" s="88"/>
      <c r="K108" s="89"/>
      <c r="L108" s="89"/>
      <c r="M108" s="88"/>
      <c r="O108" s="88"/>
      <c r="P108" s="88"/>
    </row>
    <row r="109" spans="1:16" ht="12.75" hidden="1" customHeight="1">
      <c r="A109" s="187" t="s">
        <v>75</v>
      </c>
      <c r="B109" s="188"/>
      <c r="C109" s="188"/>
      <c r="D109" s="188"/>
      <c r="E109" s="189">
        <f t="shared" si="11"/>
        <v>0</v>
      </c>
      <c r="F109" s="190" t="e">
        <f t="shared" si="10"/>
        <v>#DIV/0!</v>
      </c>
      <c r="H109" s="88"/>
      <c r="I109" s="88"/>
      <c r="J109" s="88"/>
      <c r="K109" s="89"/>
      <c r="L109" s="89"/>
      <c r="M109" s="88"/>
      <c r="O109" s="88"/>
      <c r="P109" s="88"/>
    </row>
    <row r="110" spans="1:16" ht="12.75" hidden="1" customHeight="1">
      <c r="A110" s="187" t="s">
        <v>76</v>
      </c>
      <c r="B110" s="188"/>
      <c r="C110" s="188"/>
      <c r="D110" s="188"/>
      <c r="E110" s="189">
        <f t="shared" si="11"/>
        <v>0</v>
      </c>
      <c r="F110" s="190" t="e">
        <f t="shared" si="10"/>
        <v>#DIV/0!</v>
      </c>
      <c r="H110" s="88"/>
      <c r="I110" s="88"/>
      <c r="J110" s="88"/>
      <c r="K110" s="89"/>
      <c r="L110" s="89"/>
      <c r="M110" s="88"/>
      <c r="O110" s="88"/>
      <c r="P110" s="88"/>
    </row>
    <row r="111" spans="1:16" ht="12.75" hidden="1" customHeight="1">
      <c r="A111" s="187" t="s">
        <v>77</v>
      </c>
      <c r="B111" s="188"/>
      <c r="C111" s="188"/>
      <c r="D111" s="188"/>
      <c r="E111" s="189">
        <f t="shared" si="11"/>
        <v>0</v>
      </c>
      <c r="F111" s="190" t="e">
        <f t="shared" si="10"/>
        <v>#DIV/0!</v>
      </c>
      <c r="H111" s="88"/>
      <c r="I111" s="88"/>
      <c r="J111" s="88"/>
      <c r="K111" s="89"/>
      <c r="L111" s="89"/>
      <c r="M111" s="88"/>
      <c r="O111" s="88"/>
      <c r="P111" s="88"/>
    </row>
    <row r="112" spans="1:16" ht="12.75" hidden="1" customHeight="1">
      <c r="A112" s="187" t="s">
        <v>78</v>
      </c>
      <c r="B112" s="188"/>
      <c r="C112" s="188"/>
      <c r="D112" s="188"/>
      <c r="E112" s="189">
        <f t="shared" si="11"/>
        <v>0</v>
      </c>
      <c r="F112" s="190" t="e">
        <f t="shared" si="10"/>
        <v>#DIV/0!</v>
      </c>
      <c r="H112" s="88"/>
      <c r="I112" s="88"/>
      <c r="J112" s="88"/>
      <c r="K112" s="89"/>
      <c r="L112" s="89"/>
      <c r="M112" s="88"/>
      <c r="O112" s="88"/>
      <c r="P112" s="88"/>
    </row>
    <row r="113" spans="1:16" ht="12.75" hidden="1" customHeight="1">
      <c r="A113" s="187" t="s">
        <v>79</v>
      </c>
      <c r="B113" s="188"/>
      <c r="C113" s="188"/>
      <c r="D113" s="188"/>
      <c r="E113" s="189">
        <f t="shared" si="11"/>
        <v>0</v>
      </c>
      <c r="F113" s="190" t="e">
        <f t="shared" si="10"/>
        <v>#DIV/0!</v>
      </c>
      <c r="H113" s="88"/>
      <c r="I113" s="88"/>
      <c r="J113" s="88"/>
      <c r="K113" s="89"/>
      <c r="L113" s="89"/>
      <c r="M113" s="88"/>
      <c r="O113" s="88"/>
      <c r="P113" s="88"/>
    </row>
    <row r="114" spans="1:16" ht="12.75" hidden="1" customHeight="1">
      <c r="A114" s="187" t="s">
        <v>80</v>
      </c>
      <c r="B114" s="188"/>
      <c r="C114" s="188"/>
      <c r="D114" s="188"/>
      <c r="E114" s="189">
        <f t="shared" si="11"/>
        <v>0</v>
      </c>
      <c r="F114" s="190" t="e">
        <f t="shared" si="10"/>
        <v>#DIV/0!</v>
      </c>
      <c r="H114" s="88"/>
      <c r="I114" s="88"/>
      <c r="J114" s="88"/>
      <c r="K114" s="89"/>
      <c r="L114" s="89"/>
      <c r="M114" s="88"/>
      <c r="O114" s="88"/>
      <c r="P114" s="88"/>
    </row>
    <row r="115" spans="1:16" ht="12.75" hidden="1" customHeight="1">
      <c r="A115" s="187" t="s">
        <v>81</v>
      </c>
      <c r="B115" s="188"/>
      <c r="C115" s="188"/>
      <c r="D115" s="188"/>
      <c r="E115" s="189">
        <f t="shared" si="11"/>
        <v>0</v>
      </c>
      <c r="F115" s="190" t="e">
        <f t="shared" si="10"/>
        <v>#DIV/0!</v>
      </c>
      <c r="H115" s="88"/>
      <c r="I115" s="88"/>
      <c r="J115" s="88"/>
      <c r="K115" s="89"/>
      <c r="L115" s="89"/>
      <c r="M115" s="88"/>
      <c r="O115" s="88"/>
      <c r="P115" s="88"/>
    </row>
    <row r="116" spans="1:16" ht="12.75" hidden="1" customHeight="1">
      <c r="A116" s="187" t="s">
        <v>82</v>
      </c>
      <c r="B116" s="188"/>
      <c r="C116" s="188"/>
      <c r="D116" s="188"/>
      <c r="E116" s="189">
        <f t="shared" si="11"/>
        <v>0</v>
      </c>
      <c r="F116" s="190" t="e">
        <f t="shared" si="10"/>
        <v>#DIV/0!</v>
      </c>
      <c r="H116" s="88"/>
      <c r="I116" s="88"/>
      <c r="J116" s="88"/>
      <c r="K116" s="89"/>
      <c r="L116" s="89"/>
      <c r="M116" s="88"/>
      <c r="O116" s="88"/>
      <c r="P116" s="88"/>
    </row>
    <row r="117" spans="1:16" ht="12.75" hidden="1" customHeight="1">
      <c r="A117" s="187" t="s">
        <v>83</v>
      </c>
      <c r="B117" s="188"/>
      <c r="C117" s="188"/>
      <c r="D117" s="188"/>
      <c r="E117" s="189">
        <f t="shared" si="11"/>
        <v>0</v>
      </c>
      <c r="F117" s="190" t="e">
        <f t="shared" si="10"/>
        <v>#DIV/0!</v>
      </c>
      <c r="H117" s="88"/>
      <c r="I117" s="88"/>
      <c r="J117" s="88"/>
      <c r="K117" s="89"/>
      <c r="L117" s="89"/>
      <c r="M117" s="88"/>
      <c r="O117" s="88"/>
      <c r="P117" s="88"/>
    </row>
    <row r="118" spans="1:16" ht="12.75" hidden="1" customHeight="1">
      <c r="A118" s="187" t="s">
        <v>22</v>
      </c>
      <c r="B118" s="188"/>
      <c r="C118" s="188"/>
      <c r="D118" s="188"/>
      <c r="E118" s="189">
        <f t="shared" si="11"/>
        <v>0</v>
      </c>
      <c r="F118" s="190" t="e">
        <f t="shared" si="10"/>
        <v>#DIV/0!</v>
      </c>
      <c r="H118" s="88"/>
      <c r="I118" s="88">
        <v>24</v>
      </c>
      <c r="J118" s="88"/>
      <c r="K118" s="89"/>
      <c r="L118" s="89"/>
      <c r="M118" s="88"/>
      <c r="O118" s="88"/>
      <c r="P118" s="88"/>
    </row>
    <row r="119" spans="1:16" ht="12.75" hidden="1" customHeight="1">
      <c r="A119" s="187" t="s">
        <v>84</v>
      </c>
      <c r="B119" s="188"/>
      <c r="C119" s="188"/>
      <c r="D119" s="188"/>
      <c r="E119" s="189">
        <f t="shared" si="11"/>
        <v>0</v>
      </c>
      <c r="F119" s="190" t="e">
        <f t="shared" si="10"/>
        <v>#DIV/0!</v>
      </c>
      <c r="H119" s="88"/>
      <c r="I119" s="88"/>
      <c r="J119" s="88"/>
      <c r="K119" s="89"/>
      <c r="L119" s="89"/>
      <c r="M119" s="88"/>
      <c r="O119" s="88"/>
      <c r="P119" s="88"/>
    </row>
    <row r="120" spans="1:16">
      <c r="A120" s="187" t="s">
        <v>85</v>
      </c>
      <c r="B120" s="188">
        <v>1381.56</v>
      </c>
      <c r="C120" s="188">
        <v>1381.56</v>
      </c>
      <c r="D120" s="188">
        <v>1930.38</v>
      </c>
      <c r="E120" s="189">
        <f t="shared" si="11"/>
        <v>548.82000000000016</v>
      </c>
      <c r="F120" s="190">
        <f t="shared" si="10"/>
        <v>39.724659081038837</v>
      </c>
      <c r="H120" s="88">
        <f t="shared" ref="H120:M120" si="16">SUM(H121:H128)</f>
        <v>219</v>
      </c>
      <c r="I120" s="88">
        <f t="shared" si="16"/>
        <v>427</v>
      </c>
      <c r="J120" s="88">
        <f t="shared" si="16"/>
        <v>0</v>
      </c>
      <c r="K120" s="89">
        <f t="shared" si="16"/>
        <v>0</v>
      </c>
      <c r="L120" s="89">
        <f t="shared" si="16"/>
        <v>0</v>
      </c>
      <c r="M120" s="88">
        <f t="shared" si="16"/>
        <v>0</v>
      </c>
      <c r="O120" s="88">
        <f>SUM(O121:O128)</f>
        <v>0</v>
      </c>
      <c r="P120" s="88">
        <f>SUM(P121:P128)</f>
        <v>0</v>
      </c>
    </row>
    <row r="121" spans="1:16" ht="12.75" hidden="1" customHeight="1">
      <c r="A121" s="187" t="s">
        <v>13</v>
      </c>
      <c r="B121" s="188"/>
      <c r="C121" s="188"/>
      <c r="D121" s="188"/>
      <c r="E121" s="189">
        <f t="shared" si="11"/>
        <v>0</v>
      </c>
      <c r="F121" s="190" t="e">
        <f t="shared" si="10"/>
        <v>#DIV/0!</v>
      </c>
      <c r="H121" s="88">
        <v>219</v>
      </c>
      <c r="I121" s="88">
        <v>427</v>
      </c>
      <c r="J121" s="88"/>
      <c r="K121" s="89"/>
      <c r="L121" s="89"/>
      <c r="M121" s="88"/>
      <c r="O121" s="88"/>
      <c r="P121" s="88"/>
    </row>
    <row r="122" spans="1:16" ht="12.75" hidden="1" customHeight="1">
      <c r="A122" s="187" t="s">
        <v>14</v>
      </c>
      <c r="B122" s="188"/>
      <c r="C122" s="188"/>
      <c r="D122" s="188"/>
      <c r="E122" s="189">
        <f t="shared" si="11"/>
        <v>0</v>
      </c>
      <c r="F122" s="190" t="e">
        <f t="shared" si="10"/>
        <v>#DIV/0!</v>
      </c>
      <c r="H122" s="88"/>
      <c r="I122" s="88"/>
      <c r="J122" s="88"/>
      <c r="K122" s="89"/>
      <c r="L122" s="89"/>
      <c r="M122" s="88"/>
      <c r="O122" s="88"/>
      <c r="P122" s="88"/>
    </row>
    <row r="123" spans="1:16" ht="12.75" hidden="1" customHeight="1">
      <c r="A123" s="187" t="s">
        <v>15</v>
      </c>
      <c r="B123" s="188"/>
      <c r="C123" s="188"/>
      <c r="D123" s="188"/>
      <c r="E123" s="189">
        <f t="shared" si="11"/>
        <v>0</v>
      </c>
      <c r="F123" s="190" t="e">
        <f t="shared" si="10"/>
        <v>#DIV/0!</v>
      </c>
      <c r="H123" s="88"/>
      <c r="I123" s="88"/>
      <c r="J123" s="88"/>
      <c r="K123" s="89"/>
      <c r="L123" s="89"/>
      <c r="M123" s="88"/>
      <c r="O123" s="88"/>
      <c r="P123" s="88"/>
    </row>
    <row r="124" spans="1:16" ht="12.75" hidden="1" customHeight="1">
      <c r="A124" s="187" t="s">
        <v>86</v>
      </c>
      <c r="B124" s="188"/>
      <c r="C124" s="188"/>
      <c r="D124" s="188"/>
      <c r="E124" s="189">
        <f t="shared" si="11"/>
        <v>0</v>
      </c>
      <c r="F124" s="190" t="e">
        <f t="shared" si="10"/>
        <v>#DIV/0!</v>
      </c>
      <c r="H124" s="88"/>
      <c r="I124" s="88"/>
      <c r="J124" s="88"/>
      <c r="K124" s="89"/>
      <c r="L124" s="89"/>
      <c r="M124" s="88"/>
      <c r="O124" s="88"/>
      <c r="P124" s="88"/>
    </row>
    <row r="125" spans="1:16" ht="12.75" hidden="1" customHeight="1">
      <c r="A125" s="187" t="s">
        <v>87</v>
      </c>
      <c r="B125" s="188"/>
      <c r="C125" s="188"/>
      <c r="D125" s="188"/>
      <c r="E125" s="189">
        <f t="shared" si="11"/>
        <v>0</v>
      </c>
      <c r="F125" s="190" t="e">
        <f t="shared" si="10"/>
        <v>#DIV/0!</v>
      </c>
      <c r="H125" s="88"/>
      <c r="I125" s="88"/>
      <c r="J125" s="88"/>
      <c r="K125" s="89"/>
      <c r="L125" s="89"/>
      <c r="M125" s="88"/>
      <c r="O125" s="88"/>
      <c r="P125" s="88"/>
    </row>
    <row r="126" spans="1:16" ht="12.75" hidden="1" customHeight="1">
      <c r="A126" s="187" t="s">
        <v>88</v>
      </c>
      <c r="B126" s="188"/>
      <c r="C126" s="188"/>
      <c r="D126" s="188"/>
      <c r="E126" s="189">
        <f t="shared" si="11"/>
        <v>0</v>
      </c>
      <c r="F126" s="190" t="e">
        <f t="shared" si="10"/>
        <v>#DIV/0!</v>
      </c>
      <c r="H126" s="88"/>
      <c r="I126" s="88"/>
      <c r="J126" s="88"/>
      <c r="K126" s="89"/>
      <c r="L126" s="89"/>
      <c r="M126" s="88"/>
      <c r="O126" s="88"/>
      <c r="P126" s="88"/>
    </row>
    <row r="127" spans="1:16" ht="12.75" hidden="1" customHeight="1">
      <c r="A127" s="187" t="s">
        <v>22</v>
      </c>
      <c r="B127" s="188"/>
      <c r="C127" s="188"/>
      <c r="D127" s="188"/>
      <c r="E127" s="189">
        <f t="shared" si="11"/>
        <v>0</v>
      </c>
      <c r="F127" s="190" t="e">
        <f t="shared" si="10"/>
        <v>#DIV/0!</v>
      </c>
      <c r="H127" s="88"/>
      <c r="I127" s="88"/>
      <c r="J127" s="88"/>
      <c r="K127" s="89"/>
      <c r="L127" s="89"/>
      <c r="M127" s="88"/>
      <c r="O127" s="88"/>
      <c r="P127" s="88"/>
    </row>
    <row r="128" spans="1:16" ht="12.75" hidden="1" customHeight="1">
      <c r="A128" s="187" t="s">
        <v>89</v>
      </c>
      <c r="B128" s="188"/>
      <c r="C128" s="188"/>
      <c r="D128" s="188"/>
      <c r="E128" s="189">
        <f t="shared" si="11"/>
        <v>0</v>
      </c>
      <c r="F128" s="190" t="e">
        <f t="shared" si="10"/>
        <v>#DIV/0!</v>
      </c>
      <c r="H128" s="88"/>
      <c r="I128" s="88"/>
      <c r="J128" s="88"/>
      <c r="K128" s="89"/>
      <c r="L128" s="89"/>
      <c r="M128" s="88"/>
      <c r="O128" s="88"/>
      <c r="P128" s="88"/>
    </row>
    <row r="129" spans="1:16">
      <c r="A129" s="187" t="s">
        <v>90</v>
      </c>
      <c r="B129" s="188">
        <v>668.75</v>
      </c>
      <c r="C129" s="188">
        <v>668.75</v>
      </c>
      <c r="D129" s="188">
        <v>1040.0899999999999</v>
      </c>
      <c r="E129" s="189">
        <f t="shared" si="11"/>
        <v>371.33999999999992</v>
      </c>
      <c r="F129" s="190">
        <f t="shared" si="10"/>
        <v>55.527476635514006</v>
      </c>
      <c r="H129" s="88">
        <f>SUM(H130:H139)</f>
        <v>60</v>
      </c>
      <c r="I129" s="88">
        <f>SUM(I130:I139)</f>
        <v>233</v>
      </c>
      <c r="J129" s="88">
        <f>SUM(J130:J137)</f>
        <v>0</v>
      </c>
      <c r="K129" s="89">
        <f>SUM(K130:K139)</f>
        <v>0</v>
      </c>
      <c r="L129" s="89">
        <f>SUM(L130:L139)</f>
        <v>0</v>
      </c>
      <c r="M129" s="88">
        <f>SUM(M130:M139)</f>
        <v>0</v>
      </c>
      <c r="O129" s="88">
        <f>SUM(O130:O139)</f>
        <v>0</v>
      </c>
      <c r="P129" s="88">
        <f>SUM(P130:P139)</f>
        <v>0</v>
      </c>
    </row>
    <row r="130" spans="1:16" ht="12.75" hidden="1" customHeight="1">
      <c r="A130" s="187" t="s">
        <v>13</v>
      </c>
      <c r="B130" s="188"/>
      <c r="C130" s="188"/>
      <c r="D130" s="188"/>
      <c r="E130" s="189">
        <f t="shared" si="11"/>
        <v>0</v>
      </c>
      <c r="F130" s="190" t="e">
        <f t="shared" si="10"/>
        <v>#DIV/0!</v>
      </c>
      <c r="H130" s="88">
        <v>60</v>
      </c>
      <c r="I130" s="88">
        <v>218</v>
      </c>
      <c r="J130" s="88"/>
      <c r="K130" s="89"/>
      <c r="L130" s="89"/>
      <c r="M130" s="88"/>
      <c r="O130" s="88"/>
      <c r="P130" s="88"/>
    </row>
    <row r="131" spans="1:16" ht="12.75" hidden="1" customHeight="1">
      <c r="A131" s="187" t="s">
        <v>14</v>
      </c>
      <c r="B131" s="188"/>
      <c r="C131" s="188"/>
      <c r="D131" s="188"/>
      <c r="E131" s="189">
        <f t="shared" si="11"/>
        <v>0</v>
      </c>
      <c r="F131" s="190" t="e">
        <f t="shared" si="10"/>
        <v>#DIV/0!</v>
      </c>
      <c r="H131" s="88"/>
      <c r="I131" s="88"/>
      <c r="J131" s="88"/>
      <c r="K131" s="89"/>
      <c r="L131" s="89"/>
      <c r="M131" s="88"/>
      <c r="O131" s="88"/>
      <c r="P131" s="88"/>
    </row>
    <row r="132" spans="1:16" ht="12.75" hidden="1" customHeight="1">
      <c r="A132" s="187" t="s">
        <v>15</v>
      </c>
      <c r="B132" s="188"/>
      <c r="C132" s="188"/>
      <c r="D132" s="188"/>
      <c r="E132" s="189">
        <f t="shared" si="11"/>
        <v>0</v>
      </c>
      <c r="F132" s="190" t="e">
        <f t="shared" si="10"/>
        <v>#DIV/0!</v>
      </c>
      <c r="H132" s="88"/>
      <c r="I132" s="88"/>
      <c r="J132" s="88"/>
      <c r="K132" s="89"/>
      <c r="L132" s="89"/>
      <c r="M132" s="88"/>
      <c r="O132" s="88"/>
      <c r="P132" s="88"/>
    </row>
    <row r="133" spans="1:16" ht="12.75" hidden="1" customHeight="1">
      <c r="A133" s="187" t="s">
        <v>91</v>
      </c>
      <c r="B133" s="188"/>
      <c r="C133" s="188"/>
      <c r="D133" s="188"/>
      <c r="E133" s="189">
        <f t="shared" si="11"/>
        <v>0</v>
      </c>
      <c r="F133" s="190" t="e">
        <f t="shared" si="10"/>
        <v>#DIV/0!</v>
      </c>
      <c r="H133" s="88"/>
      <c r="I133" s="88"/>
      <c r="J133" s="88"/>
      <c r="K133" s="89"/>
      <c r="L133" s="89"/>
      <c r="M133" s="88"/>
      <c r="O133" s="88"/>
      <c r="P133" s="88"/>
    </row>
    <row r="134" spans="1:16" ht="12.75" hidden="1" customHeight="1">
      <c r="A134" s="187" t="s">
        <v>92</v>
      </c>
      <c r="B134" s="188"/>
      <c r="C134" s="188"/>
      <c r="D134" s="188"/>
      <c r="E134" s="189">
        <f t="shared" si="11"/>
        <v>0</v>
      </c>
      <c r="F134" s="190" t="e">
        <f t="shared" si="10"/>
        <v>#DIV/0!</v>
      </c>
      <c r="H134" s="88"/>
      <c r="I134" s="88"/>
      <c r="J134" s="88"/>
      <c r="K134" s="89"/>
      <c r="L134" s="89"/>
      <c r="M134" s="88"/>
      <c r="O134" s="88"/>
      <c r="P134" s="88"/>
    </row>
    <row r="135" spans="1:16" ht="12.75" hidden="1" customHeight="1">
      <c r="A135" s="187" t="s">
        <v>93</v>
      </c>
      <c r="B135" s="188"/>
      <c r="C135" s="188"/>
      <c r="D135" s="188"/>
      <c r="E135" s="189">
        <f t="shared" si="11"/>
        <v>0</v>
      </c>
      <c r="F135" s="190" t="e">
        <f t="shared" ref="F135:F198" si="17">E135/C135*100</f>
        <v>#DIV/0!</v>
      </c>
      <c r="H135" s="88"/>
      <c r="I135" s="88"/>
      <c r="J135" s="88"/>
      <c r="K135" s="89"/>
      <c r="L135" s="89"/>
      <c r="M135" s="88"/>
      <c r="O135" s="88"/>
      <c r="P135" s="88"/>
    </row>
    <row r="136" spans="1:16" ht="12.75" hidden="1" customHeight="1">
      <c r="A136" s="187" t="s">
        <v>94</v>
      </c>
      <c r="B136" s="188"/>
      <c r="C136" s="188"/>
      <c r="D136" s="188"/>
      <c r="E136" s="189">
        <f t="shared" si="11"/>
        <v>0</v>
      </c>
      <c r="F136" s="190" t="e">
        <f t="shared" si="17"/>
        <v>#DIV/0!</v>
      </c>
      <c r="H136" s="88"/>
      <c r="I136" s="88"/>
      <c r="J136" s="88"/>
      <c r="K136" s="89"/>
      <c r="L136" s="89"/>
      <c r="M136" s="88"/>
      <c r="O136" s="88"/>
      <c r="P136" s="88"/>
    </row>
    <row r="137" spans="1:16" ht="12.75" hidden="1" customHeight="1">
      <c r="A137" s="187" t="s">
        <v>95</v>
      </c>
      <c r="B137" s="188"/>
      <c r="C137" s="188"/>
      <c r="D137" s="188"/>
      <c r="E137" s="189">
        <f t="shared" ref="E137:E200" si="18">D137-C137</f>
        <v>0</v>
      </c>
      <c r="F137" s="190" t="e">
        <f t="shared" si="17"/>
        <v>#DIV/0!</v>
      </c>
      <c r="H137" s="88"/>
      <c r="I137" s="88"/>
      <c r="J137" s="88"/>
      <c r="K137" s="89"/>
      <c r="L137" s="89"/>
      <c r="M137" s="88"/>
      <c r="O137" s="88"/>
      <c r="P137" s="88"/>
    </row>
    <row r="138" spans="1:16" ht="12.75" hidden="1" customHeight="1">
      <c r="A138" s="187" t="s">
        <v>22</v>
      </c>
      <c r="B138" s="188"/>
      <c r="C138" s="188"/>
      <c r="D138" s="188"/>
      <c r="E138" s="189">
        <f t="shared" si="18"/>
        <v>0</v>
      </c>
      <c r="F138" s="190" t="e">
        <f t="shared" si="17"/>
        <v>#DIV/0!</v>
      </c>
      <c r="H138" s="88"/>
      <c r="I138" s="88"/>
      <c r="J138" s="88"/>
      <c r="K138" s="89"/>
      <c r="L138" s="89"/>
      <c r="M138" s="88"/>
      <c r="O138" s="88"/>
      <c r="P138" s="88"/>
    </row>
    <row r="139" spans="1:16" ht="12.75" hidden="1" customHeight="1">
      <c r="A139" s="187" t="s">
        <v>96</v>
      </c>
      <c r="B139" s="188"/>
      <c r="C139" s="188"/>
      <c r="D139" s="188"/>
      <c r="E139" s="189">
        <f t="shared" si="18"/>
        <v>0</v>
      </c>
      <c r="F139" s="190" t="e">
        <f t="shared" si="17"/>
        <v>#DIV/0!</v>
      </c>
      <c r="H139" s="88"/>
      <c r="I139" s="88">
        <v>15</v>
      </c>
      <c r="J139" s="88"/>
      <c r="K139" s="89"/>
      <c r="L139" s="89"/>
      <c r="M139" s="88"/>
      <c r="O139" s="88"/>
      <c r="P139" s="88"/>
    </row>
    <row r="140" spans="1:16">
      <c r="A140" s="187" t="s">
        <v>97</v>
      </c>
      <c r="B140" s="188">
        <v>2352.11</v>
      </c>
      <c r="C140" s="188">
        <v>2352.11</v>
      </c>
      <c r="D140" s="188">
        <v>2812.96</v>
      </c>
      <c r="E140" s="189">
        <f t="shared" si="18"/>
        <v>460.84999999999991</v>
      </c>
      <c r="F140" s="190">
        <f t="shared" si="17"/>
        <v>19.59304624358554</v>
      </c>
      <c r="H140" s="88">
        <f t="shared" ref="H140:M140" si="19">SUM(H141:H149)</f>
        <v>0</v>
      </c>
      <c r="I140" s="88">
        <f t="shared" si="19"/>
        <v>0</v>
      </c>
      <c r="J140" s="88">
        <f t="shared" si="19"/>
        <v>0</v>
      </c>
      <c r="K140" s="89">
        <f t="shared" si="19"/>
        <v>0</v>
      </c>
      <c r="L140" s="89">
        <f t="shared" si="19"/>
        <v>0</v>
      </c>
      <c r="M140" s="88">
        <f t="shared" si="19"/>
        <v>0</v>
      </c>
      <c r="O140" s="88">
        <f>SUM(O141:O149)</f>
        <v>0</v>
      </c>
      <c r="P140" s="88">
        <f>SUM(P141:P149)</f>
        <v>0</v>
      </c>
    </row>
    <row r="141" spans="1:16" ht="12.75" hidden="1" customHeight="1">
      <c r="A141" s="187" t="s">
        <v>13</v>
      </c>
      <c r="B141" s="188"/>
      <c r="C141" s="188"/>
      <c r="D141" s="188"/>
      <c r="E141" s="189">
        <f t="shared" si="18"/>
        <v>0</v>
      </c>
      <c r="F141" s="190" t="e">
        <f t="shared" si="17"/>
        <v>#DIV/0!</v>
      </c>
      <c r="H141" s="88"/>
      <c r="I141" s="88"/>
      <c r="J141" s="88"/>
      <c r="K141" s="89"/>
      <c r="L141" s="89"/>
      <c r="M141" s="88"/>
      <c r="O141" s="88"/>
      <c r="P141" s="88"/>
    </row>
    <row r="142" spans="1:16" ht="12.75" hidden="1" customHeight="1">
      <c r="A142" s="187" t="s">
        <v>14</v>
      </c>
      <c r="B142" s="188"/>
      <c r="C142" s="188"/>
      <c r="D142" s="188"/>
      <c r="E142" s="189">
        <f t="shared" si="18"/>
        <v>0</v>
      </c>
      <c r="F142" s="190" t="e">
        <f t="shared" si="17"/>
        <v>#DIV/0!</v>
      </c>
      <c r="H142" s="88"/>
      <c r="I142" s="88"/>
      <c r="J142" s="88"/>
      <c r="K142" s="89"/>
      <c r="L142" s="89"/>
      <c r="M142" s="88"/>
      <c r="O142" s="88"/>
      <c r="P142" s="88"/>
    </row>
    <row r="143" spans="1:16" ht="12.75" hidden="1" customHeight="1">
      <c r="A143" s="187" t="s">
        <v>15</v>
      </c>
      <c r="B143" s="188"/>
      <c r="C143" s="188"/>
      <c r="D143" s="188"/>
      <c r="E143" s="189">
        <f t="shared" si="18"/>
        <v>0</v>
      </c>
      <c r="F143" s="190" t="e">
        <f t="shared" si="17"/>
        <v>#DIV/0!</v>
      </c>
      <c r="H143" s="88"/>
      <c r="I143" s="88"/>
      <c r="J143" s="88"/>
      <c r="K143" s="89"/>
      <c r="L143" s="89"/>
      <c r="M143" s="88"/>
      <c r="O143" s="88"/>
      <c r="P143" s="88"/>
    </row>
    <row r="144" spans="1:16" ht="12.75" hidden="1" customHeight="1">
      <c r="A144" s="187" t="s">
        <v>98</v>
      </c>
      <c r="B144" s="188"/>
      <c r="C144" s="188"/>
      <c r="D144" s="188"/>
      <c r="E144" s="189">
        <f t="shared" si="18"/>
        <v>0</v>
      </c>
      <c r="F144" s="190" t="e">
        <f t="shared" si="17"/>
        <v>#DIV/0!</v>
      </c>
      <c r="H144" s="88"/>
      <c r="I144" s="88"/>
      <c r="J144" s="88"/>
      <c r="K144" s="89"/>
      <c r="L144" s="89"/>
      <c r="M144" s="88"/>
      <c r="O144" s="88"/>
      <c r="P144" s="88"/>
    </row>
    <row r="145" spans="1:16" ht="12.75" hidden="1" customHeight="1">
      <c r="A145" s="187" t="s">
        <v>99</v>
      </c>
      <c r="B145" s="188"/>
      <c r="C145" s="188"/>
      <c r="D145" s="188"/>
      <c r="E145" s="189">
        <f t="shared" si="18"/>
        <v>0</v>
      </c>
      <c r="F145" s="190" t="e">
        <f t="shared" si="17"/>
        <v>#DIV/0!</v>
      </c>
      <c r="H145" s="88"/>
      <c r="I145" s="88"/>
      <c r="J145" s="88"/>
      <c r="K145" s="89"/>
      <c r="L145" s="89"/>
      <c r="M145" s="88"/>
      <c r="O145" s="88"/>
      <c r="P145" s="88"/>
    </row>
    <row r="146" spans="1:16" ht="12.75" hidden="1" customHeight="1">
      <c r="A146" s="187" t="s">
        <v>100</v>
      </c>
      <c r="B146" s="188"/>
      <c r="C146" s="188"/>
      <c r="D146" s="188"/>
      <c r="E146" s="189">
        <f t="shared" si="18"/>
        <v>0</v>
      </c>
      <c r="F146" s="190" t="e">
        <f t="shared" si="17"/>
        <v>#DIV/0!</v>
      </c>
      <c r="H146" s="88"/>
      <c r="I146" s="88"/>
      <c r="J146" s="88"/>
      <c r="K146" s="89"/>
      <c r="L146" s="89"/>
      <c r="M146" s="88"/>
      <c r="O146" s="88"/>
      <c r="P146" s="88"/>
    </row>
    <row r="147" spans="1:16" ht="12.75" hidden="1" customHeight="1">
      <c r="A147" s="187" t="s">
        <v>55</v>
      </c>
      <c r="B147" s="188"/>
      <c r="C147" s="188"/>
      <c r="D147" s="188"/>
      <c r="E147" s="189">
        <f t="shared" si="18"/>
        <v>0</v>
      </c>
      <c r="F147" s="190" t="e">
        <f t="shared" si="17"/>
        <v>#DIV/0!</v>
      </c>
      <c r="H147" s="88"/>
      <c r="I147" s="88"/>
      <c r="J147" s="88"/>
      <c r="K147" s="89"/>
      <c r="L147" s="89"/>
      <c r="M147" s="88"/>
      <c r="O147" s="88"/>
      <c r="P147" s="88"/>
    </row>
    <row r="148" spans="1:16" ht="12.75" hidden="1" customHeight="1">
      <c r="A148" s="187" t="s">
        <v>22</v>
      </c>
      <c r="B148" s="188"/>
      <c r="C148" s="188"/>
      <c r="D148" s="188"/>
      <c r="E148" s="189">
        <f t="shared" si="18"/>
        <v>0</v>
      </c>
      <c r="F148" s="190" t="e">
        <f t="shared" si="17"/>
        <v>#DIV/0!</v>
      </c>
      <c r="H148" s="88"/>
      <c r="I148" s="88"/>
      <c r="J148" s="88"/>
      <c r="K148" s="89"/>
      <c r="L148" s="89"/>
      <c r="M148" s="88"/>
      <c r="O148" s="88"/>
      <c r="P148" s="88"/>
    </row>
    <row r="149" spans="1:16" ht="12.75" hidden="1" customHeight="1">
      <c r="A149" s="187" t="s">
        <v>101</v>
      </c>
      <c r="B149" s="188"/>
      <c r="C149" s="188"/>
      <c r="D149" s="188"/>
      <c r="E149" s="189">
        <f t="shared" si="18"/>
        <v>0</v>
      </c>
      <c r="F149" s="190" t="e">
        <f t="shared" si="17"/>
        <v>#DIV/0!</v>
      </c>
      <c r="H149" s="88"/>
      <c r="I149" s="88"/>
      <c r="J149" s="88"/>
      <c r="K149" s="89"/>
      <c r="L149" s="89"/>
      <c r="M149" s="88"/>
      <c r="O149" s="88"/>
      <c r="P149" s="88"/>
    </row>
    <row r="150" spans="1:16">
      <c r="A150" s="187" t="s">
        <v>102</v>
      </c>
      <c r="B150" s="188">
        <v>455.56</v>
      </c>
      <c r="C150" s="188">
        <v>455.56</v>
      </c>
      <c r="D150" s="188">
        <v>738.65</v>
      </c>
      <c r="E150" s="189">
        <f t="shared" si="18"/>
        <v>283.08999999999997</v>
      </c>
      <c r="F150" s="190">
        <f t="shared" si="17"/>
        <v>62.141101062428646</v>
      </c>
      <c r="H150" s="88">
        <f t="shared" ref="H150:M150" si="20">SUM(H151:H162)</f>
        <v>0</v>
      </c>
      <c r="I150" s="88">
        <f t="shared" si="20"/>
        <v>0</v>
      </c>
      <c r="J150" s="88">
        <f t="shared" si="20"/>
        <v>0</v>
      </c>
      <c r="K150" s="89">
        <f t="shared" si="20"/>
        <v>0</v>
      </c>
      <c r="L150" s="89">
        <f t="shared" si="20"/>
        <v>0</v>
      </c>
      <c r="M150" s="88">
        <f t="shared" si="20"/>
        <v>0</v>
      </c>
      <c r="O150" s="88">
        <f>SUM(O151:O162)</f>
        <v>0</v>
      </c>
      <c r="P150" s="88">
        <f>SUM(P151:P162)</f>
        <v>0</v>
      </c>
    </row>
    <row r="151" spans="1:16" ht="12.75" hidden="1" customHeight="1">
      <c r="A151" s="187" t="s">
        <v>13</v>
      </c>
      <c r="B151" s="188"/>
      <c r="C151" s="188"/>
      <c r="D151" s="188"/>
      <c r="E151" s="189">
        <f t="shared" si="18"/>
        <v>0</v>
      </c>
      <c r="F151" s="190" t="e">
        <f t="shared" si="17"/>
        <v>#DIV/0!</v>
      </c>
      <c r="H151" s="88"/>
      <c r="I151" s="88"/>
      <c r="J151" s="88"/>
      <c r="K151" s="89"/>
      <c r="L151" s="89"/>
      <c r="M151" s="88"/>
      <c r="O151" s="88"/>
      <c r="P151" s="88"/>
    </row>
    <row r="152" spans="1:16" ht="12.75" hidden="1" customHeight="1">
      <c r="A152" s="187" t="s">
        <v>14</v>
      </c>
      <c r="B152" s="188"/>
      <c r="C152" s="188"/>
      <c r="D152" s="188"/>
      <c r="E152" s="189">
        <f t="shared" si="18"/>
        <v>0</v>
      </c>
      <c r="F152" s="190" t="e">
        <f t="shared" si="17"/>
        <v>#DIV/0!</v>
      </c>
      <c r="H152" s="88"/>
      <c r="I152" s="88"/>
      <c r="J152" s="88"/>
      <c r="K152" s="89"/>
      <c r="L152" s="89"/>
      <c r="M152" s="88"/>
      <c r="O152" s="88"/>
      <c r="P152" s="88"/>
    </row>
    <row r="153" spans="1:16" ht="12.75" hidden="1" customHeight="1">
      <c r="A153" s="187" t="s">
        <v>15</v>
      </c>
      <c r="B153" s="188"/>
      <c r="C153" s="188"/>
      <c r="D153" s="188"/>
      <c r="E153" s="189">
        <f t="shared" si="18"/>
        <v>0</v>
      </c>
      <c r="F153" s="190" t="e">
        <f t="shared" si="17"/>
        <v>#DIV/0!</v>
      </c>
      <c r="H153" s="88"/>
      <c r="I153" s="88"/>
      <c r="J153" s="88"/>
      <c r="K153" s="89"/>
      <c r="L153" s="89"/>
      <c r="M153" s="88"/>
      <c r="O153" s="88"/>
      <c r="P153" s="88"/>
    </row>
    <row r="154" spans="1:16" ht="12.75" hidden="1" customHeight="1">
      <c r="A154" s="187" t="s">
        <v>103</v>
      </c>
      <c r="B154" s="188"/>
      <c r="C154" s="188"/>
      <c r="D154" s="188"/>
      <c r="E154" s="189">
        <f t="shared" si="18"/>
        <v>0</v>
      </c>
      <c r="F154" s="190" t="e">
        <f t="shared" si="17"/>
        <v>#DIV/0!</v>
      </c>
      <c r="H154" s="88"/>
      <c r="I154" s="88"/>
      <c r="J154" s="88"/>
      <c r="K154" s="89"/>
      <c r="L154" s="89"/>
      <c r="M154" s="88"/>
      <c r="O154" s="88"/>
      <c r="P154" s="88"/>
    </row>
    <row r="155" spans="1:16" ht="12.75" hidden="1" customHeight="1">
      <c r="A155" s="187" t="s">
        <v>104</v>
      </c>
      <c r="B155" s="188"/>
      <c r="C155" s="188"/>
      <c r="D155" s="188"/>
      <c r="E155" s="189">
        <f t="shared" si="18"/>
        <v>0</v>
      </c>
      <c r="F155" s="190" t="e">
        <f t="shared" si="17"/>
        <v>#DIV/0!</v>
      </c>
      <c r="H155" s="88"/>
      <c r="I155" s="88"/>
      <c r="J155" s="88"/>
      <c r="K155" s="89"/>
      <c r="L155" s="89"/>
      <c r="M155" s="88"/>
      <c r="O155" s="88"/>
      <c r="P155" s="88"/>
    </row>
    <row r="156" spans="1:16" ht="12.75" hidden="1" customHeight="1">
      <c r="A156" s="187" t="s">
        <v>105</v>
      </c>
      <c r="B156" s="188"/>
      <c r="C156" s="188"/>
      <c r="D156" s="188"/>
      <c r="E156" s="189">
        <f t="shared" si="18"/>
        <v>0</v>
      </c>
      <c r="F156" s="190" t="e">
        <f t="shared" si="17"/>
        <v>#DIV/0!</v>
      </c>
      <c r="H156" s="88"/>
      <c r="I156" s="88"/>
      <c r="J156" s="88"/>
      <c r="K156" s="89"/>
      <c r="L156" s="89"/>
      <c r="M156" s="88"/>
      <c r="O156" s="88"/>
      <c r="P156" s="88"/>
    </row>
    <row r="157" spans="1:16" ht="12.75" hidden="1" customHeight="1">
      <c r="A157" s="187" t="s">
        <v>106</v>
      </c>
      <c r="B157" s="188"/>
      <c r="C157" s="188"/>
      <c r="D157" s="188"/>
      <c r="E157" s="189">
        <f t="shared" si="18"/>
        <v>0</v>
      </c>
      <c r="F157" s="190" t="e">
        <f t="shared" si="17"/>
        <v>#DIV/0!</v>
      </c>
      <c r="H157" s="88"/>
      <c r="I157" s="88"/>
      <c r="J157" s="88"/>
      <c r="K157" s="89"/>
      <c r="L157" s="89"/>
      <c r="M157" s="88"/>
      <c r="O157" s="88"/>
      <c r="P157" s="88"/>
    </row>
    <row r="158" spans="1:16" ht="12.75" hidden="1" customHeight="1">
      <c r="A158" s="187" t="s">
        <v>107</v>
      </c>
      <c r="B158" s="188"/>
      <c r="C158" s="188"/>
      <c r="D158" s="188"/>
      <c r="E158" s="189">
        <f t="shared" si="18"/>
        <v>0</v>
      </c>
      <c r="F158" s="190" t="e">
        <f t="shared" si="17"/>
        <v>#DIV/0!</v>
      </c>
      <c r="H158" s="88"/>
      <c r="I158" s="88"/>
      <c r="J158" s="88"/>
      <c r="K158" s="89"/>
      <c r="L158" s="89"/>
      <c r="M158" s="88"/>
      <c r="O158" s="88"/>
      <c r="P158" s="88"/>
    </row>
    <row r="159" spans="1:16" ht="12.75" hidden="1" customHeight="1">
      <c r="A159" s="187" t="s">
        <v>108</v>
      </c>
      <c r="B159" s="188"/>
      <c r="C159" s="188"/>
      <c r="D159" s="188"/>
      <c r="E159" s="189">
        <f t="shared" si="18"/>
        <v>0</v>
      </c>
      <c r="F159" s="190" t="e">
        <f t="shared" si="17"/>
        <v>#DIV/0!</v>
      </c>
      <c r="H159" s="88"/>
      <c r="I159" s="88"/>
      <c r="J159" s="88"/>
      <c r="K159" s="89"/>
      <c r="L159" s="89"/>
      <c r="M159" s="88"/>
      <c r="O159" s="88"/>
      <c r="P159" s="88"/>
    </row>
    <row r="160" spans="1:16" ht="12.75" hidden="1" customHeight="1">
      <c r="A160" s="187" t="s">
        <v>55</v>
      </c>
      <c r="B160" s="188"/>
      <c r="C160" s="188"/>
      <c r="D160" s="188"/>
      <c r="E160" s="189">
        <f t="shared" si="18"/>
        <v>0</v>
      </c>
      <c r="F160" s="190" t="e">
        <f t="shared" si="17"/>
        <v>#DIV/0!</v>
      </c>
      <c r="H160" s="88"/>
      <c r="I160" s="88"/>
      <c r="J160" s="88"/>
      <c r="K160" s="89"/>
      <c r="L160" s="89"/>
      <c r="M160" s="88"/>
      <c r="O160" s="88"/>
      <c r="P160" s="88"/>
    </row>
    <row r="161" spans="1:16" ht="12.75" hidden="1" customHeight="1">
      <c r="A161" s="187" t="s">
        <v>22</v>
      </c>
      <c r="B161" s="188"/>
      <c r="C161" s="188"/>
      <c r="D161" s="188"/>
      <c r="E161" s="189">
        <f t="shared" si="18"/>
        <v>0</v>
      </c>
      <c r="F161" s="190" t="e">
        <f t="shared" si="17"/>
        <v>#DIV/0!</v>
      </c>
      <c r="H161" s="88"/>
      <c r="I161" s="88"/>
      <c r="J161" s="88"/>
      <c r="K161" s="89"/>
      <c r="L161" s="89"/>
      <c r="M161" s="88"/>
      <c r="O161" s="88"/>
      <c r="P161" s="88"/>
    </row>
    <row r="162" spans="1:16" ht="12.75" hidden="1" customHeight="1">
      <c r="A162" s="187" t="s">
        <v>109</v>
      </c>
      <c r="B162" s="188"/>
      <c r="C162" s="188"/>
      <c r="D162" s="188"/>
      <c r="E162" s="189">
        <f t="shared" si="18"/>
        <v>0</v>
      </c>
      <c r="F162" s="190" t="e">
        <f t="shared" si="17"/>
        <v>#DIV/0!</v>
      </c>
      <c r="H162" s="88"/>
      <c r="I162" s="88"/>
      <c r="J162" s="88"/>
      <c r="K162" s="89"/>
      <c r="L162" s="89"/>
      <c r="M162" s="88"/>
      <c r="O162" s="88"/>
      <c r="P162" s="88"/>
    </row>
    <row r="163" spans="1:16" ht="12.75" customHeight="1">
      <c r="A163" s="187" t="s">
        <v>110</v>
      </c>
      <c r="B163" s="188"/>
      <c r="C163" s="188"/>
      <c r="D163" s="188">
        <v>60</v>
      </c>
      <c r="E163" s="189">
        <f t="shared" si="18"/>
        <v>60</v>
      </c>
      <c r="F163" s="190"/>
      <c r="H163" s="88">
        <f t="shared" ref="H163:M163" si="21">SUM(H164:H169)</f>
        <v>0</v>
      </c>
      <c r="I163" s="88">
        <f t="shared" si="21"/>
        <v>0</v>
      </c>
      <c r="J163" s="88">
        <f t="shared" si="21"/>
        <v>0</v>
      </c>
      <c r="K163" s="89">
        <f t="shared" si="21"/>
        <v>0</v>
      </c>
      <c r="L163" s="89">
        <f t="shared" si="21"/>
        <v>0</v>
      </c>
      <c r="M163" s="88">
        <f t="shared" si="21"/>
        <v>0</v>
      </c>
      <c r="O163" s="88">
        <f>SUM(O164:O169)</f>
        <v>0</v>
      </c>
      <c r="P163" s="88">
        <f>SUM(P164:P169)</f>
        <v>0</v>
      </c>
    </row>
    <row r="164" spans="1:16" ht="12.75" hidden="1" customHeight="1">
      <c r="A164" s="187" t="s">
        <v>13</v>
      </c>
      <c r="B164" s="188"/>
      <c r="C164" s="188"/>
      <c r="D164" s="188"/>
      <c r="E164" s="189">
        <f t="shared" si="18"/>
        <v>0</v>
      </c>
      <c r="F164" s="190" t="e">
        <f t="shared" si="17"/>
        <v>#DIV/0!</v>
      </c>
      <c r="H164" s="88"/>
      <c r="I164" s="88"/>
      <c r="J164" s="88"/>
      <c r="K164" s="89"/>
      <c r="L164" s="89"/>
      <c r="M164" s="88"/>
      <c r="O164" s="88"/>
      <c r="P164" s="88"/>
    </row>
    <row r="165" spans="1:16" ht="12.75" hidden="1" customHeight="1">
      <c r="A165" s="187" t="s">
        <v>14</v>
      </c>
      <c r="B165" s="188"/>
      <c r="C165" s="188"/>
      <c r="D165" s="188"/>
      <c r="E165" s="189">
        <f t="shared" si="18"/>
        <v>0</v>
      </c>
      <c r="F165" s="190" t="e">
        <f t="shared" si="17"/>
        <v>#DIV/0!</v>
      </c>
      <c r="H165" s="88"/>
      <c r="I165" s="88"/>
      <c r="J165" s="88"/>
      <c r="K165" s="89"/>
      <c r="L165" s="89"/>
      <c r="M165" s="88"/>
      <c r="O165" s="88"/>
      <c r="P165" s="88"/>
    </row>
    <row r="166" spans="1:16" ht="12.75" hidden="1" customHeight="1">
      <c r="A166" s="187" t="s">
        <v>15</v>
      </c>
      <c r="B166" s="188"/>
      <c r="C166" s="188"/>
      <c r="D166" s="188"/>
      <c r="E166" s="189">
        <f t="shared" si="18"/>
        <v>0</v>
      </c>
      <c r="F166" s="190" t="e">
        <f t="shared" si="17"/>
        <v>#DIV/0!</v>
      </c>
      <c r="H166" s="88"/>
      <c r="I166" s="88"/>
      <c r="J166" s="88"/>
      <c r="K166" s="89"/>
      <c r="L166" s="89"/>
      <c r="M166" s="88"/>
      <c r="O166" s="88"/>
      <c r="P166" s="88"/>
    </row>
    <row r="167" spans="1:16" ht="12.75" hidden="1" customHeight="1">
      <c r="A167" s="187" t="s">
        <v>111</v>
      </c>
      <c r="B167" s="188"/>
      <c r="C167" s="188"/>
      <c r="D167" s="188"/>
      <c r="E167" s="189">
        <f t="shared" si="18"/>
        <v>0</v>
      </c>
      <c r="F167" s="190" t="e">
        <f t="shared" si="17"/>
        <v>#DIV/0!</v>
      </c>
      <c r="H167" s="88"/>
      <c r="I167" s="88"/>
      <c r="J167" s="88"/>
      <c r="K167" s="89"/>
      <c r="L167" s="89"/>
      <c r="M167" s="88"/>
      <c r="O167" s="88"/>
      <c r="P167" s="88"/>
    </row>
    <row r="168" spans="1:16" ht="12.75" hidden="1" customHeight="1">
      <c r="A168" s="187" t="s">
        <v>22</v>
      </c>
      <c r="B168" s="188"/>
      <c r="C168" s="188"/>
      <c r="D168" s="188"/>
      <c r="E168" s="189">
        <f t="shared" si="18"/>
        <v>0</v>
      </c>
      <c r="F168" s="190" t="e">
        <f t="shared" si="17"/>
        <v>#DIV/0!</v>
      </c>
      <c r="H168" s="88"/>
      <c r="I168" s="88"/>
      <c r="J168" s="88"/>
      <c r="K168" s="89"/>
      <c r="L168" s="89"/>
      <c r="M168" s="88"/>
      <c r="O168" s="88"/>
      <c r="P168" s="88"/>
    </row>
    <row r="169" spans="1:16" ht="12.75" hidden="1" customHeight="1">
      <c r="A169" s="187" t="s">
        <v>112</v>
      </c>
      <c r="B169" s="188"/>
      <c r="C169" s="188"/>
      <c r="D169" s="188"/>
      <c r="E169" s="189">
        <f t="shared" si="18"/>
        <v>0</v>
      </c>
      <c r="F169" s="190" t="e">
        <f t="shared" si="17"/>
        <v>#DIV/0!</v>
      </c>
      <c r="H169" s="88"/>
      <c r="I169" s="88"/>
      <c r="J169" s="88"/>
      <c r="K169" s="89"/>
      <c r="L169" s="89"/>
      <c r="M169" s="88"/>
      <c r="O169" s="88"/>
      <c r="P169" s="88"/>
    </row>
    <row r="170" spans="1:16">
      <c r="A170" s="187" t="s">
        <v>113</v>
      </c>
      <c r="B170" s="188"/>
      <c r="C170" s="188"/>
      <c r="D170" s="188">
        <v>34</v>
      </c>
      <c r="E170" s="189">
        <f t="shared" si="18"/>
        <v>34</v>
      </c>
      <c r="F170" s="190"/>
      <c r="H170" s="88">
        <f t="shared" ref="H170:M170" si="22">SUM(H171:H176)</f>
        <v>0</v>
      </c>
      <c r="I170" s="88">
        <f t="shared" si="22"/>
        <v>30</v>
      </c>
      <c r="J170" s="88">
        <f t="shared" si="22"/>
        <v>0</v>
      </c>
      <c r="K170" s="89">
        <f t="shared" si="22"/>
        <v>0</v>
      </c>
      <c r="L170" s="89">
        <f t="shared" si="22"/>
        <v>0</v>
      </c>
      <c r="M170" s="88">
        <f t="shared" si="22"/>
        <v>0</v>
      </c>
      <c r="O170" s="88">
        <f>SUM(O171:O176)</f>
        <v>0</v>
      </c>
      <c r="P170" s="88">
        <f>SUM(P171:P176)</f>
        <v>0</v>
      </c>
    </row>
    <row r="171" spans="1:16" ht="12.75" hidden="1" customHeight="1">
      <c r="A171" s="187" t="s">
        <v>13</v>
      </c>
      <c r="B171" s="188"/>
      <c r="C171" s="188"/>
      <c r="D171" s="188"/>
      <c r="E171" s="189">
        <f t="shared" si="18"/>
        <v>0</v>
      </c>
      <c r="F171" s="190" t="e">
        <f t="shared" si="17"/>
        <v>#DIV/0!</v>
      </c>
      <c r="H171" s="88"/>
      <c r="I171" s="88">
        <v>30</v>
      </c>
      <c r="J171" s="88"/>
      <c r="K171" s="89"/>
      <c r="L171" s="89"/>
      <c r="M171" s="88"/>
      <c r="O171" s="88"/>
      <c r="P171" s="88"/>
    </row>
    <row r="172" spans="1:16" ht="12.75" hidden="1" customHeight="1">
      <c r="A172" s="187" t="s">
        <v>14</v>
      </c>
      <c r="B172" s="188"/>
      <c r="C172" s="188"/>
      <c r="D172" s="188"/>
      <c r="E172" s="189">
        <f t="shared" si="18"/>
        <v>0</v>
      </c>
      <c r="F172" s="190" t="e">
        <f t="shared" si="17"/>
        <v>#DIV/0!</v>
      </c>
      <c r="H172" s="88"/>
      <c r="I172" s="88"/>
      <c r="J172" s="88"/>
      <c r="K172" s="89"/>
      <c r="L172" s="89"/>
      <c r="M172" s="88"/>
      <c r="O172" s="88"/>
      <c r="P172" s="88"/>
    </row>
    <row r="173" spans="1:16" ht="12.75" hidden="1" customHeight="1">
      <c r="A173" s="187" t="s">
        <v>15</v>
      </c>
      <c r="B173" s="188"/>
      <c r="C173" s="188"/>
      <c r="D173" s="188"/>
      <c r="E173" s="189">
        <f t="shared" si="18"/>
        <v>0</v>
      </c>
      <c r="F173" s="190" t="e">
        <f t="shared" si="17"/>
        <v>#DIV/0!</v>
      </c>
      <c r="H173" s="88"/>
      <c r="I173" s="88"/>
      <c r="J173" s="88"/>
      <c r="K173" s="89"/>
      <c r="L173" s="89"/>
      <c r="M173" s="88"/>
      <c r="O173" s="88"/>
      <c r="P173" s="88"/>
    </row>
    <row r="174" spans="1:16" ht="12.75" hidden="1" customHeight="1">
      <c r="A174" s="187" t="s">
        <v>114</v>
      </c>
      <c r="B174" s="188"/>
      <c r="C174" s="188"/>
      <c r="D174" s="188"/>
      <c r="E174" s="189">
        <f t="shared" si="18"/>
        <v>0</v>
      </c>
      <c r="F174" s="190" t="e">
        <f t="shared" si="17"/>
        <v>#DIV/0!</v>
      </c>
      <c r="H174" s="88"/>
      <c r="I174" s="88"/>
      <c r="J174" s="88"/>
      <c r="K174" s="89"/>
      <c r="L174" s="89"/>
      <c r="M174" s="88"/>
      <c r="O174" s="88"/>
      <c r="P174" s="88"/>
    </row>
    <row r="175" spans="1:16" ht="12.75" hidden="1" customHeight="1">
      <c r="A175" s="187" t="s">
        <v>22</v>
      </c>
      <c r="B175" s="188"/>
      <c r="C175" s="188"/>
      <c r="D175" s="188"/>
      <c r="E175" s="189">
        <f t="shared" si="18"/>
        <v>0</v>
      </c>
      <c r="F175" s="190" t="e">
        <f t="shared" si="17"/>
        <v>#DIV/0!</v>
      </c>
      <c r="H175" s="88"/>
      <c r="I175" s="88"/>
      <c r="J175" s="88"/>
      <c r="K175" s="89"/>
      <c r="L175" s="89"/>
      <c r="M175" s="88"/>
      <c r="O175" s="88"/>
      <c r="P175" s="88"/>
    </row>
    <row r="176" spans="1:16" ht="12.75" hidden="1" customHeight="1">
      <c r="A176" s="187" t="s">
        <v>115</v>
      </c>
      <c r="B176" s="188"/>
      <c r="C176" s="188"/>
      <c r="D176" s="188"/>
      <c r="E176" s="189">
        <f t="shared" si="18"/>
        <v>0</v>
      </c>
      <c r="F176" s="190" t="e">
        <f t="shared" si="17"/>
        <v>#DIV/0!</v>
      </c>
      <c r="H176" s="88"/>
      <c r="I176" s="88"/>
      <c r="J176" s="88"/>
      <c r="K176" s="89"/>
      <c r="L176" s="89"/>
      <c r="M176" s="88"/>
      <c r="O176" s="88"/>
      <c r="P176" s="88"/>
    </row>
    <row r="177" spans="1:16">
      <c r="A177" s="187" t="s">
        <v>116</v>
      </c>
      <c r="B177" s="188">
        <v>1315.96</v>
      </c>
      <c r="C177" s="188">
        <v>1315.96</v>
      </c>
      <c r="D177" s="188">
        <v>2617.9299999999998</v>
      </c>
      <c r="E177" s="189">
        <f t="shared" si="18"/>
        <v>1301.9699999999998</v>
      </c>
      <c r="F177" s="190">
        <f t="shared" si="17"/>
        <v>98.93689777804795</v>
      </c>
      <c r="H177" s="88">
        <f t="shared" ref="H177:M177" si="23">SUM(H178:H185)</f>
        <v>245</v>
      </c>
      <c r="I177" s="88">
        <f t="shared" si="23"/>
        <v>101</v>
      </c>
      <c r="J177" s="88">
        <f t="shared" si="23"/>
        <v>0</v>
      </c>
      <c r="K177" s="89">
        <f t="shared" si="23"/>
        <v>0</v>
      </c>
      <c r="L177" s="89">
        <f t="shared" si="23"/>
        <v>0</v>
      </c>
      <c r="M177" s="88">
        <f t="shared" si="23"/>
        <v>0</v>
      </c>
      <c r="O177" s="88">
        <f>SUM(O178:O185)</f>
        <v>0</v>
      </c>
      <c r="P177" s="88">
        <f>SUM(P178:P185)</f>
        <v>0</v>
      </c>
    </row>
    <row r="178" spans="1:16" ht="12.75" hidden="1" customHeight="1">
      <c r="A178" s="187" t="s">
        <v>13</v>
      </c>
      <c r="B178" s="188"/>
      <c r="C178" s="188"/>
      <c r="D178" s="188"/>
      <c r="E178" s="189">
        <f t="shared" si="18"/>
        <v>0</v>
      </c>
      <c r="F178" s="190" t="e">
        <f t="shared" si="17"/>
        <v>#DIV/0!</v>
      </c>
      <c r="H178" s="88">
        <v>145</v>
      </c>
      <c r="I178" s="88">
        <v>101</v>
      </c>
      <c r="J178" s="88"/>
      <c r="K178" s="89"/>
      <c r="L178" s="89"/>
      <c r="M178" s="88"/>
      <c r="O178" s="88"/>
      <c r="P178" s="88"/>
    </row>
    <row r="179" spans="1:16" ht="12.75" hidden="1" customHeight="1">
      <c r="A179" s="187" t="s">
        <v>14</v>
      </c>
      <c r="B179" s="188"/>
      <c r="C179" s="188"/>
      <c r="D179" s="188"/>
      <c r="E179" s="189">
        <f t="shared" si="18"/>
        <v>0</v>
      </c>
      <c r="F179" s="190" t="e">
        <f t="shared" si="17"/>
        <v>#DIV/0!</v>
      </c>
      <c r="H179" s="88"/>
      <c r="I179" s="88"/>
      <c r="J179" s="88"/>
      <c r="K179" s="89"/>
      <c r="L179" s="89"/>
      <c r="M179" s="88"/>
      <c r="O179" s="88"/>
      <c r="P179" s="88"/>
    </row>
    <row r="180" spans="1:16" ht="12.75" hidden="1" customHeight="1">
      <c r="A180" s="187" t="s">
        <v>15</v>
      </c>
      <c r="B180" s="188"/>
      <c r="C180" s="188"/>
      <c r="D180" s="188"/>
      <c r="E180" s="189">
        <f t="shared" si="18"/>
        <v>0</v>
      </c>
      <c r="F180" s="190" t="e">
        <f t="shared" si="17"/>
        <v>#DIV/0!</v>
      </c>
      <c r="H180" s="88"/>
      <c r="I180" s="88"/>
      <c r="J180" s="88"/>
      <c r="K180" s="89"/>
      <c r="L180" s="89"/>
      <c r="M180" s="88"/>
      <c r="O180" s="88"/>
      <c r="P180" s="88"/>
    </row>
    <row r="181" spans="1:16" ht="12.75" hidden="1" customHeight="1">
      <c r="A181" s="187" t="s">
        <v>117</v>
      </c>
      <c r="B181" s="188"/>
      <c r="C181" s="188"/>
      <c r="D181" s="188"/>
      <c r="E181" s="189">
        <f t="shared" si="18"/>
        <v>0</v>
      </c>
      <c r="F181" s="190" t="e">
        <f t="shared" si="17"/>
        <v>#DIV/0!</v>
      </c>
      <c r="H181" s="88"/>
      <c r="I181" s="88"/>
      <c r="J181" s="88"/>
      <c r="K181" s="89"/>
      <c r="L181" s="89"/>
      <c r="M181" s="88"/>
      <c r="O181" s="88"/>
      <c r="P181" s="88"/>
    </row>
    <row r="182" spans="1:16" ht="12.75" hidden="1" customHeight="1">
      <c r="A182" s="187" t="s">
        <v>118</v>
      </c>
      <c r="B182" s="188"/>
      <c r="C182" s="188"/>
      <c r="D182" s="188"/>
      <c r="E182" s="189">
        <f t="shared" si="18"/>
        <v>0</v>
      </c>
      <c r="F182" s="190" t="e">
        <f t="shared" si="17"/>
        <v>#DIV/0!</v>
      </c>
      <c r="H182" s="88">
        <v>100</v>
      </c>
      <c r="I182" s="88"/>
      <c r="J182" s="88"/>
      <c r="K182" s="89"/>
      <c r="L182" s="89"/>
      <c r="M182" s="88"/>
      <c r="O182" s="88"/>
      <c r="P182" s="88"/>
    </row>
    <row r="183" spans="1:16" ht="12.75" hidden="1" customHeight="1">
      <c r="A183" s="187" t="s">
        <v>119</v>
      </c>
      <c r="B183" s="188"/>
      <c r="C183" s="188"/>
      <c r="D183" s="188"/>
      <c r="E183" s="189">
        <f t="shared" si="18"/>
        <v>0</v>
      </c>
      <c r="F183" s="190" t="e">
        <f t="shared" si="17"/>
        <v>#DIV/0!</v>
      </c>
      <c r="H183" s="88"/>
      <c r="I183" s="88"/>
      <c r="J183" s="88"/>
      <c r="K183" s="89"/>
      <c r="L183" s="89"/>
      <c r="M183" s="88"/>
      <c r="O183" s="88"/>
      <c r="P183" s="88"/>
    </row>
    <row r="184" spans="1:16" ht="12.75" hidden="1" customHeight="1">
      <c r="A184" s="187" t="s">
        <v>22</v>
      </c>
      <c r="B184" s="188"/>
      <c r="C184" s="188"/>
      <c r="D184" s="188"/>
      <c r="E184" s="189">
        <f t="shared" si="18"/>
        <v>0</v>
      </c>
      <c r="F184" s="190" t="e">
        <f t="shared" si="17"/>
        <v>#DIV/0!</v>
      </c>
      <c r="H184" s="88"/>
      <c r="I184" s="88"/>
      <c r="J184" s="88"/>
      <c r="K184" s="89"/>
      <c r="L184" s="89"/>
      <c r="M184" s="88"/>
      <c r="O184" s="88"/>
      <c r="P184" s="88"/>
    </row>
    <row r="185" spans="1:16" ht="12.75" hidden="1" customHeight="1">
      <c r="A185" s="187" t="s">
        <v>120</v>
      </c>
      <c r="B185" s="188"/>
      <c r="C185" s="188"/>
      <c r="D185" s="188"/>
      <c r="E185" s="189">
        <f t="shared" si="18"/>
        <v>0</v>
      </c>
      <c r="F185" s="190" t="e">
        <f t="shared" si="17"/>
        <v>#DIV/0!</v>
      </c>
      <c r="H185" s="88"/>
      <c r="I185" s="88"/>
      <c r="J185" s="88"/>
      <c r="K185" s="89"/>
      <c r="L185" s="89"/>
      <c r="M185" s="88"/>
      <c r="O185" s="88"/>
      <c r="P185" s="88"/>
    </row>
    <row r="186" spans="1:16">
      <c r="A186" s="187" t="s">
        <v>121</v>
      </c>
      <c r="B186" s="188">
        <v>142.82</v>
      </c>
      <c r="C186" s="188">
        <v>142.82</v>
      </c>
      <c r="D186" s="188">
        <v>572.54999999999995</v>
      </c>
      <c r="E186" s="189">
        <f t="shared" si="18"/>
        <v>429.72999999999996</v>
      </c>
      <c r="F186" s="190">
        <f t="shared" si="17"/>
        <v>300.88923120011202</v>
      </c>
      <c r="H186" s="88">
        <f t="shared" ref="H186:M186" si="24">SUM(H187:H191)</f>
        <v>0</v>
      </c>
      <c r="I186" s="88">
        <f t="shared" si="24"/>
        <v>104</v>
      </c>
      <c r="J186" s="88">
        <f t="shared" si="24"/>
        <v>0</v>
      </c>
      <c r="K186" s="89">
        <f t="shared" si="24"/>
        <v>0</v>
      </c>
      <c r="L186" s="89">
        <f t="shared" si="24"/>
        <v>0</v>
      </c>
      <c r="M186" s="88">
        <f t="shared" si="24"/>
        <v>0</v>
      </c>
      <c r="O186" s="88">
        <f>SUM(O187:O191)</f>
        <v>0</v>
      </c>
      <c r="P186" s="88">
        <f>SUM(P187:P191)</f>
        <v>0</v>
      </c>
    </row>
    <row r="187" spans="1:16" ht="12.75" hidden="1" customHeight="1">
      <c r="A187" s="187" t="s">
        <v>13</v>
      </c>
      <c r="B187" s="188"/>
      <c r="C187" s="188"/>
      <c r="D187" s="188"/>
      <c r="E187" s="189">
        <f t="shared" si="18"/>
        <v>0</v>
      </c>
      <c r="F187" s="190" t="e">
        <f t="shared" si="17"/>
        <v>#DIV/0!</v>
      </c>
      <c r="H187" s="88"/>
      <c r="I187" s="88">
        <v>104</v>
      </c>
      <c r="J187" s="88"/>
      <c r="K187" s="89"/>
      <c r="L187" s="89"/>
      <c r="M187" s="88"/>
      <c r="O187" s="88"/>
      <c r="P187" s="88"/>
    </row>
    <row r="188" spans="1:16" ht="12.75" hidden="1" customHeight="1">
      <c r="A188" s="187" t="s">
        <v>14</v>
      </c>
      <c r="B188" s="188"/>
      <c r="C188" s="188"/>
      <c r="D188" s="188"/>
      <c r="E188" s="189">
        <f t="shared" si="18"/>
        <v>0</v>
      </c>
      <c r="F188" s="190" t="e">
        <f t="shared" si="17"/>
        <v>#DIV/0!</v>
      </c>
      <c r="H188" s="88"/>
      <c r="I188" s="88"/>
      <c r="J188" s="88"/>
      <c r="K188" s="89"/>
      <c r="L188" s="89"/>
      <c r="M188" s="88"/>
      <c r="O188" s="88"/>
      <c r="P188" s="88"/>
    </row>
    <row r="189" spans="1:16" ht="12.75" hidden="1" customHeight="1">
      <c r="A189" s="187" t="s">
        <v>15</v>
      </c>
      <c r="B189" s="188"/>
      <c r="C189" s="188"/>
      <c r="D189" s="188"/>
      <c r="E189" s="189">
        <f t="shared" si="18"/>
        <v>0</v>
      </c>
      <c r="F189" s="190" t="e">
        <f t="shared" si="17"/>
        <v>#DIV/0!</v>
      </c>
      <c r="H189" s="88"/>
      <c r="I189" s="88"/>
      <c r="J189" s="88"/>
      <c r="K189" s="89"/>
      <c r="L189" s="89"/>
      <c r="M189" s="88"/>
      <c r="O189" s="88"/>
      <c r="P189" s="88"/>
    </row>
    <row r="190" spans="1:16" ht="12.75" hidden="1" customHeight="1">
      <c r="A190" s="187" t="s">
        <v>122</v>
      </c>
      <c r="B190" s="188"/>
      <c r="C190" s="188"/>
      <c r="D190" s="188"/>
      <c r="E190" s="189">
        <f t="shared" si="18"/>
        <v>0</v>
      </c>
      <c r="F190" s="190" t="e">
        <f t="shared" si="17"/>
        <v>#DIV/0!</v>
      </c>
      <c r="H190" s="88"/>
      <c r="I190" s="88"/>
      <c r="J190" s="88"/>
      <c r="K190" s="89"/>
      <c r="L190" s="89"/>
      <c r="M190" s="88"/>
      <c r="O190" s="88"/>
      <c r="P190" s="88"/>
    </row>
    <row r="191" spans="1:16" ht="12.75" hidden="1" customHeight="1">
      <c r="A191" s="187" t="s">
        <v>123</v>
      </c>
      <c r="B191" s="188"/>
      <c r="C191" s="188"/>
      <c r="D191" s="188"/>
      <c r="E191" s="189">
        <f t="shared" si="18"/>
        <v>0</v>
      </c>
      <c r="F191" s="190" t="e">
        <f t="shared" si="17"/>
        <v>#DIV/0!</v>
      </c>
      <c r="H191" s="88"/>
      <c r="I191" s="88"/>
      <c r="J191" s="88"/>
      <c r="K191" s="89"/>
      <c r="L191" s="89"/>
      <c r="M191" s="88"/>
      <c r="O191" s="88"/>
      <c r="P191" s="88"/>
    </row>
    <row r="192" spans="1:16">
      <c r="A192" s="187" t="s">
        <v>124</v>
      </c>
      <c r="B192" s="188">
        <v>132.80000000000001</v>
      </c>
      <c r="C192" s="188">
        <v>132.80000000000001</v>
      </c>
      <c r="D192" s="188">
        <v>176.19</v>
      </c>
      <c r="E192" s="189">
        <f t="shared" si="18"/>
        <v>43.389999999999986</v>
      </c>
      <c r="F192" s="190">
        <f t="shared" si="17"/>
        <v>32.673192771084324</v>
      </c>
      <c r="H192" s="88">
        <f t="shared" ref="H192:M192" si="25">SUM(H193:H197)</f>
        <v>0</v>
      </c>
      <c r="I192" s="88">
        <f t="shared" si="25"/>
        <v>40</v>
      </c>
      <c r="J192" s="88">
        <f t="shared" si="25"/>
        <v>0</v>
      </c>
      <c r="K192" s="89">
        <f t="shared" si="25"/>
        <v>0</v>
      </c>
      <c r="L192" s="89">
        <f t="shared" si="25"/>
        <v>0</v>
      </c>
      <c r="M192" s="88">
        <f t="shared" si="25"/>
        <v>0</v>
      </c>
      <c r="O192" s="88">
        <f>SUM(O193:O197)</f>
        <v>0</v>
      </c>
      <c r="P192" s="88">
        <f>SUM(P193:P197)</f>
        <v>0</v>
      </c>
    </row>
    <row r="193" spans="1:16" ht="12.75" hidden="1" customHeight="1">
      <c r="A193" s="187" t="s">
        <v>13</v>
      </c>
      <c r="B193" s="188"/>
      <c r="C193" s="188"/>
      <c r="D193" s="188"/>
      <c r="E193" s="189">
        <f t="shared" si="18"/>
        <v>0</v>
      </c>
      <c r="F193" s="190" t="e">
        <f t="shared" si="17"/>
        <v>#DIV/0!</v>
      </c>
      <c r="H193" s="88"/>
      <c r="I193" s="88">
        <v>40</v>
      </c>
      <c r="J193" s="88"/>
      <c r="K193" s="89"/>
      <c r="L193" s="89"/>
      <c r="M193" s="88"/>
      <c r="O193" s="88"/>
      <c r="P193" s="88"/>
    </row>
    <row r="194" spans="1:16" ht="12.75" hidden="1" customHeight="1">
      <c r="A194" s="187" t="s">
        <v>14</v>
      </c>
      <c r="B194" s="188"/>
      <c r="C194" s="188"/>
      <c r="D194" s="188"/>
      <c r="E194" s="189">
        <f t="shared" si="18"/>
        <v>0</v>
      </c>
      <c r="F194" s="190" t="e">
        <f t="shared" si="17"/>
        <v>#DIV/0!</v>
      </c>
      <c r="H194" s="88"/>
      <c r="I194" s="88"/>
      <c r="J194" s="88"/>
      <c r="K194" s="89"/>
      <c r="L194" s="89"/>
      <c r="M194" s="88"/>
      <c r="O194" s="88"/>
      <c r="P194" s="88"/>
    </row>
    <row r="195" spans="1:16" ht="12.75" hidden="1" customHeight="1">
      <c r="A195" s="187" t="s">
        <v>15</v>
      </c>
      <c r="B195" s="188"/>
      <c r="C195" s="188"/>
      <c r="D195" s="188"/>
      <c r="E195" s="189">
        <f t="shared" si="18"/>
        <v>0</v>
      </c>
      <c r="F195" s="190" t="e">
        <f t="shared" si="17"/>
        <v>#DIV/0!</v>
      </c>
      <c r="H195" s="88"/>
      <c r="I195" s="88"/>
      <c r="J195" s="88"/>
      <c r="K195" s="89"/>
      <c r="L195" s="89"/>
      <c r="M195" s="88"/>
      <c r="O195" s="88"/>
      <c r="P195" s="88"/>
    </row>
    <row r="196" spans="1:16" ht="12.75" hidden="1" customHeight="1">
      <c r="A196" s="187" t="s">
        <v>27</v>
      </c>
      <c r="B196" s="188"/>
      <c r="C196" s="188"/>
      <c r="D196" s="188"/>
      <c r="E196" s="189">
        <f t="shared" si="18"/>
        <v>0</v>
      </c>
      <c r="F196" s="190" t="e">
        <f t="shared" si="17"/>
        <v>#DIV/0!</v>
      </c>
      <c r="H196" s="88"/>
      <c r="I196" s="88"/>
      <c r="J196" s="88"/>
      <c r="K196" s="89"/>
      <c r="L196" s="89"/>
      <c r="M196" s="88"/>
      <c r="O196" s="88"/>
      <c r="P196" s="88"/>
    </row>
    <row r="197" spans="1:16" ht="12.75" hidden="1" customHeight="1">
      <c r="A197" s="187" t="s">
        <v>22</v>
      </c>
      <c r="B197" s="188"/>
      <c r="C197" s="188"/>
      <c r="D197" s="188"/>
      <c r="E197" s="189">
        <f t="shared" si="18"/>
        <v>0</v>
      </c>
      <c r="F197" s="190" t="e">
        <f t="shared" si="17"/>
        <v>#DIV/0!</v>
      </c>
      <c r="H197" s="88"/>
      <c r="I197" s="88"/>
      <c r="J197" s="88"/>
      <c r="K197" s="89"/>
      <c r="L197" s="89"/>
      <c r="M197" s="88"/>
      <c r="O197" s="88"/>
      <c r="P197" s="88"/>
    </row>
    <row r="198" spans="1:16" ht="12.75" hidden="1" customHeight="1">
      <c r="A198" s="187" t="s">
        <v>125</v>
      </c>
      <c r="B198" s="188"/>
      <c r="C198" s="188"/>
      <c r="D198" s="188"/>
      <c r="E198" s="189">
        <f t="shared" si="18"/>
        <v>0</v>
      </c>
      <c r="F198" s="190" t="e">
        <f t="shared" si="17"/>
        <v>#DIV/0!</v>
      </c>
      <c r="H198" s="88"/>
      <c r="I198" s="88"/>
      <c r="J198" s="88"/>
      <c r="K198" s="89"/>
      <c r="L198" s="89"/>
      <c r="M198" s="88"/>
      <c r="O198" s="88"/>
      <c r="P198" s="88"/>
    </row>
    <row r="199" spans="1:16">
      <c r="A199" s="187" t="s">
        <v>126</v>
      </c>
      <c r="B199" s="188">
        <v>527.87</v>
      </c>
      <c r="C199" s="188">
        <v>527.87</v>
      </c>
      <c r="D199" s="188">
        <v>542.21</v>
      </c>
      <c r="E199" s="189">
        <f t="shared" si="18"/>
        <v>14.340000000000032</v>
      </c>
      <c r="F199" s="190">
        <f t="shared" ref="F199:F262" si="26">E199/C199*100</f>
        <v>2.7165779453274541</v>
      </c>
      <c r="H199" s="88">
        <f t="shared" ref="H199:M199" si="27">SUM(H200:H206)</f>
        <v>0</v>
      </c>
      <c r="I199" s="88">
        <f t="shared" si="27"/>
        <v>246</v>
      </c>
      <c r="J199" s="88">
        <f t="shared" si="27"/>
        <v>0</v>
      </c>
      <c r="K199" s="89">
        <f t="shared" si="27"/>
        <v>0</v>
      </c>
      <c r="L199" s="89">
        <f t="shared" si="27"/>
        <v>0</v>
      </c>
      <c r="M199" s="88">
        <f t="shared" si="27"/>
        <v>0</v>
      </c>
      <c r="O199" s="88">
        <f>SUM(O200:O206)</f>
        <v>0</v>
      </c>
      <c r="P199" s="88">
        <f>SUM(P200:P206)</f>
        <v>0</v>
      </c>
    </row>
    <row r="200" spans="1:16" ht="12.75" hidden="1" customHeight="1">
      <c r="A200" s="187" t="s">
        <v>13</v>
      </c>
      <c r="B200" s="188"/>
      <c r="C200" s="188"/>
      <c r="D200" s="188"/>
      <c r="E200" s="189">
        <f t="shared" si="18"/>
        <v>0</v>
      </c>
      <c r="F200" s="190" t="e">
        <f t="shared" si="26"/>
        <v>#DIV/0!</v>
      </c>
      <c r="H200" s="88"/>
      <c r="I200" s="88">
        <v>200</v>
      </c>
      <c r="J200" s="88"/>
      <c r="K200" s="89"/>
      <c r="L200" s="89"/>
      <c r="M200" s="88"/>
      <c r="O200" s="88"/>
      <c r="P200" s="88"/>
    </row>
    <row r="201" spans="1:16" ht="12.75" hidden="1" customHeight="1">
      <c r="A201" s="187" t="s">
        <v>14</v>
      </c>
      <c r="B201" s="188"/>
      <c r="C201" s="188"/>
      <c r="D201" s="188"/>
      <c r="E201" s="189">
        <f t="shared" ref="E201:E264" si="28">D201-C201</f>
        <v>0</v>
      </c>
      <c r="F201" s="190" t="e">
        <f t="shared" si="26"/>
        <v>#DIV/0!</v>
      </c>
      <c r="H201" s="88"/>
      <c r="I201" s="88"/>
      <c r="J201" s="88"/>
      <c r="K201" s="89"/>
      <c r="L201" s="89"/>
      <c r="M201" s="88"/>
      <c r="O201" s="88"/>
      <c r="P201" s="88"/>
    </row>
    <row r="202" spans="1:16" ht="12.75" hidden="1" customHeight="1">
      <c r="A202" s="187" t="s">
        <v>15</v>
      </c>
      <c r="B202" s="188"/>
      <c r="C202" s="188"/>
      <c r="D202" s="188"/>
      <c r="E202" s="189">
        <f t="shared" si="28"/>
        <v>0</v>
      </c>
      <c r="F202" s="190" t="e">
        <f t="shared" si="26"/>
        <v>#DIV/0!</v>
      </c>
      <c r="H202" s="88"/>
      <c r="I202" s="88"/>
      <c r="J202" s="88"/>
      <c r="K202" s="89"/>
      <c r="L202" s="89"/>
      <c r="M202" s="88"/>
      <c r="O202" s="88"/>
      <c r="P202" s="88"/>
    </row>
    <row r="203" spans="1:16" ht="12.75" hidden="1" customHeight="1">
      <c r="A203" s="187" t="s">
        <v>127</v>
      </c>
      <c r="B203" s="188"/>
      <c r="C203" s="188"/>
      <c r="D203" s="188"/>
      <c r="E203" s="189">
        <f t="shared" si="28"/>
        <v>0</v>
      </c>
      <c r="F203" s="190" t="e">
        <f t="shared" si="26"/>
        <v>#DIV/0!</v>
      </c>
      <c r="H203" s="88"/>
      <c r="I203" s="88"/>
      <c r="J203" s="88"/>
      <c r="K203" s="89"/>
      <c r="L203" s="89"/>
      <c r="M203" s="88"/>
      <c r="O203" s="88"/>
      <c r="P203" s="88"/>
    </row>
    <row r="204" spans="1:16" ht="12.75" hidden="1" customHeight="1">
      <c r="A204" s="187" t="s">
        <v>128</v>
      </c>
      <c r="B204" s="188"/>
      <c r="C204" s="188"/>
      <c r="D204" s="188"/>
      <c r="E204" s="189">
        <f t="shared" si="28"/>
        <v>0</v>
      </c>
      <c r="F204" s="190" t="e">
        <f t="shared" si="26"/>
        <v>#DIV/0!</v>
      </c>
      <c r="H204" s="88"/>
      <c r="I204" s="88"/>
      <c r="J204" s="88"/>
      <c r="K204" s="89"/>
      <c r="L204" s="89"/>
      <c r="M204" s="88"/>
      <c r="O204" s="88"/>
      <c r="P204" s="88"/>
    </row>
    <row r="205" spans="1:16" ht="12.75" hidden="1" customHeight="1">
      <c r="A205" s="187" t="s">
        <v>22</v>
      </c>
      <c r="B205" s="188"/>
      <c r="C205" s="188"/>
      <c r="D205" s="188"/>
      <c r="E205" s="189">
        <f t="shared" si="28"/>
        <v>0</v>
      </c>
      <c r="F205" s="190" t="e">
        <f t="shared" si="26"/>
        <v>#DIV/0!</v>
      </c>
      <c r="H205" s="88"/>
      <c r="I205" s="88"/>
      <c r="J205" s="88"/>
      <c r="K205" s="89"/>
      <c r="L205" s="89"/>
      <c r="M205" s="88"/>
      <c r="O205" s="88"/>
      <c r="P205" s="88"/>
    </row>
    <row r="206" spans="1:16" ht="12.75" hidden="1" customHeight="1">
      <c r="A206" s="187" t="s">
        <v>129</v>
      </c>
      <c r="B206" s="188"/>
      <c r="C206" s="188"/>
      <c r="D206" s="188"/>
      <c r="E206" s="189">
        <f t="shared" si="28"/>
        <v>0</v>
      </c>
      <c r="F206" s="190" t="e">
        <f t="shared" si="26"/>
        <v>#DIV/0!</v>
      </c>
      <c r="H206" s="88"/>
      <c r="I206" s="88">
        <v>46</v>
      </c>
      <c r="J206" s="88"/>
      <c r="K206" s="89"/>
      <c r="L206" s="89"/>
      <c r="M206" s="88"/>
      <c r="O206" s="88"/>
      <c r="P206" s="88"/>
    </row>
    <row r="207" spans="1:16">
      <c r="A207" s="187" t="s">
        <v>130</v>
      </c>
      <c r="B207" s="188">
        <v>806.51</v>
      </c>
      <c r="C207" s="188">
        <v>806.51</v>
      </c>
      <c r="D207" s="188">
        <v>2611.2800000000002</v>
      </c>
      <c r="E207" s="189">
        <f t="shared" si="28"/>
        <v>1804.7700000000002</v>
      </c>
      <c r="F207" s="190">
        <f t="shared" si="26"/>
        <v>223.77527866982433</v>
      </c>
      <c r="H207" s="88">
        <f t="shared" ref="H207:M207" si="29">SUM(H208:H213)</f>
        <v>356</v>
      </c>
      <c r="I207" s="88">
        <f t="shared" si="29"/>
        <v>510</v>
      </c>
      <c r="J207" s="88">
        <f t="shared" si="29"/>
        <v>0</v>
      </c>
      <c r="K207" s="89">
        <f t="shared" si="29"/>
        <v>0</v>
      </c>
      <c r="L207" s="89">
        <f t="shared" si="29"/>
        <v>0</v>
      </c>
      <c r="M207" s="88">
        <f t="shared" si="29"/>
        <v>0</v>
      </c>
      <c r="O207" s="88">
        <f>SUM(O208:O213)</f>
        <v>0</v>
      </c>
      <c r="P207" s="88">
        <f>SUM(P208:P213)</f>
        <v>0</v>
      </c>
    </row>
    <row r="208" spans="1:16" ht="12.75" hidden="1" customHeight="1">
      <c r="A208" s="187" t="s">
        <v>13</v>
      </c>
      <c r="B208" s="188"/>
      <c r="C208" s="188"/>
      <c r="D208" s="188"/>
      <c r="E208" s="189">
        <f t="shared" si="28"/>
        <v>0</v>
      </c>
      <c r="F208" s="190" t="e">
        <f t="shared" si="26"/>
        <v>#DIV/0!</v>
      </c>
      <c r="H208" s="88">
        <v>166</v>
      </c>
      <c r="I208" s="88">
        <v>486</v>
      </c>
      <c r="J208" s="88"/>
      <c r="K208" s="89"/>
      <c r="L208" s="89"/>
      <c r="M208" s="88"/>
      <c r="O208" s="88"/>
      <c r="P208" s="88"/>
    </row>
    <row r="209" spans="1:16" ht="12.75" hidden="1" customHeight="1">
      <c r="A209" s="187" t="s">
        <v>14</v>
      </c>
      <c r="B209" s="188"/>
      <c r="C209" s="188"/>
      <c r="D209" s="188"/>
      <c r="E209" s="189">
        <f t="shared" si="28"/>
        <v>0</v>
      </c>
      <c r="F209" s="190" t="e">
        <f t="shared" si="26"/>
        <v>#DIV/0!</v>
      </c>
      <c r="H209" s="88"/>
      <c r="I209" s="88"/>
      <c r="J209" s="88"/>
      <c r="K209" s="89"/>
      <c r="L209" s="89"/>
      <c r="M209" s="88"/>
      <c r="O209" s="88"/>
      <c r="P209" s="88"/>
    </row>
    <row r="210" spans="1:16" ht="12.75" hidden="1" customHeight="1">
      <c r="A210" s="187" t="s">
        <v>15</v>
      </c>
      <c r="B210" s="188"/>
      <c r="C210" s="188"/>
      <c r="D210" s="188"/>
      <c r="E210" s="189">
        <f t="shared" si="28"/>
        <v>0</v>
      </c>
      <c r="F210" s="190" t="e">
        <f t="shared" si="26"/>
        <v>#DIV/0!</v>
      </c>
      <c r="H210" s="88"/>
      <c r="I210" s="88"/>
      <c r="J210" s="88"/>
      <c r="K210" s="89"/>
      <c r="L210" s="89"/>
      <c r="M210" s="88"/>
      <c r="O210" s="88"/>
      <c r="P210" s="88"/>
    </row>
    <row r="211" spans="1:16" ht="12.75" hidden="1" customHeight="1">
      <c r="A211" s="187" t="s">
        <v>131</v>
      </c>
      <c r="B211" s="188"/>
      <c r="C211" s="188"/>
      <c r="D211" s="188"/>
      <c r="E211" s="189">
        <f t="shared" si="28"/>
        <v>0</v>
      </c>
      <c r="F211" s="190" t="e">
        <f t="shared" si="26"/>
        <v>#DIV/0!</v>
      </c>
      <c r="H211" s="88">
        <v>190</v>
      </c>
      <c r="I211" s="88"/>
      <c r="J211" s="88"/>
      <c r="K211" s="89"/>
      <c r="L211" s="89"/>
      <c r="M211" s="88"/>
      <c r="O211" s="88"/>
      <c r="P211" s="88"/>
    </row>
    <row r="212" spans="1:16" ht="12.75" hidden="1" customHeight="1">
      <c r="A212" s="187" t="s">
        <v>22</v>
      </c>
      <c r="B212" s="188"/>
      <c r="C212" s="188"/>
      <c r="D212" s="188"/>
      <c r="E212" s="189">
        <f t="shared" si="28"/>
        <v>0</v>
      </c>
      <c r="F212" s="190" t="e">
        <f t="shared" si="26"/>
        <v>#DIV/0!</v>
      </c>
      <c r="H212" s="88"/>
      <c r="I212" s="88"/>
      <c r="J212" s="88"/>
      <c r="K212" s="89"/>
      <c r="L212" s="89"/>
      <c r="M212" s="88"/>
      <c r="O212" s="88"/>
      <c r="P212" s="88"/>
    </row>
    <row r="213" spans="1:16" ht="12.75" hidden="1" customHeight="1">
      <c r="A213" s="187" t="s">
        <v>132</v>
      </c>
      <c r="B213" s="188"/>
      <c r="C213" s="188"/>
      <c r="D213" s="188"/>
      <c r="E213" s="189">
        <f t="shared" si="28"/>
        <v>0</v>
      </c>
      <c r="F213" s="190" t="e">
        <f t="shared" si="26"/>
        <v>#DIV/0!</v>
      </c>
      <c r="H213" s="88"/>
      <c r="I213" s="88">
        <v>24</v>
      </c>
      <c r="J213" s="88"/>
      <c r="K213" s="89"/>
      <c r="L213" s="89"/>
      <c r="M213" s="88"/>
      <c r="O213" s="88"/>
      <c r="P213" s="88"/>
    </row>
    <row r="214" spans="1:16">
      <c r="A214" s="187" t="s">
        <v>133</v>
      </c>
      <c r="B214" s="188">
        <v>0</v>
      </c>
      <c r="C214" s="188">
        <v>0</v>
      </c>
      <c r="D214" s="188">
        <v>305.87</v>
      </c>
      <c r="E214" s="189">
        <f t="shared" si="28"/>
        <v>305.87</v>
      </c>
      <c r="F214" s="190"/>
      <c r="H214" s="88">
        <f t="shared" ref="H214:M214" si="30">SUM(H215:H219)</f>
        <v>0</v>
      </c>
      <c r="I214" s="88">
        <f t="shared" si="30"/>
        <v>485</v>
      </c>
      <c r="J214" s="88">
        <f t="shared" si="30"/>
        <v>0</v>
      </c>
      <c r="K214" s="89">
        <f t="shared" si="30"/>
        <v>0</v>
      </c>
      <c r="L214" s="89">
        <f t="shared" si="30"/>
        <v>0</v>
      </c>
      <c r="M214" s="88">
        <f t="shared" si="30"/>
        <v>0</v>
      </c>
      <c r="O214" s="88">
        <f>SUM(O215:O219)</f>
        <v>0</v>
      </c>
      <c r="P214" s="88">
        <f>SUM(P215:P219)</f>
        <v>0</v>
      </c>
    </row>
    <row r="215" spans="1:16" ht="12.75" hidden="1" customHeight="1">
      <c r="A215" s="187" t="s">
        <v>13</v>
      </c>
      <c r="B215" s="188"/>
      <c r="C215" s="188"/>
      <c r="D215" s="188"/>
      <c r="E215" s="189">
        <f t="shared" si="28"/>
        <v>0</v>
      </c>
      <c r="F215" s="190" t="e">
        <f t="shared" si="26"/>
        <v>#DIV/0!</v>
      </c>
      <c r="H215" s="88"/>
      <c r="I215" s="88">
        <v>192</v>
      </c>
      <c r="J215" s="88"/>
      <c r="K215" s="89"/>
      <c r="L215" s="89"/>
      <c r="M215" s="88"/>
      <c r="O215" s="88"/>
      <c r="P215" s="88"/>
    </row>
    <row r="216" spans="1:16" ht="12.75" hidden="1" customHeight="1">
      <c r="A216" s="187" t="s">
        <v>14</v>
      </c>
      <c r="B216" s="188"/>
      <c r="C216" s="188"/>
      <c r="D216" s="188"/>
      <c r="E216" s="189">
        <f t="shared" si="28"/>
        <v>0</v>
      </c>
      <c r="F216" s="190" t="e">
        <f t="shared" si="26"/>
        <v>#DIV/0!</v>
      </c>
      <c r="H216" s="88"/>
      <c r="I216" s="88">
        <v>12</v>
      </c>
      <c r="J216" s="88"/>
      <c r="K216" s="89"/>
      <c r="L216" s="89"/>
      <c r="M216" s="88"/>
      <c r="O216" s="88"/>
      <c r="P216" s="88"/>
    </row>
    <row r="217" spans="1:16" ht="12.75" hidden="1" customHeight="1">
      <c r="A217" s="187" t="s">
        <v>15</v>
      </c>
      <c r="B217" s="188"/>
      <c r="C217" s="188"/>
      <c r="D217" s="188"/>
      <c r="E217" s="189">
        <f t="shared" si="28"/>
        <v>0</v>
      </c>
      <c r="F217" s="190" t="e">
        <f t="shared" si="26"/>
        <v>#DIV/0!</v>
      </c>
      <c r="H217" s="88"/>
      <c r="I217" s="88"/>
      <c r="J217" s="88"/>
      <c r="K217" s="89"/>
      <c r="L217" s="89"/>
      <c r="M217" s="88"/>
      <c r="O217" s="88"/>
      <c r="P217" s="88"/>
    </row>
    <row r="218" spans="1:16" ht="12.75" hidden="1" customHeight="1">
      <c r="A218" s="187" t="s">
        <v>22</v>
      </c>
      <c r="B218" s="188"/>
      <c r="C218" s="188"/>
      <c r="D218" s="188"/>
      <c r="E218" s="189">
        <f t="shared" si="28"/>
        <v>0</v>
      </c>
      <c r="F218" s="190" t="e">
        <f t="shared" si="26"/>
        <v>#DIV/0!</v>
      </c>
      <c r="H218" s="88"/>
      <c r="I218" s="88"/>
      <c r="J218" s="88"/>
      <c r="K218" s="89"/>
      <c r="L218" s="89"/>
      <c r="M218" s="88"/>
      <c r="O218" s="88"/>
      <c r="P218" s="88"/>
    </row>
    <row r="219" spans="1:16" ht="12.75" hidden="1" customHeight="1">
      <c r="A219" s="187" t="s">
        <v>134</v>
      </c>
      <c r="B219" s="188"/>
      <c r="C219" s="188"/>
      <c r="D219" s="188"/>
      <c r="E219" s="189">
        <f t="shared" si="28"/>
        <v>0</v>
      </c>
      <c r="F219" s="190" t="e">
        <f t="shared" si="26"/>
        <v>#DIV/0!</v>
      </c>
      <c r="H219" s="88"/>
      <c r="I219" s="88">
        <v>281</v>
      </c>
      <c r="J219" s="88"/>
      <c r="K219" s="89"/>
      <c r="L219" s="89"/>
      <c r="M219" s="88"/>
      <c r="O219" s="88"/>
      <c r="P219" s="88"/>
    </row>
    <row r="220" spans="1:16">
      <c r="A220" s="187" t="s">
        <v>135</v>
      </c>
      <c r="B220" s="188">
        <v>1450.9</v>
      </c>
      <c r="C220" s="188">
        <v>1450.9</v>
      </c>
      <c r="D220" s="188">
        <v>1687.5</v>
      </c>
      <c r="E220" s="189">
        <f t="shared" si="28"/>
        <v>236.59999999999991</v>
      </c>
      <c r="F220" s="190">
        <f t="shared" si="26"/>
        <v>16.307119718795224</v>
      </c>
      <c r="H220" s="88">
        <f t="shared" ref="H220:M220" si="31">SUM(H221:H225)</f>
        <v>0</v>
      </c>
      <c r="I220" s="88">
        <f t="shared" si="31"/>
        <v>368</v>
      </c>
      <c r="J220" s="88">
        <f t="shared" si="31"/>
        <v>0</v>
      </c>
      <c r="K220" s="89">
        <f t="shared" si="31"/>
        <v>0</v>
      </c>
      <c r="L220" s="89">
        <f t="shared" si="31"/>
        <v>0</v>
      </c>
      <c r="M220" s="88">
        <f t="shared" si="31"/>
        <v>0</v>
      </c>
      <c r="O220" s="88">
        <f>SUM(O221:O225)</f>
        <v>0</v>
      </c>
      <c r="P220" s="88">
        <f>SUM(P221:P225)</f>
        <v>0</v>
      </c>
    </row>
    <row r="221" spans="1:16" ht="12.75" hidden="1" customHeight="1">
      <c r="A221" s="187" t="s">
        <v>13</v>
      </c>
      <c r="B221" s="188"/>
      <c r="C221" s="188"/>
      <c r="D221" s="188"/>
      <c r="E221" s="189">
        <f t="shared" si="28"/>
        <v>0</v>
      </c>
      <c r="F221" s="190" t="e">
        <f t="shared" si="26"/>
        <v>#DIV/0!</v>
      </c>
      <c r="H221" s="88"/>
      <c r="I221" s="88">
        <v>116</v>
      </c>
      <c r="J221" s="88"/>
      <c r="K221" s="89"/>
      <c r="L221" s="89"/>
      <c r="M221" s="88"/>
      <c r="O221" s="88"/>
      <c r="P221" s="88"/>
    </row>
    <row r="222" spans="1:16" ht="12.75" hidden="1" customHeight="1">
      <c r="A222" s="187" t="s">
        <v>14</v>
      </c>
      <c r="B222" s="188"/>
      <c r="C222" s="188"/>
      <c r="D222" s="188"/>
      <c r="E222" s="189">
        <f t="shared" si="28"/>
        <v>0</v>
      </c>
      <c r="F222" s="190" t="e">
        <f t="shared" si="26"/>
        <v>#DIV/0!</v>
      </c>
      <c r="H222" s="90"/>
      <c r="I222" s="90"/>
      <c r="J222" s="90"/>
      <c r="K222" s="91"/>
      <c r="L222" s="91"/>
      <c r="M222" s="90"/>
      <c r="O222" s="90"/>
      <c r="P222" s="90"/>
    </row>
    <row r="223" spans="1:16" ht="12.75" hidden="1" customHeight="1">
      <c r="A223" s="187" t="s">
        <v>15</v>
      </c>
      <c r="B223" s="188"/>
      <c r="C223" s="188"/>
      <c r="D223" s="188"/>
      <c r="E223" s="189">
        <f t="shared" si="28"/>
        <v>0</v>
      </c>
      <c r="F223" s="190" t="e">
        <f t="shared" si="26"/>
        <v>#DIV/0!</v>
      </c>
      <c r="H223" s="88"/>
      <c r="I223" s="88"/>
      <c r="J223" s="88"/>
      <c r="K223" s="89"/>
      <c r="L223" s="89"/>
      <c r="M223" s="88"/>
      <c r="O223" s="88"/>
      <c r="P223" s="88"/>
    </row>
    <row r="224" spans="1:16" ht="12.75" hidden="1" customHeight="1">
      <c r="A224" s="187" t="s">
        <v>22</v>
      </c>
      <c r="B224" s="188"/>
      <c r="C224" s="188"/>
      <c r="D224" s="188"/>
      <c r="E224" s="189">
        <f t="shared" si="28"/>
        <v>0</v>
      </c>
      <c r="F224" s="190" t="e">
        <f t="shared" si="26"/>
        <v>#DIV/0!</v>
      </c>
      <c r="H224" s="88"/>
      <c r="I224" s="88"/>
      <c r="J224" s="88"/>
      <c r="K224" s="89"/>
      <c r="L224" s="89"/>
      <c r="M224" s="88"/>
      <c r="O224" s="88"/>
      <c r="P224" s="88"/>
    </row>
    <row r="225" spans="1:16" ht="12.75" hidden="1" customHeight="1">
      <c r="A225" s="187" t="s">
        <v>136</v>
      </c>
      <c r="B225" s="188"/>
      <c r="C225" s="188"/>
      <c r="D225" s="188"/>
      <c r="E225" s="189">
        <f t="shared" si="28"/>
        <v>0</v>
      </c>
      <c r="F225" s="190" t="e">
        <f t="shared" si="26"/>
        <v>#DIV/0!</v>
      </c>
      <c r="H225" s="88"/>
      <c r="I225" s="88">
        <v>252</v>
      </c>
      <c r="J225" s="88"/>
      <c r="K225" s="89"/>
      <c r="L225" s="89"/>
      <c r="M225" s="88"/>
      <c r="O225" s="88"/>
      <c r="P225" s="88"/>
    </row>
    <row r="226" spans="1:16">
      <c r="A226" s="187" t="s">
        <v>137</v>
      </c>
      <c r="B226" s="188"/>
      <c r="C226" s="188"/>
      <c r="D226" s="188">
        <v>10</v>
      </c>
      <c r="E226" s="189">
        <f t="shared" si="28"/>
        <v>10</v>
      </c>
      <c r="F226" s="190"/>
      <c r="H226" s="88">
        <f t="shared" ref="H226:M226" si="32">SUM(H227:H231)</f>
        <v>0</v>
      </c>
      <c r="I226" s="88">
        <f t="shared" si="32"/>
        <v>75</v>
      </c>
      <c r="J226" s="88">
        <f t="shared" si="32"/>
        <v>0</v>
      </c>
      <c r="K226" s="89">
        <f t="shared" si="32"/>
        <v>0</v>
      </c>
      <c r="L226" s="89">
        <f t="shared" si="32"/>
        <v>0</v>
      </c>
      <c r="M226" s="88">
        <f t="shared" si="32"/>
        <v>0</v>
      </c>
      <c r="O226" s="88">
        <f>SUM(O227:O231)</f>
        <v>0</v>
      </c>
      <c r="P226" s="88">
        <f>SUM(P227:P231)</f>
        <v>0</v>
      </c>
    </row>
    <row r="227" spans="1:16" ht="12.75" hidden="1" customHeight="1">
      <c r="A227" s="187" t="s">
        <v>13</v>
      </c>
      <c r="B227" s="188"/>
      <c r="C227" s="188"/>
      <c r="D227" s="188"/>
      <c r="E227" s="189">
        <f t="shared" si="28"/>
        <v>0</v>
      </c>
      <c r="F227" s="190" t="e">
        <f t="shared" si="26"/>
        <v>#DIV/0!</v>
      </c>
      <c r="H227" s="88"/>
      <c r="I227" s="88">
        <v>75</v>
      </c>
      <c r="J227" s="88"/>
      <c r="K227" s="89"/>
      <c r="L227" s="89"/>
      <c r="M227" s="88"/>
      <c r="O227" s="88"/>
      <c r="P227" s="88"/>
    </row>
    <row r="228" spans="1:16" ht="12.75" hidden="1" customHeight="1">
      <c r="A228" s="187" t="s">
        <v>14</v>
      </c>
      <c r="B228" s="188"/>
      <c r="C228" s="188"/>
      <c r="D228" s="188"/>
      <c r="E228" s="189">
        <f t="shared" si="28"/>
        <v>0</v>
      </c>
      <c r="F228" s="190" t="e">
        <f t="shared" si="26"/>
        <v>#DIV/0!</v>
      </c>
      <c r="H228" s="88"/>
      <c r="I228" s="88"/>
      <c r="J228" s="88"/>
      <c r="K228" s="89"/>
      <c r="L228" s="89"/>
      <c r="M228" s="88"/>
      <c r="O228" s="88"/>
      <c r="P228" s="88"/>
    </row>
    <row r="229" spans="1:16" ht="12.75" hidden="1" customHeight="1">
      <c r="A229" s="187" t="s">
        <v>15</v>
      </c>
      <c r="B229" s="188"/>
      <c r="C229" s="188"/>
      <c r="D229" s="188"/>
      <c r="E229" s="189">
        <f t="shared" si="28"/>
        <v>0</v>
      </c>
      <c r="F229" s="190" t="e">
        <f t="shared" si="26"/>
        <v>#DIV/0!</v>
      </c>
      <c r="H229" s="88"/>
      <c r="I229" s="88"/>
      <c r="J229" s="88"/>
      <c r="K229" s="89"/>
      <c r="L229" s="89"/>
      <c r="M229" s="88"/>
      <c r="O229" s="88"/>
      <c r="P229" s="88"/>
    </row>
    <row r="230" spans="1:16" ht="12.75" hidden="1" customHeight="1">
      <c r="A230" s="187" t="s">
        <v>22</v>
      </c>
      <c r="B230" s="188"/>
      <c r="C230" s="188"/>
      <c r="D230" s="188"/>
      <c r="E230" s="189">
        <f t="shared" si="28"/>
        <v>0</v>
      </c>
      <c r="F230" s="190" t="e">
        <f t="shared" si="26"/>
        <v>#DIV/0!</v>
      </c>
      <c r="H230" s="88"/>
      <c r="I230" s="88"/>
      <c r="J230" s="88"/>
      <c r="K230" s="89"/>
      <c r="L230" s="89"/>
      <c r="M230" s="88"/>
      <c r="O230" s="88"/>
      <c r="P230" s="88"/>
    </row>
    <row r="231" spans="1:16" ht="12.75" hidden="1" customHeight="1">
      <c r="A231" s="187" t="s">
        <v>138</v>
      </c>
      <c r="B231" s="188"/>
      <c r="C231" s="188"/>
      <c r="D231" s="188"/>
      <c r="E231" s="189">
        <f t="shared" si="28"/>
        <v>0</v>
      </c>
      <c r="F231" s="190" t="e">
        <f t="shared" si="26"/>
        <v>#DIV/0!</v>
      </c>
      <c r="H231" s="88"/>
      <c r="I231" s="88"/>
      <c r="J231" s="88"/>
      <c r="K231" s="89"/>
      <c r="L231" s="89"/>
      <c r="M231" s="88"/>
      <c r="O231" s="88"/>
      <c r="P231" s="88"/>
    </row>
    <row r="232" spans="1:16">
      <c r="A232" s="187" t="s">
        <v>139</v>
      </c>
      <c r="B232" s="188"/>
      <c r="C232" s="188"/>
      <c r="D232" s="188"/>
      <c r="E232" s="189"/>
      <c r="F232" s="190"/>
      <c r="H232" s="88">
        <f t="shared" ref="H232:M232" si="33">SUM(H233:H237)</f>
        <v>119</v>
      </c>
      <c r="I232" s="88">
        <f t="shared" si="33"/>
        <v>0</v>
      </c>
      <c r="J232" s="88">
        <f t="shared" si="33"/>
        <v>0</v>
      </c>
      <c r="K232" s="89">
        <f t="shared" si="33"/>
        <v>0</v>
      </c>
      <c r="L232" s="89">
        <f t="shared" si="33"/>
        <v>0</v>
      </c>
      <c r="M232" s="88">
        <f t="shared" si="33"/>
        <v>0</v>
      </c>
      <c r="O232" s="88">
        <f>SUM(O233:O237)</f>
        <v>0</v>
      </c>
      <c r="P232" s="88">
        <f>SUM(P233:P237)</f>
        <v>0</v>
      </c>
    </row>
    <row r="233" spans="1:16" ht="12.75" hidden="1" customHeight="1">
      <c r="A233" s="187" t="s">
        <v>13</v>
      </c>
      <c r="B233" s="188"/>
      <c r="C233" s="188"/>
      <c r="D233" s="188"/>
      <c r="E233" s="189">
        <f t="shared" si="28"/>
        <v>0</v>
      </c>
      <c r="F233" s="190" t="e">
        <f t="shared" si="26"/>
        <v>#DIV/0!</v>
      </c>
      <c r="H233" s="88"/>
      <c r="I233" s="88"/>
      <c r="J233" s="88"/>
      <c r="K233" s="89"/>
      <c r="L233" s="89"/>
      <c r="M233" s="88"/>
      <c r="O233" s="88"/>
      <c r="P233" s="88"/>
    </row>
    <row r="234" spans="1:16" ht="12.75" hidden="1" customHeight="1">
      <c r="A234" s="187" t="s">
        <v>14</v>
      </c>
      <c r="B234" s="188"/>
      <c r="C234" s="188"/>
      <c r="D234" s="188"/>
      <c r="E234" s="189">
        <f t="shared" si="28"/>
        <v>0</v>
      </c>
      <c r="F234" s="190" t="e">
        <f t="shared" si="26"/>
        <v>#DIV/0!</v>
      </c>
      <c r="H234" s="88"/>
      <c r="I234" s="88"/>
      <c r="J234" s="88"/>
      <c r="K234" s="89"/>
      <c r="L234" s="89"/>
      <c r="M234" s="88"/>
      <c r="O234" s="88"/>
      <c r="P234" s="88"/>
    </row>
    <row r="235" spans="1:16" ht="12.75" hidden="1" customHeight="1">
      <c r="A235" s="187" t="s">
        <v>15</v>
      </c>
      <c r="B235" s="188"/>
      <c r="C235" s="188"/>
      <c r="D235" s="188"/>
      <c r="E235" s="189">
        <f t="shared" si="28"/>
        <v>0</v>
      </c>
      <c r="F235" s="190" t="e">
        <f t="shared" si="26"/>
        <v>#DIV/0!</v>
      </c>
      <c r="H235" s="88"/>
      <c r="I235" s="88"/>
      <c r="J235" s="88"/>
      <c r="K235" s="89"/>
      <c r="L235" s="89"/>
      <c r="M235" s="88"/>
      <c r="O235" s="88"/>
      <c r="P235" s="88"/>
    </row>
    <row r="236" spans="1:16" ht="12.75" hidden="1" customHeight="1">
      <c r="A236" s="187" t="s">
        <v>22</v>
      </c>
      <c r="B236" s="188"/>
      <c r="C236" s="188"/>
      <c r="D236" s="188"/>
      <c r="E236" s="189">
        <f t="shared" si="28"/>
        <v>0</v>
      </c>
      <c r="F236" s="190" t="e">
        <f t="shared" si="26"/>
        <v>#DIV/0!</v>
      </c>
      <c r="H236" s="88"/>
      <c r="I236" s="88"/>
      <c r="J236" s="88"/>
      <c r="K236" s="89"/>
      <c r="L236" s="89"/>
      <c r="M236" s="88"/>
      <c r="O236" s="88"/>
      <c r="P236" s="88"/>
    </row>
    <row r="237" spans="1:16" ht="12.75" hidden="1" customHeight="1">
      <c r="A237" s="187" t="s">
        <v>140</v>
      </c>
      <c r="B237" s="188"/>
      <c r="C237" s="188"/>
      <c r="D237" s="188"/>
      <c r="E237" s="189">
        <f t="shared" si="28"/>
        <v>0</v>
      </c>
      <c r="F237" s="190" t="e">
        <f t="shared" si="26"/>
        <v>#DIV/0!</v>
      </c>
      <c r="H237" s="88">
        <v>119</v>
      </c>
      <c r="I237" s="88"/>
      <c r="J237" s="88"/>
      <c r="K237" s="89"/>
      <c r="L237" s="89"/>
      <c r="M237" s="88"/>
      <c r="O237" s="88"/>
      <c r="P237" s="88"/>
    </row>
    <row r="238" spans="1:16" ht="12.75" hidden="1" customHeight="1">
      <c r="A238" s="187" t="s">
        <v>141</v>
      </c>
      <c r="B238" s="188">
        <v>0</v>
      </c>
      <c r="C238" s="188">
        <v>0</v>
      </c>
      <c r="D238" s="188">
        <v>0</v>
      </c>
      <c r="E238" s="189">
        <f t="shared" si="28"/>
        <v>0</v>
      </c>
      <c r="F238" s="190" t="e">
        <f t="shared" si="26"/>
        <v>#DIV/0!</v>
      </c>
      <c r="H238" s="88">
        <f t="shared" ref="H238:M238" si="34">SUM(H239:H240)</f>
        <v>0</v>
      </c>
      <c r="I238" s="88">
        <f t="shared" si="34"/>
        <v>0</v>
      </c>
      <c r="J238" s="88">
        <f t="shared" si="34"/>
        <v>0</v>
      </c>
      <c r="K238" s="89">
        <f t="shared" si="34"/>
        <v>0</v>
      </c>
      <c r="L238" s="89">
        <f t="shared" si="34"/>
        <v>0</v>
      </c>
      <c r="M238" s="88">
        <f t="shared" si="34"/>
        <v>0</v>
      </c>
      <c r="O238" s="88">
        <f>SUM(O239:O240)</f>
        <v>0</v>
      </c>
      <c r="P238" s="88">
        <f>SUM(P239:P240)</f>
        <v>0</v>
      </c>
    </row>
    <row r="239" spans="1:16" ht="12.75" hidden="1" customHeight="1">
      <c r="A239" s="187" t="s">
        <v>142</v>
      </c>
      <c r="B239" s="188"/>
      <c r="C239" s="188"/>
      <c r="D239" s="188"/>
      <c r="E239" s="189">
        <f t="shared" si="28"/>
        <v>0</v>
      </c>
      <c r="F239" s="190" t="e">
        <f t="shared" si="26"/>
        <v>#DIV/0!</v>
      </c>
      <c r="H239" s="88"/>
      <c r="I239" s="88"/>
      <c r="J239" s="88"/>
      <c r="K239" s="89"/>
      <c r="L239" s="89"/>
      <c r="M239" s="88"/>
      <c r="O239" s="88"/>
      <c r="P239" s="88"/>
    </row>
    <row r="240" spans="1:16" ht="12.75" hidden="1" customHeight="1">
      <c r="A240" s="187" t="s">
        <v>143</v>
      </c>
      <c r="B240" s="188"/>
      <c r="C240" s="188"/>
      <c r="D240" s="188"/>
      <c r="E240" s="189">
        <f t="shared" si="28"/>
        <v>0</v>
      </c>
      <c r="F240" s="190" t="e">
        <f t="shared" si="26"/>
        <v>#DIV/0!</v>
      </c>
      <c r="H240" s="88"/>
      <c r="I240" s="88"/>
      <c r="J240" s="88"/>
      <c r="K240" s="89"/>
      <c r="L240" s="89"/>
      <c r="M240" s="88"/>
      <c r="O240" s="88"/>
      <c r="P240" s="88"/>
    </row>
    <row r="241" spans="1:16" s="85" customFormat="1">
      <c r="A241" s="179" t="s">
        <v>144</v>
      </c>
      <c r="B241" s="182">
        <f>SUM(B242,B244,B246,B248,B257)</f>
        <v>469.89</v>
      </c>
      <c r="C241" s="182">
        <f>SUM(C242,C244,C246,C248,C257)</f>
        <v>469.89</v>
      </c>
      <c r="D241" s="182">
        <f>SUM(D242,D244,D246,D248,D257)</f>
        <v>574.89</v>
      </c>
      <c r="E241" s="185">
        <f t="shared" si="28"/>
        <v>105</v>
      </c>
      <c r="F241" s="186">
        <f t="shared" si="26"/>
        <v>22.345655366149526</v>
      </c>
      <c r="H241" s="111">
        <f t="shared" ref="H241:M241" si="35">SUM(H242,H244,H246,H248,H257)</f>
        <v>0</v>
      </c>
      <c r="I241" s="111">
        <f t="shared" si="35"/>
        <v>258</v>
      </c>
      <c r="J241" s="111">
        <f t="shared" si="35"/>
        <v>0</v>
      </c>
      <c r="K241" s="112">
        <f t="shared" si="35"/>
        <v>76</v>
      </c>
      <c r="L241" s="112">
        <f t="shared" si="35"/>
        <v>44</v>
      </c>
      <c r="M241" s="111">
        <f t="shared" si="35"/>
        <v>0</v>
      </c>
      <c r="O241" s="111">
        <f>SUM(O242,O244,O246,O248,O257)</f>
        <v>0</v>
      </c>
      <c r="P241" s="111">
        <f>SUM(P242,P244,P246,P248,P257)</f>
        <v>0</v>
      </c>
    </row>
    <row r="242" spans="1:16">
      <c r="A242" s="187" t="s">
        <v>145</v>
      </c>
      <c r="B242" s="188">
        <v>180.49</v>
      </c>
      <c r="C242" s="188">
        <v>180.49</v>
      </c>
      <c r="D242" s="188">
        <v>203.17</v>
      </c>
      <c r="E242" s="189">
        <f t="shared" si="28"/>
        <v>22.679999999999978</v>
      </c>
      <c r="F242" s="190">
        <f t="shared" si="26"/>
        <v>12.565793118732326</v>
      </c>
      <c r="H242" s="88">
        <f t="shared" ref="H242:M242" si="36">H243</f>
        <v>0</v>
      </c>
      <c r="I242" s="88">
        <f t="shared" si="36"/>
        <v>0</v>
      </c>
      <c r="J242" s="88">
        <f t="shared" si="36"/>
        <v>0</v>
      </c>
      <c r="K242" s="89">
        <f t="shared" si="36"/>
        <v>51</v>
      </c>
      <c r="L242" s="89">
        <f t="shared" si="36"/>
        <v>0</v>
      </c>
      <c r="M242" s="88">
        <f t="shared" si="36"/>
        <v>0</v>
      </c>
      <c r="O242" s="88">
        <f>O243</f>
        <v>0</v>
      </c>
      <c r="P242" s="88">
        <f>P243</f>
        <v>0</v>
      </c>
    </row>
    <row r="243" spans="1:16" ht="12.75" hidden="1" customHeight="1">
      <c r="A243" s="187" t="s">
        <v>146</v>
      </c>
      <c r="B243" s="188"/>
      <c r="C243" s="188"/>
      <c r="D243" s="188"/>
      <c r="E243" s="189">
        <f t="shared" si="28"/>
        <v>0</v>
      </c>
      <c r="F243" s="190" t="e">
        <f t="shared" si="26"/>
        <v>#DIV/0!</v>
      </c>
      <c r="H243" s="88"/>
      <c r="I243" s="88"/>
      <c r="J243" s="88"/>
      <c r="K243" s="89">
        <v>51</v>
      </c>
      <c r="L243" s="89"/>
      <c r="M243" s="88"/>
      <c r="O243" s="88"/>
      <c r="P243" s="88"/>
    </row>
    <row r="244" spans="1:16" ht="12.75" hidden="1" customHeight="1">
      <c r="A244" s="187" t="s">
        <v>147</v>
      </c>
      <c r="B244" s="188"/>
      <c r="C244" s="188"/>
      <c r="D244" s="188"/>
      <c r="E244" s="189">
        <f t="shared" si="28"/>
        <v>0</v>
      </c>
      <c r="F244" s="190" t="e">
        <f t="shared" si="26"/>
        <v>#DIV/0!</v>
      </c>
      <c r="H244" s="88">
        <f t="shared" ref="H244:M244" si="37">H245</f>
        <v>0</v>
      </c>
      <c r="I244" s="88">
        <f t="shared" si="37"/>
        <v>0</v>
      </c>
      <c r="J244" s="88">
        <f t="shared" si="37"/>
        <v>0</v>
      </c>
      <c r="K244" s="89">
        <f t="shared" si="37"/>
        <v>0</v>
      </c>
      <c r="L244" s="89">
        <f t="shared" si="37"/>
        <v>0</v>
      </c>
      <c r="M244" s="88">
        <f t="shared" si="37"/>
        <v>0</v>
      </c>
      <c r="O244" s="88">
        <f>O245</f>
        <v>0</v>
      </c>
      <c r="P244" s="88">
        <f>P245</f>
        <v>0</v>
      </c>
    </row>
    <row r="245" spans="1:16" ht="12.75" hidden="1" customHeight="1">
      <c r="A245" s="187" t="s">
        <v>148</v>
      </c>
      <c r="B245" s="188"/>
      <c r="C245" s="188"/>
      <c r="D245" s="188"/>
      <c r="E245" s="189">
        <f t="shared" si="28"/>
        <v>0</v>
      </c>
      <c r="F245" s="190" t="e">
        <f t="shared" si="26"/>
        <v>#DIV/0!</v>
      </c>
      <c r="H245" s="88"/>
      <c r="I245" s="88"/>
      <c r="J245" s="88"/>
      <c r="K245" s="89"/>
      <c r="L245" s="89"/>
      <c r="M245" s="88"/>
      <c r="O245" s="88"/>
      <c r="P245" s="88"/>
    </row>
    <row r="246" spans="1:16" ht="12.75" hidden="1" customHeight="1">
      <c r="A246" s="187" t="s">
        <v>149</v>
      </c>
      <c r="B246" s="188"/>
      <c r="C246" s="188"/>
      <c r="D246" s="188"/>
      <c r="E246" s="189">
        <f t="shared" si="28"/>
        <v>0</v>
      </c>
      <c r="F246" s="190" t="e">
        <f t="shared" si="26"/>
        <v>#DIV/0!</v>
      </c>
      <c r="H246" s="88">
        <f t="shared" ref="H246:M246" si="38">H247</f>
        <v>0</v>
      </c>
      <c r="I246" s="88">
        <f t="shared" si="38"/>
        <v>0</v>
      </c>
      <c r="J246" s="88">
        <f t="shared" si="38"/>
        <v>0</v>
      </c>
      <c r="K246" s="89">
        <f t="shared" si="38"/>
        <v>0</v>
      </c>
      <c r="L246" s="89">
        <f t="shared" si="38"/>
        <v>0</v>
      </c>
      <c r="M246" s="88">
        <f t="shared" si="38"/>
        <v>0</v>
      </c>
      <c r="O246" s="88">
        <f>O247</f>
        <v>0</v>
      </c>
      <c r="P246" s="88">
        <f>P247</f>
        <v>0</v>
      </c>
    </row>
    <row r="247" spans="1:16" ht="12.75" hidden="1" customHeight="1">
      <c r="A247" s="187" t="s">
        <v>150</v>
      </c>
      <c r="B247" s="188"/>
      <c r="C247" s="188"/>
      <c r="D247" s="188"/>
      <c r="E247" s="189">
        <f t="shared" si="28"/>
        <v>0</v>
      </c>
      <c r="F247" s="190" t="e">
        <f t="shared" si="26"/>
        <v>#DIV/0!</v>
      </c>
      <c r="H247" s="88"/>
      <c r="I247" s="88"/>
      <c r="J247" s="88"/>
      <c r="K247" s="89"/>
      <c r="L247" s="89"/>
      <c r="M247" s="88"/>
      <c r="O247" s="88"/>
      <c r="P247" s="88"/>
    </row>
    <row r="248" spans="1:16">
      <c r="A248" s="187" t="s">
        <v>151</v>
      </c>
      <c r="B248" s="188">
        <v>289.32</v>
      </c>
      <c r="C248" s="188">
        <v>289.32</v>
      </c>
      <c r="D248" s="188">
        <v>371.22</v>
      </c>
      <c r="E248" s="189">
        <f t="shared" si="28"/>
        <v>81.900000000000034</v>
      </c>
      <c r="F248" s="190">
        <f t="shared" si="26"/>
        <v>28.30775611779346</v>
      </c>
      <c r="H248" s="88">
        <f t="shared" ref="H248:M248" si="39">SUM(H249:H256)</f>
        <v>0</v>
      </c>
      <c r="I248" s="88">
        <f t="shared" si="39"/>
        <v>248</v>
      </c>
      <c r="J248" s="88">
        <f t="shared" si="39"/>
        <v>0</v>
      </c>
      <c r="K248" s="89">
        <f t="shared" si="39"/>
        <v>25</v>
      </c>
      <c r="L248" s="89">
        <f t="shared" si="39"/>
        <v>44</v>
      </c>
      <c r="M248" s="88">
        <f t="shared" si="39"/>
        <v>0</v>
      </c>
      <c r="O248" s="88">
        <f>SUM(O249:O256)</f>
        <v>0</v>
      </c>
      <c r="P248" s="88">
        <f>SUM(P249:P256)</f>
        <v>0</v>
      </c>
    </row>
    <row r="249" spans="1:16" ht="12.75" hidden="1" customHeight="1">
      <c r="A249" s="187" t="s">
        <v>152</v>
      </c>
      <c r="B249" s="188"/>
      <c r="C249" s="188"/>
      <c r="D249" s="188"/>
      <c r="E249" s="189">
        <f t="shared" si="28"/>
        <v>0</v>
      </c>
      <c r="F249" s="190" t="e">
        <f t="shared" si="26"/>
        <v>#DIV/0!</v>
      </c>
      <c r="H249" s="88"/>
      <c r="I249" s="88"/>
      <c r="J249" s="88"/>
      <c r="K249" s="89"/>
      <c r="L249" s="89"/>
      <c r="M249" s="88"/>
      <c r="O249" s="88"/>
      <c r="P249" s="88"/>
    </row>
    <row r="250" spans="1:16" ht="12.75" hidden="1" customHeight="1">
      <c r="A250" s="187" t="s">
        <v>153</v>
      </c>
      <c r="B250" s="188"/>
      <c r="C250" s="188"/>
      <c r="D250" s="188"/>
      <c r="E250" s="189">
        <f t="shared" si="28"/>
        <v>0</v>
      </c>
      <c r="F250" s="190" t="e">
        <f t="shared" si="26"/>
        <v>#DIV/0!</v>
      </c>
      <c r="H250" s="88"/>
      <c r="I250" s="88"/>
      <c r="J250" s="88"/>
      <c r="K250" s="89"/>
      <c r="L250" s="89"/>
      <c r="M250" s="88"/>
      <c r="O250" s="88"/>
      <c r="P250" s="88"/>
    </row>
    <row r="251" spans="1:16" ht="12.75" hidden="1" customHeight="1">
      <c r="A251" s="187" t="s">
        <v>154</v>
      </c>
      <c r="B251" s="188"/>
      <c r="C251" s="188"/>
      <c r="D251" s="188"/>
      <c r="E251" s="189">
        <f t="shared" si="28"/>
        <v>0</v>
      </c>
      <c r="F251" s="190" t="e">
        <f t="shared" si="26"/>
        <v>#DIV/0!</v>
      </c>
      <c r="H251" s="88"/>
      <c r="I251" s="88"/>
      <c r="J251" s="88"/>
      <c r="K251" s="89"/>
      <c r="L251" s="89"/>
      <c r="M251" s="88"/>
      <c r="O251" s="88"/>
      <c r="P251" s="88"/>
    </row>
    <row r="252" spans="1:16" ht="12.75" hidden="1" customHeight="1">
      <c r="A252" s="187" t="s">
        <v>155</v>
      </c>
      <c r="B252" s="188"/>
      <c r="C252" s="188"/>
      <c r="D252" s="188"/>
      <c r="E252" s="189">
        <f t="shared" si="28"/>
        <v>0</v>
      </c>
      <c r="F252" s="190" t="e">
        <f t="shared" si="26"/>
        <v>#DIV/0!</v>
      </c>
      <c r="H252" s="88"/>
      <c r="I252" s="88"/>
      <c r="J252" s="88"/>
      <c r="K252" s="89"/>
      <c r="L252" s="89"/>
      <c r="M252" s="88"/>
      <c r="O252" s="88"/>
      <c r="P252" s="88"/>
    </row>
    <row r="253" spans="1:16" ht="12.75" hidden="1" customHeight="1">
      <c r="A253" s="187" t="s">
        <v>156</v>
      </c>
      <c r="B253" s="188"/>
      <c r="C253" s="188"/>
      <c r="D253" s="188"/>
      <c r="E253" s="189">
        <f t="shared" si="28"/>
        <v>0</v>
      </c>
      <c r="F253" s="190" t="e">
        <f t="shared" si="26"/>
        <v>#DIV/0!</v>
      </c>
      <c r="H253" s="90"/>
      <c r="I253" s="90"/>
      <c r="J253" s="90"/>
      <c r="K253" s="91"/>
      <c r="L253" s="91"/>
      <c r="M253" s="90"/>
      <c r="O253" s="90"/>
      <c r="P253" s="90"/>
    </row>
    <row r="254" spans="1:16" ht="12.75" hidden="1" customHeight="1">
      <c r="A254" s="187" t="s">
        <v>157</v>
      </c>
      <c r="B254" s="188"/>
      <c r="C254" s="188"/>
      <c r="D254" s="188"/>
      <c r="E254" s="189">
        <f t="shared" si="28"/>
        <v>0</v>
      </c>
      <c r="F254" s="190" t="e">
        <f t="shared" si="26"/>
        <v>#DIV/0!</v>
      </c>
      <c r="H254" s="88"/>
      <c r="I254" s="88"/>
      <c r="J254" s="88"/>
      <c r="K254" s="89"/>
      <c r="L254" s="89"/>
      <c r="M254" s="88"/>
      <c r="O254" s="88"/>
      <c r="P254" s="88"/>
    </row>
    <row r="255" spans="1:16" ht="12.75" hidden="1" customHeight="1">
      <c r="A255" s="187" t="s">
        <v>158</v>
      </c>
      <c r="B255" s="188"/>
      <c r="C255" s="188"/>
      <c r="D255" s="188"/>
      <c r="E255" s="189">
        <f t="shared" si="28"/>
        <v>0</v>
      </c>
      <c r="F255" s="190" t="e">
        <f t="shared" si="26"/>
        <v>#DIV/0!</v>
      </c>
      <c r="H255" s="93"/>
      <c r="I255" s="93">
        <v>248</v>
      </c>
      <c r="J255" s="93"/>
      <c r="K255" s="94">
        <v>25</v>
      </c>
      <c r="L255" s="94">
        <v>44</v>
      </c>
      <c r="M255" s="93"/>
      <c r="O255" s="93"/>
      <c r="P255" s="93"/>
    </row>
    <row r="256" spans="1:16" ht="12.75" hidden="1" customHeight="1">
      <c r="A256" s="187" t="s">
        <v>159</v>
      </c>
      <c r="B256" s="188"/>
      <c r="C256" s="188"/>
      <c r="D256" s="188"/>
      <c r="E256" s="189">
        <f t="shared" si="28"/>
        <v>0</v>
      </c>
      <c r="F256" s="190" t="e">
        <f t="shared" si="26"/>
        <v>#DIV/0!</v>
      </c>
      <c r="H256" s="88"/>
      <c r="I256" s="88"/>
      <c r="J256" s="88"/>
      <c r="K256" s="89"/>
      <c r="L256" s="89"/>
      <c r="M256" s="88"/>
      <c r="O256" s="88"/>
      <c r="P256" s="88"/>
    </row>
    <row r="257" spans="1:16">
      <c r="A257" s="187" t="s">
        <v>160</v>
      </c>
      <c r="B257" s="188">
        <v>0.08</v>
      </c>
      <c r="C257" s="188">
        <v>0.08</v>
      </c>
      <c r="D257" s="188">
        <v>0.5</v>
      </c>
      <c r="E257" s="189">
        <f t="shared" si="28"/>
        <v>0.42</v>
      </c>
      <c r="F257" s="190">
        <f t="shared" si="26"/>
        <v>525</v>
      </c>
      <c r="H257" s="88">
        <f t="shared" ref="H257:M257" si="40">H258</f>
        <v>0</v>
      </c>
      <c r="I257" s="88">
        <f t="shared" si="40"/>
        <v>10</v>
      </c>
      <c r="J257" s="88">
        <f t="shared" si="40"/>
        <v>0</v>
      </c>
      <c r="K257" s="89">
        <f t="shared" si="40"/>
        <v>0</v>
      </c>
      <c r="L257" s="89">
        <f t="shared" si="40"/>
        <v>0</v>
      </c>
      <c r="M257" s="88">
        <f t="shared" si="40"/>
        <v>0</v>
      </c>
      <c r="O257" s="88">
        <f>O258</f>
        <v>0</v>
      </c>
      <c r="P257" s="88">
        <f>P258</f>
        <v>0</v>
      </c>
    </row>
    <row r="258" spans="1:16" ht="12.75" hidden="1" customHeight="1">
      <c r="A258" s="187" t="s">
        <v>161</v>
      </c>
      <c r="B258" s="188"/>
      <c r="C258" s="188"/>
      <c r="D258" s="188"/>
      <c r="E258" s="189">
        <f t="shared" si="28"/>
        <v>0</v>
      </c>
      <c r="F258" s="190" t="e">
        <f t="shared" si="26"/>
        <v>#DIV/0!</v>
      </c>
      <c r="H258" s="88"/>
      <c r="I258" s="88">
        <v>10</v>
      </c>
      <c r="J258" s="88"/>
      <c r="K258" s="89"/>
      <c r="L258" s="89"/>
      <c r="M258" s="88"/>
      <c r="O258" s="88"/>
      <c r="P258" s="88"/>
    </row>
    <row r="259" spans="1:16">
      <c r="A259" s="179" t="s">
        <v>162</v>
      </c>
      <c r="B259" s="182">
        <f>B260+B270+B292+B299+B311+B320+B332+B340</f>
        <v>39404.9</v>
      </c>
      <c r="C259" s="182">
        <f>C260+C270+C292+C299+C311+C320+C332+C340</f>
        <v>27904.900000000005</v>
      </c>
      <c r="D259" s="182">
        <f>D260+D270+D292+D299+D311+D320+D332+D340</f>
        <v>37654.719999999994</v>
      </c>
      <c r="E259" s="185">
        <f t="shared" si="28"/>
        <v>9749.8199999999888</v>
      </c>
      <c r="F259" s="186">
        <f t="shared" si="26"/>
        <v>34.939455077781986</v>
      </c>
      <c r="H259" s="88">
        <f t="shared" ref="H259:M259" si="41">H260+H270+H292+H299+H311+H320+H332+H340</f>
        <v>10420</v>
      </c>
      <c r="I259" s="88">
        <f t="shared" si="41"/>
        <v>7581</v>
      </c>
      <c r="J259" s="88">
        <f t="shared" si="41"/>
        <v>0</v>
      </c>
      <c r="K259" s="88">
        <f t="shared" si="41"/>
        <v>2534</v>
      </c>
      <c r="L259" s="88">
        <f t="shared" si="41"/>
        <v>35</v>
      </c>
      <c r="M259" s="88">
        <f t="shared" si="41"/>
        <v>0</v>
      </c>
      <c r="O259" s="88">
        <f>O260+O270+O292+O299+O311+O320+O332+O340</f>
        <v>0</v>
      </c>
      <c r="P259" s="88">
        <f>P260+P270+P292+P299+P311+P320+P332+P340</f>
        <v>8000</v>
      </c>
    </row>
    <row r="260" spans="1:16">
      <c r="A260" s="187" t="s">
        <v>163</v>
      </c>
      <c r="B260" s="188">
        <v>14600.1</v>
      </c>
      <c r="C260" s="188">
        <v>7400.1</v>
      </c>
      <c r="D260" s="188">
        <v>13198.2</v>
      </c>
      <c r="E260" s="189">
        <f t="shared" si="28"/>
        <v>5798.1</v>
      </c>
      <c r="F260" s="190">
        <f t="shared" si="26"/>
        <v>78.351643896704104</v>
      </c>
      <c r="H260" s="88">
        <f t="shared" ref="H260:M260" si="42">SUM(H261:H269)</f>
        <v>2369</v>
      </c>
      <c r="I260" s="88">
        <f t="shared" si="42"/>
        <v>709</v>
      </c>
      <c r="J260" s="88">
        <f t="shared" si="42"/>
        <v>0</v>
      </c>
      <c r="K260" s="89">
        <f t="shared" si="42"/>
        <v>0</v>
      </c>
      <c r="L260" s="89">
        <f t="shared" si="42"/>
        <v>35</v>
      </c>
      <c r="M260" s="88">
        <f t="shared" si="42"/>
        <v>0</v>
      </c>
      <c r="O260" s="88">
        <f>SUM(O261:O269)</f>
        <v>0</v>
      </c>
      <c r="P260" s="88">
        <f>SUM(P261:P269)</f>
        <v>0</v>
      </c>
    </row>
    <row r="261" spans="1:16" ht="12.75" hidden="1" customHeight="1">
      <c r="A261" s="187" t="s">
        <v>164</v>
      </c>
      <c r="B261" s="188"/>
      <c r="C261" s="188"/>
      <c r="D261" s="188"/>
      <c r="E261" s="189">
        <f t="shared" si="28"/>
        <v>0</v>
      </c>
      <c r="F261" s="190" t="e">
        <f t="shared" si="26"/>
        <v>#DIV/0!</v>
      </c>
      <c r="H261" s="90">
        <v>100</v>
      </c>
      <c r="I261" s="90">
        <v>60</v>
      </c>
      <c r="J261" s="90"/>
      <c r="K261" s="91"/>
      <c r="L261" s="91">
        <v>35</v>
      </c>
      <c r="M261" s="90"/>
      <c r="O261" s="90"/>
      <c r="P261" s="90"/>
    </row>
    <row r="262" spans="1:16" ht="12.75" hidden="1" customHeight="1">
      <c r="A262" s="187" t="s">
        <v>165</v>
      </c>
      <c r="B262" s="188"/>
      <c r="C262" s="188"/>
      <c r="D262" s="188"/>
      <c r="E262" s="189">
        <f t="shared" si="28"/>
        <v>0</v>
      </c>
      <c r="F262" s="190" t="e">
        <f t="shared" si="26"/>
        <v>#DIV/0!</v>
      </c>
      <c r="H262" s="88">
        <v>840</v>
      </c>
      <c r="I262" s="88">
        <v>324</v>
      </c>
      <c r="J262" s="88"/>
      <c r="K262" s="89"/>
      <c r="L262" s="89"/>
      <c r="M262" s="88"/>
      <c r="O262" s="88"/>
      <c r="P262" s="88"/>
    </row>
    <row r="263" spans="1:16" ht="12.75" hidden="1" customHeight="1">
      <c r="A263" s="187" t="s">
        <v>166</v>
      </c>
      <c r="B263" s="188"/>
      <c r="C263" s="188"/>
      <c r="D263" s="188"/>
      <c r="E263" s="189">
        <f t="shared" si="28"/>
        <v>0</v>
      </c>
      <c r="F263" s="190" t="e">
        <f t="shared" ref="F263:F326" si="43">E263/C263*100</f>
        <v>#DIV/0!</v>
      </c>
      <c r="H263" s="93">
        <v>1329</v>
      </c>
      <c r="I263" s="93">
        <v>325</v>
      </c>
      <c r="J263" s="93"/>
      <c r="K263" s="94"/>
      <c r="L263" s="94"/>
      <c r="M263" s="93"/>
      <c r="O263" s="93"/>
      <c r="P263" s="93"/>
    </row>
    <row r="264" spans="1:16" ht="12.75" hidden="1" customHeight="1">
      <c r="A264" s="187" t="s">
        <v>167</v>
      </c>
      <c r="B264" s="188"/>
      <c r="C264" s="188"/>
      <c r="D264" s="188"/>
      <c r="E264" s="189">
        <f t="shared" si="28"/>
        <v>0</v>
      </c>
      <c r="F264" s="190" t="e">
        <f t="shared" si="43"/>
        <v>#DIV/0!</v>
      </c>
      <c r="H264" s="88">
        <v>100</v>
      </c>
      <c r="I264" s="88">
        <v>0</v>
      </c>
      <c r="J264" s="88"/>
      <c r="K264" s="89"/>
      <c r="L264" s="89"/>
      <c r="M264" s="88"/>
      <c r="O264" s="88"/>
      <c r="P264" s="88"/>
    </row>
    <row r="265" spans="1:16" ht="12.75" hidden="1" customHeight="1">
      <c r="A265" s="187" t="s">
        <v>168</v>
      </c>
      <c r="B265" s="188"/>
      <c r="C265" s="188"/>
      <c r="D265" s="188"/>
      <c r="E265" s="189">
        <f t="shared" ref="E265:E328" si="44">D265-C265</f>
        <v>0</v>
      </c>
      <c r="F265" s="190" t="e">
        <f t="shared" si="43"/>
        <v>#DIV/0!</v>
      </c>
      <c r="H265" s="88"/>
      <c r="I265" s="88"/>
      <c r="J265" s="88"/>
      <c r="K265" s="89"/>
      <c r="L265" s="89"/>
      <c r="M265" s="88"/>
      <c r="O265" s="88"/>
      <c r="P265" s="88"/>
    </row>
    <row r="266" spans="1:16" ht="12.75" hidden="1" customHeight="1">
      <c r="A266" s="187" t="s">
        <v>169</v>
      </c>
      <c r="B266" s="188"/>
      <c r="C266" s="188"/>
      <c r="D266" s="188"/>
      <c r="E266" s="189">
        <f t="shared" si="44"/>
        <v>0</v>
      </c>
      <c r="F266" s="190" t="e">
        <f t="shared" si="43"/>
        <v>#DIV/0!</v>
      </c>
      <c r="H266" s="88"/>
      <c r="I266" s="88"/>
      <c r="J266" s="88"/>
      <c r="K266" s="89"/>
      <c r="L266" s="89"/>
      <c r="M266" s="88"/>
      <c r="O266" s="88"/>
      <c r="P266" s="88"/>
    </row>
    <row r="267" spans="1:16" ht="12.75" hidden="1" customHeight="1">
      <c r="A267" s="187" t="s">
        <v>170</v>
      </c>
      <c r="B267" s="188"/>
      <c r="C267" s="188"/>
      <c r="D267" s="188"/>
      <c r="E267" s="189">
        <f t="shared" si="44"/>
        <v>0</v>
      </c>
      <c r="F267" s="190" t="e">
        <f t="shared" si="43"/>
        <v>#DIV/0!</v>
      </c>
      <c r="H267" s="88"/>
      <c r="I267" s="88"/>
      <c r="J267" s="88"/>
      <c r="K267" s="89"/>
      <c r="L267" s="89"/>
      <c r="M267" s="88"/>
      <c r="O267" s="88"/>
      <c r="P267" s="88"/>
    </row>
    <row r="268" spans="1:16" ht="12.75" hidden="1" customHeight="1">
      <c r="A268" s="187" t="s">
        <v>171</v>
      </c>
      <c r="B268" s="188"/>
      <c r="C268" s="188"/>
      <c r="D268" s="188"/>
      <c r="E268" s="189">
        <f t="shared" si="44"/>
        <v>0</v>
      </c>
      <c r="F268" s="190" t="e">
        <f t="shared" si="43"/>
        <v>#DIV/0!</v>
      </c>
      <c r="H268" s="88"/>
      <c r="I268" s="88"/>
      <c r="J268" s="88"/>
      <c r="K268" s="89"/>
      <c r="L268" s="89"/>
      <c r="M268" s="88"/>
      <c r="O268" s="88"/>
      <c r="P268" s="88"/>
    </row>
    <row r="269" spans="1:16" ht="12.75" hidden="1" customHeight="1">
      <c r="A269" s="187" t="s">
        <v>172</v>
      </c>
      <c r="B269" s="188"/>
      <c r="C269" s="188"/>
      <c r="D269" s="188"/>
      <c r="E269" s="189">
        <f t="shared" si="44"/>
        <v>0</v>
      </c>
      <c r="F269" s="190" t="e">
        <f t="shared" si="43"/>
        <v>#DIV/0!</v>
      </c>
      <c r="H269" s="88"/>
      <c r="I269" s="88"/>
      <c r="J269" s="88"/>
      <c r="K269" s="89"/>
      <c r="L269" s="89"/>
      <c r="M269" s="88"/>
      <c r="O269" s="88"/>
      <c r="P269" s="88"/>
    </row>
    <row r="270" spans="1:16">
      <c r="A270" s="187" t="s">
        <v>173</v>
      </c>
      <c r="B270" s="188">
        <v>23183.81</v>
      </c>
      <c r="C270" s="188">
        <v>18883.810000000001</v>
      </c>
      <c r="D270" s="188">
        <v>22371.89</v>
      </c>
      <c r="E270" s="189">
        <f t="shared" si="44"/>
        <v>3488.0799999999981</v>
      </c>
      <c r="F270" s="190">
        <f t="shared" si="43"/>
        <v>18.471272481559588</v>
      </c>
      <c r="H270" s="88">
        <f t="shared" ref="H270:M270" si="45">SUM(H271:H291)</f>
        <v>8051</v>
      </c>
      <c r="I270" s="88">
        <f t="shared" si="45"/>
        <v>4229</v>
      </c>
      <c r="J270" s="88">
        <f t="shared" si="45"/>
        <v>0</v>
      </c>
      <c r="K270" s="89">
        <f t="shared" si="45"/>
        <v>2534</v>
      </c>
      <c r="L270" s="89">
        <f t="shared" si="45"/>
        <v>0</v>
      </c>
      <c r="M270" s="88">
        <f t="shared" si="45"/>
        <v>0</v>
      </c>
      <c r="O270" s="88">
        <f>SUM(O271:O291)</f>
        <v>0</v>
      </c>
      <c r="P270" s="88">
        <f>SUM(P271:P291)</f>
        <v>8000</v>
      </c>
    </row>
    <row r="271" spans="1:16" ht="12.75" hidden="1" customHeight="1">
      <c r="A271" s="187" t="s">
        <v>13</v>
      </c>
      <c r="B271" s="188"/>
      <c r="C271" s="188"/>
      <c r="D271" s="188"/>
      <c r="E271" s="189">
        <f t="shared" si="44"/>
        <v>0</v>
      </c>
      <c r="F271" s="190" t="e">
        <f t="shared" si="43"/>
        <v>#DIV/0!</v>
      </c>
      <c r="H271" s="88">
        <v>1051</v>
      </c>
      <c r="I271" s="88">
        <v>3163</v>
      </c>
      <c r="J271" s="88"/>
      <c r="K271" s="89"/>
      <c r="L271" s="89"/>
      <c r="M271" s="88"/>
      <c r="O271" s="88"/>
      <c r="P271" s="88"/>
    </row>
    <row r="272" spans="1:16" ht="12.75" hidden="1" customHeight="1">
      <c r="A272" s="187" t="s">
        <v>14</v>
      </c>
      <c r="B272" s="188"/>
      <c r="C272" s="188"/>
      <c r="D272" s="188"/>
      <c r="E272" s="189">
        <f t="shared" si="44"/>
        <v>0</v>
      </c>
      <c r="F272" s="190" t="e">
        <f t="shared" si="43"/>
        <v>#DIV/0!</v>
      </c>
      <c r="H272" s="88">
        <v>4000</v>
      </c>
      <c r="I272" s="88">
        <v>882</v>
      </c>
      <c r="J272" s="88"/>
      <c r="K272" s="89">
        <v>2000</v>
      </c>
      <c r="L272" s="89"/>
      <c r="M272" s="88"/>
      <c r="O272" s="88"/>
      <c r="P272" s="88">
        <v>5000</v>
      </c>
    </row>
    <row r="273" spans="1:16" ht="12.75" hidden="1" customHeight="1">
      <c r="A273" s="187" t="s">
        <v>15</v>
      </c>
      <c r="B273" s="188"/>
      <c r="C273" s="188"/>
      <c r="D273" s="188"/>
      <c r="E273" s="189">
        <f t="shared" si="44"/>
        <v>0</v>
      </c>
      <c r="F273" s="190" t="e">
        <f t="shared" si="43"/>
        <v>#DIV/0!</v>
      </c>
      <c r="H273" s="88"/>
      <c r="I273" s="88"/>
      <c r="J273" s="88"/>
      <c r="K273" s="89"/>
      <c r="L273" s="89"/>
      <c r="M273" s="88"/>
      <c r="O273" s="88"/>
      <c r="P273" s="88"/>
    </row>
    <row r="274" spans="1:16" ht="12.75" hidden="1" customHeight="1">
      <c r="A274" s="187" t="s">
        <v>174</v>
      </c>
      <c r="B274" s="188"/>
      <c r="C274" s="188"/>
      <c r="D274" s="188"/>
      <c r="E274" s="189">
        <f t="shared" si="44"/>
        <v>0</v>
      </c>
      <c r="F274" s="190" t="e">
        <f t="shared" si="43"/>
        <v>#DIV/0!</v>
      </c>
      <c r="H274" s="88"/>
      <c r="I274" s="88">
        <v>0</v>
      </c>
      <c r="J274" s="88"/>
      <c r="K274" s="89"/>
      <c r="L274" s="89"/>
      <c r="M274" s="88"/>
      <c r="O274" s="88"/>
      <c r="P274" s="88"/>
    </row>
    <row r="275" spans="1:16" ht="12.75" hidden="1" customHeight="1">
      <c r="A275" s="187" t="s">
        <v>175</v>
      </c>
      <c r="B275" s="188"/>
      <c r="C275" s="188"/>
      <c r="D275" s="188"/>
      <c r="E275" s="189">
        <f t="shared" si="44"/>
        <v>0</v>
      </c>
      <c r="F275" s="190" t="e">
        <f t="shared" si="43"/>
        <v>#DIV/0!</v>
      </c>
      <c r="H275" s="88"/>
      <c r="I275" s="88"/>
      <c r="J275" s="88"/>
      <c r="K275" s="89"/>
      <c r="L275" s="89"/>
      <c r="M275" s="88"/>
      <c r="O275" s="88"/>
      <c r="P275" s="88"/>
    </row>
    <row r="276" spans="1:16" ht="12.75" hidden="1" customHeight="1">
      <c r="A276" s="187" t="s">
        <v>176</v>
      </c>
      <c r="B276" s="188"/>
      <c r="C276" s="188"/>
      <c r="D276" s="188"/>
      <c r="E276" s="189">
        <f t="shared" si="44"/>
        <v>0</v>
      </c>
      <c r="F276" s="190" t="e">
        <f t="shared" si="43"/>
        <v>#DIV/0!</v>
      </c>
      <c r="H276" s="88"/>
      <c r="I276" s="88"/>
      <c r="J276" s="88"/>
      <c r="K276" s="89"/>
      <c r="L276" s="89"/>
      <c r="M276" s="88"/>
      <c r="O276" s="88"/>
      <c r="P276" s="88"/>
    </row>
    <row r="277" spans="1:16" ht="12.75" hidden="1" customHeight="1">
      <c r="A277" s="187" t="s">
        <v>177</v>
      </c>
      <c r="B277" s="188"/>
      <c r="C277" s="188"/>
      <c r="D277" s="188"/>
      <c r="E277" s="189">
        <f t="shared" si="44"/>
        <v>0</v>
      </c>
      <c r="F277" s="190" t="e">
        <f t="shared" si="43"/>
        <v>#DIV/0!</v>
      </c>
      <c r="H277" s="88"/>
      <c r="I277" s="88"/>
      <c r="J277" s="88"/>
      <c r="K277" s="89"/>
      <c r="L277" s="89"/>
      <c r="M277" s="88"/>
      <c r="O277" s="88"/>
      <c r="P277" s="88"/>
    </row>
    <row r="278" spans="1:16" ht="12.75" hidden="1" customHeight="1">
      <c r="A278" s="187" t="s">
        <v>178</v>
      </c>
      <c r="B278" s="188"/>
      <c r="C278" s="188"/>
      <c r="D278" s="188"/>
      <c r="E278" s="189">
        <f t="shared" si="44"/>
        <v>0</v>
      </c>
      <c r="F278" s="190" t="e">
        <f t="shared" si="43"/>
        <v>#DIV/0!</v>
      </c>
      <c r="H278" s="88"/>
      <c r="I278" s="88"/>
      <c r="J278" s="88"/>
      <c r="K278" s="89"/>
      <c r="L278" s="89"/>
      <c r="M278" s="88"/>
      <c r="O278" s="88"/>
      <c r="P278" s="88"/>
    </row>
    <row r="279" spans="1:16" ht="12.75" hidden="1" customHeight="1">
      <c r="A279" s="187" t="s">
        <v>179</v>
      </c>
      <c r="B279" s="188"/>
      <c r="C279" s="188"/>
      <c r="D279" s="188"/>
      <c r="E279" s="189">
        <f t="shared" si="44"/>
        <v>0</v>
      </c>
      <c r="F279" s="190" t="e">
        <f t="shared" si="43"/>
        <v>#DIV/0!</v>
      </c>
      <c r="H279" s="88"/>
      <c r="I279" s="88">
        <v>0</v>
      </c>
      <c r="J279" s="88"/>
      <c r="K279" s="89"/>
      <c r="L279" s="89"/>
      <c r="M279" s="88"/>
      <c r="O279" s="88"/>
      <c r="P279" s="88"/>
    </row>
    <row r="280" spans="1:16" ht="12.75" hidden="1" customHeight="1">
      <c r="A280" s="187" t="s">
        <v>180</v>
      </c>
      <c r="B280" s="188"/>
      <c r="C280" s="188"/>
      <c r="D280" s="188"/>
      <c r="E280" s="189">
        <f t="shared" si="44"/>
        <v>0</v>
      </c>
      <c r="F280" s="190" t="e">
        <f t="shared" si="43"/>
        <v>#DIV/0!</v>
      </c>
      <c r="H280" s="88"/>
      <c r="I280" s="88">
        <v>0</v>
      </c>
      <c r="J280" s="88"/>
      <c r="K280" s="89"/>
      <c r="L280" s="89"/>
      <c r="M280" s="88"/>
      <c r="O280" s="88"/>
      <c r="P280" s="88"/>
    </row>
    <row r="281" spans="1:16" ht="12.75" hidden="1" customHeight="1">
      <c r="A281" s="187" t="s">
        <v>181</v>
      </c>
      <c r="B281" s="188"/>
      <c r="C281" s="188"/>
      <c r="D281" s="188"/>
      <c r="E281" s="189">
        <f t="shared" si="44"/>
        <v>0</v>
      </c>
      <c r="F281" s="190" t="e">
        <f t="shared" si="43"/>
        <v>#DIV/0!</v>
      </c>
      <c r="H281" s="88"/>
      <c r="I281" s="88"/>
      <c r="J281" s="88"/>
      <c r="K281" s="89"/>
      <c r="L281" s="89"/>
      <c r="M281" s="88"/>
      <c r="O281" s="88"/>
      <c r="P281" s="88"/>
    </row>
    <row r="282" spans="1:16" ht="12.75" hidden="1" customHeight="1">
      <c r="A282" s="187" t="s">
        <v>182</v>
      </c>
      <c r="B282" s="188"/>
      <c r="C282" s="188"/>
      <c r="D282" s="188"/>
      <c r="E282" s="189">
        <f t="shared" si="44"/>
        <v>0</v>
      </c>
      <c r="F282" s="190" t="e">
        <f t="shared" si="43"/>
        <v>#DIV/0!</v>
      </c>
      <c r="H282" s="88"/>
      <c r="I282" s="88">
        <v>0</v>
      </c>
      <c r="J282" s="88"/>
      <c r="K282" s="89"/>
      <c r="L282" s="89"/>
      <c r="M282" s="88"/>
      <c r="O282" s="88"/>
      <c r="P282" s="88"/>
    </row>
    <row r="283" spans="1:16" ht="12.75" hidden="1" customHeight="1">
      <c r="A283" s="187" t="s">
        <v>183</v>
      </c>
      <c r="B283" s="188"/>
      <c r="C283" s="188"/>
      <c r="D283" s="188"/>
      <c r="E283" s="189">
        <f t="shared" si="44"/>
        <v>0</v>
      </c>
      <c r="F283" s="190" t="e">
        <f t="shared" si="43"/>
        <v>#DIV/0!</v>
      </c>
      <c r="H283" s="88"/>
      <c r="I283" s="88"/>
      <c r="J283" s="88"/>
      <c r="K283" s="89"/>
      <c r="L283" s="89"/>
      <c r="M283" s="88"/>
      <c r="O283" s="88"/>
      <c r="P283" s="88"/>
    </row>
    <row r="284" spans="1:16" ht="12.75" hidden="1" customHeight="1">
      <c r="A284" s="187" t="s">
        <v>184</v>
      </c>
      <c r="B284" s="188"/>
      <c r="C284" s="188"/>
      <c r="D284" s="188"/>
      <c r="E284" s="189">
        <f t="shared" si="44"/>
        <v>0</v>
      </c>
      <c r="F284" s="190" t="e">
        <f t="shared" si="43"/>
        <v>#DIV/0!</v>
      </c>
      <c r="H284" s="88"/>
      <c r="I284" s="88"/>
      <c r="J284" s="88"/>
      <c r="K284" s="89"/>
      <c r="L284" s="89"/>
      <c r="M284" s="88"/>
      <c r="O284" s="88"/>
      <c r="P284" s="88"/>
    </row>
    <row r="285" spans="1:16" ht="12.75" hidden="1" customHeight="1">
      <c r="A285" s="187" t="s">
        <v>185</v>
      </c>
      <c r="B285" s="188"/>
      <c r="C285" s="188"/>
      <c r="D285" s="188"/>
      <c r="E285" s="189">
        <f t="shared" si="44"/>
        <v>0</v>
      </c>
      <c r="F285" s="190" t="e">
        <f t="shared" si="43"/>
        <v>#DIV/0!</v>
      </c>
      <c r="H285" s="88"/>
      <c r="I285" s="88"/>
      <c r="J285" s="88"/>
      <c r="K285" s="89"/>
      <c r="L285" s="89"/>
      <c r="M285" s="88"/>
      <c r="O285" s="88"/>
      <c r="P285" s="88"/>
    </row>
    <row r="286" spans="1:16" ht="12.75" hidden="1" customHeight="1">
      <c r="A286" s="187" t="s">
        <v>186</v>
      </c>
      <c r="B286" s="188"/>
      <c r="C286" s="188"/>
      <c r="D286" s="188"/>
      <c r="E286" s="189">
        <f t="shared" si="44"/>
        <v>0</v>
      </c>
      <c r="F286" s="190" t="e">
        <f t="shared" si="43"/>
        <v>#DIV/0!</v>
      </c>
      <c r="H286" s="88"/>
      <c r="I286" s="88"/>
      <c r="J286" s="88"/>
      <c r="K286" s="89"/>
      <c r="L286" s="89"/>
      <c r="M286" s="88"/>
      <c r="O286" s="88"/>
      <c r="P286" s="88"/>
    </row>
    <row r="287" spans="1:16" ht="12.75" hidden="1" customHeight="1">
      <c r="A287" s="187" t="s">
        <v>187</v>
      </c>
      <c r="B287" s="188"/>
      <c r="C287" s="188"/>
      <c r="D287" s="188"/>
      <c r="E287" s="189">
        <f t="shared" si="44"/>
        <v>0</v>
      </c>
      <c r="F287" s="190" t="e">
        <f t="shared" si="43"/>
        <v>#DIV/0!</v>
      </c>
      <c r="H287" s="88"/>
      <c r="I287" s="88">
        <v>184</v>
      </c>
      <c r="J287" s="88"/>
      <c r="K287" s="89"/>
      <c r="L287" s="89"/>
      <c r="M287" s="88"/>
      <c r="O287" s="88"/>
      <c r="P287" s="88"/>
    </row>
    <row r="288" spans="1:16" ht="12.75" hidden="1" customHeight="1">
      <c r="A288" s="187" t="s">
        <v>188</v>
      </c>
      <c r="B288" s="188"/>
      <c r="C288" s="188"/>
      <c r="D288" s="188"/>
      <c r="E288" s="189">
        <f t="shared" si="44"/>
        <v>0</v>
      </c>
      <c r="F288" s="190" t="e">
        <f t="shared" si="43"/>
        <v>#DIV/0!</v>
      </c>
      <c r="H288" s="88"/>
      <c r="I288" s="88"/>
      <c r="J288" s="88"/>
      <c r="K288" s="89"/>
      <c r="L288" s="89"/>
      <c r="M288" s="88"/>
      <c r="O288" s="88"/>
      <c r="P288" s="88"/>
    </row>
    <row r="289" spans="1:16" ht="12.75" hidden="1" customHeight="1">
      <c r="A289" s="187" t="s">
        <v>55</v>
      </c>
      <c r="B289" s="188"/>
      <c r="C289" s="188"/>
      <c r="D289" s="188"/>
      <c r="E289" s="189">
        <f t="shared" si="44"/>
        <v>0</v>
      </c>
      <c r="F289" s="190" t="e">
        <f t="shared" si="43"/>
        <v>#DIV/0!</v>
      </c>
      <c r="H289" s="88">
        <v>3000</v>
      </c>
      <c r="I289" s="88"/>
      <c r="J289" s="88"/>
      <c r="K289" s="89"/>
      <c r="L289" s="89"/>
      <c r="M289" s="88"/>
      <c r="O289" s="88"/>
      <c r="P289" s="88">
        <v>3000</v>
      </c>
    </row>
    <row r="290" spans="1:16" ht="12.75" hidden="1" customHeight="1">
      <c r="A290" s="187" t="s">
        <v>22</v>
      </c>
      <c r="B290" s="188"/>
      <c r="C290" s="188"/>
      <c r="D290" s="188"/>
      <c r="E290" s="189">
        <f t="shared" si="44"/>
        <v>0</v>
      </c>
      <c r="F290" s="190" t="e">
        <f t="shared" si="43"/>
        <v>#DIV/0!</v>
      </c>
      <c r="H290" s="88"/>
      <c r="I290" s="88"/>
      <c r="J290" s="88"/>
      <c r="K290" s="89"/>
      <c r="L290" s="89"/>
      <c r="M290" s="88"/>
      <c r="O290" s="88"/>
      <c r="P290" s="88"/>
    </row>
    <row r="291" spans="1:16" ht="12.75" hidden="1" customHeight="1">
      <c r="A291" s="187" t="s">
        <v>189</v>
      </c>
      <c r="B291" s="188"/>
      <c r="C291" s="188"/>
      <c r="D291" s="188"/>
      <c r="E291" s="189">
        <f t="shared" si="44"/>
        <v>0</v>
      </c>
      <c r="F291" s="190" t="e">
        <f t="shared" si="43"/>
        <v>#DIV/0!</v>
      </c>
      <c r="H291" s="88"/>
      <c r="I291" s="88"/>
      <c r="J291" s="88"/>
      <c r="K291" s="89">
        <v>534</v>
      </c>
      <c r="L291" s="89"/>
      <c r="M291" s="88"/>
      <c r="O291" s="88"/>
      <c r="P291" s="88"/>
    </row>
    <row r="292" spans="1:16">
      <c r="A292" s="187" t="s">
        <v>190</v>
      </c>
      <c r="B292" s="188">
        <v>150</v>
      </c>
      <c r="C292" s="188">
        <v>150</v>
      </c>
      <c r="D292" s="188">
        <v>220</v>
      </c>
      <c r="E292" s="189">
        <f t="shared" si="44"/>
        <v>70</v>
      </c>
      <c r="F292" s="190">
        <f t="shared" si="43"/>
        <v>46.666666666666664</v>
      </c>
      <c r="H292" s="88">
        <f t="shared" ref="H292:M292" si="46">SUM(H293:H298)</f>
        <v>0</v>
      </c>
      <c r="I292" s="88">
        <f t="shared" si="46"/>
        <v>0</v>
      </c>
      <c r="J292" s="88">
        <f t="shared" si="46"/>
        <v>0</v>
      </c>
      <c r="K292" s="89">
        <f t="shared" si="46"/>
        <v>0</v>
      </c>
      <c r="L292" s="89">
        <f t="shared" si="46"/>
        <v>0</v>
      </c>
      <c r="M292" s="88">
        <f t="shared" si="46"/>
        <v>0</v>
      </c>
      <c r="O292" s="88">
        <f>SUM(O293:O298)</f>
        <v>0</v>
      </c>
      <c r="P292" s="88">
        <f>SUM(P293:P298)</f>
        <v>0</v>
      </c>
    </row>
    <row r="293" spans="1:16" ht="12.75" hidden="1" customHeight="1">
      <c r="A293" s="187" t="s">
        <v>13</v>
      </c>
      <c r="B293" s="188"/>
      <c r="C293" s="188"/>
      <c r="D293" s="188"/>
      <c r="E293" s="189">
        <f t="shared" si="44"/>
        <v>0</v>
      </c>
      <c r="F293" s="190" t="e">
        <f t="shared" si="43"/>
        <v>#DIV/0!</v>
      </c>
      <c r="H293" s="88"/>
      <c r="I293" s="88"/>
      <c r="J293" s="88"/>
      <c r="K293" s="89"/>
      <c r="L293" s="89"/>
      <c r="M293" s="88"/>
      <c r="O293" s="88"/>
      <c r="P293" s="88"/>
    </row>
    <row r="294" spans="1:16" ht="12.75" hidden="1" customHeight="1">
      <c r="A294" s="187" t="s">
        <v>14</v>
      </c>
      <c r="B294" s="188"/>
      <c r="C294" s="188"/>
      <c r="D294" s="188"/>
      <c r="E294" s="189">
        <f t="shared" si="44"/>
        <v>0</v>
      </c>
      <c r="F294" s="190" t="e">
        <f t="shared" si="43"/>
        <v>#DIV/0!</v>
      </c>
      <c r="H294" s="88"/>
      <c r="I294" s="88"/>
      <c r="J294" s="88"/>
      <c r="K294" s="89"/>
      <c r="L294" s="89"/>
      <c r="M294" s="88"/>
      <c r="O294" s="88"/>
      <c r="P294" s="88"/>
    </row>
    <row r="295" spans="1:16" ht="12.75" hidden="1" customHeight="1">
      <c r="A295" s="187" t="s">
        <v>15</v>
      </c>
      <c r="B295" s="188"/>
      <c r="C295" s="188"/>
      <c r="D295" s="188"/>
      <c r="E295" s="189">
        <f t="shared" si="44"/>
        <v>0</v>
      </c>
      <c r="F295" s="190" t="e">
        <f t="shared" si="43"/>
        <v>#DIV/0!</v>
      </c>
      <c r="H295" s="88"/>
      <c r="I295" s="88"/>
      <c r="J295" s="88"/>
      <c r="K295" s="89"/>
      <c r="L295" s="89"/>
      <c r="M295" s="88"/>
      <c r="O295" s="88"/>
      <c r="P295" s="88"/>
    </row>
    <row r="296" spans="1:16" ht="12.75" hidden="1" customHeight="1">
      <c r="A296" s="187" t="s">
        <v>191</v>
      </c>
      <c r="B296" s="188"/>
      <c r="C296" s="188"/>
      <c r="D296" s="188"/>
      <c r="E296" s="189">
        <f t="shared" si="44"/>
        <v>0</v>
      </c>
      <c r="F296" s="190" t="e">
        <f t="shared" si="43"/>
        <v>#DIV/0!</v>
      </c>
      <c r="H296" s="88"/>
      <c r="I296" s="88"/>
      <c r="J296" s="88"/>
      <c r="K296" s="89"/>
      <c r="L296" s="89"/>
      <c r="M296" s="88"/>
      <c r="O296" s="88"/>
      <c r="P296" s="88"/>
    </row>
    <row r="297" spans="1:16" ht="12.75" hidden="1" customHeight="1">
      <c r="A297" s="187" t="s">
        <v>22</v>
      </c>
      <c r="B297" s="188"/>
      <c r="C297" s="188"/>
      <c r="D297" s="188"/>
      <c r="E297" s="189">
        <f t="shared" si="44"/>
        <v>0</v>
      </c>
      <c r="F297" s="190" t="e">
        <f t="shared" si="43"/>
        <v>#DIV/0!</v>
      </c>
      <c r="H297" s="88"/>
      <c r="I297" s="88"/>
      <c r="J297" s="88"/>
      <c r="K297" s="89"/>
      <c r="L297" s="89"/>
      <c r="M297" s="88"/>
      <c r="O297" s="88"/>
      <c r="P297" s="88"/>
    </row>
    <row r="298" spans="1:16" ht="12.75" hidden="1" customHeight="1">
      <c r="A298" s="187" t="s">
        <v>192</v>
      </c>
      <c r="B298" s="188"/>
      <c r="C298" s="188"/>
      <c r="D298" s="188"/>
      <c r="E298" s="189">
        <f t="shared" si="44"/>
        <v>0</v>
      </c>
      <c r="F298" s="190" t="e">
        <f t="shared" si="43"/>
        <v>#DIV/0!</v>
      </c>
      <c r="H298" s="88"/>
      <c r="I298" s="88"/>
      <c r="J298" s="88"/>
      <c r="K298" s="89"/>
      <c r="L298" s="89"/>
      <c r="M298" s="88"/>
      <c r="O298" s="88"/>
      <c r="P298" s="88"/>
    </row>
    <row r="299" spans="1:16">
      <c r="A299" s="187" t="s">
        <v>193</v>
      </c>
      <c r="B299" s="188">
        <v>70</v>
      </c>
      <c r="C299" s="188">
        <v>70</v>
      </c>
      <c r="D299" s="188">
        <v>70</v>
      </c>
      <c r="E299" s="189"/>
      <c r="F299" s="190">
        <f t="shared" si="43"/>
        <v>0</v>
      </c>
      <c r="H299" s="88">
        <f t="shared" ref="H299:M299" si="47">SUM(H300:H310)</f>
        <v>0</v>
      </c>
      <c r="I299" s="88">
        <f t="shared" si="47"/>
        <v>979</v>
      </c>
      <c r="J299" s="88">
        <f t="shared" si="47"/>
        <v>0</v>
      </c>
      <c r="K299" s="89">
        <f t="shared" si="47"/>
        <v>0</v>
      </c>
      <c r="L299" s="89">
        <f t="shared" si="47"/>
        <v>0</v>
      </c>
      <c r="M299" s="88">
        <f t="shared" si="47"/>
        <v>0</v>
      </c>
      <c r="O299" s="88">
        <f>SUM(O300:O310)</f>
        <v>0</v>
      </c>
      <c r="P299" s="88">
        <f>SUM(P300:P310)</f>
        <v>0</v>
      </c>
    </row>
    <row r="300" spans="1:16" ht="12.75" hidden="1" customHeight="1">
      <c r="A300" s="187" t="s">
        <v>13</v>
      </c>
      <c r="B300" s="188"/>
      <c r="C300" s="188"/>
      <c r="D300" s="188"/>
      <c r="E300" s="189"/>
      <c r="F300" s="190" t="e">
        <f t="shared" si="43"/>
        <v>#DIV/0!</v>
      </c>
      <c r="H300" s="88"/>
      <c r="I300" s="88">
        <v>979</v>
      </c>
      <c r="J300" s="88"/>
      <c r="K300" s="89"/>
      <c r="L300" s="89"/>
      <c r="M300" s="88"/>
      <c r="O300" s="88"/>
      <c r="P300" s="88"/>
    </row>
    <row r="301" spans="1:16" ht="12.75" hidden="1" customHeight="1">
      <c r="A301" s="187" t="s">
        <v>14</v>
      </c>
      <c r="B301" s="188"/>
      <c r="C301" s="188"/>
      <c r="D301" s="188"/>
      <c r="E301" s="189"/>
      <c r="F301" s="190" t="e">
        <f t="shared" si="43"/>
        <v>#DIV/0!</v>
      </c>
      <c r="H301" s="88"/>
      <c r="I301" s="88"/>
      <c r="J301" s="88"/>
      <c r="K301" s="89"/>
      <c r="L301" s="89"/>
      <c r="M301" s="88"/>
      <c r="O301" s="88"/>
      <c r="P301" s="88"/>
    </row>
    <row r="302" spans="1:16" ht="12.75" hidden="1" customHeight="1">
      <c r="A302" s="187" t="s">
        <v>15</v>
      </c>
      <c r="B302" s="188"/>
      <c r="C302" s="188"/>
      <c r="D302" s="188"/>
      <c r="E302" s="189"/>
      <c r="F302" s="190" t="e">
        <f t="shared" si="43"/>
        <v>#DIV/0!</v>
      </c>
      <c r="H302" s="88"/>
      <c r="I302" s="88"/>
      <c r="J302" s="88"/>
      <c r="K302" s="89"/>
      <c r="L302" s="89"/>
      <c r="M302" s="88"/>
      <c r="O302" s="88"/>
      <c r="P302" s="88"/>
    </row>
    <row r="303" spans="1:16" ht="12.75" hidden="1" customHeight="1">
      <c r="A303" s="187" t="s">
        <v>194</v>
      </c>
      <c r="B303" s="188"/>
      <c r="C303" s="188"/>
      <c r="D303" s="188"/>
      <c r="E303" s="189"/>
      <c r="F303" s="190" t="e">
        <f t="shared" si="43"/>
        <v>#DIV/0!</v>
      </c>
      <c r="H303" s="88"/>
      <c r="I303" s="88"/>
      <c r="J303" s="88"/>
      <c r="K303" s="89"/>
      <c r="L303" s="89"/>
      <c r="M303" s="88"/>
      <c r="O303" s="88"/>
      <c r="P303" s="88"/>
    </row>
    <row r="304" spans="1:16" ht="12.75" hidden="1" customHeight="1">
      <c r="A304" s="187" t="s">
        <v>195</v>
      </c>
      <c r="B304" s="188"/>
      <c r="C304" s="188"/>
      <c r="D304" s="188"/>
      <c r="E304" s="189"/>
      <c r="F304" s="190" t="e">
        <f t="shared" si="43"/>
        <v>#DIV/0!</v>
      </c>
      <c r="H304" s="88"/>
      <c r="I304" s="88"/>
      <c r="J304" s="88"/>
      <c r="K304" s="89"/>
      <c r="L304" s="89"/>
      <c r="M304" s="88"/>
      <c r="O304" s="88"/>
      <c r="P304" s="88"/>
    </row>
    <row r="305" spans="1:16" ht="12.75" hidden="1" customHeight="1">
      <c r="A305" s="187" t="s">
        <v>196</v>
      </c>
      <c r="B305" s="188"/>
      <c r="C305" s="188"/>
      <c r="D305" s="188"/>
      <c r="E305" s="189"/>
      <c r="F305" s="190" t="e">
        <f t="shared" si="43"/>
        <v>#DIV/0!</v>
      </c>
      <c r="H305" s="88"/>
      <c r="I305" s="88"/>
      <c r="J305" s="88"/>
      <c r="K305" s="89"/>
      <c r="L305" s="89"/>
      <c r="M305" s="88"/>
      <c r="O305" s="88"/>
      <c r="P305" s="88"/>
    </row>
    <row r="306" spans="1:16" ht="12.75" hidden="1" customHeight="1">
      <c r="A306" s="187" t="s">
        <v>197</v>
      </c>
      <c r="B306" s="188"/>
      <c r="C306" s="188"/>
      <c r="D306" s="188"/>
      <c r="E306" s="189"/>
      <c r="F306" s="190" t="e">
        <f t="shared" si="43"/>
        <v>#DIV/0!</v>
      </c>
      <c r="H306" s="88"/>
      <c r="I306" s="88"/>
      <c r="J306" s="88"/>
      <c r="K306" s="89"/>
      <c r="L306" s="89"/>
      <c r="M306" s="88"/>
      <c r="O306" s="88"/>
      <c r="P306" s="88"/>
    </row>
    <row r="307" spans="1:16" ht="12.75" hidden="1" customHeight="1">
      <c r="A307" s="187" t="s">
        <v>198</v>
      </c>
      <c r="B307" s="188"/>
      <c r="C307" s="188"/>
      <c r="D307" s="188"/>
      <c r="E307" s="189"/>
      <c r="F307" s="190" t="e">
        <f t="shared" si="43"/>
        <v>#DIV/0!</v>
      </c>
      <c r="H307" s="88"/>
      <c r="I307" s="88"/>
      <c r="J307" s="88"/>
      <c r="K307" s="89"/>
      <c r="L307" s="89"/>
      <c r="M307" s="88"/>
      <c r="O307" s="88"/>
      <c r="P307" s="88"/>
    </row>
    <row r="308" spans="1:16" ht="12.75" hidden="1" customHeight="1">
      <c r="A308" s="187" t="s">
        <v>199</v>
      </c>
      <c r="B308" s="188"/>
      <c r="C308" s="188"/>
      <c r="D308" s="188"/>
      <c r="E308" s="189"/>
      <c r="F308" s="190" t="e">
        <f t="shared" si="43"/>
        <v>#DIV/0!</v>
      </c>
      <c r="H308" s="88"/>
      <c r="I308" s="88"/>
      <c r="J308" s="88"/>
      <c r="K308" s="89"/>
      <c r="L308" s="89"/>
      <c r="M308" s="88"/>
      <c r="O308" s="88"/>
      <c r="P308" s="88"/>
    </row>
    <row r="309" spans="1:16" ht="12.75" hidden="1" customHeight="1">
      <c r="A309" s="187" t="s">
        <v>22</v>
      </c>
      <c r="B309" s="188"/>
      <c r="C309" s="188"/>
      <c r="D309" s="188"/>
      <c r="E309" s="189"/>
      <c r="F309" s="190" t="e">
        <f t="shared" si="43"/>
        <v>#DIV/0!</v>
      </c>
      <c r="H309" s="88"/>
      <c r="I309" s="88"/>
      <c r="J309" s="88"/>
      <c r="K309" s="89"/>
      <c r="L309" s="89"/>
      <c r="M309" s="88"/>
      <c r="O309" s="88"/>
      <c r="P309" s="88"/>
    </row>
    <row r="310" spans="1:16" ht="12.75" hidden="1" customHeight="1">
      <c r="A310" s="187" t="s">
        <v>200</v>
      </c>
      <c r="B310" s="188"/>
      <c r="C310" s="188"/>
      <c r="D310" s="188"/>
      <c r="E310" s="189"/>
      <c r="F310" s="190" t="e">
        <f t="shared" si="43"/>
        <v>#DIV/0!</v>
      </c>
      <c r="H310" s="88"/>
      <c r="I310" s="88"/>
      <c r="J310" s="88"/>
      <c r="K310" s="89"/>
      <c r="L310" s="89"/>
      <c r="M310" s="88"/>
      <c r="O310" s="88"/>
      <c r="P310" s="88"/>
    </row>
    <row r="311" spans="1:16">
      <c r="A311" s="187" t="s">
        <v>201</v>
      </c>
      <c r="B311" s="188">
        <v>50</v>
      </c>
      <c r="C311" s="188">
        <v>50</v>
      </c>
      <c r="D311" s="188">
        <v>50</v>
      </c>
      <c r="E311" s="189"/>
      <c r="F311" s="190">
        <f t="shared" si="43"/>
        <v>0</v>
      </c>
      <c r="H311" s="88">
        <f t="shared" ref="H311:M311" si="48">SUM(H312:H319)</f>
        <v>0</v>
      </c>
      <c r="I311" s="88">
        <f t="shared" si="48"/>
        <v>857</v>
      </c>
      <c r="J311" s="88">
        <f t="shared" si="48"/>
        <v>0</v>
      </c>
      <c r="K311" s="89">
        <f t="shared" si="48"/>
        <v>0</v>
      </c>
      <c r="L311" s="89">
        <f t="shared" si="48"/>
        <v>0</v>
      </c>
      <c r="M311" s="88">
        <f t="shared" si="48"/>
        <v>0</v>
      </c>
      <c r="O311" s="88">
        <f>SUM(O312:O319)</f>
        <v>0</v>
      </c>
      <c r="P311" s="88">
        <f>SUM(P312:P319)</f>
        <v>0</v>
      </c>
    </row>
    <row r="312" spans="1:16" ht="12.75" hidden="1" customHeight="1">
      <c r="A312" s="187" t="s">
        <v>13</v>
      </c>
      <c r="B312" s="188"/>
      <c r="C312" s="188"/>
      <c r="D312" s="188"/>
      <c r="E312" s="189">
        <f t="shared" si="44"/>
        <v>0</v>
      </c>
      <c r="F312" s="190" t="e">
        <f t="shared" si="43"/>
        <v>#DIV/0!</v>
      </c>
      <c r="H312" s="88"/>
      <c r="I312" s="88">
        <v>857</v>
      </c>
      <c r="J312" s="88"/>
      <c r="K312" s="89"/>
      <c r="L312" s="89"/>
      <c r="M312" s="88"/>
      <c r="O312" s="88"/>
      <c r="P312" s="88"/>
    </row>
    <row r="313" spans="1:16" ht="12.75" hidden="1" customHeight="1">
      <c r="A313" s="187" t="s">
        <v>14</v>
      </c>
      <c r="B313" s="188"/>
      <c r="C313" s="188"/>
      <c r="D313" s="188"/>
      <c r="E313" s="189">
        <f t="shared" si="44"/>
        <v>0</v>
      </c>
      <c r="F313" s="190" t="e">
        <f t="shared" si="43"/>
        <v>#DIV/0!</v>
      </c>
      <c r="H313" s="88"/>
      <c r="I313" s="88"/>
      <c r="J313" s="88"/>
      <c r="K313" s="89"/>
      <c r="L313" s="89"/>
      <c r="M313" s="88"/>
      <c r="O313" s="88"/>
      <c r="P313" s="88"/>
    </row>
    <row r="314" spans="1:16" ht="12.75" hidden="1" customHeight="1">
      <c r="A314" s="187" t="s">
        <v>15</v>
      </c>
      <c r="B314" s="188"/>
      <c r="C314" s="188"/>
      <c r="D314" s="188"/>
      <c r="E314" s="189">
        <f t="shared" si="44"/>
        <v>0</v>
      </c>
      <c r="F314" s="190" t="e">
        <f t="shared" si="43"/>
        <v>#DIV/0!</v>
      </c>
      <c r="H314" s="88"/>
      <c r="I314" s="88"/>
      <c r="J314" s="88"/>
      <c r="K314" s="89"/>
      <c r="L314" s="89"/>
      <c r="M314" s="88"/>
      <c r="O314" s="88"/>
      <c r="P314" s="88"/>
    </row>
    <row r="315" spans="1:16" ht="12.75" hidden="1" customHeight="1">
      <c r="A315" s="187" t="s">
        <v>202</v>
      </c>
      <c r="B315" s="188"/>
      <c r="C315" s="188"/>
      <c r="D315" s="188"/>
      <c r="E315" s="189">
        <f t="shared" si="44"/>
        <v>0</v>
      </c>
      <c r="F315" s="190" t="e">
        <f t="shared" si="43"/>
        <v>#DIV/0!</v>
      </c>
      <c r="H315" s="88"/>
      <c r="I315" s="88"/>
      <c r="J315" s="88"/>
      <c r="K315" s="89"/>
      <c r="L315" s="89"/>
      <c r="M315" s="88"/>
      <c r="O315" s="88"/>
      <c r="P315" s="88"/>
    </row>
    <row r="316" spans="1:16" ht="12.75" hidden="1" customHeight="1">
      <c r="A316" s="187" t="s">
        <v>203</v>
      </c>
      <c r="B316" s="188"/>
      <c r="C316" s="188"/>
      <c r="D316" s="188"/>
      <c r="E316" s="189">
        <f t="shared" si="44"/>
        <v>0</v>
      </c>
      <c r="F316" s="190" t="e">
        <f t="shared" si="43"/>
        <v>#DIV/0!</v>
      </c>
      <c r="H316" s="88"/>
      <c r="I316" s="88"/>
      <c r="J316" s="88"/>
      <c r="K316" s="89"/>
      <c r="L316" s="89"/>
      <c r="M316" s="88"/>
      <c r="O316" s="88"/>
      <c r="P316" s="88"/>
    </row>
    <row r="317" spans="1:16" ht="12.75" hidden="1" customHeight="1">
      <c r="A317" s="187" t="s">
        <v>204</v>
      </c>
      <c r="B317" s="188"/>
      <c r="C317" s="188"/>
      <c r="D317" s="188"/>
      <c r="E317" s="189">
        <f t="shared" si="44"/>
        <v>0</v>
      </c>
      <c r="F317" s="190" t="e">
        <f t="shared" si="43"/>
        <v>#DIV/0!</v>
      </c>
      <c r="H317" s="88"/>
      <c r="I317" s="88"/>
      <c r="J317" s="88"/>
      <c r="K317" s="89"/>
      <c r="L317" s="89"/>
      <c r="M317" s="88"/>
      <c r="O317" s="88"/>
      <c r="P317" s="88"/>
    </row>
    <row r="318" spans="1:16" ht="12.75" hidden="1" customHeight="1">
      <c r="A318" s="187" t="s">
        <v>22</v>
      </c>
      <c r="B318" s="188"/>
      <c r="C318" s="188"/>
      <c r="D318" s="188"/>
      <c r="E318" s="189">
        <f t="shared" si="44"/>
        <v>0</v>
      </c>
      <c r="F318" s="190" t="e">
        <f t="shared" si="43"/>
        <v>#DIV/0!</v>
      </c>
      <c r="H318" s="88"/>
      <c r="I318" s="88"/>
      <c r="J318" s="88"/>
      <c r="K318" s="89"/>
      <c r="L318" s="89"/>
      <c r="M318" s="88"/>
      <c r="O318" s="88"/>
      <c r="P318" s="88"/>
    </row>
    <row r="319" spans="1:16" ht="12.75" hidden="1" customHeight="1">
      <c r="A319" s="187" t="s">
        <v>205</v>
      </c>
      <c r="B319" s="188"/>
      <c r="C319" s="188"/>
      <c r="D319" s="188"/>
      <c r="E319" s="189">
        <f t="shared" si="44"/>
        <v>0</v>
      </c>
      <c r="F319" s="190" t="e">
        <f t="shared" si="43"/>
        <v>#DIV/0!</v>
      </c>
      <c r="H319" s="88"/>
      <c r="I319" s="88"/>
      <c r="J319" s="88"/>
      <c r="K319" s="89"/>
      <c r="L319" s="89"/>
      <c r="M319" s="88"/>
      <c r="O319" s="88"/>
      <c r="P319" s="88"/>
    </row>
    <row r="320" spans="1:16">
      <c r="A320" s="187" t="s">
        <v>206</v>
      </c>
      <c r="B320" s="188">
        <v>1350.99</v>
      </c>
      <c r="C320" s="188">
        <v>1350.99</v>
      </c>
      <c r="D320" s="188">
        <v>1744.63</v>
      </c>
      <c r="E320" s="189">
        <f t="shared" si="44"/>
        <v>393.6400000000001</v>
      </c>
      <c r="F320" s="190">
        <f t="shared" si="43"/>
        <v>29.137151274250744</v>
      </c>
      <c r="H320" s="88">
        <f t="shared" ref="H320:M320" si="49">SUM(H321:H331)</f>
        <v>0</v>
      </c>
      <c r="I320" s="88">
        <f t="shared" si="49"/>
        <v>780</v>
      </c>
      <c r="J320" s="88">
        <f t="shared" si="49"/>
        <v>0</v>
      </c>
      <c r="K320" s="89">
        <f t="shared" si="49"/>
        <v>0</v>
      </c>
      <c r="L320" s="89">
        <f t="shared" si="49"/>
        <v>0</v>
      </c>
      <c r="M320" s="88">
        <f t="shared" si="49"/>
        <v>0</v>
      </c>
      <c r="O320" s="88">
        <f>SUM(O321:O331)</f>
        <v>0</v>
      </c>
      <c r="P320" s="88">
        <f>SUM(P321:P331)</f>
        <v>0</v>
      </c>
    </row>
    <row r="321" spans="1:16" ht="12.75" hidden="1" customHeight="1">
      <c r="A321" s="187" t="s">
        <v>13</v>
      </c>
      <c r="B321" s="188"/>
      <c r="C321" s="188"/>
      <c r="D321" s="188"/>
      <c r="E321" s="189">
        <f t="shared" si="44"/>
        <v>0</v>
      </c>
      <c r="F321" s="190" t="e">
        <f t="shared" si="43"/>
        <v>#DIV/0!</v>
      </c>
      <c r="H321" s="88"/>
      <c r="I321" s="88">
        <v>422</v>
      </c>
      <c r="J321" s="88"/>
      <c r="K321" s="89"/>
      <c r="L321" s="89"/>
      <c r="M321" s="88"/>
      <c r="O321" s="88"/>
      <c r="P321" s="88"/>
    </row>
    <row r="322" spans="1:16" ht="12.75" hidden="1" customHeight="1">
      <c r="A322" s="187" t="s">
        <v>14</v>
      </c>
      <c r="B322" s="188"/>
      <c r="C322" s="188"/>
      <c r="D322" s="188"/>
      <c r="E322" s="189">
        <f t="shared" si="44"/>
        <v>0</v>
      </c>
      <c r="F322" s="190" t="e">
        <f t="shared" si="43"/>
        <v>#DIV/0!</v>
      </c>
      <c r="H322" s="88"/>
      <c r="I322" s="88"/>
      <c r="J322" s="88"/>
      <c r="K322" s="89"/>
      <c r="L322" s="89"/>
      <c r="M322" s="88"/>
      <c r="O322" s="88"/>
      <c r="P322" s="88"/>
    </row>
    <row r="323" spans="1:16" ht="12.75" hidden="1" customHeight="1">
      <c r="A323" s="187" t="s">
        <v>15</v>
      </c>
      <c r="B323" s="188"/>
      <c r="C323" s="188"/>
      <c r="D323" s="188"/>
      <c r="E323" s="189">
        <f t="shared" si="44"/>
        <v>0</v>
      </c>
      <c r="F323" s="190" t="e">
        <f t="shared" si="43"/>
        <v>#DIV/0!</v>
      </c>
      <c r="H323" s="88"/>
      <c r="I323" s="88"/>
      <c r="J323" s="88"/>
      <c r="K323" s="89"/>
      <c r="L323" s="89"/>
      <c r="M323" s="88"/>
      <c r="O323" s="88"/>
      <c r="P323" s="88"/>
    </row>
    <row r="324" spans="1:16" ht="12.75" hidden="1" customHeight="1">
      <c r="A324" s="187" t="s">
        <v>207</v>
      </c>
      <c r="B324" s="188"/>
      <c r="C324" s="188"/>
      <c r="D324" s="188"/>
      <c r="E324" s="189">
        <f t="shared" si="44"/>
        <v>0</v>
      </c>
      <c r="F324" s="190" t="e">
        <f t="shared" si="43"/>
        <v>#DIV/0!</v>
      </c>
      <c r="H324" s="88"/>
      <c r="I324" s="88">
        <v>101</v>
      </c>
      <c r="J324" s="88"/>
      <c r="K324" s="89"/>
      <c r="L324" s="89"/>
      <c r="M324" s="88"/>
      <c r="O324" s="88"/>
      <c r="P324" s="88"/>
    </row>
    <row r="325" spans="1:16" ht="12.75" hidden="1" customHeight="1">
      <c r="A325" s="187" t="s">
        <v>208</v>
      </c>
      <c r="B325" s="188"/>
      <c r="C325" s="188"/>
      <c r="D325" s="188"/>
      <c r="E325" s="189">
        <f t="shared" si="44"/>
        <v>0</v>
      </c>
      <c r="F325" s="190" t="e">
        <f t="shared" si="43"/>
        <v>#DIV/0!</v>
      </c>
      <c r="H325" s="88"/>
      <c r="I325" s="88">
        <v>21</v>
      </c>
      <c r="J325" s="88"/>
      <c r="K325" s="89"/>
      <c r="L325" s="89"/>
      <c r="M325" s="88"/>
      <c r="O325" s="88"/>
      <c r="P325" s="88"/>
    </row>
    <row r="326" spans="1:16" ht="12.75" hidden="1" customHeight="1">
      <c r="A326" s="187" t="s">
        <v>209</v>
      </c>
      <c r="B326" s="188"/>
      <c r="C326" s="188"/>
      <c r="D326" s="188"/>
      <c r="E326" s="189">
        <f t="shared" si="44"/>
        <v>0</v>
      </c>
      <c r="F326" s="190" t="e">
        <f t="shared" si="43"/>
        <v>#DIV/0!</v>
      </c>
      <c r="H326" s="88"/>
      <c r="I326" s="88">
        <v>171</v>
      </c>
      <c r="J326" s="88"/>
      <c r="K326" s="89"/>
      <c r="L326" s="89"/>
      <c r="M326" s="88"/>
      <c r="O326" s="88"/>
      <c r="P326" s="88"/>
    </row>
    <row r="327" spans="1:16" ht="12.75" hidden="1" customHeight="1">
      <c r="A327" s="187" t="s">
        <v>210</v>
      </c>
      <c r="B327" s="188"/>
      <c r="C327" s="188"/>
      <c r="D327" s="188"/>
      <c r="E327" s="189">
        <f t="shared" si="44"/>
        <v>0</v>
      </c>
      <c r="F327" s="190" t="e">
        <f t="shared" ref="F327:F390" si="50">E327/C327*100</f>
        <v>#DIV/0!</v>
      </c>
      <c r="H327" s="88"/>
      <c r="I327" s="88">
        <v>15</v>
      </c>
      <c r="J327" s="88"/>
      <c r="K327" s="89"/>
      <c r="L327" s="89"/>
      <c r="M327" s="88"/>
      <c r="O327" s="88"/>
      <c r="P327" s="88"/>
    </row>
    <row r="328" spans="1:16" ht="12.75" hidden="1" customHeight="1">
      <c r="A328" s="187" t="s">
        <v>211</v>
      </c>
      <c r="B328" s="188"/>
      <c r="C328" s="188"/>
      <c r="D328" s="188"/>
      <c r="E328" s="189">
        <f t="shared" si="44"/>
        <v>0</v>
      </c>
      <c r="F328" s="190" t="e">
        <f t="shared" si="50"/>
        <v>#DIV/0!</v>
      </c>
      <c r="H328" s="88"/>
      <c r="I328" s="88"/>
      <c r="J328" s="88"/>
      <c r="K328" s="89"/>
      <c r="L328" s="89"/>
      <c r="M328" s="88"/>
      <c r="O328" s="88"/>
      <c r="P328" s="88"/>
    </row>
    <row r="329" spans="1:16" ht="12.75" hidden="1" customHeight="1">
      <c r="A329" s="187" t="s">
        <v>212</v>
      </c>
      <c r="B329" s="188"/>
      <c r="C329" s="188"/>
      <c r="D329" s="188"/>
      <c r="E329" s="189">
        <f t="shared" ref="E329:E392" si="51">D329-C329</f>
        <v>0</v>
      </c>
      <c r="F329" s="190" t="e">
        <f t="shared" si="50"/>
        <v>#DIV/0!</v>
      </c>
      <c r="H329" s="88"/>
      <c r="I329" s="88"/>
      <c r="J329" s="88"/>
      <c r="K329" s="89"/>
      <c r="L329" s="89"/>
      <c r="M329" s="88"/>
      <c r="O329" s="88"/>
      <c r="P329" s="88"/>
    </row>
    <row r="330" spans="1:16" ht="12.75" hidden="1" customHeight="1">
      <c r="A330" s="187" t="s">
        <v>22</v>
      </c>
      <c r="B330" s="188"/>
      <c r="C330" s="188"/>
      <c r="D330" s="188"/>
      <c r="E330" s="189">
        <f t="shared" si="51"/>
        <v>0</v>
      </c>
      <c r="F330" s="190" t="e">
        <f t="shared" si="50"/>
        <v>#DIV/0!</v>
      </c>
      <c r="H330" s="88"/>
      <c r="I330" s="88"/>
      <c r="J330" s="88"/>
      <c r="K330" s="89"/>
      <c r="L330" s="89"/>
      <c r="M330" s="88"/>
      <c r="O330" s="88"/>
      <c r="P330" s="88"/>
    </row>
    <row r="331" spans="1:16" ht="12.75" hidden="1" customHeight="1">
      <c r="A331" s="187" t="s">
        <v>213</v>
      </c>
      <c r="B331" s="188"/>
      <c r="C331" s="188"/>
      <c r="D331" s="188"/>
      <c r="E331" s="189">
        <f t="shared" si="51"/>
        <v>0</v>
      </c>
      <c r="F331" s="190" t="e">
        <f t="shared" si="50"/>
        <v>#DIV/0!</v>
      </c>
      <c r="H331" s="88"/>
      <c r="I331" s="88">
        <v>50</v>
      </c>
      <c r="J331" s="88"/>
      <c r="K331" s="89"/>
      <c r="L331" s="89"/>
      <c r="M331" s="88"/>
      <c r="O331" s="88"/>
      <c r="P331" s="88"/>
    </row>
    <row r="332" spans="1:16">
      <c r="A332" s="187" t="s">
        <v>214</v>
      </c>
      <c r="B332" s="188"/>
      <c r="C332" s="188"/>
      <c r="D332" s="188"/>
      <c r="E332" s="189"/>
      <c r="F332" s="190"/>
      <c r="H332" s="88">
        <f t="shared" ref="H332:M332" si="52">SUM(H333:H339)</f>
        <v>0</v>
      </c>
      <c r="I332" s="88">
        <f t="shared" si="52"/>
        <v>27</v>
      </c>
      <c r="J332" s="88">
        <f t="shared" si="52"/>
        <v>0</v>
      </c>
      <c r="K332" s="89">
        <f t="shared" si="52"/>
        <v>0</v>
      </c>
      <c r="L332" s="89">
        <f t="shared" si="52"/>
        <v>0</v>
      </c>
      <c r="M332" s="88">
        <f t="shared" si="52"/>
        <v>0</v>
      </c>
      <c r="O332" s="88">
        <f>SUM(O333:O339)</f>
        <v>0</v>
      </c>
      <c r="P332" s="88">
        <f>SUM(P333:P339)</f>
        <v>0</v>
      </c>
    </row>
    <row r="333" spans="1:16" ht="12.75" hidden="1" customHeight="1">
      <c r="A333" s="187" t="s">
        <v>13</v>
      </c>
      <c r="B333" s="188"/>
      <c r="C333" s="188"/>
      <c r="D333" s="188"/>
      <c r="E333" s="189">
        <f t="shared" si="51"/>
        <v>0</v>
      </c>
      <c r="F333" s="190" t="e">
        <f t="shared" si="50"/>
        <v>#DIV/0!</v>
      </c>
      <c r="H333" s="88"/>
      <c r="I333" s="88">
        <v>27</v>
      </c>
      <c r="J333" s="88"/>
      <c r="K333" s="89"/>
      <c r="L333" s="89"/>
      <c r="M333" s="88"/>
      <c r="O333" s="88"/>
      <c r="P333" s="88"/>
    </row>
    <row r="334" spans="1:16" ht="12.75" hidden="1" customHeight="1">
      <c r="A334" s="187" t="s">
        <v>14</v>
      </c>
      <c r="B334" s="188"/>
      <c r="C334" s="188"/>
      <c r="D334" s="188"/>
      <c r="E334" s="189">
        <f t="shared" si="51"/>
        <v>0</v>
      </c>
      <c r="F334" s="190" t="e">
        <f t="shared" si="50"/>
        <v>#DIV/0!</v>
      </c>
      <c r="H334" s="88"/>
      <c r="I334" s="88"/>
      <c r="J334" s="88"/>
      <c r="K334" s="89"/>
      <c r="L334" s="89"/>
      <c r="M334" s="88"/>
      <c r="O334" s="88"/>
      <c r="P334" s="88"/>
    </row>
    <row r="335" spans="1:16" ht="12.75" hidden="1" customHeight="1">
      <c r="A335" s="187" t="s">
        <v>15</v>
      </c>
      <c r="B335" s="188"/>
      <c r="C335" s="188"/>
      <c r="D335" s="188"/>
      <c r="E335" s="189">
        <f t="shared" si="51"/>
        <v>0</v>
      </c>
      <c r="F335" s="190" t="e">
        <f t="shared" si="50"/>
        <v>#DIV/0!</v>
      </c>
      <c r="H335" s="88"/>
      <c r="I335" s="88"/>
      <c r="J335" s="88"/>
      <c r="K335" s="89"/>
      <c r="L335" s="89"/>
      <c r="M335" s="88"/>
      <c r="O335" s="88"/>
      <c r="P335" s="88"/>
    </row>
    <row r="336" spans="1:16" ht="12.75" hidden="1" customHeight="1">
      <c r="A336" s="187" t="s">
        <v>215</v>
      </c>
      <c r="B336" s="188"/>
      <c r="C336" s="188"/>
      <c r="D336" s="188"/>
      <c r="E336" s="189">
        <f t="shared" si="51"/>
        <v>0</v>
      </c>
      <c r="F336" s="190" t="e">
        <f t="shared" si="50"/>
        <v>#DIV/0!</v>
      </c>
      <c r="H336" s="88"/>
      <c r="I336" s="88"/>
      <c r="J336" s="88"/>
      <c r="K336" s="89"/>
      <c r="L336" s="89"/>
      <c r="M336" s="88"/>
      <c r="O336" s="88"/>
      <c r="P336" s="88"/>
    </row>
    <row r="337" spans="1:16" ht="12.75" hidden="1" customHeight="1">
      <c r="A337" s="187" t="s">
        <v>216</v>
      </c>
      <c r="B337" s="188"/>
      <c r="C337" s="188"/>
      <c r="D337" s="188"/>
      <c r="E337" s="189">
        <f t="shared" si="51"/>
        <v>0</v>
      </c>
      <c r="F337" s="190" t="e">
        <f t="shared" si="50"/>
        <v>#DIV/0!</v>
      </c>
      <c r="H337" s="88"/>
      <c r="I337" s="88"/>
      <c r="J337" s="88"/>
      <c r="K337" s="89"/>
      <c r="L337" s="89"/>
      <c r="M337" s="88"/>
      <c r="O337" s="88"/>
      <c r="P337" s="88"/>
    </row>
    <row r="338" spans="1:16" ht="12.75" hidden="1" customHeight="1">
      <c r="A338" s="187" t="s">
        <v>22</v>
      </c>
      <c r="B338" s="188"/>
      <c r="C338" s="188"/>
      <c r="D338" s="188"/>
      <c r="E338" s="189">
        <f t="shared" si="51"/>
        <v>0</v>
      </c>
      <c r="F338" s="190" t="e">
        <f t="shared" si="50"/>
        <v>#DIV/0!</v>
      </c>
      <c r="H338" s="88"/>
      <c r="I338" s="88"/>
      <c r="J338" s="88"/>
      <c r="K338" s="89"/>
      <c r="L338" s="89"/>
      <c r="M338" s="88"/>
      <c r="O338" s="88"/>
      <c r="P338" s="88"/>
    </row>
    <row r="339" spans="1:16" ht="12.75" hidden="1" customHeight="1">
      <c r="A339" s="187" t="s">
        <v>217</v>
      </c>
      <c r="B339" s="188"/>
      <c r="C339" s="188"/>
      <c r="D339" s="188"/>
      <c r="E339" s="189">
        <f t="shared" si="51"/>
        <v>0</v>
      </c>
      <c r="F339" s="190" t="e">
        <f t="shared" si="50"/>
        <v>#DIV/0!</v>
      </c>
      <c r="H339" s="90"/>
      <c r="I339" s="90"/>
      <c r="J339" s="90"/>
      <c r="K339" s="91"/>
      <c r="L339" s="91"/>
      <c r="M339" s="90"/>
      <c r="O339" s="90"/>
      <c r="P339" s="90"/>
    </row>
    <row r="340" spans="1:16" ht="12.75" hidden="1" customHeight="1">
      <c r="A340" s="187" t="s">
        <v>218</v>
      </c>
      <c r="B340" s="188">
        <v>0</v>
      </c>
      <c r="C340" s="188">
        <v>0</v>
      </c>
      <c r="D340" s="188">
        <v>0</v>
      </c>
      <c r="E340" s="189">
        <f t="shared" si="51"/>
        <v>0</v>
      </c>
      <c r="F340" s="190" t="e">
        <f t="shared" si="50"/>
        <v>#DIV/0!</v>
      </c>
      <c r="H340" s="88">
        <f t="shared" ref="H340:M340" si="53">H341+H342</f>
        <v>0</v>
      </c>
      <c r="I340" s="88">
        <f t="shared" si="53"/>
        <v>0</v>
      </c>
      <c r="J340" s="88">
        <f t="shared" si="53"/>
        <v>0</v>
      </c>
      <c r="K340" s="89">
        <f t="shared" si="53"/>
        <v>0</v>
      </c>
      <c r="L340" s="89">
        <f t="shared" si="53"/>
        <v>0</v>
      </c>
      <c r="M340" s="88">
        <f t="shared" si="53"/>
        <v>0</v>
      </c>
      <c r="O340" s="88">
        <f>O341+O342</f>
        <v>0</v>
      </c>
      <c r="P340" s="88">
        <f>P341+P342</f>
        <v>0</v>
      </c>
    </row>
    <row r="341" spans="1:16" ht="12.75" hidden="1" customHeight="1">
      <c r="A341" s="187" t="s">
        <v>219</v>
      </c>
      <c r="B341" s="188"/>
      <c r="C341" s="188"/>
      <c r="D341" s="188"/>
      <c r="E341" s="189">
        <f t="shared" si="51"/>
        <v>0</v>
      </c>
      <c r="F341" s="190" t="e">
        <f t="shared" si="50"/>
        <v>#DIV/0!</v>
      </c>
      <c r="H341" s="88"/>
      <c r="I341" s="88"/>
      <c r="J341" s="88"/>
      <c r="K341" s="89"/>
      <c r="L341" s="89"/>
      <c r="M341" s="88"/>
      <c r="O341" s="88"/>
      <c r="P341" s="88"/>
    </row>
    <row r="342" spans="1:16" ht="12.75" hidden="1" customHeight="1">
      <c r="A342" s="187" t="s">
        <v>220</v>
      </c>
      <c r="B342" s="188"/>
      <c r="C342" s="188"/>
      <c r="D342" s="188"/>
      <c r="E342" s="189">
        <f t="shared" si="51"/>
        <v>0</v>
      </c>
      <c r="F342" s="190" t="e">
        <f t="shared" si="50"/>
        <v>#DIV/0!</v>
      </c>
      <c r="H342" s="88"/>
      <c r="I342" s="88"/>
      <c r="J342" s="88"/>
      <c r="K342" s="89"/>
      <c r="L342" s="89"/>
      <c r="M342" s="88"/>
      <c r="O342" s="88"/>
      <c r="P342" s="88"/>
    </row>
    <row r="343" spans="1:16">
      <c r="A343" s="179" t="s">
        <v>221</v>
      </c>
      <c r="B343" s="182">
        <f>B344+B349+B357+B364+B370+B374+B378+B382+B388+B395</f>
        <v>79474.12000000001</v>
      </c>
      <c r="C343" s="182">
        <f>C344+C349+C357+C364+C370+C374+C378+C382+C388+C395</f>
        <v>73374.12</v>
      </c>
      <c r="D343" s="182">
        <f>D344+D349+D357+D364+D370+D374+D378+D382+D388+D395</f>
        <v>81097.119999999995</v>
      </c>
      <c r="E343" s="185">
        <f t="shared" si="51"/>
        <v>7723</v>
      </c>
      <c r="F343" s="186">
        <f t="shared" si="50"/>
        <v>10.525509539330761</v>
      </c>
      <c r="H343" s="88">
        <f t="shared" ref="H343:M343" si="54">H344+H349+H357+H364+H370+H374+H378+H382+H388+H395</f>
        <v>6889</v>
      </c>
      <c r="I343" s="88">
        <f t="shared" si="54"/>
        <v>28908</v>
      </c>
      <c r="J343" s="88">
        <f t="shared" si="54"/>
        <v>0</v>
      </c>
      <c r="K343" s="89">
        <f t="shared" si="54"/>
        <v>200</v>
      </c>
      <c r="L343" s="89">
        <f t="shared" si="54"/>
        <v>-30</v>
      </c>
      <c r="M343" s="88">
        <f t="shared" si="54"/>
        <v>0</v>
      </c>
      <c r="O343" s="88">
        <f>O344+O349+O357+O364+O370+O374+O378+O382+O388+O395</f>
        <v>0</v>
      </c>
      <c r="P343" s="88">
        <f>P344+P349+P357+P364+P370+P374+P378+P382+P388+P395</f>
        <v>0</v>
      </c>
    </row>
    <row r="344" spans="1:16">
      <c r="A344" s="187" t="s">
        <v>222</v>
      </c>
      <c r="B344" s="188">
        <v>2635.03</v>
      </c>
      <c r="C344" s="188">
        <v>2635.03</v>
      </c>
      <c r="D344" s="188">
        <v>1707.29</v>
      </c>
      <c r="E344" s="189">
        <f t="shared" si="51"/>
        <v>-927.74000000000024</v>
      </c>
      <c r="F344" s="190">
        <f t="shared" si="50"/>
        <v>-35.207948296603838</v>
      </c>
      <c r="H344" s="88">
        <f t="shared" ref="H344:M344" si="55">SUM(H345:H348)</f>
        <v>0</v>
      </c>
      <c r="I344" s="88">
        <f t="shared" si="55"/>
        <v>695</v>
      </c>
      <c r="J344" s="88">
        <f t="shared" si="55"/>
        <v>0</v>
      </c>
      <c r="K344" s="89">
        <f t="shared" si="55"/>
        <v>0</v>
      </c>
      <c r="L344" s="89">
        <f t="shared" si="55"/>
        <v>0</v>
      </c>
      <c r="M344" s="88">
        <f t="shared" si="55"/>
        <v>0</v>
      </c>
      <c r="O344" s="88">
        <f>SUM(O345:O348)</f>
        <v>0</v>
      </c>
      <c r="P344" s="88">
        <f>SUM(P345:P348)</f>
        <v>0</v>
      </c>
    </row>
    <row r="345" spans="1:16" ht="12.75" hidden="1" customHeight="1">
      <c r="A345" s="187" t="s">
        <v>13</v>
      </c>
      <c r="B345" s="188"/>
      <c r="C345" s="188"/>
      <c r="D345" s="188"/>
      <c r="E345" s="189">
        <f t="shared" si="51"/>
        <v>0</v>
      </c>
      <c r="F345" s="190" t="e">
        <f t="shared" si="50"/>
        <v>#DIV/0!</v>
      </c>
      <c r="H345" s="88"/>
      <c r="I345" s="88">
        <v>695</v>
      </c>
      <c r="J345" s="88"/>
      <c r="K345" s="89"/>
      <c r="L345" s="89"/>
      <c r="M345" s="88"/>
      <c r="O345" s="88"/>
      <c r="P345" s="88"/>
    </row>
    <row r="346" spans="1:16" ht="12.75" hidden="1" customHeight="1">
      <c r="A346" s="187" t="s">
        <v>14</v>
      </c>
      <c r="B346" s="188"/>
      <c r="C346" s="188"/>
      <c r="D346" s="188"/>
      <c r="E346" s="189">
        <f t="shared" si="51"/>
        <v>0</v>
      </c>
      <c r="F346" s="190" t="e">
        <f t="shared" si="50"/>
        <v>#DIV/0!</v>
      </c>
      <c r="H346" s="88"/>
      <c r="I346" s="88"/>
      <c r="J346" s="88"/>
      <c r="K346" s="89"/>
      <c r="L346" s="89"/>
      <c r="M346" s="88"/>
      <c r="O346" s="88"/>
      <c r="P346" s="88"/>
    </row>
    <row r="347" spans="1:16" ht="12.75" hidden="1" customHeight="1">
      <c r="A347" s="187" t="s">
        <v>15</v>
      </c>
      <c r="B347" s="188"/>
      <c r="C347" s="188"/>
      <c r="D347" s="188"/>
      <c r="E347" s="189">
        <f t="shared" si="51"/>
        <v>0</v>
      </c>
      <c r="F347" s="190" t="e">
        <f t="shared" si="50"/>
        <v>#DIV/0!</v>
      </c>
      <c r="H347" s="88"/>
      <c r="I347" s="88"/>
      <c r="J347" s="88"/>
      <c r="K347" s="89"/>
      <c r="L347" s="89"/>
      <c r="M347" s="88"/>
      <c r="O347" s="88"/>
      <c r="P347" s="88"/>
    </row>
    <row r="348" spans="1:16" ht="12.75" hidden="1" customHeight="1">
      <c r="A348" s="187" t="s">
        <v>223</v>
      </c>
      <c r="B348" s="188"/>
      <c r="C348" s="188"/>
      <c r="D348" s="188"/>
      <c r="E348" s="189">
        <f t="shared" si="51"/>
        <v>0</v>
      </c>
      <c r="F348" s="190" t="e">
        <f t="shared" si="50"/>
        <v>#DIV/0!</v>
      </c>
      <c r="H348" s="88"/>
      <c r="I348" s="88"/>
      <c r="J348" s="88"/>
      <c r="K348" s="89"/>
      <c r="L348" s="89"/>
      <c r="M348" s="88"/>
      <c r="O348" s="88"/>
      <c r="P348" s="88"/>
    </row>
    <row r="349" spans="1:16">
      <c r="A349" s="187" t="s">
        <v>224</v>
      </c>
      <c r="B349" s="188">
        <v>58990.31</v>
      </c>
      <c r="C349" s="188">
        <v>55890.31</v>
      </c>
      <c r="D349" s="188">
        <v>67038.77</v>
      </c>
      <c r="E349" s="189">
        <f t="shared" si="51"/>
        <v>11148.460000000006</v>
      </c>
      <c r="F349" s="190">
        <f t="shared" si="50"/>
        <v>19.947035541581371</v>
      </c>
      <c r="H349" s="88">
        <f t="shared" ref="H349:M349" si="56">SUM(H350:H356)</f>
        <v>6889</v>
      </c>
      <c r="I349" s="88">
        <f t="shared" si="56"/>
        <v>24799</v>
      </c>
      <c r="J349" s="88">
        <f t="shared" si="56"/>
        <v>0</v>
      </c>
      <c r="K349" s="89">
        <f t="shared" si="56"/>
        <v>200</v>
      </c>
      <c r="L349" s="89">
        <f t="shared" si="56"/>
        <v>0</v>
      </c>
      <c r="M349" s="88">
        <f t="shared" si="56"/>
        <v>0</v>
      </c>
      <c r="O349" s="88">
        <f>SUM(O350:O356)</f>
        <v>0</v>
      </c>
      <c r="P349" s="88">
        <f>SUM(P350:P356)</f>
        <v>0</v>
      </c>
    </row>
    <row r="350" spans="1:16" ht="12.75" hidden="1" customHeight="1">
      <c r="A350" s="187" t="s">
        <v>225</v>
      </c>
      <c r="B350" s="188"/>
      <c r="C350" s="188"/>
      <c r="D350" s="188"/>
      <c r="E350" s="189">
        <f t="shared" si="51"/>
        <v>0</v>
      </c>
      <c r="F350" s="190" t="e">
        <f t="shared" si="50"/>
        <v>#DIV/0!</v>
      </c>
      <c r="H350" s="88"/>
      <c r="I350" s="88">
        <v>1148</v>
      </c>
      <c r="J350" s="88"/>
      <c r="K350" s="89"/>
      <c r="L350" s="89"/>
      <c r="M350" s="88"/>
      <c r="O350" s="88"/>
      <c r="P350" s="88"/>
    </row>
    <row r="351" spans="1:16" ht="12.75" hidden="1" customHeight="1">
      <c r="A351" s="187" t="s">
        <v>226</v>
      </c>
      <c r="B351" s="188"/>
      <c r="C351" s="188"/>
      <c r="D351" s="188"/>
      <c r="E351" s="189">
        <f t="shared" si="51"/>
        <v>0</v>
      </c>
      <c r="F351" s="190" t="e">
        <f t="shared" si="50"/>
        <v>#DIV/0!</v>
      </c>
      <c r="H351" s="88"/>
      <c r="I351" s="88">
        <v>11371</v>
      </c>
      <c r="J351" s="88"/>
      <c r="K351" s="89"/>
      <c r="L351" s="89"/>
      <c r="M351" s="88"/>
      <c r="O351" s="88"/>
      <c r="P351" s="88"/>
    </row>
    <row r="352" spans="1:16" ht="12.75" hidden="1" customHeight="1">
      <c r="A352" s="187" t="s">
        <v>227</v>
      </c>
      <c r="B352" s="188"/>
      <c r="C352" s="188"/>
      <c r="D352" s="188"/>
      <c r="E352" s="189">
        <f t="shared" si="51"/>
        <v>0</v>
      </c>
      <c r="F352" s="190" t="e">
        <f t="shared" si="50"/>
        <v>#DIV/0!</v>
      </c>
      <c r="H352" s="88"/>
      <c r="I352" s="88">
        <v>6929</v>
      </c>
      <c r="J352" s="88"/>
      <c r="K352" s="89"/>
      <c r="L352" s="89"/>
      <c r="M352" s="88"/>
      <c r="O352" s="88"/>
      <c r="P352" s="88"/>
    </row>
    <row r="353" spans="1:16" ht="12.75" hidden="1" customHeight="1">
      <c r="A353" s="187" t="s">
        <v>228</v>
      </c>
      <c r="B353" s="188"/>
      <c r="C353" s="188"/>
      <c r="D353" s="188"/>
      <c r="E353" s="189">
        <f t="shared" si="51"/>
        <v>0</v>
      </c>
      <c r="F353" s="190" t="e">
        <f t="shared" si="50"/>
        <v>#DIV/0!</v>
      </c>
      <c r="H353" s="88"/>
      <c r="I353" s="88">
        <v>2803</v>
      </c>
      <c r="J353" s="88"/>
      <c r="K353" s="89">
        <v>200</v>
      </c>
      <c r="L353" s="89"/>
      <c r="M353" s="88"/>
      <c r="O353" s="88"/>
      <c r="P353" s="88"/>
    </row>
    <row r="354" spans="1:16" ht="12.75" hidden="1" customHeight="1">
      <c r="A354" s="187" t="s">
        <v>229</v>
      </c>
      <c r="B354" s="188"/>
      <c r="C354" s="188"/>
      <c r="D354" s="188"/>
      <c r="E354" s="189">
        <f t="shared" si="51"/>
        <v>0</v>
      </c>
      <c r="F354" s="190" t="e">
        <f t="shared" si="50"/>
        <v>#DIV/0!</v>
      </c>
      <c r="H354" s="88"/>
      <c r="I354" s="88"/>
      <c r="J354" s="88"/>
      <c r="K354" s="89"/>
      <c r="L354" s="89"/>
      <c r="M354" s="88"/>
      <c r="O354" s="88"/>
      <c r="P354" s="88"/>
    </row>
    <row r="355" spans="1:16" ht="12.75" hidden="1" customHeight="1">
      <c r="A355" s="187" t="s">
        <v>230</v>
      </c>
      <c r="B355" s="188"/>
      <c r="C355" s="188"/>
      <c r="D355" s="188"/>
      <c r="E355" s="189">
        <f t="shared" si="51"/>
        <v>0</v>
      </c>
      <c r="F355" s="190" t="e">
        <f t="shared" si="50"/>
        <v>#DIV/0!</v>
      </c>
      <c r="H355" s="88"/>
      <c r="I355" s="88"/>
      <c r="J355" s="88"/>
      <c r="K355" s="89"/>
      <c r="L355" s="89"/>
      <c r="M355" s="88"/>
      <c r="O355" s="88"/>
      <c r="P355" s="88"/>
    </row>
    <row r="356" spans="1:16" ht="12.75" hidden="1" customHeight="1">
      <c r="A356" s="187" t="s">
        <v>231</v>
      </c>
      <c r="B356" s="188"/>
      <c r="C356" s="188"/>
      <c r="D356" s="188"/>
      <c r="E356" s="189">
        <f t="shared" si="51"/>
        <v>0</v>
      </c>
      <c r="F356" s="190" t="e">
        <f t="shared" si="50"/>
        <v>#DIV/0!</v>
      </c>
      <c r="H356" s="88">
        <v>6889</v>
      </c>
      <c r="I356" s="88">
        <v>2548</v>
      </c>
      <c r="J356" s="88"/>
      <c r="K356" s="89"/>
      <c r="L356" s="89"/>
      <c r="M356" s="88"/>
      <c r="O356" s="88"/>
      <c r="P356" s="88"/>
    </row>
    <row r="357" spans="1:16">
      <c r="A357" s="187" t="s">
        <v>232</v>
      </c>
      <c r="B357" s="188">
        <v>10864.29</v>
      </c>
      <c r="C357" s="188">
        <v>7864.29</v>
      </c>
      <c r="D357" s="188">
        <v>6129.36</v>
      </c>
      <c r="E357" s="189">
        <f t="shared" si="51"/>
        <v>-1734.9300000000003</v>
      </c>
      <c r="F357" s="190">
        <f t="shared" si="50"/>
        <v>-22.060859912337925</v>
      </c>
      <c r="H357" s="88">
        <f t="shared" ref="H357:M357" si="57">SUM(H358:H363)</f>
        <v>0</v>
      </c>
      <c r="I357" s="88">
        <f t="shared" si="57"/>
        <v>496</v>
      </c>
      <c r="J357" s="88">
        <f t="shared" si="57"/>
        <v>0</v>
      </c>
      <c r="K357" s="89">
        <f t="shared" si="57"/>
        <v>0</v>
      </c>
      <c r="L357" s="89">
        <f t="shared" si="57"/>
        <v>0</v>
      </c>
      <c r="M357" s="88">
        <f t="shared" si="57"/>
        <v>0</v>
      </c>
      <c r="O357" s="88">
        <f>SUM(O358:O363)</f>
        <v>0</v>
      </c>
      <c r="P357" s="88">
        <f>SUM(P358:P363)</f>
        <v>0</v>
      </c>
    </row>
    <row r="358" spans="1:16" ht="12.75" hidden="1" customHeight="1">
      <c r="A358" s="187" t="s">
        <v>233</v>
      </c>
      <c r="B358" s="188"/>
      <c r="C358" s="188"/>
      <c r="D358" s="188"/>
      <c r="E358" s="189">
        <f t="shared" si="51"/>
        <v>0</v>
      </c>
      <c r="F358" s="190" t="e">
        <f t="shared" si="50"/>
        <v>#DIV/0!</v>
      </c>
      <c r="H358" s="88"/>
      <c r="I358" s="88"/>
      <c r="J358" s="88"/>
      <c r="K358" s="89"/>
      <c r="L358" s="89"/>
      <c r="M358" s="88"/>
      <c r="O358" s="88"/>
      <c r="P358" s="88"/>
    </row>
    <row r="359" spans="1:16" ht="12.75" hidden="1" customHeight="1">
      <c r="A359" s="187" t="s">
        <v>234</v>
      </c>
      <c r="B359" s="188"/>
      <c r="C359" s="188"/>
      <c r="D359" s="188"/>
      <c r="E359" s="189">
        <f t="shared" si="51"/>
        <v>0</v>
      </c>
      <c r="F359" s="190" t="e">
        <f t="shared" si="50"/>
        <v>#DIV/0!</v>
      </c>
      <c r="H359" s="88"/>
      <c r="I359" s="88">
        <v>496</v>
      </c>
      <c r="J359" s="88"/>
      <c r="K359" s="89"/>
      <c r="L359" s="89"/>
      <c r="M359" s="88"/>
      <c r="O359" s="88"/>
      <c r="P359" s="88"/>
    </row>
    <row r="360" spans="1:16" ht="12.75" hidden="1" customHeight="1">
      <c r="A360" s="187" t="s">
        <v>235</v>
      </c>
      <c r="B360" s="188"/>
      <c r="C360" s="188"/>
      <c r="D360" s="188"/>
      <c r="E360" s="189">
        <f t="shared" si="51"/>
        <v>0</v>
      </c>
      <c r="F360" s="190" t="e">
        <f t="shared" si="50"/>
        <v>#DIV/0!</v>
      </c>
      <c r="H360" s="88"/>
      <c r="I360" s="88"/>
      <c r="J360" s="88"/>
      <c r="K360" s="89"/>
      <c r="L360" s="89"/>
      <c r="M360" s="88"/>
      <c r="O360" s="88"/>
      <c r="P360" s="88"/>
    </row>
    <row r="361" spans="1:16" ht="12.75" hidden="1" customHeight="1">
      <c r="A361" s="187" t="s">
        <v>236</v>
      </c>
      <c r="B361" s="188"/>
      <c r="C361" s="188"/>
      <c r="D361" s="188"/>
      <c r="E361" s="189">
        <f t="shared" si="51"/>
        <v>0</v>
      </c>
      <c r="F361" s="190" t="e">
        <f t="shared" si="50"/>
        <v>#DIV/0!</v>
      </c>
      <c r="H361" s="88"/>
      <c r="I361" s="88"/>
      <c r="J361" s="88"/>
      <c r="K361" s="89"/>
      <c r="L361" s="89"/>
      <c r="M361" s="88"/>
      <c r="O361" s="88"/>
      <c r="P361" s="88"/>
    </row>
    <row r="362" spans="1:16" ht="12.75" hidden="1" customHeight="1">
      <c r="A362" s="187" t="s">
        <v>237</v>
      </c>
      <c r="B362" s="188"/>
      <c r="C362" s="188"/>
      <c r="D362" s="188"/>
      <c r="E362" s="189">
        <f t="shared" si="51"/>
        <v>0</v>
      </c>
      <c r="F362" s="190" t="e">
        <f t="shared" si="50"/>
        <v>#DIV/0!</v>
      </c>
      <c r="H362" s="88"/>
      <c r="I362" s="88"/>
      <c r="J362" s="88"/>
      <c r="K362" s="89"/>
      <c r="L362" s="89"/>
      <c r="M362" s="88"/>
      <c r="O362" s="88"/>
      <c r="P362" s="88"/>
    </row>
    <row r="363" spans="1:16" ht="12.75" hidden="1" customHeight="1">
      <c r="A363" s="187" t="s">
        <v>238</v>
      </c>
      <c r="B363" s="188"/>
      <c r="C363" s="188"/>
      <c r="D363" s="188"/>
      <c r="E363" s="189">
        <f t="shared" si="51"/>
        <v>0</v>
      </c>
      <c r="F363" s="190" t="e">
        <f t="shared" si="50"/>
        <v>#DIV/0!</v>
      </c>
      <c r="H363" s="88"/>
      <c r="I363" s="88"/>
      <c r="J363" s="88"/>
      <c r="K363" s="89"/>
      <c r="L363" s="89"/>
      <c r="M363" s="88"/>
      <c r="O363" s="88"/>
      <c r="P363" s="88"/>
    </row>
    <row r="364" spans="1:16">
      <c r="A364" s="187" t="s">
        <v>239</v>
      </c>
      <c r="B364" s="188"/>
      <c r="C364" s="188"/>
      <c r="D364" s="188"/>
      <c r="E364" s="189"/>
      <c r="F364" s="190"/>
      <c r="H364" s="88">
        <f t="shared" ref="H364:M364" si="58">SUM(H365:H369)</f>
        <v>0</v>
      </c>
      <c r="I364" s="88">
        <f t="shared" si="58"/>
        <v>4</v>
      </c>
      <c r="J364" s="88">
        <f t="shared" si="58"/>
        <v>0</v>
      </c>
      <c r="K364" s="89">
        <f t="shared" si="58"/>
        <v>0</v>
      </c>
      <c r="L364" s="89">
        <f t="shared" si="58"/>
        <v>0</v>
      </c>
      <c r="M364" s="88">
        <f t="shared" si="58"/>
        <v>0</v>
      </c>
      <c r="O364" s="88">
        <f>SUM(O365:O369)</f>
        <v>0</v>
      </c>
      <c r="P364" s="88">
        <f>SUM(P365:P369)</f>
        <v>0</v>
      </c>
    </row>
    <row r="365" spans="1:16" ht="13.5" hidden="1" customHeight="1">
      <c r="A365" s="187" t="s">
        <v>240</v>
      </c>
      <c r="B365" s="188"/>
      <c r="C365" s="188"/>
      <c r="D365" s="188"/>
      <c r="E365" s="189"/>
      <c r="F365" s="190" t="e">
        <f t="shared" si="50"/>
        <v>#DIV/0!</v>
      </c>
      <c r="H365" s="88"/>
      <c r="I365" s="88"/>
      <c r="J365" s="88"/>
      <c r="K365" s="89"/>
      <c r="L365" s="89"/>
      <c r="M365" s="88"/>
      <c r="O365" s="88"/>
      <c r="P365" s="88"/>
    </row>
    <row r="366" spans="1:16" ht="12.75" hidden="1" customHeight="1">
      <c r="A366" s="187" t="s">
        <v>241</v>
      </c>
      <c r="B366" s="188"/>
      <c r="C366" s="188"/>
      <c r="D366" s="188"/>
      <c r="E366" s="189"/>
      <c r="F366" s="190" t="e">
        <f t="shared" si="50"/>
        <v>#DIV/0!</v>
      </c>
      <c r="H366" s="88"/>
      <c r="I366" s="88"/>
      <c r="J366" s="88"/>
      <c r="K366" s="89"/>
      <c r="L366" s="89"/>
      <c r="M366" s="88"/>
      <c r="O366" s="88"/>
      <c r="P366" s="88"/>
    </row>
    <row r="367" spans="1:16" ht="12.75" hidden="1" customHeight="1">
      <c r="A367" s="187" t="s">
        <v>242</v>
      </c>
      <c r="B367" s="188"/>
      <c r="C367" s="188"/>
      <c r="D367" s="188"/>
      <c r="E367" s="189"/>
      <c r="F367" s="190" t="e">
        <f t="shared" si="50"/>
        <v>#DIV/0!</v>
      </c>
      <c r="H367" s="88"/>
      <c r="I367" s="88"/>
      <c r="J367" s="88"/>
      <c r="K367" s="89"/>
      <c r="L367" s="89"/>
      <c r="M367" s="88"/>
      <c r="O367" s="88"/>
      <c r="P367" s="88"/>
    </row>
    <row r="368" spans="1:16" ht="12.75" hidden="1" customHeight="1">
      <c r="A368" s="187" t="s">
        <v>243</v>
      </c>
      <c r="B368" s="188"/>
      <c r="C368" s="188"/>
      <c r="D368" s="188"/>
      <c r="E368" s="189"/>
      <c r="F368" s="190" t="e">
        <f t="shared" si="50"/>
        <v>#DIV/0!</v>
      </c>
      <c r="H368" s="88"/>
      <c r="I368" s="88"/>
      <c r="J368" s="88"/>
      <c r="K368" s="89"/>
      <c r="L368" s="89"/>
      <c r="M368" s="88"/>
      <c r="O368" s="88"/>
      <c r="P368" s="88"/>
    </row>
    <row r="369" spans="1:16" ht="12.75" hidden="1" customHeight="1">
      <c r="A369" s="187" t="s">
        <v>244</v>
      </c>
      <c r="B369" s="188"/>
      <c r="C369" s="188"/>
      <c r="D369" s="188"/>
      <c r="E369" s="189"/>
      <c r="F369" s="190" t="e">
        <f t="shared" si="50"/>
        <v>#DIV/0!</v>
      </c>
      <c r="H369" s="88"/>
      <c r="I369" s="88">
        <v>4</v>
      </c>
      <c r="J369" s="88"/>
      <c r="K369" s="89"/>
      <c r="L369" s="89"/>
      <c r="M369" s="88"/>
      <c r="O369" s="88"/>
      <c r="P369" s="88"/>
    </row>
    <row r="370" spans="1:16">
      <c r="A370" s="187" t="s">
        <v>245</v>
      </c>
      <c r="B370" s="188"/>
      <c r="C370" s="188"/>
      <c r="D370" s="188"/>
      <c r="E370" s="189"/>
      <c r="F370" s="190"/>
      <c r="H370" s="88">
        <f t="shared" ref="H370:M370" si="59">SUM(H371:H373)</f>
        <v>0</v>
      </c>
      <c r="I370" s="88">
        <f t="shared" si="59"/>
        <v>1</v>
      </c>
      <c r="J370" s="88">
        <f t="shared" si="59"/>
        <v>0</v>
      </c>
      <c r="K370" s="89">
        <f t="shared" si="59"/>
        <v>0</v>
      </c>
      <c r="L370" s="89">
        <f t="shared" si="59"/>
        <v>0</v>
      </c>
      <c r="M370" s="88">
        <f t="shared" si="59"/>
        <v>0</v>
      </c>
      <c r="O370" s="88">
        <f>SUM(O371:O373)</f>
        <v>0</v>
      </c>
      <c r="P370" s="88">
        <f>SUM(P371:P373)</f>
        <v>0</v>
      </c>
    </row>
    <row r="371" spans="1:16" ht="12.75" hidden="1" customHeight="1">
      <c r="A371" s="187" t="s">
        <v>246</v>
      </c>
      <c r="B371" s="188"/>
      <c r="C371" s="188"/>
      <c r="D371" s="188"/>
      <c r="E371" s="189">
        <f t="shared" si="51"/>
        <v>0</v>
      </c>
      <c r="F371" s="190" t="e">
        <f t="shared" si="50"/>
        <v>#DIV/0!</v>
      </c>
      <c r="H371" s="88"/>
      <c r="I371" s="88"/>
      <c r="J371" s="88"/>
      <c r="K371" s="89"/>
      <c r="L371" s="89"/>
      <c r="M371" s="88"/>
      <c r="O371" s="88"/>
      <c r="P371" s="88"/>
    </row>
    <row r="372" spans="1:16" ht="12.75" hidden="1" customHeight="1">
      <c r="A372" s="187" t="s">
        <v>247</v>
      </c>
      <c r="B372" s="188"/>
      <c r="C372" s="188"/>
      <c r="D372" s="188"/>
      <c r="E372" s="189">
        <f t="shared" si="51"/>
        <v>0</v>
      </c>
      <c r="F372" s="190" t="e">
        <f t="shared" si="50"/>
        <v>#DIV/0!</v>
      </c>
      <c r="H372" s="88"/>
      <c r="I372" s="88"/>
      <c r="J372" s="88"/>
      <c r="K372" s="89"/>
      <c r="L372" s="89"/>
      <c r="M372" s="88"/>
      <c r="O372" s="88"/>
      <c r="P372" s="88"/>
    </row>
    <row r="373" spans="1:16" ht="12.75" hidden="1" customHeight="1">
      <c r="A373" s="187" t="s">
        <v>248</v>
      </c>
      <c r="B373" s="188"/>
      <c r="C373" s="188"/>
      <c r="D373" s="188"/>
      <c r="E373" s="189">
        <f t="shared" si="51"/>
        <v>0</v>
      </c>
      <c r="F373" s="190" t="e">
        <f t="shared" si="50"/>
        <v>#DIV/0!</v>
      </c>
      <c r="H373" s="88"/>
      <c r="I373" s="88">
        <v>1</v>
      </c>
      <c r="J373" s="88"/>
      <c r="K373" s="89"/>
      <c r="L373" s="89"/>
      <c r="M373" s="88"/>
      <c r="O373" s="88"/>
      <c r="P373" s="88"/>
    </row>
    <row r="374" spans="1:16" ht="12.75" hidden="1" customHeight="1">
      <c r="A374" s="187" t="s">
        <v>249</v>
      </c>
      <c r="B374" s="188"/>
      <c r="C374" s="188"/>
      <c r="D374" s="188"/>
      <c r="E374" s="189">
        <f t="shared" si="51"/>
        <v>0</v>
      </c>
      <c r="F374" s="190" t="e">
        <f t="shared" si="50"/>
        <v>#DIV/0!</v>
      </c>
      <c r="H374" s="88">
        <f t="shared" ref="H374:M374" si="60">SUM(H375:H377)</f>
        <v>0</v>
      </c>
      <c r="I374" s="88">
        <f t="shared" si="60"/>
        <v>0</v>
      </c>
      <c r="J374" s="88">
        <f t="shared" si="60"/>
        <v>0</v>
      </c>
      <c r="K374" s="89">
        <f t="shared" si="60"/>
        <v>0</v>
      </c>
      <c r="L374" s="89">
        <f t="shared" si="60"/>
        <v>0</v>
      </c>
      <c r="M374" s="88">
        <f t="shared" si="60"/>
        <v>0</v>
      </c>
      <c r="O374" s="88">
        <f>SUM(O375:O377)</f>
        <v>0</v>
      </c>
      <c r="P374" s="88">
        <f>SUM(P375:P377)</f>
        <v>0</v>
      </c>
    </row>
    <row r="375" spans="1:16" ht="12.75" hidden="1" customHeight="1">
      <c r="A375" s="187" t="s">
        <v>250</v>
      </c>
      <c r="B375" s="188"/>
      <c r="C375" s="188"/>
      <c r="D375" s="188"/>
      <c r="E375" s="189">
        <f t="shared" si="51"/>
        <v>0</v>
      </c>
      <c r="F375" s="190" t="e">
        <f t="shared" si="50"/>
        <v>#DIV/0!</v>
      </c>
      <c r="H375" s="88"/>
      <c r="I375" s="88"/>
      <c r="J375" s="88"/>
      <c r="K375" s="89"/>
      <c r="L375" s="89"/>
      <c r="M375" s="88"/>
      <c r="O375" s="88"/>
      <c r="P375" s="88"/>
    </row>
    <row r="376" spans="1:16" ht="12.75" hidden="1" customHeight="1">
      <c r="A376" s="187" t="s">
        <v>251</v>
      </c>
      <c r="B376" s="188"/>
      <c r="C376" s="188"/>
      <c r="D376" s="188"/>
      <c r="E376" s="189">
        <f t="shared" si="51"/>
        <v>0</v>
      </c>
      <c r="F376" s="190" t="e">
        <f t="shared" si="50"/>
        <v>#DIV/0!</v>
      </c>
      <c r="H376" s="88"/>
      <c r="I376" s="88"/>
      <c r="J376" s="88"/>
      <c r="K376" s="89"/>
      <c r="L376" s="89"/>
      <c r="M376" s="88"/>
      <c r="O376" s="88"/>
      <c r="P376" s="88"/>
    </row>
    <row r="377" spans="1:16" ht="12.75" hidden="1" customHeight="1">
      <c r="A377" s="187" t="s">
        <v>252</v>
      </c>
      <c r="B377" s="188"/>
      <c r="C377" s="188"/>
      <c r="D377" s="188"/>
      <c r="E377" s="189">
        <f t="shared" si="51"/>
        <v>0</v>
      </c>
      <c r="F377" s="190" t="e">
        <f t="shared" si="50"/>
        <v>#DIV/0!</v>
      </c>
      <c r="H377" s="88"/>
      <c r="I377" s="88"/>
      <c r="J377" s="88"/>
      <c r="K377" s="89"/>
      <c r="L377" s="89"/>
      <c r="M377" s="88"/>
      <c r="O377" s="88"/>
      <c r="P377" s="88"/>
    </row>
    <row r="378" spans="1:16">
      <c r="A378" s="187" t="s">
        <v>253</v>
      </c>
      <c r="B378" s="188">
        <v>248.24</v>
      </c>
      <c r="C378" s="188">
        <v>248.24</v>
      </c>
      <c r="D378" s="188">
        <v>367.25</v>
      </c>
      <c r="E378" s="189">
        <f t="shared" si="51"/>
        <v>119.00999999999999</v>
      </c>
      <c r="F378" s="190">
        <f t="shared" si="50"/>
        <v>47.941508217853688</v>
      </c>
      <c r="H378" s="88">
        <f t="shared" ref="H378:M378" si="61">SUM(H379:H381)</f>
        <v>0</v>
      </c>
      <c r="I378" s="88">
        <f t="shared" si="61"/>
        <v>131</v>
      </c>
      <c r="J378" s="88">
        <f t="shared" si="61"/>
        <v>0</v>
      </c>
      <c r="K378" s="89">
        <f t="shared" si="61"/>
        <v>0</v>
      </c>
      <c r="L378" s="89">
        <f t="shared" si="61"/>
        <v>0</v>
      </c>
      <c r="M378" s="88">
        <f t="shared" si="61"/>
        <v>0</v>
      </c>
      <c r="O378" s="88">
        <f>SUM(O379:O381)</f>
        <v>0</v>
      </c>
      <c r="P378" s="88">
        <f>SUM(P379:P381)</f>
        <v>0</v>
      </c>
    </row>
    <row r="379" spans="1:16" ht="12.75" hidden="1" customHeight="1">
      <c r="A379" s="187" t="s">
        <v>254</v>
      </c>
      <c r="B379" s="188"/>
      <c r="C379" s="188"/>
      <c r="D379" s="188"/>
      <c r="E379" s="189">
        <f t="shared" si="51"/>
        <v>0</v>
      </c>
      <c r="F379" s="190" t="e">
        <f t="shared" si="50"/>
        <v>#DIV/0!</v>
      </c>
      <c r="H379" s="88"/>
      <c r="I379" s="88">
        <v>131</v>
      </c>
      <c r="J379" s="88"/>
      <c r="K379" s="89"/>
      <c r="L379" s="89"/>
      <c r="M379" s="88"/>
      <c r="O379" s="88"/>
      <c r="P379" s="88"/>
    </row>
    <row r="380" spans="1:16" ht="12.75" hidden="1" customHeight="1">
      <c r="A380" s="187" t="s">
        <v>255</v>
      </c>
      <c r="B380" s="188"/>
      <c r="C380" s="188"/>
      <c r="D380" s="188"/>
      <c r="E380" s="189">
        <f t="shared" si="51"/>
        <v>0</v>
      </c>
      <c r="F380" s="190" t="e">
        <f t="shared" si="50"/>
        <v>#DIV/0!</v>
      </c>
      <c r="H380" s="88"/>
      <c r="I380" s="88"/>
      <c r="J380" s="88"/>
      <c r="K380" s="89"/>
      <c r="L380" s="89"/>
      <c r="M380" s="88"/>
      <c r="O380" s="88"/>
      <c r="P380" s="88"/>
    </row>
    <row r="381" spans="1:16" ht="12.75" hidden="1" customHeight="1">
      <c r="A381" s="187" t="s">
        <v>256</v>
      </c>
      <c r="B381" s="188"/>
      <c r="C381" s="188"/>
      <c r="D381" s="188"/>
      <c r="E381" s="189">
        <f t="shared" si="51"/>
        <v>0</v>
      </c>
      <c r="F381" s="190" t="e">
        <f t="shared" si="50"/>
        <v>#DIV/0!</v>
      </c>
      <c r="H381" s="88"/>
      <c r="I381" s="88"/>
      <c r="J381" s="88"/>
      <c r="K381" s="89"/>
      <c r="L381" s="89"/>
      <c r="M381" s="88"/>
      <c r="O381" s="88"/>
      <c r="P381" s="88"/>
    </row>
    <row r="382" spans="1:16">
      <c r="A382" s="187" t="s">
        <v>257</v>
      </c>
      <c r="B382" s="188">
        <v>783.75</v>
      </c>
      <c r="C382" s="188">
        <v>783.75</v>
      </c>
      <c r="D382" s="188">
        <v>947.45</v>
      </c>
      <c r="E382" s="189">
        <f t="shared" si="51"/>
        <v>163.70000000000005</v>
      </c>
      <c r="F382" s="190">
        <f t="shared" si="50"/>
        <v>20.886762360446575</v>
      </c>
      <c r="H382" s="88">
        <f t="shared" ref="H382:M382" si="62">SUM(H383:H387)</f>
        <v>0</v>
      </c>
      <c r="I382" s="88">
        <f t="shared" si="62"/>
        <v>482</v>
      </c>
      <c r="J382" s="88">
        <f t="shared" si="62"/>
        <v>0</v>
      </c>
      <c r="K382" s="89">
        <f t="shared" si="62"/>
        <v>0</v>
      </c>
      <c r="L382" s="89">
        <f t="shared" si="62"/>
        <v>0</v>
      </c>
      <c r="M382" s="88">
        <f t="shared" si="62"/>
        <v>0</v>
      </c>
      <c r="O382" s="88">
        <f>SUM(O383:O387)</f>
        <v>0</v>
      </c>
      <c r="P382" s="88">
        <f>SUM(P383:P387)</f>
        <v>0</v>
      </c>
    </row>
    <row r="383" spans="1:16" ht="12.75" hidden="1" customHeight="1">
      <c r="A383" s="187" t="s">
        <v>258</v>
      </c>
      <c r="B383" s="188"/>
      <c r="C383" s="188"/>
      <c r="D383" s="188"/>
      <c r="E383" s="189">
        <f t="shared" si="51"/>
        <v>0</v>
      </c>
      <c r="F383" s="190" t="e">
        <f t="shared" si="50"/>
        <v>#DIV/0!</v>
      </c>
      <c r="H383" s="88"/>
      <c r="I383" s="88">
        <v>313</v>
      </c>
      <c r="J383" s="88"/>
      <c r="K383" s="89"/>
      <c r="L383" s="89"/>
      <c r="M383" s="88"/>
      <c r="O383" s="88"/>
      <c r="P383" s="88"/>
    </row>
    <row r="384" spans="1:16" ht="12.75" hidden="1" customHeight="1">
      <c r="A384" s="187" t="s">
        <v>259</v>
      </c>
      <c r="B384" s="188"/>
      <c r="C384" s="188"/>
      <c r="D384" s="188"/>
      <c r="E384" s="189">
        <f t="shared" si="51"/>
        <v>0</v>
      </c>
      <c r="F384" s="190" t="e">
        <f t="shared" si="50"/>
        <v>#DIV/0!</v>
      </c>
      <c r="H384" s="88"/>
      <c r="I384" s="88">
        <v>169</v>
      </c>
      <c r="J384" s="88"/>
      <c r="K384" s="89"/>
      <c r="L384" s="89"/>
      <c r="M384" s="88"/>
      <c r="O384" s="88"/>
      <c r="P384" s="88"/>
    </row>
    <row r="385" spans="1:16" ht="12.75" hidden="1" customHeight="1">
      <c r="A385" s="187" t="s">
        <v>260</v>
      </c>
      <c r="B385" s="188"/>
      <c r="C385" s="188"/>
      <c r="D385" s="188"/>
      <c r="E385" s="189">
        <f t="shared" si="51"/>
        <v>0</v>
      </c>
      <c r="F385" s="190" t="e">
        <f t="shared" si="50"/>
        <v>#DIV/0!</v>
      </c>
      <c r="H385" s="88"/>
      <c r="I385" s="88"/>
      <c r="J385" s="88"/>
      <c r="K385" s="89"/>
      <c r="L385" s="89"/>
      <c r="M385" s="88"/>
      <c r="O385" s="88"/>
      <c r="P385" s="88"/>
    </row>
    <row r="386" spans="1:16" ht="12.75" hidden="1" customHeight="1">
      <c r="A386" s="187" t="s">
        <v>261</v>
      </c>
      <c r="B386" s="188"/>
      <c r="C386" s="188"/>
      <c r="D386" s="188"/>
      <c r="E386" s="189">
        <f t="shared" si="51"/>
        <v>0</v>
      </c>
      <c r="F386" s="190" t="e">
        <f t="shared" si="50"/>
        <v>#DIV/0!</v>
      </c>
      <c r="H386" s="88"/>
      <c r="I386" s="88"/>
      <c r="J386" s="88"/>
      <c r="K386" s="89"/>
      <c r="L386" s="89"/>
      <c r="M386" s="88"/>
      <c r="O386" s="88"/>
      <c r="P386" s="88"/>
    </row>
    <row r="387" spans="1:16" ht="12.75" hidden="1" customHeight="1">
      <c r="A387" s="187" t="s">
        <v>262</v>
      </c>
      <c r="B387" s="188"/>
      <c r="C387" s="188"/>
      <c r="D387" s="188"/>
      <c r="E387" s="189">
        <f t="shared" si="51"/>
        <v>0</v>
      </c>
      <c r="F387" s="190" t="e">
        <f t="shared" si="50"/>
        <v>#DIV/0!</v>
      </c>
      <c r="H387" s="88"/>
      <c r="I387" s="88"/>
      <c r="J387" s="88"/>
      <c r="K387" s="89"/>
      <c r="L387" s="89"/>
      <c r="M387" s="88"/>
      <c r="O387" s="88"/>
      <c r="P387" s="88"/>
    </row>
    <row r="388" spans="1:16">
      <c r="A388" s="187" t="s">
        <v>263</v>
      </c>
      <c r="B388" s="188">
        <v>3000</v>
      </c>
      <c r="C388" s="188">
        <v>3000</v>
      </c>
      <c r="D388" s="188">
        <v>2896</v>
      </c>
      <c r="E388" s="189">
        <f t="shared" si="51"/>
        <v>-104</v>
      </c>
      <c r="F388" s="190">
        <f t="shared" si="50"/>
        <v>-3.4666666666666663</v>
      </c>
      <c r="H388" s="88">
        <f t="shared" ref="H388:M388" si="63">SUM(H389:H394)</f>
        <v>0</v>
      </c>
      <c r="I388" s="88">
        <f t="shared" si="63"/>
        <v>2300</v>
      </c>
      <c r="J388" s="88">
        <f t="shared" si="63"/>
        <v>0</v>
      </c>
      <c r="K388" s="89">
        <f t="shared" si="63"/>
        <v>0</v>
      </c>
      <c r="L388" s="89">
        <f t="shared" si="63"/>
        <v>-30</v>
      </c>
      <c r="M388" s="88">
        <f t="shared" si="63"/>
        <v>0</v>
      </c>
      <c r="O388" s="88">
        <f>SUM(O389:O394)</f>
        <v>0</v>
      </c>
      <c r="P388" s="88">
        <f>SUM(P389:P394)</f>
        <v>0</v>
      </c>
    </row>
    <row r="389" spans="1:16" ht="12.75" hidden="1" customHeight="1">
      <c r="A389" s="187" t="s">
        <v>264</v>
      </c>
      <c r="B389" s="188"/>
      <c r="C389" s="188"/>
      <c r="D389" s="188"/>
      <c r="E389" s="189">
        <f t="shared" si="51"/>
        <v>0</v>
      </c>
      <c r="F389" s="190" t="e">
        <f t="shared" si="50"/>
        <v>#DIV/0!</v>
      </c>
      <c r="H389" s="88"/>
      <c r="I389" s="88"/>
      <c r="J389" s="88"/>
      <c r="K389" s="89"/>
      <c r="L389" s="89"/>
      <c r="M389" s="88"/>
      <c r="O389" s="88"/>
      <c r="P389" s="88"/>
    </row>
    <row r="390" spans="1:16" ht="12.75" hidden="1" customHeight="1">
      <c r="A390" s="187" t="s">
        <v>265</v>
      </c>
      <c r="B390" s="188"/>
      <c r="C390" s="188"/>
      <c r="D390" s="188"/>
      <c r="E390" s="189">
        <f t="shared" si="51"/>
        <v>0</v>
      </c>
      <c r="F390" s="190" t="e">
        <f t="shared" si="50"/>
        <v>#DIV/0!</v>
      </c>
      <c r="H390" s="88"/>
      <c r="I390" s="88"/>
      <c r="J390" s="88"/>
      <c r="K390" s="89"/>
      <c r="L390" s="89"/>
      <c r="M390" s="88"/>
      <c r="O390" s="88"/>
      <c r="P390" s="88"/>
    </row>
    <row r="391" spans="1:16" ht="12.75" hidden="1" customHeight="1">
      <c r="A391" s="187" t="s">
        <v>266</v>
      </c>
      <c r="B391" s="188"/>
      <c r="C391" s="188"/>
      <c r="D391" s="188"/>
      <c r="E391" s="189">
        <f t="shared" si="51"/>
        <v>0</v>
      </c>
      <c r="F391" s="190" t="e">
        <f t="shared" ref="F391:F454" si="64">E391/C391*100</f>
        <v>#DIV/0!</v>
      </c>
      <c r="H391" s="88"/>
      <c r="I391" s="88"/>
      <c r="J391" s="88"/>
      <c r="K391" s="89"/>
      <c r="L391" s="89"/>
      <c r="M391" s="88"/>
      <c r="O391" s="88"/>
      <c r="P391" s="88"/>
    </row>
    <row r="392" spans="1:16" ht="12.75" hidden="1" customHeight="1">
      <c r="A392" s="187" t="s">
        <v>267</v>
      </c>
      <c r="B392" s="188"/>
      <c r="C392" s="188"/>
      <c r="D392" s="188"/>
      <c r="E392" s="189">
        <f t="shared" si="51"/>
        <v>0</v>
      </c>
      <c r="F392" s="190" t="e">
        <f t="shared" si="64"/>
        <v>#DIV/0!</v>
      </c>
      <c r="H392" s="88"/>
      <c r="I392" s="88"/>
      <c r="J392" s="88"/>
      <c r="K392" s="89"/>
      <c r="L392" s="89"/>
      <c r="M392" s="88"/>
      <c r="O392" s="88"/>
      <c r="P392" s="88"/>
    </row>
    <row r="393" spans="1:16" ht="12.75" hidden="1" customHeight="1">
      <c r="A393" s="187" t="s">
        <v>268</v>
      </c>
      <c r="B393" s="188"/>
      <c r="C393" s="188"/>
      <c r="D393" s="188"/>
      <c r="E393" s="189">
        <f t="shared" ref="E393:E456" si="65">D393-C393</f>
        <v>0</v>
      </c>
      <c r="F393" s="190" t="e">
        <f t="shared" si="64"/>
        <v>#DIV/0!</v>
      </c>
      <c r="H393" s="88"/>
      <c r="I393" s="88"/>
      <c r="J393" s="88"/>
      <c r="K393" s="89"/>
      <c r="L393" s="89"/>
      <c r="M393" s="88"/>
      <c r="O393" s="88"/>
      <c r="P393" s="88"/>
    </row>
    <row r="394" spans="1:16" ht="12.75" hidden="1" customHeight="1">
      <c r="A394" s="187" t="s">
        <v>269</v>
      </c>
      <c r="B394" s="188"/>
      <c r="C394" s="188"/>
      <c r="D394" s="188"/>
      <c r="E394" s="189">
        <f t="shared" si="65"/>
        <v>0</v>
      </c>
      <c r="F394" s="190" t="e">
        <f t="shared" si="64"/>
        <v>#DIV/0!</v>
      </c>
      <c r="H394" s="88"/>
      <c r="I394" s="88">
        <v>2300</v>
      </c>
      <c r="J394" s="88"/>
      <c r="K394" s="89"/>
      <c r="L394" s="89">
        <v>-30</v>
      </c>
      <c r="M394" s="88"/>
      <c r="O394" s="88"/>
      <c r="P394" s="88"/>
    </row>
    <row r="395" spans="1:16">
      <c r="A395" s="187" t="s">
        <v>270</v>
      </c>
      <c r="B395" s="188">
        <v>2952.5</v>
      </c>
      <c r="C395" s="188">
        <v>2952.5</v>
      </c>
      <c r="D395" s="188">
        <v>2011</v>
      </c>
      <c r="E395" s="189">
        <f t="shared" si="65"/>
        <v>-941.5</v>
      </c>
      <c r="F395" s="190">
        <f t="shared" si="64"/>
        <v>-31.888230313293818</v>
      </c>
      <c r="H395" s="88">
        <f t="shared" ref="H395:M395" si="66">H396</f>
        <v>0</v>
      </c>
      <c r="I395" s="88">
        <f t="shared" si="66"/>
        <v>0</v>
      </c>
      <c r="J395" s="88">
        <f t="shared" si="66"/>
        <v>0</v>
      </c>
      <c r="K395" s="89">
        <f t="shared" si="66"/>
        <v>0</v>
      </c>
      <c r="L395" s="89">
        <f t="shared" si="66"/>
        <v>0</v>
      </c>
      <c r="M395" s="88">
        <f t="shared" si="66"/>
        <v>0</v>
      </c>
      <c r="O395" s="88">
        <f>O396</f>
        <v>0</v>
      </c>
      <c r="P395" s="88">
        <f>P396</f>
        <v>0</v>
      </c>
    </row>
    <row r="396" spans="1:16" ht="12.75" hidden="1" customHeight="1">
      <c r="A396" s="187" t="s">
        <v>271</v>
      </c>
      <c r="B396" s="188"/>
      <c r="C396" s="188"/>
      <c r="D396" s="188"/>
      <c r="E396" s="189">
        <f t="shared" si="65"/>
        <v>0</v>
      </c>
      <c r="F396" s="190" t="e">
        <f t="shared" si="64"/>
        <v>#DIV/0!</v>
      </c>
      <c r="H396" s="88"/>
      <c r="I396" s="88"/>
      <c r="J396" s="88"/>
      <c r="K396" s="89"/>
      <c r="L396" s="89"/>
      <c r="M396" s="88"/>
      <c r="O396" s="88"/>
      <c r="P396" s="88"/>
    </row>
    <row r="397" spans="1:16">
      <c r="A397" s="179" t="s">
        <v>272</v>
      </c>
      <c r="B397" s="182">
        <f>SUM(B398,B403,B412,B418,B424,B429,B434,B441,B445,B447)</f>
        <v>647.91</v>
      </c>
      <c r="C397" s="182">
        <f>SUM(C398,C403,C412,C418,C424,C429,C434,C441,C445,C447)</f>
        <v>647.91</v>
      </c>
      <c r="D397" s="182">
        <f>SUM(D398,D403,D412,D418,D424,D429,D434,D441,D445,D447)</f>
        <v>100944.79000000001</v>
      </c>
      <c r="E397" s="185">
        <f t="shared" si="65"/>
        <v>100296.88</v>
      </c>
      <c r="F397" s="186">
        <f t="shared" si="64"/>
        <v>15480.063589078731</v>
      </c>
      <c r="H397" s="88">
        <f t="shared" ref="H397:M397" si="67">SUM(H398,H403,H412,H418,H424,H429,H434,H441,H445,H447)</f>
        <v>0</v>
      </c>
      <c r="I397" s="88">
        <f t="shared" si="67"/>
        <v>203</v>
      </c>
      <c r="J397" s="88">
        <f t="shared" si="67"/>
        <v>0</v>
      </c>
      <c r="K397" s="89">
        <f t="shared" si="67"/>
        <v>185</v>
      </c>
      <c r="L397" s="89">
        <f t="shared" si="67"/>
        <v>0</v>
      </c>
      <c r="M397" s="88">
        <f t="shared" si="67"/>
        <v>0</v>
      </c>
      <c r="O397" s="88">
        <f>SUM(O398,O403,O412,O418,O424,O429,O434,O441,O445,O447)</f>
        <v>0</v>
      </c>
      <c r="P397" s="88">
        <f>SUM(P398,P403,P412,P418,P424,P429,P434,P441,P445,P447)</f>
        <v>0</v>
      </c>
    </row>
    <row r="398" spans="1:16">
      <c r="A398" s="187" t="s">
        <v>273</v>
      </c>
      <c r="B398" s="188">
        <v>103.91</v>
      </c>
      <c r="C398" s="188">
        <v>103.91</v>
      </c>
      <c r="D398" s="188">
        <v>126.79</v>
      </c>
      <c r="E398" s="189">
        <f t="shared" si="65"/>
        <v>22.88000000000001</v>
      </c>
      <c r="F398" s="190">
        <f t="shared" si="64"/>
        <v>22.01905495140026</v>
      </c>
      <c r="H398" s="88">
        <f t="shared" ref="H398:M398" si="68">SUM(H399:H402)</f>
        <v>0</v>
      </c>
      <c r="I398" s="88">
        <f t="shared" si="68"/>
        <v>79</v>
      </c>
      <c r="J398" s="88">
        <f t="shared" si="68"/>
        <v>0</v>
      </c>
      <c r="K398" s="89">
        <f t="shared" si="68"/>
        <v>85</v>
      </c>
      <c r="L398" s="89">
        <f t="shared" si="68"/>
        <v>0</v>
      </c>
      <c r="M398" s="88">
        <f t="shared" si="68"/>
        <v>0</v>
      </c>
      <c r="O398" s="88">
        <f>SUM(O399:O402)</f>
        <v>0</v>
      </c>
      <c r="P398" s="88">
        <f>SUM(P399:P402)</f>
        <v>0</v>
      </c>
    </row>
    <row r="399" spans="1:16" ht="12.75" hidden="1" customHeight="1">
      <c r="A399" s="187" t="s">
        <v>13</v>
      </c>
      <c r="B399" s="188"/>
      <c r="C399" s="188"/>
      <c r="D399" s="188"/>
      <c r="E399" s="189">
        <f t="shared" si="65"/>
        <v>0</v>
      </c>
      <c r="F399" s="190" t="e">
        <f t="shared" si="64"/>
        <v>#DIV/0!</v>
      </c>
      <c r="H399" s="88"/>
      <c r="I399" s="88">
        <v>79</v>
      </c>
      <c r="J399" s="88"/>
      <c r="K399" s="89"/>
      <c r="L399" s="89"/>
      <c r="M399" s="88"/>
      <c r="O399" s="88"/>
      <c r="P399" s="88"/>
    </row>
    <row r="400" spans="1:16" ht="12.75" hidden="1" customHeight="1">
      <c r="A400" s="187" t="s">
        <v>14</v>
      </c>
      <c r="B400" s="188"/>
      <c r="C400" s="188"/>
      <c r="D400" s="188"/>
      <c r="E400" s="189">
        <f t="shared" si="65"/>
        <v>0</v>
      </c>
      <c r="F400" s="190" t="e">
        <f t="shared" si="64"/>
        <v>#DIV/0!</v>
      </c>
      <c r="H400" s="88"/>
      <c r="I400" s="88"/>
      <c r="J400" s="88"/>
      <c r="K400" s="89"/>
      <c r="L400" s="89"/>
      <c r="M400" s="88"/>
      <c r="O400" s="88"/>
      <c r="P400" s="88"/>
    </row>
    <row r="401" spans="1:16" ht="12.75" hidden="1" customHeight="1">
      <c r="A401" s="187" t="s">
        <v>15</v>
      </c>
      <c r="B401" s="188"/>
      <c r="C401" s="188"/>
      <c r="D401" s="188"/>
      <c r="E401" s="189">
        <f t="shared" si="65"/>
        <v>0</v>
      </c>
      <c r="F401" s="190" t="e">
        <f t="shared" si="64"/>
        <v>#DIV/0!</v>
      </c>
      <c r="H401" s="88"/>
      <c r="I401" s="88"/>
      <c r="J401" s="88"/>
      <c r="K401" s="89"/>
      <c r="L401" s="89"/>
      <c r="M401" s="88"/>
      <c r="O401" s="88"/>
      <c r="P401" s="88"/>
    </row>
    <row r="402" spans="1:16" ht="12.75" hidden="1" customHeight="1">
      <c r="A402" s="187" t="s">
        <v>274</v>
      </c>
      <c r="B402" s="188"/>
      <c r="C402" s="188"/>
      <c r="D402" s="188"/>
      <c r="E402" s="189">
        <f t="shared" si="65"/>
        <v>0</v>
      </c>
      <c r="F402" s="190" t="e">
        <f t="shared" si="64"/>
        <v>#DIV/0!</v>
      </c>
      <c r="H402" s="88"/>
      <c r="I402" s="88"/>
      <c r="J402" s="88"/>
      <c r="K402" s="89">
        <v>85</v>
      </c>
      <c r="L402" s="89"/>
      <c r="M402" s="88"/>
      <c r="O402" s="88"/>
      <c r="P402" s="88"/>
    </row>
    <row r="403" spans="1:16">
      <c r="A403" s="187" t="s">
        <v>275</v>
      </c>
      <c r="B403" s="188">
        <v>74</v>
      </c>
      <c r="C403" s="188">
        <v>74</v>
      </c>
      <c r="D403" s="188">
        <v>348</v>
      </c>
      <c r="E403" s="189">
        <f t="shared" si="65"/>
        <v>274</v>
      </c>
      <c r="F403" s="190">
        <f t="shared" si="64"/>
        <v>370.27027027027026</v>
      </c>
      <c r="H403" s="88">
        <f t="shared" ref="H403:M403" si="69">SUM(H404:H411)</f>
        <v>0</v>
      </c>
      <c r="I403" s="88">
        <f t="shared" si="69"/>
        <v>35</v>
      </c>
      <c r="J403" s="88">
        <f t="shared" si="69"/>
        <v>0</v>
      </c>
      <c r="K403" s="89">
        <f t="shared" si="69"/>
        <v>0</v>
      </c>
      <c r="L403" s="89">
        <f t="shared" si="69"/>
        <v>0</v>
      </c>
      <c r="M403" s="88">
        <f t="shared" si="69"/>
        <v>0</v>
      </c>
      <c r="O403" s="88">
        <f>SUM(O404:O411)</f>
        <v>0</v>
      </c>
      <c r="P403" s="88">
        <f>SUM(P404:P411)</f>
        <v>0</v>
      </c>
    </row>
    <row r="404" spans="1:16" ht="12.75" hidden="1" customHeight="1">
      <c r="A404" s="187" t="s">
        <v>276</v>
      </c>
      <c r="B404" s="188"/>
      <c r="C404" s="188"/>
      <c r="D404" s="188"/>
      <c r="E404" s="189">
        <f t="shared" si="65"/>
        <v>0</v>
      </c>
      <c r="F404" s="190"/>
      <c r="H404" s="88"/>
      <c r="I404" s="88">
        <v>35</v>
      </c>
      <c r="J404" s="88"/>
      <c r="K404" s="89"/>
      <c r="L404" s="89"/>
      <c r="M404" s="88"/>
      <c r="O404" s="88"/>
      <c r="P404" s="88"/>
    </row>
    <row r="405" spans="1:16" ht="12.75" hidden="1" customHeight="1">
      <c r="A405" s="187" t="s">
        <v>277</v>
      </c>
      <c r="B405" s="188"/>
      <c r="C405" s="188"/>
      <c r="D405" s="188"/>
      <c r="E405" s="189">
        <f t="shared" si="65"/>
        <v>0</v>
      </c>
      <c r="F405" s="190"/>
      <c r="H405" s="88"/>
      <c r="I405" s="88"/>
      <c r="J405" s="88"/>
      <c r="K405" s="89"/>
      <c r="L405" s="89"/>
      <c r="M405" s="88"/>
      <c r="O405" s="88"/>
      <c r="P405" s="88"/>
    </row>
    <row r="406" spans="1:16" ht="12.75" hidden="1" customHeight="1">
      <c r="A406" s="187" t="s">
        <v>278</v>
      </c>
      <c r="B406" s="188"/>
      <c r="C406" s="188"/>
      <c r="D406" s="188"/>
      <c r="E406" s="189">
        <f t="shared" si="65"/>
        <v>0</v>
      </c>
      <c r="F406" s="190"/>
      <c r="H406" s="88"/>
      <c r="I406" s="88"/>
      <c r="J406" s="88"/>
      <c r="K406" s="89"/>
      <c r="L406" s="89"/>
      <c r="M406" s="88"/>
      <c r="O406" s="88"/>
      <c r="P406" s="88"/>
    </row>
    <row r="407" spans="1:16" ht="12.75" hidden="1" customHeight="1">
      <c r="A407" s="187" t="s">
        <v>279</v>
      </c>
      <c r="B407" s="188"/>
      <c r="C407" s="188"/>
      <c r="D407" s="188"/>
      <c r="E407" s="189">
        <f t="shared" si="65"/>
        <v>0</v>
      </c>
      <c r="F407" s="190"/>
      <c r="H407" s="88"/>
      <c r="I407" s="88"/>
      <c r="J407" s="88"/>
      <c r="K407" s="89"/>
      <c r="L407" s="89"/>
      <c r="M407" s="88"/>
      <c r="O407" s="88"/>
      <c r="P407" s="88"/>
    </row>
    <row r="408" spans="1:16" ht="12.75" hidden="1" customHeight="1">
      <c r="A408" s="187" t="s">
        <v>280</v>
      </c>
      <c r="B408" s="188"/>
      <c r="C408" s="188"/>
      <c r="D408" s="188"/>
      <c r="E408" s="189">
        <f t="shared" si="65"/>
        <v>0</v>
      </c>
      <c r="F408" s="190"/>
      <c r="H408" s="88"/>
      <c r="I408" s="88"/>
      <c r="J408" s="88"/>
      <c r="K408" s="89"/>
      <c r="L408" s="89"/>
      <c r="M408" s="88"/>
      <c r="O408" s="88"/>
      <c r="P408" s="88"/>
    </row>
    <row r="409" spans="1:16" ht="12.75" hidden="1" customHeight="1">
      <c r="A409" s="187" t="s">
        <v>281</v>
      </c>
      <c r="B409" s="188"/>
      <c r="C409" s="188"/>
      <c r="D409" s="188"/>
      <c r="E409" s="189">
        <f t="shared" si="65"/>
        <v>0</v>
      </c>
      <c r="F409" s="190"/>
      <c r="H409" s="88"/>
      <c r="I409" s="88"/>
      <c r="J409" s="88"/>
      <c r="K409" s="89"/>
      <c r="L409" s="89"/>
      <c r="M409" s="88"/>
      <c r="O409" s="88"/>
      <c r="P409" s="88"/>
    </row>
    <row r="410" spans="1:16" ht="12.75" hidden="1" customHeight="1">
      <c r="A410" s="187" t="s">
        <v>282</v>
      </c>
      <c r="B410" s="188"/>
      <c r="C410" s="188"/>
      <c r="D410" s="188"/>
      <c r="E410" s="189">
        <f t="shared" si="65"/>
        <v>0</v>
      </c>
      <c r="F410" s="190"/>
      <c r="H410" s="88"/>
      <c r="I410" s="88"/>
      <c r="J410" s="88"/>
      <c r="K410" s="89"/>
      <c r="L410" s="89"/>
      <c r="M410" s="88"/>
      <c r="O410" s="88"/>
      <c r="P410" s="88"/>
    </row>
    <row r="411" spans="1:16" ht="12.75" hidden="1" customHeight="1">
      <c r="A411" s="187" t="s">
        <v>283</v>
      </c>
      <c r="B411" s="188"/>
      <c r="C411" s="188"/>
      <c r="D411" s="188"/>
      <c r="E411" s="189">
        <f t="shared" si="65"/>
        <v>0</v>
      </c>
      <c r="F411" s="190"/>
      <c r="H411" s="88"/>
      <c r="I411" s="88"/>
      <c r="J411" s="88"/>
      <c r="K411" s="89"/>
      <c r="L411" s="89"/>
      <c r="M411" s="88"/>
      <c r="O411" s="88"/>
      <c r="P411" s="88"/>
    </row>
    <row r="412" spans="1:16" ht="12.75" hidden="1" customHeight="1">
      <c r="A412" s="187" t="s">
        <v>284</v>
      </c>
      <c r="B412" s="188"/>
      <c r="C412" s="188"/>
      <c r="D412" s="188"/>
      <c r="E412" s="189">
        <f t="shared" si="65"/>
        <v>0</v>
      </c>
      <c r="F412" s="190"/>
      <c r="H412" s="88">
        <f t="shared" ref="H412:M412" si="70">SUM(H413:H417)</f>
        <v>0</v>
      </c>
      <c r="I412" s="88">
        <f t="shared" si="70"/>
        <v>0</v>
      </c>
      <c r="J412" s="88">
        <f t="shared" si="70"/>
        <v>0</v>
      </c>
      <c r="K412" s="89">
        <f t="shared" si="70"/>
        <v>0</v>
      </c>
      <c r="L412" s="89">
        <f t="shared" si="70"/>
        <v>0</v>
      </c>
      <c r="M412" s="88">
        <f t="shared" si="70"/>
        <v>0</v>
      </c>
      <c r="O412" s="88">
        <f>SUM(O413:O417)</f>
        <v>0</v>
      </c>
      <c r="P412" s="88">
        <f>SUM(P413:P417)</f>
        <v>0</v>
      </c>
    </row>
    <row r="413" spans="1:16" ht="12.75" hidden="1" customHeight="1">
      <c r="A413" s="187" t="s">
        <v>276</v>
      </c>
      <c r="B413" s="188"/>
      <c r="C413" s="188"/>
      <c r="D413" s="188"/>
      <c r="E413" s="189">
        <f t="shared" si="65"/>
        <v>0</v>
      </c>
      <c r="F413" s="190"/>
      <c r="H413" s="88"/>
      <c r="I413" s="88"/>
      <c r="J413" s="88"/>
      <c r="K413" s="89"/>
      <c r="L413" s="89"/>
      <c r="M413" s="88"/>
      <c r="O413" s="88"/>
      <c r="P413" s="88"/>
    </row>
    <row r="414" spans="1:16" ht="12.75" hidden="1" customHeight="1">
      <c r="A414" s="187" t="s">
        <v>285</v>
      </c>
      <c r="B414" s="188"/>
      <c r="C414" s="188"/>
      <c r="D414" s="188"/>
      <c r="E414" s="189">
        <f t="shared" si="65"/>
        <v>0</v>
      </c>
      <c r="F414" s="190"/>
      <c r="H414" s="88"/>
      <c r="I414" s="88"/>
      <c r="J414" s="88"/>
      <c r="K414" s="89"/>
      <c r="L414" s="89"/>
      <c r="M414" s="88"/>
      <c r="O414" s="88"/>
      <c r="P414" s="88"/>
    </row>
    <row r="415" spans="1:16" ht="12.75" hidden="1" customHeight="1">
      <c r="A415" s="187" t="s">
        <v>286</v>
      </c>
      <c r="B415" s="188"/>
      <c r="C415" s="188"/>
      <c r="D415" s="188"/>
      <c r="E415" s="189">
        <f t="shared" si="65"/>
        <v>0</v>
      </c>
      <c r="F415" s="190"/>
      <c r="H415" s="88"/>
      <c r="I415" s="88"/>
      <c r="J415" s="88"/>
      <c r="K415" s="89"/>
      <c r="L415" s="89"/>
      <c r="M415" s="88"/>
      <c r="O415" s="88"/>
      <c r="P415" s="88"/>
    </row>
    <row r="416" spans="1:16" ht="12.75" hidden="1" customHeight="1">
      <c r="A416" s="187" t="s">
        <v>287</v>
      </c>
      <c r="B416" s="188"/>
      <c r="C416" s="188"/>
      <c r="D416" s="188"/>
      <c r="E416" s="189">
        <f t="shared" si="65"/>
        <v>0</v>
      </c>
      <c r="F416" s="190"/>
      <c r="H416" s="88"/>
      <c r="I416" s="88"/>
      <c r="J416" s="88"/>
      <c r="K416" s="89"/>
      <c r="L416" s="89"/>
      <c r="M416" s="88"/>
      <c r="O416" s="88"/>
      <c r="P416" s="88"/>
    </row>
    <row r="417" spans="1:16" ht="12.75" hidden="1" customHeight="1">
      <c r="A417" s="187" t="s">
        <v>288</v>
      </c>
      <c r="B417" s="188"/>
      <c r="C417" s="188"/>
      <c r="D417" s="188"/>
      <c r="E417" s="189">
        <f t="shared" si="65"/>
        <v>0</v>
      </c>
      <c r="F417" s="190"/>
      <c r="H417" s="88"/>
      <c r="I417" s="88"/>
      <c r="J417" s="88"/>
      <c r="K417" s="89"/>
      <c r="L417" s="89"/>
      <c r="M417" s="88"/>
      <c r="O417" s="88"/>
      <c r="P417" s="88"/>
    </row>
    <row r="418" spans="1:16" ht="12.75" customHeight="1">
      <c r="A418" s="187" t="s">
        <v>289</v>
      </c>
      <c r="B418" s="188"/>
      <c r="C418" s="188"/>
      <c r="D418" s="188">
        <v>30420</v>
      </c>
      <c r="E418" s="189">
        <f t="shared" si="65"/>
        <v>30420</v>
      </c>
      <c r="F418" s="190"/>
      <c r="H418" s="88">
        <f t="shared" ref="H418:M418" si="71">SUM(H419:H423)</f>
        <v>0</v>
      </c>
      <c r="I418" s="88">
        <f t="shared" si="71"/>
        <v>0</v>
      </c>
      <c r="J418" s="88">
        <f t="shared" si="71"/>
        <v>0</v>
      </c>
      <c r="K418" s="89">
        <f t="shared" si="71"/>
        <v>0</v>
      </c>
      <c r="L418" s="89">
        <f t="shared" si="71"/>
        <v>0</v>
      </c>
      <c r="M418" s="88">
        <f t="shared" si="71"/>
        <v>0</v>
      </c>
      <c r="O418" s="88">
        <f>SUM(O419:O423)</f>
        <v>0</v>
      </c>
      <c r="P418" s="88">
        <f>SUM(P419:P423)</f>
        <v>0</v>
      </c>
    </row>
    <row r="419" spans="1:16" ht="12.75" hidden="1" customHeight="1">
      <c r="A419" s="187" t="s">
        <v>276</v>
      </c>
      <c r="B419" s="188"/>
      <c r="C419" s="188"/>
      <c r="D419" s="188"/>
      <c r="E419" s="189">
        <f t="shared" si="65"/>
        <v>0</v>
      </c>
      <c r="F419" s="190"/>
      <c r="H419" s="88"/>
      <c r="I419" s="88"/>
      <c r="J419" s="88"/>
      <c r="K419" s="89"/>
      <c r="L419" s="89"/>
      <c r="M419" s="88"/>
      <c r="O419" s="88"/>
      <c r="P419" s="88"/>
    </row>
    <row r="420" spans="1:16" ht="12.75" hidden="1" customHeight="1">
      <c r="A420" s="187" t="s">
        <v>290</v>
      </c>
      <c r="B420" s="188"/>
      <c r="C420" s="188"/>
      <c r="D420" s="188"/>
      <c r="E420" s="189">
        <f t="shared" si="65"/>
        <v>0</v>
      </c>
      <c r="F420" s="190"/>
      <c r="H420" s="88"/>
      <c r="I420" s="88"/>
      <c r="J420" s="88"/>
      <c r="K420" s="89"/>
      <c r="L420" s="89"/>
      <c r="M420" s="88"/>
      <c r="O420" s="88"/>
      <c r="P420" s="88"/>
    </row>
    <row r="421" spans="1:16" ht="12.75" hidden="1" customHeight="1">
      <c r="A421" s="187" t="s">
        <v>291</v>
      </c>
      <c r="B421" s="188"/>
      <c r="C421" s="188"/>
      <c r="D421" s="188"/>
      <c r="E421" s="189">
        <f t="shared" si="65"/>
        <v>0</v>
      </c>
      <c r="F421" s="190"/>
      <c r="H421" s="88"/>
      <c r="I421" s="88"/>
      <c r="J421" s="88"/>
      <c r="K421" s="89"/>
      <c r="L421" s="89"/>
      <c r="M421" s="88"/>
      <c r="O421" s="88"/>
      <c r="P421" s="88"/>
    </row>
    <row r="422" spans="1:16" ht="12.75" hidden="1" customHeight="1">
      <c r="A422" s="187" t="s">
        <v>292</v>
      </c>
      <c r="B422" s="188"/>
      <c r="C422" s="188"/>
      <c r="D422" s="188"/>
      <c r="E422" s="189">
        <f t="shared" si="65"/>
        <v>0</v>
      </c>
      <c r="F422" s="190"/>
      <c r="H422" s="88"/>
      <c r="I422" s="88"/>
      <c r="J422" s="88"/>
      <c r="K422" s="89"/>
      <c r="L422" s="89"/>
      <c r="M422" s="88"/>
      <c r="O422" s="88"/>
      <c r="P422" s="88"/>
    </row>
    <row r="423" spans="1:16" ht="12.75" hidden="1" customHeight="1">
      <c r="A423" s="187" t="s">
        <v>293</v>
      </c>
      <c r="B423" s="188"/>
      <c r="C423" s="188"/>
      <c r="D423" s="188"/>
      <c r="E423" s="189">
        <f t="shared" si="65"/>
        <v>0</v>
      </c>
      <c r="F423" s="190"/>
      <c r="H423" s="88"/>
      <c r="I423" s="88"/>
      <c r="J423" s="88"/>
      <c r="K423" s="89"/>
      <c r="L423" s="89"/>
      <c r="M423" s="88"/>
      <c r="O423" s="88"/>
      <c r="P423" s="88"/>
    </row>
    <row r="424" spans="1:16">
      <c r="A424" s="187" t="s">
        <v>294</v>
      </c>
      <c r="B424" s="188">
        <v>420</v>
      </c>
      <c r="C424" s="188">
        <v>420</v>
      </c>
      <c r="D424" s="188"/>
      <c r="E424" s="189">
        <f t="shared" si="65"/>
        <v>-420</v>
      </c>
      <c r="F424" s="190"/>
      <c r="H424" s="88">
        <f t="shared" ref="H424:M424" si="72">SUM(H425:H428)</f>
        <v>0</v>
      </c>
      <c r="I424" s="88">
        <f t="shared" si="72"/>
        <v>0</v>
      </c>
      <c r="J424" s="88">
        <f t="shared" si="72"/>
        <v>0</v>
      </c>
      <c r="K424" s="89">
        <f t="shared" si="72"/>
        <v>100</v>
      </c>
      <c r="L424" s="89">
        <f t="shared" si="72"/>
        <v>0</v>
      </c>
      <c r="M424" s="88">
        <f t="shared" si="72"/>
        <v>0</v>
      </c>
      <c r="O424" s="88">
        <f>SUM(O425:O428)</f>
        <v>0</v>
      </c>
      <c r="P424" s="88">
        <f>SUM(P425:P428)</f>
        <v>0</v>
      </c>
    </row>
    <row r="425" spans="1:16" ht="12.75" hidden="1" customHeight="1">
      <c r="A425" s="187" t="s">
        <v>276</v>
      </c>
      <c r="B425" s="188"/>
      <c r="C425" s="188"/>
      <c r="D425" s="188"/>
      <c r="E425" s="189">
        <f t="shared" si="65"/>
        <v>0</v>
      </c>
      <c r="F425" s="190" t="e">
        <f t="shared" si="64"/>
        <v>#DIV/0!</v>
      </c>
      <c r="H425" s="88"/>
      <c r="I425" s="88"/>
      <c r="J425" s="88"/>
      <c r="K425" s="89"/>
      <c r="L425" s="89"/>
      <c r="M425" s="88"/>
      <c r="O425" s="88"/>
      <c r="P425" s="88"/>
    </row>
    <row r="426" spans="1:16" ht="12.75" hidden="1" customHeight="1">
      <c r="A426" s="187" t="s">
        <v>295</v>
      </c>
      <c r="B426" s="188"/>
      <c r="C426" s="188"/>
      <c r="D426" s="188"/>
      <c r="E426" s="189">
        <f t="shared" si="65"/>
        <v>0</v>
      </c>
      <c r="F426" s="190" t="e">
        <f t="shared" si="64"/>
        <v>#DIV/0!</v>
      </c>
      <c r="H426" s="88"/>
      <c r="I426" s="88"/>
      <c r="J426" s="88"/>
      <c r="K426" s="89"/>
      <c r="L426" s="89"/>
      <c r="M426" s="88"/>
      <c r="O426" s="88"/>
      <c r="P426" s="88"/>
    </row>
    <row r="427" spans="1:16" ht="12.75" hidden="1" customHeight="1">
      <c r="A427" s="187" t="s">
        <v>296</v>
      </c>
      <c r="B427" s="188"/>
      <c r="C427" s="188"/>
      <c r="D427" s="188"/>
      <c r="E427" s="189">
        <f t="shared" si="65"/>
        <v>0</v>
      </c>
      <c r="F427" s="190" t="e">
        <f t="shared" si="64"/>
        <v>#DIV/0!</v>
      </c>
      <c r="H427" s="88"/>
      <c r="I427" s="88"/>
      <c r="J427" s="88"/>
      <c r="K427" s="89">
        <v>100</v>
      </c>
      <c r="L427" s="89"/>
      <c r="M427" s="88"/>
      <c r="O427" s="88"/>
      <c r="P427" s="88"/>
    </row>
    <row r="428" spans="1:16" ht="12.75" hidden="1" customHeight="1">
      <c r="A428" s="187" t="s">
        <v>297</v>
      </c>
      <c r="B428" s="188"/>
      <c r="C428" s="188"/>
      <c r="D428" s="188"/>
      <c r="E428" s="189">
        <f t="shared" si="65"/>
        <v>0</v>
      </c>
      <c r="F428" s="190" t="e">
        <f t="shared" si="64"/>
        <v>#DIV/0!</v>
      </c>
      <c r="H428" s="88"/>
      <c r="I428" s="88"/>
      <c r="J428" s="88"/>
      <c r="K428" s="89"/>
      <c r="L428" s="89"/>
      <c r="M428" s="88"/>
      <c r="O428" s="88"/>
      <c r="P428" s="88"/>
    </row>
    <row r="429" spans="1:16" hidden="1">
      <c r="A429" s="187" t="s">
        <v>298</v>
      </c>
      <c r="B429" s="188"/>
      <c r="C429" s="188"/>
      <c r="D429" s="188"/>
      <c r="E429" s="189">
        <f t="shared" si="65"/>
        <v>0</v>
      </c>
      <c r="F429" s="190" t="e">
        <f t="shared" si="64"/>
        <v>#DIV/0!</v>
      </c>
      <c r="H429" s="88">
        <f t="shared" ref="H429:M429" si="73">SUM(H430:H433)</f>
        <v>0</v>
      </c>
      <c r="I429" s="88">
        <f t="shared" si="73"/>
        <v>0</v>
      </c>
      <c r="J429" s="88">
        <f t="shared" si="73"/>
        <v>0</v>
      </c>
      <c r="K429" s="89">
        <f t="shared" si="73"/>
        <v>0</v>
      </c>
      <c r="L429" s="89">
        <f t="shared" si="73"/>
        <v>0</v>
      </c>
      <c r="M429" s="88">
        <f t="shared" si="73"/>
        <v>0</v>
      </c>
      <c r="O429" s="88">
        <f>SUM(O430:O433)</f>
        <v>0</v>
      </c>
      <c r="P429" s="88">
        <f>SUM(P430:P433)</f>
        <v>0</v>
      </c>
    </row>
    <row r="430" spans="1:16" ht="12.75" hidden="1" customHeight="1">
      <c r="A430" s="187" t="s">
        <v>299</v>
      </c>
      <c r="B430" s="188"/>
      <c r="C430" s="188"/>
      <c r="D430" s="188"/>
      <c r="E430" s="189">
        <f t="shared" si="65"/>
        <v>0</v>
      </c>
      <c r="F430" s="190" t="e">
        <f t="shared" si="64"/>
        <v>#DIV/0!</v>
      </c>
      <c r="H430" s="88"/>
      <c r="I430" s="88"/>
      <c r="J430" s="88"/>
      <c r="K430" s="89"/>
      <c r="L430" s="89"/>
      <c r="M430" s="88"/>
      <c r="O430" s="88"/>
      <c r="P430" s="88"/>
    </row>
    <row r="431" spans="1:16" ht="12.75" hidden="1" customHeight="1">
      <c r="A431" s="187" t="s">
        <v>300</v>
      </c>
      <c r="B431" s="188"/>
      <c r="C431" s="188"/>
      <c r="D431" s="188"/>
      <c r="E431" s="189">
        <f t="shared" si="65"/>
        <v>0</v>
      </c>
      <c r="F431" s="190" t="e">
        <f t="shared" si="64"/>
        <v>#DIV/0!</v>
      </c>
      <c r="H431" s="88"/>
      <c r="I431" s="88"/>
      <c r="J431" s="88"/>
      <c r="K431" s="89"/>
      <c r="L431" s="89"/>
      <c r="M431" s="88"/>
      <c r="O431" s="88"/>
      <c r="P431" s="88"/>
    </row>
    <row r="432" spans="1:16" ht="12.75" hidden="1" customHeight="1">
      <c r="A432" s="187" t="s">
        <v>301</v>
      </c>
      <c r="B432" s="188"/>
      <c r="C432" s="188"/>
      <c r="D432" s="188"/>
      <c r="E432" s="189">
        <f t="shared" si="65"/>
        <v>0</v>
      </c>
      <c r="F432" s="190" t="e">
        <f t="shared" si="64"/>
        <v>#DIV/0!</v>
      </c>
      <c r="H432" s="88"/>
      <c r="I432" s="88"/>
      <c r="J432" s="88"/>
      <c r="K432" s="89"/>
      <c r="L432" s="89"/>
      <c r="M432" s="88"/>
      <c r="O432" s="88"/>
      <c r="P432" s="88"/>
    </row>
    <row r="433" spans="1:16" ht="12.75" hidden="1" customHeight="1">
      <c r="A433" s="187" t="s">
        <v>302</v>
      </c>
      <c r="B433" s="188"/>
      <c r="C433" s="188"/>
      <c r="D433" s="188"/>
      <c r="E433" s="189">
        <f t="shared" si="65"/>
        <v>0</v>
      </c>
      <c r="F433" s="190" t="e">
        <f t="shared" si="64"/>
        <v>#DIV/0!</v>
      </c>
      <c r="H433" s="88"/>
      <c r="I433" s="88"/>
      <c r="J433" s="88"/>
      <c r="K433" s="89"/>
      <c r="L433" s="89"/>
      <c r="M433" s="88"/>
      <c r="O433" s="88"/>
      <c r="P433" s="88"/>
    </row>
    <row r="434" spans="1:16">
      <c r="A434" s="187" t="s">
        <v>303</v>
      </c>
      <c r="B434" s="188">
        <v>50</v>
      </c>
      <c r="C434" s="188">
        <v>50</v>
      </c>
      <c r="D434" s="188"/>
      <c r="E434" s="189">
        <f t="shared" si="65"/>
        <v>-50</v>
      </c>
      <c r="F434" s="190">
        <f t="shared" si="64"/>
        <v>-100</v>
      </c>
      <c r="H434" s="88">
        <f t="shared" ref="H434:M434" si="74">SUM(H435:H440)</f>
        <v>0</v>
      </c>
      <c r="I434" s="88">
        <f t="shared" si="74"/>
        <v>89</v>
      </c>
      <c r="J434" s="88">
        <f t="shared" si="74"/>
        <v>0</v>
      </c>
      <c r="K434" s="89">
        <f t="shared" si="74"/>
        <v>0</v>
      </c>
      <c r="L434" s="89">
        <f t="shared" si="74"/>
        <v>0</v>
      </c>
      <c r="M434" s="88">
        <f t="shared" si="74"/>
        <v>0</v>
      </c>
      <c r="O434" s="88">
        <f>SUM(O435:O440)</f>
        <v>0</v>
      </c>
      <c r="P434" s="88">
        <f>SUM(P435:P440)</f>
        <v>0</v>
      </c>
    </row>
    <row r="435" spans="1:16" ht="12.75" hidden="1" customHeight="1">
      <c r="A435" s="187" t="s">
        <v>276</v>
      </c>
      <c r="B435" s="188"/>
      <c r="C435" s="188"/>
      <c r="D435" s="188"/>
      <c r="E435" s="189">
        <f t="shared" si="65"/>
        <v>0</v>
      </c>
      <c r="F435" s="190" t="e">
        <f t="shared" si="64"/>
        <v>#DIV/0!</v>
      </c>
      <c r="H435" s="88"/>
      <c r="I435" s="88">
        <v>43</v>
      </c>
      <c r="J435" s="88"/>
      <c r="K435" s="89"/>
      <c r="L435" s="89"/>
      <c r="M435" s="88"/>
      <c r="O435" s="88"/>
      <c r="P435" s="88"/>
    </row>
    <row r="436" spans="1:16" ht="12.75" hidden="1" customHeight="1">
      <c r="A436" s="187" t="s">
        <v>304</v>
      </c>
      <c r="B436" s="188"/>
      <c r="C436" s="188"/>
      <c r="D436" s="188"/>
      <c r="E436" s="189">
        <f t="shared" si="65"/>
        <v>0</v>
      </c>
      <c r="F436" s="190" t="e">
        <f t="shared" si="64"/>
        <v>#DIV/0!</v>
      </c>
      <c r="H436" s="88"/>
      <c r="I436" s="88">
        <v>46</v>
      </c>
      <c r="J436" s="88"/>
      <c r="K436" s="89"/>
      <c r="L436" s="89"/>
      <c r="M436" s="88"/>
      <c r="O436" s="88"/>
      <c r="P436" s="88"/>
    </row>
    <row r="437" spans="1:16" ht="12.75" hidden="1" customHeight="1">
      <c r="A437" s="187" t="s">
        <v>305</v>
      </c>
      <c r="B437" s="188"/>
      <c r="C437" s="188"/>
      <c r="D437" s="188"/>
      <c r="E437" s="189">
        <f t="shared" si="65"/>
        <v>0</v>
      </c>
      <c r="F437" s="190" t="e">
        <f t="shared" si="64"/>
        <v>#DIV/0!</v>
      </c>
      <c r="H437" s="88"/>
      <c r="I437" s="88"/>
      <c r="J437" s="88"/>
      <c r="K437" s="89"/>
      <c r="L437" s="89"/>
      <c r="M437" s="88"/>
      <c r="O437" s="88"/>
      <c r="P437" s="88"/>
    </row>
    <row r="438" spans="1:16" ht="12.75" hidden="1" customHeight="1">
      <c r="A438" s="187" t="s">
        <v>306</v>
      </c>
      <c r="B438" s="188"/>
      <c r="C438" s="188"/>
      <c r="D438" s="188"/>
      <c r="E438" s="189">
        <f t="shared" si="65"/>
        <v>0</v>
      </c>
      <c r="F438" s="190" t="e">
        <f t="shared" si="64"/>
        <v>#DIV/0!</v>
      </c>
      <c r="H438" s="88"/>
      <c r="I438" s="88"/>
      <c r="J438" s="88"/>
      <c r="K438" s="89"/>
      <c r="L438" s="89"/>
      <c r="M438" s="88"/>
      <c r="O438" s="88"/>
      <c r="P438" s="88"/>
    </row>
    <row r="439" spans="1:16" ht="12.75" hidden="1" customHeight="1">
      <c r="A439" s="187" t="s">
        <v>307</v>
      </c>
      <c r="B439" s="188"/>
      <c r="C439" s="188"/>
      <c r="D439" s="188"/>
      <c r="E439" s="189">
        <f t="shared" si="65"/>
        <v>0</v>
      </c>
      <c r="F439" s="190" t="e">
        <f t="shared" si="64"/>
        <v>#DIV/0!</v>
      </c>
      <c r="H439" s="88"/>
      <c r="I439" s="88"/>
      <c r="J439" s="88"/>
      <c r="K439" s="89"/>
      <c r="L439" s="89"/>
      <c r="M439" s="88"/>
      <c r="O439" s="88"/>
      <c r="P439" s="88"/>
    </row>
    <row r="440" spans="1:16" ht="12.75" hidden="1" customHeight="1">
      <c r="A440" s="187" t="s">
        <v>308</v>
      </c>
      <c r="B440" s="188"/>
      <c r="C440" s="188"/>
      <c r="D440" s="188"/>
      <c r="E440" s="189">
        <f t="shared" si="65"/>
        <v>0</v>
      </c>
      <c r="F440" s="190" t="e">
        <f t="shared" si="64"/>
        <v>#DIV/0!</v>
      </c>
      <c r="H440" s="88"/>
      <c r="I440" s="88"/>
      <c r="J440" s="88"/>
      <c r="K440" s="89"/>
      <c r="L440" s="89"/>
      <c r="M440" s="88"/>
      <c r="O440" s="88"/>
      <c r="P440" s="88"/>
    </row>
    <row r="441" spans="1:16" ht="12.75" hidden="1" customHeight="1">
      <c r="A441" s="187" t="s">
        <v>309</v>
      </c>
      <c r="B441" s="188">
        <v>0</v>
      </c>
      <c r="C441" s="188">
        <v>0</v>
      </c>
      <c r="D441" s="188">
        <v>0</v>
      </c>
      <c r="E441" s="189">
        <f t="shared" si="65"/>
        <v>0</v>
      </c>
      <c r="F441" s="190" t="e">
        <f t="shared" si="64"/>
        <v>#DIV/0!</v>
      </c>
      <c r="H441" s="88">
        <f t="shared" ref="H441:M441" si="75">SUM(H442:H444)</f>
        <v>0</v>
      </c>
      <c r="I441" s="88">
        <f t="shared" si="75"/>
        <v>0</v>
      </c>
      <c r="J441" s="88">
        <f t="shared" si="75"/>
        <v>0</v>
      </c>
      <c r="K441" s="89">
        <f t="shared" si="75"/>
        <v>0</v>
      </c>
      <c r="L441" s="89">
        <f t="shared" si="75"/>
        <v>0</v>
      </c>
      <c r="M441" s="88">
        <f t="shared" si="75"/>
        <v>0</v>
      </c>
      <c r="O441" s="88">
        <f>SUM(O442:O444)</f>
        <v>0</v>
      </c>
      <c r="P441" s="88">
        <f>SUM(P442:P444)</f>
        <v>0</v>
      </c>
    </row>
    <row r="442" spans="1:16" ht="12.75" hidden="1" customHeight="1">
      <c r="A442" s="187" t="s">
        <v>310</v>
      </c>
      <c r="B442" s="188"/>
      <c r="C442" s="188"/>
      <c r="D442" s="188"/>
      <c r="E442" s="189">
        <f t="shared" si="65"/>
        <v>0</v>
      </c>
      <c r="F442" s="190" t="e">
        <f t="shared" si="64"/>
        <v>#DIV/0!</v>
      </c>
      <c r="H442" s="88"/>
      <c r="I442" s="88"/>
      <c r="J442" s="88"/>
      <c r="K442" s="89"/>
      <c r="L442" s="89"/>
      <c r="M442" s="88"/>
      <c r="O442" s="88"/>
      <c r="P442" s="88"/>
    </row>
    <row r="443" spans="1:16" ht="12.75" hidden="1" customHeight="1">
      <c r="A443" s="187" t="s">
        <v>311</v>
      </c>
      <c r="B443" s="188"/>
      <c r="C443" s="188"/>
      <c r="D443" s="188"/>
      <c r="E443" s="189">
        <f t="shared" si="65"/>
        <v>0</v>
      </c>
      <c r="F443" s="190" t="e">
        <f t="shared" si="64"/>
        <v>#DIV/0!</v>
      </c>
      <c r="H443" s="88"/>
      <c r="I443" s="88"/>
      <c r="J443" s="88"/>
      <c r="K443" s="89"/>
      <c r="L443" s="89"/>
      <c r="M443" s="88"/>
      <c r="O443" s="88"/>
      <c r="P443" s="88"/>
    </row>
    <row r="444" spans="1:16" ht="12.75" hidden="1" customHeight="1">
      <c r="A444" s="187" t="s">
        <v>312</v>
      </c>
      <c r="B444" s="188"/>
      <c r="C444" s="188"/>
      <c r="D444" s="188"/>
      <c r="E444" s="189">
        <f t="shared" si="65"/>
        <v>0</v>
      </c>
      <c r="F444" s="190" t="e">
        <f t="shared" si="64"/>
        <v>#DIV/0!</v>
      </c>
      <c r="H444" s="88"/>
      <c r="I444" s="88"/>
      <c r="J444" s="88"/>
      <c r="K444" s="89"/>
      <c r="L444" s="89"/>
      <c r="M444" s="88"/>
      <c r="O444" s="88"/>
      <c r="P444" s="88"/>
    </row>
    <row r="445" spans="1:16" ht="12.75" hidden="1" customHeight="1">
      <c r="A445" s="187" t="s">
        <v>313</v>
      </c>
      <c r="B445" s="188">
        <v>0</v>
      </c>
      <c r="C445" s="188">
        <v>0</v>
      </c>
      <c r="D445" s="188">
        <v>0</v>
      </c>
      <c r="E445" s="189">
        <f t="shared" si="65"/>
        <v>0</v>
      </c>
      <c r="F445" s="190" t="e">
        <f t="shared" si="64"/>
        <v>#DIV/0!</v>
      </c>
      <c r="H445" s="88">
        <f t="shared" ref="H445:M445" si="76">H446</f>
        <v>0</v>
      </c>
      <c r="I445" s="88">
        <f t="shared" si="76"/>
        <v>0</v>
      </c>
      <c r="J445" s="88">
        <f t="shared" si="76"/>
        <v>0</v>
      </c>
      <c r="K445" s="89">
        <f t="shared" si="76"/>
        <v>0</v>
      </c>
      <c r="L445" s="89">
        <f t="shared" si="76"/>
        <v>0</v>
      </c>
      <c r="M445" s="88">
        <f t="shared" si="76"/>
        <v>0</v>
      </c>
      <c r="O445" s="88">
        <f>O446</f>
        <v>0</v>
      </c>
      <c r="P445" s="88">
        <f>P446</f>
        <v>0</v>
      </c>
    </row>
    <row r="446" spans="1:16" ht="12.75" hidden="1" customHeight="1">
      <c r="A446" s="187" t="s">
        <v>314</v>
      </c>
      <c r="B446" s="188"/>
      <c r="C446" s="188"/>
      <c r="D446" s="188"/>
      <c r="E446" s="189">
        <f t="shared" si="65"/>
        <v>0</v>
      </c>
      <c r="F446" s="190" t="e">
        <f t="shared" si="64"/>
        <v>#DIV/0!</v>
      </c>
      <c r="H446" s="88"/>
      <c r="I446" s="88"/>
      <c r="J446" s="88"/>
      <c r="K446" s="89"/>
      <c r="L446" s="89"/>
      <c r="M446" s="88"/>
      <c r="O446" s="88"/>
      <c r="P446" s="88"/>
    </row>
    <row r="447" spans="1:16" ht="12.75" customHeight="1">
      <c r="A447" s="187" t="s">
        <v>315</v>
      </c>
      <c r="B447" s="188"/>
      <c r="C447" s="188"/>
      <c r="D447" s="188">
        <v>70050</v>
      </c>
      <c r="E447" s="189">
        <f t="shared" si="65"/>
        <v>70050</v>
      </c>
      <c r="F447" s="190"/>
      <c r="H447" s="88">
        <f t="shared" ref="H447:M447" si="77">SUM(H448:H451)</f>
        <v>0</v>
      </c>
      <c r="I447" s="88">
        <f t="shared" si="77"/>
        <v>0</v>
      </c>
      <c r="J447" s="88">
        <f t="shared" si="77"/>
        <v>0</v>
      </c>
      <c r="K447" s="89">
        <f t="shared" si="77"/>
        <v>0</v>
      </c>
      <c r="L447" s="89">
        <f t="shared" si="77"/>
        <v>0</v>
      </c>
      <c r="M447" s="88">
        <f t="shared" si="77"/>
        <v>0</v>
      </c>
      <c r="O447" s="88">
        <f>SUM(O448:O451)</f>
        <v>0</v>
      </c>
      <c r="P447" s="88">
        <f>SUM(P448:P451)</f>
        <v>0</v>
      </c>
    </row>
    <row r="448" spans="1:16" ht="12.75" hidden="1" customHeight="1">
      <c r="A448" s="187" t="s">
        <v>316</v>
      </c>
      <c r="B448" s="188"/>
      <c r="C448" s="188"/>
      <c r="D448" s="188"/>
      <c r="E448" s="189">
        <f t="shared" si="65"/>
        <v>0</v>
      </c>
      <c r="F448" s="190" t="e">
        <f t="shared" si="64"/>
        <v>#DIV/0!</v>
      </c>
      <c r="H448" s="88"/>
      <c r="I448" s="88"/>
      <c r="J448" s="88"/>
      <c r="K448" s="89"/>
      <c r="L448" s="89"/>
      <c r="M448" s="88"/>
      <c r="O448" s="88"/>
      <c r="P448" s="88"/>
    </row>
    <row r="449" spans="1:17" ht="12.75" hidden="1" customHeight="1">
      <c r="A449" s="187" t="s">
        <v>317</v>
      </c>
      <c r="B449" s="188"/>
      <c r="C449" s="188"/>
      <c r="D449" s="188"/>
      <c r="E449" s="189">
        <f t="shared" si="65"/>
        <v>0</v>
      </c>
      <c r="F449" s="190" t="e">
        <f t="shared" si="64"/>
        <v>#DIV/0!</v>
      </c>
      <c r="H449" s="88"/>
      <c r="I449" s="88"/>
      <c r="J449" s="88"/>
      <c r="K449" s="89"/>
      <c r="L449" s="89"/>
      <c r="M449" s="88"/>
      <c r="O449" s="88"/>
      <c r="P449" s="88"/>
    </row>
    <row r="450" spans="1:17" ht="12.75" hidden="1" customHeight="1">
      <c r="A450" s="187" t="s">
        <v>318</v>
      </c>
      <c r="B450" s="188"/>
      <c r="C450" s="188"/>
      <c r="D450" s="188"/>
      <c r="E450" s="189">
        <f t="shared" si="65"/>
        <v>0</v>
      </c>
      <c r="F450" s="190" t="e">
        <f t="shared" si="64"/>
        <v>#DIV/0!</v>
      </c>
      <c r="H450" s="88"/>
      <c r="I450" s="88"/>
      <c r="J450" s="88"/>
      <c r="K450" s="89"/>
      <c r="L450" s="89"/>
      <c r="M450" s="88"/>
      <c r="O450" s="88"/>
      <c r="P450" s="88"/>
    </row>
    <row r="451" spans="1:17" ht="12.75" hidden="1" customHeight="1">
      <c r="A451" s="187" t="s">
        <v>319</v>
      </c>
      <c r="B451" s="188"/>
      <c r="C451" s="188"/>
      <c r="D451" s="188"/>
      <c r="E451" s="189">
        <f t="shared" si="65"/>
        <v>0</v>
      </c>
      <c r="F451" s="190" t="e">
        <f t="shared" si="64"/>
        <v>#DIV/0!</v>
      </c>
      <c r="H451" s="88"/>
      <c r="I451" s="88"/>
      <c r="J451" s="88"/>
      <c r="K451" s="89"/>
      <c r="L451" s="89"/>
      <c r="M451" s="88"/>
      <c r="O451" s="88"/>
      <c r="P451" s="88"/>
    </row>
    <row r="452" spans="1:17">
      <c r="A452" s="179" t="s">
        <v>320</v>
      </c>
      <c r="B452" s="182">
        <f>SUM(B453,B467,B475,B486,B495,B504)</f>
        <v>10384.91</v>
      </c>
      <c r="C452" s="182">
        <f>SUM(C453,C467,C475,C486,C495,C504)</f>
        <v>7184.91</v>
      </c>
      <c r="D452" s="182">
        <f>SUM(D453,D467,D475,D486,D495,D504)</f>
        <v>12367.310000000001</v>
      </c>
      <c r="E452" s="185">
        <f t="shared" si="65"/>
        <v>5182.4000000000015</v>
      </c>
      <c r="F452" s="186">
        <f t="shared" si="64"/>
        <v>72.128948031360196</v>
      </c>
      <c r="G452" s="85"/>
      <c r="H452" s="111">
        <f t="shared" ref="H452:M452" si="78">SUM(H453,H467,H475,H486,H495,H504)</f>
        <v>3645</v>
      </c>
      <c r="I452" s="111">
        <f t="shared" si="78"/>
        <v>999</v>
      </c>
      <c r="J452" s="111">
        <f t="shared" si="78"/>
        <v>89</v>
      </c>
      <c r="K452" s="112">
        <f t="shared" si="78"/>
        <v>-674</v>
      </c>
      <c r="L452" s="112">
        <f t="shared" si="78"/>
        <v>0</v>
      </c>
      <c r="M452" s="111">
        <f t="shared" si="78"/>
        <v>0</v>
      </c>
      <c r="N452" s="85"/>
      <c r="O452" s="111">
        <f>SUM(O453,O467,O475,O486,O495,O504)</f>
        <v>0</v>
      </c>
      <c r="P452" s="111">
        <f>SUM(P453,P467,P475,P486,P495,P504)</f>
        <v>0</v>
      </c>
      <c r="Q452" s="85"/>
    </row>
    <row r="453" spans="1:17">
      <c r="A453" s="187" t="s">
        <v>321</v>
      </c>
      <c r="B453" s="188">
        <v>756.84</v>
      </c>
      <c r="C453" s="188">
        <v>756.84</v>
      </c>
      <c r="D453" s="188">
        <v>1074.3499999999999</v>
      </c>
      <c r="E453" s="189">
        <f t="shared" si="65"/>
        <v>317.50999999999988</v>
      </c>
      <c r="F453" s="190">
        <f t="shared" si="64"/>
        <v>41.952063844405671</v>
      </c>
      <c r="H453" s="88">
        <f t="shared" ref="H453:M453" si="79">SUM(H454:H466)</f>
        <v>2000</v>
      </c>
      <c r="I453" s="88">
        <f t="shared" si="79"/>
        <v>458</v>
      </c>
      <c r="J453" s="88">
        <f t="shared" si="79"/>
        <v>89</v>
      </c>
      <c r="K453" s="89">
        <f t="shared" si="79"/>
        <v>-674</v>
      </c>
      <c r="L453" s="89">
        <f t="shared" si="79"/>
        <v>0</v>
      </c>
      <c r="M453" s="88">
        <f t="shared" si="79"/>
        <v>0</v>
      </c>
      <c r="O453" s="88">
        <f>SUM(O454:O466)</f>
        <v>0</v>
      </c>
      <c r="P453" s="88">
        <f>SUM(P454:P466)</f>
        <v>0</v>
      </c>
    </row>
    <row r="454" spans="1:17" ht="12.75" hidden="1" customHeight="1">
      <c r="A454" s="187" t="s">
        <v>13</v>
      </c>
      <c r="B454" s="188"/>
      <c r="C454" s="188"/>
      <c r="D454" s="188"/>
      <c r="E454" s="189">
        <f t="shared" si="65"/>
        <v>0</v>
      </c>
      <c r="F454" s="190" t="e">
        <f t="shared" si="64"/>
        <v>#DIV/0!</v>
      </c>
      <c r="H454" s="88"/>
      <c r="I454" s="88">
        <v>121</v>
      </c>
      <c r="J454" s="88">
        <v>89</v>
      </c>
      <c r="K454" s="89"/>
      <c r="L454" s="89"/>
      <c r="M454" s="88"/>
      <c r="O454" s="88"/>
      <c r="P454" s="88"/>
    </row>
    <row r="455" spans="1:17" ht="12.75" hidden="1" customHeight="1">
      <c r="A455" s="187" t="s">
        <v>14</v>
      </c>
      <c r="B455" s="188"/>
      <c r="C455" s="188"/>
      <c r="D455" s="188"/>
      <c r="E455" s="189">
        <f t="shared" si="65"/>
        <v>0</v>
      </c>
      <c r="F455" s="190" t="e">
        <f t="shared" ref="F455:F518" si="80">E455/C455*100</f>
        <v>#DIV/0!</v>
      </c>
      <c r="H455" s="88"/>
      <c r="I455" s="88"/>
      <c r="J455" s="88"/>
      <c r="K455" s="89"/>
      <c r="L455" s="89"/>
      <c r="M455" s="88"/>
      <c r="O455" s="88"/>
      <c r="P455" s="88"/>
    </row>
    <row r="456" spans="1:17" ht="12.75" hidden="1" customHeight="1">
      <c r="A456" s="187" t="s">
        <v>15</v>
      </c>
      <c r="B456" s="188"/>
      <c r="C456" s="188"/>
      <c r="D456" s="188"/>
      <c r="E456" s="189">
        <f t="shared" si="65"/>
        <v>0</v>
      </c>
      <c r="F456" s="190" t="e">
        <f t="shared" si="80"/>
        <v>#DIV/0!</v>
      </c>
      <c r="H456" s="88"/>
      <c r="I456" s="88"/>
      <c r="J456" s="88"/>
      <c r="K456" s="89"/>
      <c r="L456" s="89"/>
      <c r="M456" s="88"/>
      <c r="O456" s="88"/>
      <c r="P456" s="88"/>
    </row>
    <row r="457" spans="1:17" ht="12.75" hidden="1" customHeight="1">
      <c r="A457" s="187" t="s">
        <v>322</v>
      </c>
      <c r="B457" s="188"/>
      <c r="C457" s="188"/>
      <c r="D457" s="188"/>
      <c r="E457" s="189">
        <f t="shared" ref="E457:E520" si="81">D457-C457</f>
        <v>0</v>
      </c>
      <c r="F457" s="190" t="e">
        <f t="shared" si="80"/>
        <v>#DIV/0!</v>
      </c>
      <c r="H457" s="88"/>
      <c r="I457" s="88">
        <v>118</v>
      </c>
      <c r="J457" s="88"/>
      <c r="K457" s="89"/>
      <c r="L457" s="89"/>
      <c r="M457" s="88"/>
      <c r="O457" s="88"/>
      <c r="P457" s="88"/>
    </row>
    <row r="458" spans="1:17" ht="12.75" hidden="1" customHeight="1">
      <c r="A458" s="187" t="s">
        <v>323</v>
      </c>
      <c r="B458" s="188"/>
      <c r="C458" s="188"/>
      <c r="D458" s="188"/>
      <c r="E458" s="189">
        <f t="shared" si="81"/>
        <v>0</v>
      </c>
      <c r="F458" s="190" t="e">
        <f t="shared" si="80"/>
        <v>#DIV/0!</v>
      </c>
      <c r="H458" s="88"/>
      <c r="I458" s="88"/>
      <c r="J458" s="88"/>
      <c r="K458" s="89"/>
      <c r="L458" s="89"/>
      <c r="M458" s="88"/>
      <c r="O458" s="88"/>
      <c r="P458" s="88"/>
    </row>
    <row r="459" spans="1:17" ht="12.75" hidden="1" customHeight="1">
      <c r="A459" s="187" t="s">
        <v>324</v>
      </c>
      <c r="B459" s="188"/>
      <c r="C459" s="188"/>
      <c r="D459" s="188"/>
      <c r="E459" s="189">
        <f t="shared" si="81"/>
        <v>0</v>
      </c>
      <c r="F459" s="190" t="e">
        <f t="shared" si="80"/>
        <v>#DIV/0!</v>
      </c>
      <c r="H459" s="88"/>
      <c r="I459" s="88"/>
      <c r="J459" s="88"/>
      <c r="K459" s="89"/>
      <c r="L459" s="89"/>
      <c r="M459" s="88"/>
      <c r="O459" s="88"/>
      <c r="P459" s="88"/>
    </row>
    <row r="460" spans="1:17" ht="12.75" hidden="1" customHeight="1">
      <c r="A460" s="187" t="s">
        <v>325</v>
      </c>
      <c r="B460" s="188"/>
      <c r="C460" s="188"/>
      <c r="D460" s="188"/>
      <c r="E460" s="189">
        <f t="shared" si="81"/>
        <v>0</v>
      </c>
      <c r="F460" s="190" t="e">
        <f t="shared" si="80"/>
        <v>#DIV/0!</v>
      </c>
      <c r="H460" s="88"/>
      <c r="I460" s="88">
        <v>145</v>
      </c>
      <c r="J460" s="88"/>
      <c r="K460" s="89"/>
      <c r="L460" s="89"/>
      <c r="M460" s="88"/>
      <c r="O460" s="88"/>
      <c r="P460" s="88"/>
    </row>
    <row r="461" spans="1:17" ht="12.75" hidden="1" customHeight="1">
      <c r="A461" s="187" t="s">
        <v>326</v>
      </c>
      <c r="B461" s="188"/>
      <c r="C461" s="188"/>
      <c r="D461" s="188"/>
      <c r="E461" s="189">
        <f t="shared" si="81"/>
        <v>0</v>
      </c>
      <c r="F461" s="190" t="e">
        <f t="shared" si="80"/>
        <v>#DIV/0!</v>
      </c>
      <c r="H461" s="88"/>
      <c r="I461" s="88"/>
      <c r="J461" s="88"/>
      <c r="K461" s="89"/>
      <c r="L461" s="89"/>
      <c r="M461" s="88"/>
      <c r="O461" s="88"/>
      <c r="P461" s="88"/>
    </row>
    <row r="462" spans="1:17" ht="12.75" hidden="1" customHeight="1">
      <c r="A462" s="187" t="s">
        <v>327</v>
      </c>
      <c r="B462" s="188"/>
      <c r="C462" s="188"/>
      <c r="D462" s="188"/>
      <c r="E462" s="189">
        <f t="shared" si="81"/>
        <v>0</v>
      </c>
      <c r="F462" s="190" t="e">
        <f t="shared" si="80"/>
        <v>#DIV/0!</v>
      </c>
      <c r="H462" s="88"/>
      <c r="I462" s="88">
        <v>50</v>
      </c>
      <c r="J462" s="88"/>
      <c r="K462" s="89"/>
      <c r="L462" s="89"/>
      <c r="M462" s="88"/>
      <c r="O462" s="88"/>
      <c r="P462" s="88"/>
    </row>
    <row r="463" spans="1:17" ht="12.75" hidden="1" customHeight="1">
      <c r="A463" s="187" t="s">
        <v>328</v>
      </c>
      <c r="B463" s="188"/>
      <c r="C463" s="188"/>
      <c r="D463" s="188"/>
      <c r="E463" s="189">
        <f t="shared" si="81"/>
        <v>0</v>
      </c>
      <c r="F463" s="190" t="e">
        <f t="shared" si="80"/>
        <v>#DIV/0!</v>
      </c>
      <c r="H463" s="88">
        <v>2000</v>
      </c>
      <c r="I463" s="88"/>
      <c r="J463" s="88"/>
      <c r="K463" s="89">
        <v>-674</v>
      </c>
      <c r="L463" s="89"/>
      <c r="M463" s="88"/>
      <c r="O463" s="88"/>
      <c r="P463" s="88"/>
    </row>
    <row r="464" spans="1:17" ht="12.75" hidden="1" customHeight="1">
      <c r="A464" s="187" t="s">
        <v>329</v>
      </c>
      <c r="B464" s="188"/>
      <c r="C464" s="188"/>
      <c r="D464" s="188"/>
      <c r="E464" s="189">
        <f t="shared" si="81"/>
        <v>0</v>
      </c>
      <c r="F464" s="190" t="e">
        <f t="shared" si="80"/>
        <v>#DIV/0!</v>
      </c>
      <c r="H464" s="88"/>
      <c r="I464" s="88"/>
      <c r="J464" s="88"/>
      <c r="K464" s="89"/>
      <c r="L464" s="89"/>
      <c r="M464" s="88"/>
      <c r="O464" s="88"/>
      <c r="P464" s="88"/>
    </row>
    <row r="465" spans="1:16" ht="12.75" hidden="1" customHeight="1">
      <c r="A465" s="187" t="s">
        <v>330</v>
      </c>
      <c r="B465" s="188"/>
      <c r="C465" s="188"/>
      <c r="D465" s="188"/>
      <c r="E465" s="189">
        <f t="shared" si="81"/>
        <v>0</v>
      </c>
      <c r="F465" s="190" t="e">
        <f t="shared" si="80"/>
        <v>#DIV/0!</v>
      </c>
      <c r="H465" s="88"/>
      <c r="I465" s="88"/>
      <c r="J465" s="88"/>
      <c r="K465" s="89"/>
      <c r="L465" s="89"/>
      <c r="M465" s="88"/>
      <c r="O465" s="88"/>
      <c r="P465" s="88"/>
    </row>
    <row r="466" spans="1:16" ht="12.75" hidden="1" customHeight="1">
      <c r="A466" s="187" t="s">
        <v>331</v>
      </c>
      <c r="B466" s="188"/>
      <c r="C466" s="188"/>
      <c r="D466" s="188"/>
      <c r="E466" s="189">
        <f t="shared" si="81"/>
        <v>0</v>
      </c>
      <c r="F466" s="190" t="e">
        <f t="shared" si="80"/>
        <v>#DIV/0!</v>
      </c>
      <c r="H466" s="88"/>
      <c r="I466" s="88">
        <v>24</v>
      </c>
      <c r="J466" s="88"/>
      <c r="K466" s="89"/>
      <c r="L466" s="89"/>
      <c r="M466" s="88"/>
      <c r="O466" s="88"/>
      <c r="P466" s="88"/>
    </row>
    <row r="467" spans="1:16">
      <c r="A467" s="187" t="s">
        <v>332</v>
      </c>
      <c r="B467" s="188">
        <v>32</v>
      </c>
      <c r="C467" s="188">
        <v>32</v>
      </c>
      <c r="D467" s="188">
        <v>1765</v>
      </c>
      <c r="E467" s="189">
        <f t="shared" si="81"/>
        <v>1733</v>
      </c>
      <c r="F467" s="190">
        <f t="shared" si="80"/>
        <v>5415.625</v>
      </c>
      <c r="H467" s="88">
        <f t="shared" ref="H467:M467" si="82">SUM(H468:H474)</f>
        <v>0</v>
      </c>
      <c r="I467" s="88">
        <f t="shared" si="82"/>
        <v>7</v>
      </c>
      <c r="J467" s="88">
        <f t="shared" si="82"/>
        <v>0</v>
      </c>
      <c r="K467" s="89">
        <f t="shared" si="82"/>
        <v>0</v>
      </c>
      <c r="L467" s="89">
        <f t="shared" si="82"/>
        <v>0</v>
      </c>
      <c r="M467" s="88">
        <f t="shared" si="82"/>
        <v>0</v>
      </c>
      <c r="O467" s="88">
        <f>SUM(O468:O474)</f>
        <v>0</v>
      </c>
      <c r="P467" s="88">
        <f>SUM(P468:P474)</f>
        <v>0</v>
      </c>
    </row>
    <row r="468" spans="1:16" ht="12.75" hidden="1" customHeight="1">
      <c r="A468" s="187" t="s">
        <v>13</v>
      </c>
      <c r="B468" s="188"/>
      <c r="C468" s="188"/>
      <c r="D468" s="188"/>
      <c r="E468" s="189">
        <f t="shared" si="81"/>
        <v>0</v>
      </c>
      <c r="F468" s="190" t="e">
        <f t="shared" si="80"/>
        <v>#DIV/0!</v>
      </c>
      <c r="H468" s="88"/>
      <c r="I468" s="88"/>
      <c r="J468" s="88"/>
      <c r="K468" s="89"/>
      <c r="L468" s="89"/>
      <c r="M468" s="88"/>
      <c r="O468" s="88"/>
      <c r="P468" s="88"/>
    </row>
    <row r="469" spans="1:16" ht="12.75" hidden="1" customHeight="1">
      <c r="A469" s="187" t="s">
        <v>14</v>
      </c>
      <c r="B469" s="188"/>
      <c r="C469" s="188"/>
      <c r="D469" s="188"/>
      <c r="E469" s="189">
        <f t="shared" si="81"/>
        <v>0</v>
      </c>
      <c r="F469" s="190" t="e">
        <f t="shared" si="80"/>
        <v>#DIV/0!</v>
      </c>
      <c r="H469" s="88"/>
      <c r="I469" s="88"/>
      <c r="J469" s="88"/>
      <c r="K469" s="89"/>
      <c r="L469" s="89"/>
      <c r="M469" s="88"/>
      <c r="O469" s="88"/>
      <c r="P469" s="88"/>
    </row>
    <row r="470" spans="1:16" ht="12.75" hidden="1" customHeight="1">
      <c r="A470" s="187" t="s">
        <v>15</v>
      </c>
      <c r="B470" s="188"/>
      <c r="C470" s="188"/>
      <c r="D470" s="188"/>
      <c r="E470" s="189">
        <f t="shared" si="81"/>
        <v>0</v>
      </c>
      <c r="F470" s="190" t="e">
        <f t="shared" si="80"/>
        <v>#DIV/0!</v>
      </c>
      <c r="H470" s="88"/>
      <c r="I470" s="88"/>
      <c r="J470" s="88"/>
      <c r="K470" s="89"/>
      <c r="L470" s="89"/>
      <c r="M470" s="88"/>
      <c r="O470" s="88"/>
      <c r="P470" s="88"/>
    </row>
    <row r="471" spans="1:16" ht="12.75" hidden="1" customHeight="1">
      <c r="A471" s="187" t="s">
        <v>333</v>
      </c>
      <c r="B471" s="188"/>
      <c r="C471" s="188"/>
      <c r="D471" s="188"/>
      <c r="E471" s="189">
        <f t="shared" si="81"/>
        <v>0</v>
      </c>
      <c r="F471" s="190" t="e">
        <f t="shared" si="80"/>
        <v>#DIV/0!</v>
      </c>
      <c r="H471" s="88"/>
      <c r="I471" s="88"/>
      <c r="J471" s="88"/>
      <c r="K471" s="89"/>
      <c r="L471" s="89"/>
      <c r="M471" s="88"/>
      <c r="O471" s="88"/>
      <c r="P471" s="88"/>
    </row>
    <row r="472" spans="1:16" ht="12.75" hidden="1" customHeight="1">
      <c r="A472" s="187" t="s">
        <v>334</v>
      </c>
      <c r="B472" s="188"/>
      <c r="C472" s="188"/>
      <c r="D472" s="188"/>
      <c r="E472" s="189">
        <f t="shared" si="81"/>
        <v>0</v>
      </c>
      <c r="F472" s="190" t="e">
        <f t="shared" si="80"/>
        <v>#DIV/0!</v>
      </c>
      <c r="H472" s="88"/>
      <c r="I472" s="88"/>
      <c r="J472" s="88"/>
      <c r="K472" s="89"/>
      <c r="L472" s="89"/>
      <c r="M472" s="88"/>
      <c r="O472" s="88"/>
      <c r="P472" s="88"/>
    </row>
    <row r="473" spans="1:16" ht="12.75" hidden="1" customHeight="1">
      <c r="A473" s="187" t="s">
        <v>335</v>
      </c>
      <c r="B473" s="188"/>
      <c r="C473" s="188"/>
      <c r="D473" s="188"/>
      <c r="E473" s="189">
        <f t="shared" si="81"/>
        <v>0</v>
      </c>
      <c r="F473" s="190" t="e">
        <f t="shared" si="80"/>
        <v>#DIV/0!</v>
      </c>
      <c r="H473" s="88"/>
      <c r="I473" s="88"/>
      <c r="J473" s="88"/>
      <c r="K473" s="89"/>
      <c r="L473" s="89"/>
      <c r="M473" s="88"/>
      <c r="O473" s="88"/>
      <c r="P473" s="88"/>
    </row>
    <row r="474" spans="1:16" ht="12.75" hidden="1" customHeight="1">
      <c r="A474" s="187" t="s">
        <v>336</v>
      </c>
      <c r="B474" s="188"/>
      <c r="C474" s="188"/>
      <c r="D474" s="188"/>
      <c r="E474" s="189">
        <f t="shared" si="81"/>
        <v>0</v>
      </c>
      <c r="F474" s="190" t="e">
        <f t="shared" si="80"/>
        <v>#DIV/0!</v>
      </c>
      <c r="H474" s="88"/>
      <c r="I474" s="88">
        <v>7</v>
      </c>
      <c r="J474" s="88"/>
      <c r="K474" s="89"/>
      <c r="L474" s="89"/>
      <c r="M474" s="88"/>
      <c r="O474" s="88"/>
      <c r="P474" s="88"/>
    </row>
    <row r="475" spans="1:16">
      <c r="A475" s="187" t="s">
        <v>337</v>
      </c>
      <c r="B475" s="188">
        <v>1319.9</v>
      </c>
      <c r="C475" s="188">
        <v>1319.9</v>
      </c>
      <c r="D475" s="188">
        <v>1524.17</v>
      </c>
      <c r="E475" s="189">
        <f t="shared" si="81"/>
        <v>204.26999999999998</v>
      </c>
      <c r="F475" s="190">
        <f t="shared" si="80"/>
        <v>15.476172437305854</v>
      </c>
      <c r="H475" s="88">
        <f t="shared" ref="H475:M475" si="83">SUM(H476:H485)</f>
        <v>1000</v>
      </c>
      <c r="I475" s="88">
        <f t="shared" si="83"/>
        <v>139</v>
      </c>
      <c r="J475" s="88">
        <f t="shared" si="83"/>
        <v>0</v>
      </c>
      <c r="K475" s="89">
        <f t="shared" si="83"/>
        <v>0</v>
      </c>
      <c r="L475" s="89">
        <f t="shared" si="83"/>
        <v>0</v>
      </c>
      <c r="M475" s="88">
        <f t="shared" si="83"/>
        <v>0</v>
      </c>
      <c r="O475" s="88">
        <f>SUM(O476:O485)</f>
        <v>0</v>
      </c>
      <c r="P475" s="88">
        <f>SUM(P476:P485)</f>
        <v>0</v>
      </c>
    </row>
    <row r="476" spans="1:16" ht="12.75" hidden="1" customHeight="1">
      <c r="A476" s="187" t="s">
        <v>13</v>
      </c>
      <c r="B476" s="188"/>
      <c r="C476" s="188"/>
      <c r="D476" s="188"/>
      <c r="E476" s="189">
        <f t="shared" si="81"/>
        <v>0</v>
      </c>
      <c r="F476" s="190" t="e">
        <f t="shared" si="80"/>
        <v>#DIV/0!</v>
      </c>
      <c r="H476" s="88"/>
      <c r="I476" s="88">
        <v>23</v>
      </c>
      <c r="J476" s="88"/>
      <c r="K476" s="89"/>
      <c r="L476" s="89"/>
      <c r="M476" s="88"/>
      <c r="O476" s="88"/>
      <c r="P476" s="88"/>
    </row>
    <row r="477" spans="1:16" ht="12.75" hidden="1" customHeight="1">
      <c r="A477" s="187" t="s">
        <v>14</v>
      </c>
      <c r="B477" s="188"/>
      <c r="C477" s="188"/>
      <c r="D477" s="188"/>
      <c r="E477" s="189">
        <f t="shared" si="81"/>
        <v>0</v>
      </c>
      <c r="F477" s="190" t="e">
        <f t="shared" si="80"/>
        <v>#DIV/0!</v>
      </c>
      <c r="H477" s="88"/>
      <c r="I477" s="88"/>
      <c r="J477" s="88"/>
      <c r="K477" s="89"/>
      <c r="L477" s="89"/>
      <c r="M477" s="88"/>
      <c r="O477" s="88"/>
      <c r="P477" s="88"/>
    </row>
    <row r="478" spans="1:16" ht="12.75" hidden="1" customHeight="1">
      <c r="A478" s="187" t="s">
        <v>15</v>
      </c>
      <c r="B478" s="188"/>
      <c r="C478" s="188"/>
      <c r="D478" s="188"/>
      <c r="E478" s="189">
        <f t="shared" si="81"/>
        <v>0</v>
      </c>
      <c r="F478" s="190" t="e">
        <f t="shared" si="80"/>
        <v>#DIV/0!</v>
      </c>
      <c r="H478" s="88"/>
      <c r="I478" s="88"/>
      <c r="J478" s="88"/>
      <c r="K478" s="89"/>
      <c r="L478" s="89"/>
      <c r="M478" s="88"/>
      <c r="O478" s="88"/>
      <c r="P478" s="88"/>
    </row>
    <row r="479" spans="1:16" ht="12.75" hidden="1" customHeight="1">
      <c r="A479" s="187" t="s">
        <v>338</v>
      </c>
      <c r="B479" s="188"/>
      <c r="C479" s="188"/>
      <c r="D479" s="188"/>
      <c r="E479" s="189">
        <f t="shared" si="81"/>
        <v>0</v>
      </c>
      <c r="F479" s="190" t="e">
        <f t="shared" si="80"/>
        <v>#DIV/0!</v>
      </c>
      <c r="H479" s="88"/>
      <c r="I479" s="88"/>
      <c r="J479" s="88"/>
      <c r="K479" s="89"/>
      <c r="L479" s="89"/>
      <c r="M479" s="88"/>
      <c r="O479" s="88"/>
      <c r="P479" s="88"/>
    </row>
    <row r="480" spans="1:16" ht="12.75" hidden="1" customHeight="1">
      <c r="A480" s="187" t="s">
        <v>339</v>
      </c>
      <c r="B480" s="188"/>
      <c r="C480" s="188"/>
      <c r="D480" s="188"/>
      <c r="E480" s="189">
        <f t="shared" si="81"/>
        <v>0</v>
      </c>
      <c r="F480" s="190" t="e">
        <f t="shared" si="80"/>
        <v>#DIV/0!</v>
      </c>
      <c r="H480" s="88"/>
      <c r="I480" s="88"/>
      <c r="J480" s="88"/>
      <c r="K480" s="89"/>
      <c r="L480" s="89"/>
      <c r="M480" s="88"/>
      <c r="O480" s="88"/>
      <c r="P480" s="88"/>
    </row>
    <row r="481" spans="1:16" ht="12.75" hidden="1" customHeight="1">
      <c r="A481" s="187" t="s">
        <v>340</v>
      </c>
      <c r="B481" s="188"/>
      <c r="C481" s="188"/>
      <c r="D481" s="188"/>
      <c r="E481" s="189">
        <f t="shared" si="81"/>
        <v>0</v>
      </c>
      <c r="F481" s="190" t="e">
        <f t="shared" si="80"/>
        <v>#DIV/0!</v>
      </c>
      <c r="H481" s="88"/>
      <c r="I481" s="88"/>
      <c r="J481" s="88"/>
      <c r="K481" s="89"/>
      <c r="L481" s="89"/>
      <c r="M481" s="88"/>
      <c r="O481" s="88"/>
      <c r="P481" s="88"/>
    </row>
    <row r="482" spans="1:16" ht="12.75" hidden="1" customHeight="1">
      <c r="A482" s="187" t="s">
        <v>341</v>
      </c>
      <c r="B482" s="188"/>
      <c r="C482" s="188"/>
      <c r="D482" s="188"/>
      <c r="E482" s="189">
        <f t="shared" si="81"/>
        <v>0</v>
      </c>
      <c r="F482" s="190" t="e">
        <f t="shared" si="80"/>
        <v>#DIV/0!</v>
      </c>
      <c r="H482" s="88">
        <v>1000</v>
      </c>
      <c r="I482" s="88"/>
      <c r="J482" s="88"/>
      <c r="K482" s="89"/>
      <c r="L482" s="89"/>
      <c r="M482" s="88"/>
      <c r="O482" s="88"/>
      <c r="P482" s="88"/>
    </row>
    <row r="483" spans="1:16" ht="12.75" hidden="1" customHeight="1">
      <c r="A483" s="187" t="s">
        <v>342</v>
      </c>
      <c r="B483" s="188"/>
      <c r="C483" s="188"/>
      <c r="D483" s="188"/>
      <c r="E483" s="189">
        <f t="shared" si="81"/>
        <v>0</v>
      </c>
      <c r="F483" s="190" t="e">
        <f t="shared" si="80"/>
        <v>#DIV/0!</v>
      </c>
      <c r="H483" s="88"/>
      <c r="I483" s="88">
        <v>116</v>
      </c>
      <c r="J483" s="88"/>
      <c r="K483" s="89"/>
      <c r="L483" s="89"/>
      <c r="M483" s="88"/>
      <c r="O483" s="88"/>
      <c r="P483" s="88"/>
    </row>
    <row r="484" spans="1:16" ht="12.75" hidden="1" customHeight="1">
      <c r="A484" s="187" t="s">
        <v>343</v>
      </c>
      <c r="B484" s="188"/>
      <c r="C484" s="188"/>
      <c r="D484" s="188"/>
      <c r="E484" s="189">
        <f t="shared" si="81"/>
        <v>0</v>
      </c>
      <c r="F484" s="190" t="e">
        <f t="shared" si="80"/>
        <v>#DIV/0!</v>
      </c>
      <c r="H484" s="88"/>
      <c r="I484" s="88"/>
      <c r="J484" s="88"/>
      <c r="K484" s="89"/>
      <c r="L484" s="89"/>
      <c r="M484" s="88"/>
      <c r="O484" s="88"/>
      <c r="P484" s="88"/>
    </row>
    <row r="485" spans="1:16" ht="12.75" hidden="1" customHeight="1">
      <c r="A485" s="187" t="s">
        <v>344</v>
      </c>
      <c r="B485" s="188"/>
      <c r="C485" s="188"/>
      <c r="D485" s="188"/>
      <c r="E485" s="189">
        <f t="shared" si="81"/>
        <v>0</v>
      </c>
      <c r="F485" s="190" t="e">
        <f t="shared" si="80"/>
        <v>#DIV/0!</v>
      </c>
      <c r="H485" s="88"/>
      <c r="I485" s="88"/>
      <c r="J485" s="88"/>
      <c r="K485" s="89"/>
      <c r="L485" s="89"/>
      <c r="M485" s="88"/>
      <c r="O485" s="88"/>
      <c r="P485" s="88"/>
    </row>
    <row r="486" spans="1:16">
      <c r="A486" s="187" t="s">
        <v>1027</v>
      </c>
      <c r="B486" s="188">
        <v>8276.17</v>
      </c>
      <c r="C486" s="188">
        <v>5076.17</v>
      </c>
      <c r="D486" s="188">
        <v>7989.09</v>
      </c>
      <c r="E486" s="189">
        <f t="shared" si="81"/>
        <v>2912.92</v>
      </c>
      <c r="F486" s="190">
        <f t="shared" si="80"/>
        <v>57.384208960692803</v>
      </c>
      <c r="H486" s="88">
        <f t="shared" ref="H486:M486" si="84">SUM(H487:H494)</f>
        <v>350</v>
      </c>
      <c r="I486" s="88">
        <f t="shared" si="84"/>
        <v>360</v>
      </c>
      <c r="J486" s="88">
        <f t="shared" si="84"/>
        <v>0</v>
      </c>
      <c r="K486" s="89">
        <f t="shared" si="84"/>
        <v>0</v>
      </c>
      <c r="L486" s="89">
        <f t="shared" si="84"/>
        <v>0</v>
      </c>
      <c r="M486" s="88">
        <f t="shared" si="84"/>
        <v>0</v>
      </c>
      <c r="O486" s="88">
        <f>SUM(O487:O494)</f>
        <v>0</v>
      </c>
      <c r="P486" s="88">
        <f>SUM(P487:P494)</f>
        <v>0</v>
      </c>
    </row>
    <row r="487" spans="1:16" ht="12.75" hidden="1" customHeight="1">
      <c r="A487" s="187" t="s">
        <v>13</v>
      </c>
      <c r="B487" s="188"/>
      <c r="C487" s="188"/>
      <c r="D487" s="188"/>
      <c r="E487" s="189">
        <f t="shared" si="81"/>
        <v>0</v>
      </c>
      <c r="F487" s="190" t="e">
        <f t="shared" si="80"/>
        <v>#DIV/0!</v>
      </c>
      <c r="H487" s="88"/>
      <c r="I487" s="88">
        <v>117</v>
      </c>
      <c r="J487" s="88"/>
      <c r="K487" s="89"/>
      <c r="L487" s="89"/>
      <c r="M487" s="88"/>
      <c r="O487" s="88"/>
      <c r="P487" s="88"/>
    </row>
    <row r="488" spans="1:16" ht="12.75" hidden="1" customHeight="1">
      <c r="A488" s="187" t="s">
        <v>14</v>
      </c>
      <c r="B488" s="188"/>
      <c r="C488" s="188"/>
      <c r="D488" s="188"/>
      <c r="E488" s="189">
        <f t="shared" si="81"/>
        <v>0</v>
      </c>
      <c r="F488" s="190" t="e">
        <f t="shared" si="80"/>
        <v>#DIV/0!</v>
      </c>
      <c r="H488" s="88"/>
      <c r="I488" s="88"/>
      <c r="J488" s="88"/>
      <c r="K488" s="89"/>
      <c r="L488" s="89"/>
      <c r="M488" s="88"/>
      <c r="O488" s="88"/>
      <c r="P488" s="88"/>
    </row>
    <row r="489" spans="1:16" ht="12.75" hidden="1" customHeight="1">
      <c r="A489" s="187" t="s">
        <v>15</v>
      </c>
      <c r="B489" s="188"/>
      <c r="C489" s="188"/>
      <c r="D489" s="188"/>
      <c r="E489" s="189">
        <f t="shared" si="81"/>
        <v>0</v>
      </c>
      <c r="F489" s="190" t="e">
        <f t="shared" si="80"/>
        <v>#DIV/0!</v>
      </c>
      <c r="H489" s="88"/>
      <c r="I489" s="88"/>
      <c r="J489" s="88"/>
      <c r="K489" s="89"/>
      <c r="L489" s="89"/>
      <c r="M489" s="88"/>
      <c r="O489" s="88"/>
      <c r="P489" s="88"/>
    </row>
    <row r="490" spans="1:16" ht="12.75" hidden="1" customHeight="1">
      <c r="A490" s="187" t="s">
        <v>345</v>
      </c>
      <c r="B490" s="188"/>
      <c r="C490" s="188"/>
      <c r="D490" s="188"/>
      <c r="E490" s="189">
        <f t="shared" si="81"/>
        <v>0</v>
      </c>
      <c r="F490" s="190" t="e">
        <f t="shared" si="80"/>
        <v>#DIV/0!</v>
      </c>
      <c r="H490" s="88"/>
      <c r="I490" s="88">
        <v>141</v>
      </c>
      <c r="J490" s="88"/>
      <c r="K490" s="89"/>
      <c r="L490" s="89"/>
      <c r="M490" s="88"/>
      <c r="O490" s="88"/>
      <c r="P490" s="88"/>
    </row>
    <row r="491" spans="1:16" ht="12.75" hidden="1" customHeight="1">
      <c r="A491" s="187" t="s">
        <v>346</v>
      </c>
      <c r="B491" s="188"/>
      <c r="C491" s="188"/>
      <c r="D491" s="188"/>
      <c r="E491" s="189">
        <f t="shared" si="81"/>
        <v>0</v>
      </c>
      <c r="F491" s="190" t="e">
        <f t="shared" si="80"/>
        <v>#DIV/0!</v>
      </c>
      <c r="H491" s="88">
        <v>350</v>
      </c>
      <c r="I491" s="88">
        <v>102</v>
      </c>
      <c r="J491" s="88"/>
      <c r="K491" s="89"/>
      <c r="L491" s="89"/>
      <c r="M491" s="88"/>
      <c r="O491" s="88"/>
      <c r="P491" s="88"/>
    </row>
    <row r="492" spans="1:16" ht="12.75" hidden="1" customHeight="1">
      <c r="A492" s="187" t="s">
        <v>347</v>
      </c>
      <c r="B492" s="188"/>
      <c r="C492" s="188"/>
      <c r="D492" s="188"/>
      <c r="E492" s="189">
        <f t="shared" si="81"/>
        <v>0</v>
      </c>
      <c r="F492" s="190" t="e">
        <f t="shared" si="80"/>
        <v>#DIV/0!</v>
      </c>
      <c r="H492" s="88"/>
      <c r="I492" s="88"/>
      <c r="J492" s="88"/>
      <c r="K492" s="89"/>
      <c r="L492" s="89"/>
      <c r="M492" s="88"/>
      <c r="O492" s="88"/>
      <c r="P492" s="88"/>
    </row>
    <row r="493" spans="1:16" ht="12.75" hidden="1" customHeight="1">
      <c r="A493" s="187" t="s">
        <v>348</v>
      </c>
      <c r="B493" s="188"/>
      <c r="C493" s="188"/>
      <c r="D493" s="188"/>
      <c r="E493" s="189">
        <f t="shared" si="81"/>
        <v>0</v>
      </c>
      <c r="F493" s="190" t="e">
        <f t="shared" si="80"/>
        <v>#DIV/0!</v>
      </c>
      <c r="H493" s="88"/>
      <c r="I493" s="88"/>
      <c r="J493" s="88"/>
      <c r="K493" s="89"/>
      <c r="L493" s="89"/>
      <c r="M493" s="88"/>
      <c r="O493" s="88"/>
      <c r="P493" s="88"/>
    </row>
    <row r="494" spans="1:16" ht="12.75" hidden="1" customHeight="1">
      <c r="A494" s="187" t="s">
        <v>349</v>
      </c>
      <c r="B494" s="188"/>
      <c r="C494" s="188"/>
      <c r="D494" s="188"/>
      <c r="E494" s="189">
        <f t="shared" si="81"/>
        <v>0</v>
      </c>
      <c r="F494" s="190" t="e">
        <f t="shared" si="80"/>
        <v>#DIV/0!</v>
      </c>
      <c r="H494" s="88"/>
      <c r="I494" s="88"/>
      <c r="J494" s="88"/>
      <c r="K494" s="89"/>
      <c r="L494" s="89"/>
      <c r="M494" s="88"/>
      <c r="O494" s="88"/>
      <c r="P494" s="88"/>
    </row>
    <row r="495" spans="1:16" hidden="1">
      <c r="A495" s="187" t="s">
        <v>1026</v>
      </c>
      <c r="B495" s="188">
        <v>0</v>
      </c>
      <c r="C495" s="188">
        <v>0</v>
      </c>
      <c r="D495" s="188">
        <v>0</v>
      </c>
      <c r="E495" s="189">
        <f t="shared" si="81"/>
        <v>0</v>
      </c>
      <c r="F495" s="190" t="e">
        <f t="shared" si="80"/>
        <v>#DIV/0!</v>
      </c>
      <c r="H495" s="88">
        <f t="shared" ref="H495:M495" si="85">SUM(H496:H503)</f>
        <v>295</v>
      </c>
      <c r="I495" s="88">
        <f t="shared" si="85"/>
        <v>0</v>
      </c>
      <c r="J495" s="88">
        <f t="shared" si="85"/>
        <v>0</v>
      </c>
      <c r="K495" s="89">
        <f t="shared" si="85"/>
        <v>0</v>
      </c>
      <c r="L495" s="89">
        <f t="shared" si="85"/>
        <v>0</v>
      </c>
      <c r="M495" s="88">
        <f t="shared" si="85"/>
        <v>0</v>
      </c>
      <c r="O495" s="88">
        <f>SUM(O496:O503)</f>
        <v>0</v>
      </c>
      <c r="P495" s="88">
        <f>SUM(P496:P503)</f>
        <v>0</v>
      </c>
    </row>
    <row r="496" spans="1:16" ht="12.75" hidden="1" customHeight="1">
      <c r="A496" s="187" t="s">
        <v>13</v>
      </c>
      <c r="B496" s="188"/>
      <c r="C496" s="188"/>
      <c r="D496" s="188"/>
      <c r="E496" s="189">
        <f t="shared" si="81"/>
        <v>0</v>
      </c>
      <c r="F496" s="190" t="e">
        <f t="shared" si="80"/>
        <v>#DIV/0!</v>
      </c>
      <c r="H496" s="88">
        <v>295</v>
      </c>
      <c r="I496" s="88"/>
      <c r="J496" s="88"/>
      <c r="K496" s="89"/>
      <c r="L496" s="89"/>
      <c r="M496" s="88"/>
      <c r="O496" s="88"/>
      <c r="P496" s="88"/>
    </row>
    <row r="497" spans="1:16" ht="12.75" hidden="1" customHeight="1">
      <c r="A497" s="187" t="s">
        <v>14</v>
      </c>
      <c r="B497" s="188"/>
      <c r="C497" s="188"/>
      <c r="D497" s="188"/>
      <c r="E497" s="189">
        <f t="shared" si="81"/>
        <v>0</v>
      </c>
      <c r="F497" s="190" t="e">
        <f t="shared" si="80"/>
        <v>#DIV/0!</v>
      </c>
      <c r="H497" s="88"/>
      <c r="I497" s="88"/>
      <c r="J497" s="88"/>
      <c r="K497" s="89"/>
      <c r="L497" s="89"/>
      <c r="M497" s="88"/>
      <c r="O497" s="88"/>
      <c r="P497" s="88"/>
    </row>
    <row r="498" spans="1:16" ht="12.75" hidden="1" customHeight="1">
      <c r="A498" s="187" t="s">
        <v>15</v>
      </c>
      <c r="B498" s="188"/>
      <c r="C498" s="188"/>
      <c r="D498" s="188"/>
      <c r="E498" s="189">
        <f t="shared" si="81"/>
        <v>0</v>
      </c>
      <c r="F498" s="190" t="e">
        <f t="shared" si="80"/>
        <v>#DIV/0!</v>
      </c>
      <c r="H498" s="88"/>
      <c r="I498" s="88"/>
      <c r="J498" s="88"/>
      <c r="K498" s="89"/>
      <c r="L498" s="89"/>
      <c r="M498" s="88"/>
      <c r="O498" s="88"/>
      <c r="P498" s="88"/>
    </row>
    <row r="499" spans="1:16" ht="12.75" hidden="1" customHeight="1">
      <c r="A499" s="187" t="s">
        <v>350</v>
      </c>
      <c r="B499" s="188"/>
      <c r="C499" s="188"/>
      <c r="D499" s="188"/>
      <c r="E499" s="189">
        <f t="shared" si="81"/>
        <v>0</v>
      </c>
      <c r="F499" s="190" t="e">
        <f t="shared" si="80"/>
        <v>#DIV/0!</v>
      </c>
      <c r="H499" s="88"/>
      <c r="I499" s="88"/>
      <c r="J499" s="88"/>
      <c r="K499" s="89"/>
      <c r="L499" s="89"/>
      <c r="M499" s="88"/>
      <c r="O499" s="88"/>
      <c r="P499" s="88"/>
    </row>
    <row r="500" spans="1:16" ht="12.75" hidden="1" customHeight="1">
      <c r="A500" s="187" t="s">
        <v>351</v>
      </c>
      <c r="B500" s="188"/>
      <c r="C500" s="188"/>
      <c r="D500" s="188"/>
      <c r="E500" s="189">
        <f t="shared" si="81"/>
        <v>0</v>
      </c>
      <c r="F500" s="190" t="e">
        <f t="shared" si="80"/>
        <v>#DIV/0!</v>
      </c>
      <c r="H500" s="88"/>
      <c r="I500" s="88"/>
      <c r="J500" s="88"/>
      <c r="K500" s="89"/>
      <c r="L500" s="89"/>
      <c r="M500" s="88"/>
      <c r="O500" s="88"/>
      <c r="P500" s="88"/>
    </row>
    <row r="501" spans="1:16" ht="12.75" hidden="1" customHeight="1">
      <c r="A501" s="187" t="s">
        <v>352</v>
      </c>
      <c r="B501" s="188"/>
      <c r="C501" s="188"/>
      <c r="D501" s="188"/>
      <c r="E501" s="189">
        <f t="shared" si="81"/>
        <v>0</v>
      </c>
      <c r="F501" s="190" t="e">
        <f t="shared" si="80"/>
        <v>#DIV/0!</v>
      </c>
      <c r="H501" s="88"/>
      <c r="I501" s="88"/>
      <c r="J501" s="88"/>
      <c r="K501" s="89"/>
      <c r="L501" s="89"/>
      <c r="M501" s="88"/>
      <c r="O501" s="88"/>
      <c r="P501" s="88"/>
    </row>
    <row r="502" spans="1:16" ht="12.75" hidden="1" customHeight="1">
      <c r="A502" s="187" t="s">
        <v>353</v>
      </c>
      <c r="B502" s="188"/>
      <c r="C502" s="188"/>
      <c r="D502" s="188"/>
      <c r="E502" s="189">
        <f t="shared" si="81"/>
        <v>0</v>
      </c>
      <c r="F502" s="190" t="e">
        <f t="shared" si="80"/>
        <v>#DIV/0!</v>
      </c>
      <c r="H502" s="88"/>
      <c r="I502" s="88"/>
      <c r="J502" s="88"/>
      <c r="K502" s="89"/>
      <c r="L502" s="89"/>
      <c r="M502" s="88"/>
      <c r="O502" s="88"/>
      <c r="P502" s="88"/>
    </row>
    <row r="503" spans="1:16" ht="12.75" hidden="1" customHeight="1">
      <c r="A503" s="187" t="s">
        <v>354</v>
      </c>
      <c r="B503" s="188"/>
      <c r="C503" s="188"/>
      <c r="D503" s="188"/>
      <c r="E503" s="189">
        <f t="shared" si="81"/>
        <v>0</v>
      </c>
      <c r="F503" s="190" t="e">
        <f t="shared" si="80"/>
        <v>#DIV/0!</v>
      </c>
      <c r="H503" s="88"/>
      <c r="I503" s="88"/>
      <c r="J503" s="88"/>
      <c r="K503" s="89"/>
      <c r="L503" s="89"/>
      <c r="M503" s="88"/>
      <c r="O503" s="88"/>
      <c r="P503" s="88"/>
    </row>
    <row r="504" spans="1:16">
      <c r="A504" s="187" t="s">
        <v>355</v>
      </c>
      <c r="B504" s="188"/>
      <c r="C504" s="188"/>
      <c r="D504" s="188">
        <v>14.7</v>
      </c>
      <c r="E504" s="189">
        <f t="shared" si="81"/>
        <v>14.7</v>
      </c>
      <c r="F504" s="190"/>
      <c r="H504" s="88">
        <f t="shared" ref="H504:M504" si="86">SUM(H505:H507)</f>
        <v>0</v>
      </c>
      <c r="I504" s="88">
        <f t="shared" si="86"/>
        <v>35</v>
      </c>
      <c r="J504" s="88">
        <f t="shared" si="86"/>
        <v>0</v>
      </c>
      <c r="K504" s="89">
        <f t="shared" si="86"/>
        <v>0</v>
      </c>
      <c r="L504" s="89">
        <f t="shared" si="86"/>
        <v>0</v>
      </c>
      <c r="M504" s="88">
        <f t="shared" si="86"/>
        <v>0</v>
      </c>
      <c r="O504" s="88">
        <f>SUM(O505:O507)</f>
        <v>0</v>
      </c>
      <c r="P504" s="88">
        <f>SUM(P505:P507)</f>
        <v>0</v>
      </c>
    </row>
    <row r="505" spans="1:16" ht="12.75" hidden="1" customHeight="1">
      <c r="A505" s="187" t="s">
        <v>356</v>
      </c>
      <c r="B505" s="188"/>
      <c r="C505" s="188"/>
      <c r="D505" s="188"/>
      <c r="E505" s="189">
        <f t="shared" si="81"/>
        <v>0</v>
      </c>
      <c r="F505" s="190" t="e">
        <f t="shared" si="80"/>
        <v>#DIV/0!</v>
      </c>
      <c r="H505" s="88"/>
      <c r="I505" s="88"/>
      <c r="J505" s="88"/>
      <c r="K505" s="89"/>
      <c r="L505" s="89"/>
      <c r="M505" s="88"/>
      <c r="O505" s="88"/>
      <c r="P505" s="88"/>
    </row>
    <row r="506" spans="1:16" ht="12.75" hidden="1" customHeight="1">
      <c r="A506" s="187" t="s">
        <v>357</v>
      </c>
      <c r="B506" s="188"/>
      <c r="C506" s="188"/>
      <c r="D506" s="188"/>
      <c r="E506" s="189">
        <f t="shared" si="81"/>
        <v>0</v>
      </c>
      <c r="F506" s="190" t="e">
        <f t="shared" si="80"/>
        <v>#DIV/0!</v>
      </c>
      <c r="H506" s="88"/>
      <c r="I506" s="88"/>
      <c r="J506" s="88"/>
      <c r="K506" s="89"/>
      <c r="L506" s="89"/>
      <c r="M506" s="88"/>
      <c r="O506" s="88"/>
      <c r="P506" s="88"/>
    </row>
    <row r="507" spans="1:16" ht="12.75" hidden="1" customHeight="1">
      <c r="A507" s="187" t="s">
        <v>358</v>
      </c>
      <c r="B507" s="188"/>
      <c r="C507" s="188"/>
      <c r="D507" s="188"/>
      <c r="E507" s="189">
        <f t="shared" si="81"/>
        <v>0</v>
      </c>
      <c r="F507" s="190" t="e">
        <f t="shared" si="80"/>
        <v>#DIV/0!</v>
      </c>
      <c r="H507" s="88"/>
      <c r="I507" s="88">
        <v>35</v>
      </c>
      <c r="J507" s="88"/>
      <c r="K507" s="89"/>
      <c r="L507" s="89"/>
      <c r="M507" s="88"/>
      <c r="O507" s="88"/>
      <c r="P507" s="88"/>
    </row>
    <row r="508" spans="1:16">
      <c r="A508" s="179" t="s">
        <v>359</v>
      </c>
      <c r="B508" s="182">
        <f>SUM(B509,B523,B534,B542,B548,B552,B566,B574,B580,B587,B595,B600,B605,B611,B608,B614,B617,,B620,B621)</f>
        <v>45869.52</v>
      </c>
      <c r="C508" s="184">
        <f>SUM(C509,C523,C534,C542,C548,C552,C566,C574,C580,C587,C595,C600,C605,C611,C608,C614,C617,,C620,C621)</f>
        <v>33964.519999999997</v>
      </c>
      <c r="D508" s="182">
        <f>SUM(D509,D523,D534,D542,D548,D552,D566,D574,D580,D587,D595,D600,D605,D611,D608,D614,D617,,D620,D621)</f>
        <v>28776.77</v>
      </c>
      <c r="E508" s="185">
        <f t="shared" si="81"/>
        <v>-5187.7499999999964</v>
      </c>
      <c r="F508" s="186">
        <f t="shared" si="80"/>
        <v>-15.274027131842278</v>
      </c>
      <c r="H508" s="88">
        <f>SUM(H509,H523,H534,H542,H548,H552,H566,H574,H580,H587,H595,H600,H605,H611,H608,H614,H617,H621)</f>
        <v>2103</v>
      </c>
      <c r="I508" s="88">
        <f t="shared" ref="I508:P508" si="87">SUM(I509,I523,I534,I542,I548,I552,I566,I574,I580,I587,I595,I600,I605,I611,I608,I614,I617,I621)</f>
        <v>23139</v>
      </c>
      <c r="J508" s="88">
        <f t="shared" si="87"/>
        <v>0</v>
      </c>
      <c r="K508" s="88">
        <f t="shared" si="87"/>
        <v>1435</v>
      </c>
      <c r="L508" s="88">
        <f t="shared" si="87"/>
        <v>956</v>
      </c>
      <c r="M508" s="88">
        <f t="shared" si="87"/>
        <v>0</v>
      </c>
      <c r="O508" s="88">
        <f t="shared" si="87"/>
        <v>0</v>
      </c>
      <c r="P508" s="88">
        <f t="shared" si="87"/>
        <v>0</v>
      </c>
    </row>
    <row r="509" spans="1:16">
      <c r="A509" s="187" t="s">
        <v>360</v>
      </c>
      <c r="B509" s="188">
        <v>925.16</v>
      </c>
      <c r="C509" s="188">
        <v>925.16</v>
      </c>
      <c r="D509" s="188">
        <v>1269.07</v>
      </c>
      <c r="E509" s="189">
        <f t="shared" si="81"/>
        <v>343.90999999999997</v>
      </c>
      <c r="F509" s="190">
        <f t="shared" si="80"/>
        <v>37.173029530027236</v>
      </c>
      <c r="H509" s="88">
        <f t="shared" ref="H509:M509" si="88">SUM(H510:H522)</f>
        <v>253</v>
      </c>
      <c r="I509" s="88">
        <f t="shared" si="88"/>
        <v>618</v>
      </c>
      <c r="J509" s="88">
        <f t="shared" si="88"/>
        <v>0</v>
      </c>
      <c r="K509" s="89">
        <f t="shared" si="88"/>
        <v>0</v>
      </c>
      <c r="L509" s="89">
        <f t="shared" si="88"/>
        <v>25</v>
      </c>
      <c r="M509" s="88">
        <f t="shared" si="88"/>
        <v>0</v>
      </c>
      <c r="O509" s="88">
        <f>SUM(O510:O522)</f>
        <v>0</v>
      </c>
      <c r="P509" s="88">
        <f>SUM(P510:P522)</f>
        <v>0</v>
      </c>
    </row>
    <row r="510" spans="1:16" ht="12.75" hidden="1" customHeight="1">
      <c r="A510" s="187" t="s">
        <v>13</v>
      </c>
      <c r="B510" s="188"/>
      <c r="C510" s="188"/>
      <c r="D510" s="188"/>
      <c r="E510" s="189">
        <f t="shared" si="81"/>
        <v>0</v>
      </c>
      <c r="F510" s="190" t="e">
        <f t="shared" si="80"/>
        <v>#DIV/0!</v>
      </c>
      <c r="H510" s="88">
        <v>253</v>
      </c>
      <c r="I510" s="88">
        <v>173</v>
      </c>
      <c r="J510" s="88"/>
      <c r="K510" s="89"/>
      <c r="L510" s="89">
        <v>25</v>
      </c>
      <c r="M510" s="88"/>
      <c r="O510" s="88"/>
      <c r="P510" s="88"/>
    </row>
    <row r="511" spans="1:16" ht="12.75" hidden="1" customHeight="1">
      <c r="A511" s="187" t="s">
        <v>14</v>
      </c>
      <c r="B511" s="188"/>
      <c r="C511" s="188"/>
      <c r="D511" s="188"/>
      <c r="E511" s="189">
        <f t="shared" si="81"/>
        <v>0</v>
      </c>
      <c r="F511" s="190" t="e">
        <f t="shared" si="80"/>
        <v>#DIV/0!</v>
      </c>
      <c r="H511" s="88"/>
      <c r="I511" s="88"/>
      <c r="J511" s="88"/>
      <c r="K511" s="89"/>
      <c r="L511" s="89"/>
      <c r="M511" s="88"/>
      <c r="O511" s="88"/>
      <c r="P511" s="88"/>
    </row>
    <row r="512" spans="1:16" ht="12.75" hidden="1" customHeight="1">
      <c r="A512" s="187" t="s">
        <v>15</v>
      </c>
      <c r="B512" s="188"/>
      <c r="C512" s="188"/>
      <c r="D512" s="188"/>
      <c r="E512" s="189">
        <f t="shared" si="81"/>
        <v>0</v>
      </c>
      <c r="F512" s="190" t="e">
        <f t="shared" si="80"/>
        <v>#DIV/0!</v>
      </c>
      <c r="H512" s="88"/>
      <c r="I512" s="88"/>
      <c r="J512" s="88"/>
      <c r="K512" s="89"/>
      <c r="L512" s="89"/>
      <c r="M512" s="88"/>
      <c r="O512" s="88"/>
      <c r="P512" s="88"/>
    </row>
    <row r="513" spans="1:16" ht="12.75" hidden="1" customHeight="1">
      <c r="A513" s="187" t="s">
        <v>361</v>
      </c>
      <c r="B513" s="188"/>
      <c r="C513" s="188"/>
      <c r="D513" s="188"/>
      <c r="E513" s="189">
        <f t="shared" si="81"/>
        <v>0</v>
      </c>
      <c r="F513" s="190" t="e">
        <f t="shared" si="80"/>
        <v>#DIV/0!</v>
      </c>
      <c r="H513" s="88"/>
      <c r="I513" s="88"/>
      <c r="J513" s="88"/>
      <c r="K513" s="89"/>
      <c r="L513" s="89"/>
      <c r="M513" s="88"/>
      <c r="O513" s="88"/>
      <c r="P513" s="88"/>
    </row>
    <row r="514" spans="1:16" ht="12.75" hidden="1" customHeight="1">
      <c r="A514" s="187" t="s">
        <v>362</v>
      </c>
      <c r="B514" s="188"/>
      <c r="C514" s="188"/>
      <c r="D514" s="188"/>
      <c r="E514" s="189">
        <f t="shared" si="81"/>
        <v>0</v>
      </c>
      <c r="F514" s="190" t="e">
        <f t="shared" si="80"/>
        <v>#DIV/0!</v>
      </c>
      <c r="H514" s="88"/>
      <c r="I514" s="88"/>
      <c r="J514" s="88"/>
      <c r="K514" s="89"/>
      <c r="L514" s="89"/>
      <c r="M514" s="88"/>
      <c r="O514" s="88"/>
      <c r="P514" s="88"/>
    </row>
    <row r="515" spans="1:16" ht="12.75" hidden="1" customHeight="1">
      <c r="A515" s="187" t="s">
        <v>363</v>
      </c>
      <c r="B515" s="188"/>
      <c r="C515" s="188"/>
      <c r="D515" s="188"/>
      <c r="E515" s="189">
        <f t="shared" si="81"/>
        <v>0</v>
      </c>
      <c r="F515" s="190" t="e">
        <f t="shared" si="80"/>
        <v>#DIV/0!</v>
      </c>
      <c r="H515" s="88"/>
      <c r="I515" s="88">
        <v>66</v>
      </c>
      <c r="J515" s="88"/>
      <c r="K515" s="89"/>
      <c r="L515" s="89"/>
      <c r="M515" s="88"/>
      <c r="O515" s="88"/>
      <c r="P515" s="88"/>
    </row>
    <row r="516" spans="1:16" ht="12.75" hidden="1" customHeight="1">
      <c r="A516" s="187" t="s">
        <v>364</v>
      </c>
      <c r="B516" s="188"/>
      <c r="C516" s="188"/>
      <c r="D516" s="188"/>
      <c r="E516" s="189">
        <f t="shared" si="81"/>
        <v>0</v>
      </c>
      <c r="F516" s="190" t="e">
        <f t="shared" si="80"/>
        <v>#DIV/0!</v>
      </c>
      <c r="H516" s="88"/>
      <c r="I516" s="88">
        <v>379</v>
      </c>
      <c r="J516" s="88"/>
      <c r="K516" s="89"/>
      <c r="L516" s="89"/>
      <c r="M516" s="88"/>
      <c r="O516" s="88"/>
      <c r="P516" s="88"/>
    </row>
    <row r="517" spans="1:16" ht="12.75" hidden="1" customHeight="1">
      <c r="A517" s="187" t="s">
        <v>55</v>
      </c>
      <c r="B517" s="188"/>
      <c r="C517" s="188"/>
      <c r="D517" s="188"/>
      <c r="E517" s="189">
        <f t="shared" si="81"/>
        <v>0</v>
      </c>
      <c r="F517" s="190" t="e">
        <f t="shared" si="80"/>
        <v>#DIV/0!</v>
      </c>
      <c r="H517" s="88"/>
      <c r="I517" s="88"/>
      <c r="J517" s="88"/>
      <c r="K517" s="89"/>
      <c r="L517" s="89"/>
      <c r="M517" s="88"/>
      <c r="O517" s="88"/>
      <c r="P517" s="88"/>
    </row>
    <row r="518" spans="1:16" ht="12.75" hidden="1" customHeight="1">
      <c r="A518" s="187" t="s">
        <v>365</v>
      </c>
      <c r="B518" s="188"/>
      <c r="C518" s="188"/>
      <c r="D518" s="188"/>
      <c r="E518" s="189">
        <f t="shared" si="81"/>
        <v>0</v>
      </c>
      <c r="F518" s="190" t="e">
        <f t="shared" si="80"/>
        <v>#DIV/0!</v>
      </c>
      <c r="H518" s="88"/>
      <c r="I518" s="88"/>
      <c r="J518" s="88"/>
      <c r="K518" s="89"/>
      <c r="L518" s="89"/>
      <c r="M518" s="88"/>
      <c r="O518" s="88"/>
      <c r="P518" s="88"/>
    </row>
    <row r="519" spans="1:16" ht="12.75" hidden="1" customHeight="1">
      <c r="A519" s="187" t="s">
        <v>366</v>
      </c>
      <c r="B519" s="188"/>
      <c r="C519" s="188"/>
      <c r="D519" s="188"/>
      <c r="E519" s="189">
        <f t="shared" si="81"/>
        <v>0</v>
      </c>
      <c r="F519" s="190" t="e">
        <f t="shared" ref="F519:F582" si="89">E519/C519*100</f>
        <v>#DIV/0!</v>
      </c>
      <c r="H519" s="88"/>
      <c r="I519" s="88"/>
      <c r="J519" s="88"/>
      <c r="K519" s="89"/>
      <c r="L519" s="89"/>
      <c r="M519" s="88"/>
      <c r="O519" s="88"/>
      <c r="P519" s="88"/>
    </row>
    <row r="520" spans="1:16" ht="12.75" hidden="1" customHeight="1">
      <c r="A520" s="187" t="s">
        <v>367</v>
      </c>
      <c r="B520" s="188"/>
      <c r="C520" s="188"/>
      <c r="D520" s="188"/>
      <c r="E520" s="189">
        <f t="shared" si="81"/>
        <v>0</v>
      </c>
      <c r="F520" s="190" t="e">
        <f t="shared" si="89"/>
        <v>#DIV/0!</v>
      </c>
      <c r="H520" s="88"/>
      <c r="I520" s="88"/>
      <c r="J520" s="88"/>
      <c r="K520" s="89"/>
      <c r="L520" s="89"/>
      <c r="M520" s="88"/>
      <c r="O520" s="88"/>
      <c r="P520" s="88"/>
    </row>
    <row r="521" spans="1:16" ht="12.75" hidden="1" customHeight="1">
      <c r="A521" s="187" t="s">
        <v>368</v>
      </c>
      <c r="B521" s="188"/>
      <c r="C521" s="188"/>
      <c r="D521" s="188"/>
      <c r="E521" s="189">
        <f t="shared" ref="E521:E584" si="90">D521-C521</f>
        <v>0</v>
      </c>
      <c r="F521" s="190" t="e">
        <f t="shared" si="89"/>
        <v>#DIV/0!</v>
      </c>
      <c r="H521" s="88"/>
      <c r="I521" s="88"/>
      <c r="J521" s="88"/>
      <c r="K521" s="89"/>
      <c r="L521" s="89"/>
      <c r="M521" s="88"/>
      <c r="O521" s="88"/>
      <c r="P521" s="88"/>
    </row>
    <row r="522" spans="1:16" ht="12.75" hidden="1" customHeight="1">
      <c r="A522" s="187" t="s">
        <v>369</v>
      </c>
      <c r="B522" s="188"/>
      <c r="C522" s="188"/>
      <c r="D522" s="188"/>
      <c r="E522" s="189">
        <f t="shared" si="90"/>
        <v>0</v>
      </c>
      <c r="F522" s="190" t="e">
        <f t="shared" si="89"/>
        <v>#DIV/0!</v>
      </c>
      <c r="H522" s="88"/>
      <c r="I522" s="88"/>
      <c r="J522" s="88"/>
      <c r="K522" s="89"/>
      <c r="L522" s="89"/>
      <c r="M522" s="88"/>
      <c r="O522" s="88"/>
      <c r="P522" s="88"/>
    </row>
    <row r="523" spans="1:16">
      <c r="A523" s="187" t="s">
        <v>370</v>
      </c>
      <c r="B523" s="188">
        <v>1494.71</v>
      </c>
      <c r="C523" s="188">
        <v>1494.71</v>
      </c>
      <c r="D523" s="188">
        <v>2582</v>
      </c>
      <c r="E523" s="189">
        <f t="shared" si="90"/>
        <v>1087.29</v>
      </c>
      <c r="F523" s="190">
        <f t="shared" si="89"/>
        <v>72.742538686434159</v>
      </c>
      <c r="H523" s="88">
        <f t="shared" ref="H523:M523" si="91">SUM(H524:H533)</f>
        <v>0</v>
      </c>
      <c r="I523" s="88">
        <f t="shared" si="91"/>
        <v>265</v>
      </c>
      <c r="J523" s="88">
        <f t="shared" si="91"/>
        <v>0</v>
      </c>
      <c r="K523" s="89">
        <f t="shared" si="91"/>
        <v>0</v>
      </c>
      <c r="L523" s="89">
        <f t="shared" si="91"/>
        <v>429</v>
      </c>
      <c r="M523" s="88">
        <f t="shared" si="91"/>
        <v>0</v>
      </c>
      <c r="O523" s="88">
        <f>SUM(O524:O533)</f>
        <v>0</v>
      </c>
      <c r="P523" s="88">
        <f>SUM(P524:P533)</f>
        <v>0</v>
      </c>
    </row>
    <row r="524" spans="1:16" ht="12.75" hidden="1" customHeight="1">
      <c r="A524" s="187" t="s">
        <v>13</v>
      </c>
      <c r="B524" s="188"/>
      <c r="C524" s="188"/>
      <c r="D524" s="188"/>
      <c r="E524" s="189">
        <f t="shared" si="90"/>
        <v>0</v>
      </c>
      <c r="F524" s="190" t="e">
        <f t="shared" si="89"/>
        <v>#DIV/0!</v>
      </c>
      <c r="H524" s="88"/>
      <c r="I524" s="88">
        <v>214</v>
      </c>
      <c r="J524" s="88"/>
      <c r="K524" s="89"/>
      <c r="L524" s="89">
        <v>20</v>
      </c>
      <c r="M524" s="88"/>
      <c r="O524" s="88"/>
      <c r="P524" s="88"/>
    </row>
    <row r="525" spans="1:16" ht="12.75" hidden="1" customHeight="1">
      <c r="A525" s="187" t="s">
        <v>14</v>
      </c>
      <c r="B525" s="188"/>
      <c r="C525" s="188"/>
      <c r="D525" s="188"/>
      <c r="E525" s="189">
        <f t="shared" si="90"/>
        <v>0</v>
      </c>
      <c r="F525" s="190" t="e">
        <f t="shared" si="89"/>
        <v>#DIV/0!</v>
      </c>
      <c r="H525" s="88"/>
      <c r="I525" s="88"/>
      <c r="J525" s="88"/>
      <c r="K525" s="89"/>
      <c r="L525" s="89"/>
      <c r="M525" s="88"/>
      <c r="O525" s="88"/>
      <c r="P525" s="88"/>
    </row>
    <row r="526" spans="1:16" ht="12.75" hidden="1" customHeight="1">
      <c r="A526" s="187" t="s">
        <v>15</v>
      </c>
      <c r="B526" s="188"/>
      <c r="C526" s="188"/>
      <c r="D526" s="188"/>
      <c r="E526" s="189">
        <f t="shared" si="90"/>
        <v>0</v>
      </c>
      <c r="F526" s="190" t="e">
        <f t="shared" si="89"/>
        <v>#DIV/0!</v>
      </c>
      <c r="H526" s="88"/>
      <c r="I526" s="88"/>
      <c r="J526" s="88"/>
      <c r="K526" s="89"/>
      <c r="L526" s="89"/>
      <c r="M526" s="88"/>
      <c r="O526" s="88"/>
      <c r="P526" s="88"/>
    </row>
    <row r="527" spans="1:16" ht="12.75" hidden="1" customHeight="1">
      <c r="A527" s="187" t="s">
        <v>371</v>
      </c>
      <c r="B527" s="188"/>
      <c r="C527" s="188"/>
      <c r="D527" s="188"/>
      <c r="E527" s="189">
        <f t="shared" si="90"/>
        <v>0</v>
      </c>
      <c r="F527" s="190" t="e">
        <f t="shared" si="89"/>
        <v>#DIV/0!</v>
      </c>
      <c r="H527" s="88"/>
      <c r="I527" s="88"/>
      <c r="J527" s="88"/>
      <c r="K527" s="89"/>
      <c r="L527" s="89"/>
      <c r="M527" s="88"/>
      <c r="O527" s="88"/>
      <c r="P527" s="88"/>
    </row>
    <row r="528" spans="1:16" ht="12.75" hidden="1" customHeight="1">
      <c r="A528" s="187" t="s">
        <v>372</v>
      </c>
      <c r="B528" s="188"/>
      <c r="C528" s="188"/>
      <c r="D528" s="188"/>
      <c r="E528" s="189">
        <f t="shared" si="90"/>
        <v>0</v>
      </c>
      <c r="F528" s="190" t="e">
        <f t="shared" si="89"/>
        <v>#DIV/0!</v>
      </c>
      <c r="H528" s="88"/>
      <c r="I528" s="88">
        <v>51</v>
      </c>
      <c r="J528" s="88"/>
      <c r="K528" s="89"/>
      <c r="L528" s="89">
        <v>409</v>
      </c>
      <c r="M528" s="88"/>
      <c r="O528" s="88"/>
      <c r="P528" s="88"/>
    </row>
    <row r="529" spans="1:16" ht="12.75" hidden="1" customHeight="1">
      <c r="A529" s="187" t="s">
        <v>373</v>
      </c>
      <c r="B529" s="188"/>
      <c r="C529" s="188"/>
      <c r="D529" s="188"/>
      <c r="E529" s="189">
        <f t="shared" si="90"/>
        <v>0</v>
      </c>
      <c r="F529" s="190" t="e">
        <f t="shared" si="89"/>
        <v>#DIV/0!</v>
      </c>
      <c r="H529" s="88"/>
      <c r="I529" s="88"/>
      <c r="J529" s="88"/>
      <c r="K529" s="89"/>
      <c r="L529" s="89"/>
      <c r="M529" s="88"/>
      <c r="O529" s="88"/>
      <c r="P529" s="88"/>
    </row>
    <row r="530" spans="1:16" ht="12.75" hidden="1" customHeight="1">
      <c r="A530" s="187" t="s">
        <v>374</v>
      </c>
      <c r="B530" s="188"/>
      <c r="C530" s="188"/>
      <c r="D530" s="188"/>
      <c r="E530" s="189">
        <f t="shared" si="90"/>
        <v>0</v>
      </c>
      <c r="F530" s="190" t="e">
        <f t="shared" si="89"/>
        <v>#DIV/0!</v>
      </c>
      <c r="H530" s="88"/>
      <c r="I530" s="88"/>
      <c r="J530" s="88"/>
      <c r="K530" s="89"/>
      <c r="L530" s="89"/>
      <c r="M530" s="88"/>
      <c r="O530" s="88"/>
      <c r="P530" s="88"/>
    </row>
    <row r="531" spans="1:16" ht="12.75" hidden="1" customHeight="1">
      <c r="A531" s="187" t="s">
        <v>375</v>
      </c>
      <c r="B531" s="188"/>
      <c r="C531" s="188"/>
      <c r="D531" s="188"/>
      <c r="E531" s="189">
        <f t="shared" si="90"/>
        <v>0</v>
      </c>
      <c r="F531" s="190" t="e">
        <f t="shared" si="89"/>
        <v>#DIV/0!</v>
      </c>
      <c r="H531" s="88"/>
      <c r="I531" s="88"/>
      <c r="J531" s="88"/>
      <c r="K531" s="89"/>
      <c r="L531" s="89"/>
      <c r="M531" s="88"/>
      <c r="O531" s="88"/>
      <c r="P531" s="88"/>
    </row>
    <row r="532" spans="1:16" ht="12.75" hidden="1" customHeight="1">
      <c r="A532" s="187" t="s">
        <v>376</v>
      </c>
      <c r="B532" s="188"/>
      <c r="C532" s="188"/>
      <c r="D532" s="188"/>
      <c r="E532" s="189">
        <f t="shared" si="90"/>
        <v>0</v>
      </c>
      <c r="F532" s="190" t="e">
        <f t="shared" si="89"/>
        <v>#DIV/0!</v>
      </c>
      <c r="H532" s="88"/>
      <c r="I532" s="88"/>
      <c r="J532" s="88"/>
      <c r="K532" s="89"/>
      <c r="L532" s="89"/>
      <c r="M532" s="88"/>
      <c r="O532" s="88"/>
      <c r="P532" s="88"/>
    </row>
    <row r="533" spans="1:16" ht="12.75" hidden="1" customHeight="1">
      <c r="A533" s="187" t="s">
        <v>377</v>
      </c>
      <c r="B533" s="188"/>
      <c r="C533" s="188"/>
      <c r="D533" s="188"/>
      <c r="E533" s="189">
        <f t="shared" si="90"/>
        <v>0</v>
      </c>
      <c r="F533" s="190" t="e">
        <f t="shared" si="89"/>
        <v>#DIV/0!</v>
      </c>
      <c r="H533" s="88"/>
      <c r="I533" s="88"/>
      <c r="J533" s="88"/>
      <c r="K533" s="89"/>
      <c r="L533" s="89"/>
      <c r="M533" s="88"/>
      <c r="O533" s="88"/>
      <c r="P533" s="88"/>
    </row>
    <row r="534" spans="1:16">
      <c r="A534" s="187" t="s">
        <v>378</v>
      </c>
      <c r="B534" s="188">
        <v>4368</v>
      </c>
      <c r="C534" s="188">
        <v>4368</v>
      </c>
      <c r="D534" s="188"/>
      <c r="E534" s="189">
        <f t="shared" si="90"/>
        <v>-4368</v>
      </c>
      <c r="F534" s="190"/>
      <c r="H534" s="88">
        <f t="shared" ref="H534:M534" si="92">SUM(H535:H541)</f>
        <v>1850</v>
      </c>
      <c r="I534" s="88">
        <f t="shared" si="92"/>
        <v>2100</v>
      </c>
      <c r="J534" s="88">
        <f t="shared" si="92"/>
        <v>0</v>
      </c>
      <c r="K534" s="89">
        <f t="shared" si="92"/>
        <v>1435</v>
      </c>
      <c r="L534" s="89">
        <f t="shared" si="92"/>
        <v>0</v>
      </c>
      <c r="M534" s="88">
        <f t="shared" si="92"/>
        <v>0</v>
      </c>
      <c r="O534" s="88">
        <f>SUM(O535:O541)</f>
        <v>0</v>
      </c>
      <c r="P534" s="88">
        <f>SUM(P535:P541)</f>
        <v>0</v>
      </c>
    </row>
    <row r="535" spans="1:16" ht="12.75" hidden="1" customHeight="1">
      <c r="A535" s="187" t="s">
        <v>379</v>
      </c>
      <c r="B535" s="188"/>
      <c r="C535" s="188"/>
      <c r="D535" s="188"/>
      <c r="E535" s="189">
        <f t="shared" si="90"/>
        <v>0</v>
      </c>
      <c r="F535" s="190" t="e">
        <f t="shared" si="89"/>
        <v>#DIV/0!</v>
      </c>
      <c r="H535" s="88"/>
      <c r="I535" s="88"/>
      <c r="J535" s="88"/>
      <c r="K535" s="89"/>
      <c r="L535" s="89"/>
      <c r="M535" s="88"/>
      <c r="O535" s="88"/>
      <c r="P535" s="88"/>
    </row>
    <row r="536" spans="1:16" ht="12.75" hidden="1" customHeight="1">
      <c r="A536" s="187" t="s">
        <v>380</v>
      </c>
      <c r="B536" s="188"/>
      <c r="C536" s="188"/>
      <c r="D536" s="188"/>
      <c r="E536" s="189">
        <f t="shared" si="90"/>
        <v>0</v>
      </c>
      <c r="F536" s="190" t="e">
        <f t="shared" si="89"/>
        <v>#DIV/0!</v>
      </c>
      <c r="H536" s="88"/>
      <c r="I536" s="88"/>
      <c r="J536" s="88"/>
      <c r="K536" s="89"/>
      <c r="L536" s="89"/>
      <c r="M536" s="88"/>
      <c r="O536" s="88"/>
      <c r="P536" s="88"/>
    </row>
    <row r="537" spans="1:16" ht="12.75" hidden="1" customHeight="1">
      <c r="A537" s="187" t="s">
        <v>381</v>
      </c>
      <c r="B537" s="188"/>
      <c r="C537" s="188"/>
      <c r="D537" s="188"/>
      <c r="E537" s="189">
        <f t="shared" si="90"/>
        <v>0</v>
      </c>
      <c r="F537" s="190" t="e">
        <f t="shared" si="89"/>
        <v>#DIV/0!</v>
      </c>
      <c r="H537" s="88"/>
      <c r="I537" s="88"/>
      <c r="J537" s="88"/>
      <c r="K537" s="89"/>
      <c r="L537" s="89"/>
      <c r="M537" s="88"/>
      <c r="O537" s="88"/>
      <c r="P537" s="88"/>
    </row>
    <row r="538" spans="1:16" ht="12.75" hidden="1" customHeight="1">
      <c r="A538" s="187" t="s">
        <v>382</v>
      </c>
      <c r="B538" s="188"/>
      <c r="C538" s="188"/>
      <c r="D538" s="188"/>
      <c r="E538" s="189">
        <f t="shared" si="90"/>
        <v>0</v>
      </c>
      <c r="F538" s="190" t="e">
        <f t="shared" si="89"/>
        <v>#DIV/0!</v>
      </c>
      <c r="H538" s="88"/>
      <c r="I538" s="88"/>
      <c r="J538" s="88"/>
      <c r="K538" s="89"/>
      <c r="L538" s="89"/>
      <c r="M538" s="88"/>
      <c r="O538" s="88"/>
      <c r="P538" s="88"/>
    </row>
    <row r="539" spans="1:16" ht="12.75" hidden="1" customHeight="1">
      <c r="A539" s="187" t="s">
        <v>383</v>
      </c>
      <c r="B539" s="188"/>
      <c r="C539" s="188"/>
      <c r="D539" s="188"/>
      <c r="E539" s="189">
        <f t="shared" si="90"/>
        <v>0</v>
      </c>
      <c r="F539" s="190" t="e">
        <f t="shared" si="89"/>
        <v>#DIV/0!</v>
      </c>
      <c r="H539" s="88"/>
      <c r="I539" s="88"/>
      <c r="J539" s="88"/>
      <c r="K539" s="89"/>
      <c r="L539" s="89"/>
      <c r="M539" s="88"/>
      <c r="O539" s="88"/>
      <c r="P539" s="88"/>
    </row>
    <row r="540" spans="1:16" ht="12.75" hidden="1" customHeight="1">
      <c r="A540" s="187" t="s">
        <v>384</v>
      </c>
      <c r="B540" s="188"/>
      <c r="C540" s="188"/>
      <c r="D540" s="188"/>
      <c r="E540" s="189">
        <f t="shared" si="90"/>
        <v>0</v>
      </c>
      <c r="F540" s="190" t="e">
        <f t="shared" si="89"/>
        <v>#DIV/0!</v>
      </c>
      <c r="H540" s="88">
        <v>1850</v>
      </c>
      <c r="I540" s="88">
        <v>2100</v>
      </c>
      <c r="J540" s="88"/>
      <c r="K540" s="89">
        <v>1435</v>
      </c>
      <c r="L540" s="89"/>
      <c r="M540" s="88"/>
      <c r="O540" s="88"/>
      <c r="P540" s="88"/>
    </row>
    <row r="541" spans="1:16" ht="12.75" hidden="1" customHeight="1">
      <c r="A541" s="187" t="s">
        <v>385</v>
      </c>
      <c r="B541" s="188"/>
      <c r="C541" s="188"/>
      <c r="D541" s="188"/>
      <c r="E541" s="189">
        <f t="shared" si="90"/>
        <v>0</v>
      </c>
      <c r="F541" s="190" t="e">
        <f t="shared" si="89"/>
        <v>#DIV/0!</v>
      </c>
      <c r="H541" s="88"/>
      <c r="I541" s="88"/>
      <c r="J541" s="88"/>
      <c r="K541" s="89"/>
      <c r="L541" s="89"/>
      <c r="M541" s="88"/>
      <c r="O541" s="88"/>
      <c r="P541" s="88"/>
    </row>
    <row r="542" spans="1:16">
      <c r="A542" s="187" t="s">
        <v>386</v>
      </c>
      <c r="B542" s="188">
        <v>26480.27</v>
      </c>
      <c r="C542" s="188">
        <v>15375.27</v>
      </c>
      <c r="D542" s="188">
        <v>10259.42</v>
      </c>
      <c r="E542" s="189">
        <f t="shared" si="90"/>
        <v>-5115.8500000000004</v>
      </c>
      <c r="F542" s="190">
        <f t="shared" si="89"/>
        <v>-33.273236827710996</v>
      </c>
      <c r="H542" s="88">
        <f t="shared" ref="H542:M542" si="93">SUM(H543:H547)</f>
        <v>0</v>
      </c>
      <c r="I542" s="88">
        <f t="shared" si="93"/>
        <v>15019</v>
      </c>
      <c r="J542" s="88">
        <f t="shared" si="93"/>
        <v>0</v>
      </c>
      <c r="K542" s="89">
        <f t="shared" si="93"/>
        <v>0</v>
      </c>
      <c r="L542" s="89">
        <f t="shared" si="93"/>
        <v>10</v>
      </c>
      <c r="M542" s="88">
        <f t="shared" si="93"/>
        <v>0</v>
      </c>
      <c r="O542" s="88">
        <f>SUM(O543:O547)</f>
        <v>0</v>
      </c>
      <c r="P542" s="88">
        <f>SUM(P543:P547)</f>
        <v>0</v>
      </c>
    </row>
    <row r="543" spans="1:16" ht="12.75" hidden="1" customHeight="1">
      <c r="A543" s="187" t="s">
        <v>387</v>
      </c>
      <c r="B543" s="188"/>
      <c r="C543" s="188"/>
      <c r="D543" s="188"/>
      <c r="E543" s="189">
        <f t="shared" si="90"/>
        <v>0</v>
      </c>
      <c r="F543" s="190" t="e">
        <f t="shared" si="89"/>
        <v>#DIV/0!</v>
      </c>
      <c r="H543" s="88"/>
      <c r="I543" s="88">
        <v>4819</v>
      </c>
      <c r="J543" s="88"/>
      <c r="K543" s="89"/>
      <c r="L543" s="89"/>
      <c r="M543" s="88"/>
      <c r="O543" s="88"/>
      <c r="P543" s="88"/>
    </row>
    <row r="544" spans="1:16" ht="12.75" hidden="1" customHeight="1">
      <c r="A544" s="187" t="s">
        <v>388</v>
      </c>
      <c r="B544" s="188"/>
      <c r="C544" s="188"/>
      <c r="D544" s="188"/>
      <c r="E544" s="189">
        <f t="shared" si="90"/>
        <v>0</v>
      </c>
      <c r="F544" s="190" t="e">
        <f t="shared" si="89"/>
        <v>#DIV/0!</v>
      </c>
      <c r="H544" s="88"/>
      <c r="I544" s="88">
        <v>9878</v>
      </c>
      <c r="J544" s="88"/>
      <c r="K544" s="89"/>
      <c r="L544" s="89"/>
      <c r="M544" s="88"/>
      <c r="O544" s="88"/>
      <c r="P544" s="88"/>
    </row>
    <row r="545" spans="1:16" ht="12.75" hidden="1" customHeight="1">
      <c r="A545" s="187" t="s">
        <v>389</v>
      </c>
      <c r="B545" s="188"/>
      <c r="C545" s="188"/>
      <c r="D545" s="188"/>
      <c r="E545" s="189">
        <f t="shared" si="90"/>
        <v>0</v>
      </c>
      <c r="F545" s="190" t="e">
        <f t="shared" si="89"/>
        <v>#DIV/0!</v>
      </c>
      <c r="H545" s="88"/>
      <c r="I545" s="88">
        <v>322</v>
      </c>
      <c r="J545" s="88"/>
      <c r="K545" s="89"/>
      <c r="L545" s="89">
        <v>10</v>
      </c>
      <c r="M545" s="88"/>
      <c r="O545" s="88"/>
      <c r="P545" s="88"/>
    </row>
    <row r="546" spans="1:16" ht="12.75" hidden="1" customHeight="1">
      <c r="A546" s="187" t="s">
        <v>390</v>
      </c>
      <c r="B546" s="188"/>
      <c r="C546" s="188"/>
      <c r="D546" s="188"/>
      <c r="E546" s="189">
        <f t="shared" si="90"/>
        <v>0</v>
      </c>
      <c r="F546" s="190" t="e">
        <f t="shared" si="89"/>
        <v>#DIV/0!</v>
      </c>
      <c r="H546" s="88"/>
      <c r="I546" s="88"/>
      <c r="J546" s="88"/>
      <c r="K546" s="89"/>
      <c r="L546" s="89"/>
      <c r="M546" s="88"/>
      <c r="O546" s="88"/>
      <c r="P546" s="88"/>
    </row>
    <row r="547" spans="1:16" ht="12.75" hidden="1" customHeight="1">
      <c r="A547" s="187" t="s">
        <v>391</v>
      </c>
      <c r="B547" s="188"/>
      <c r="C547" s="188"/>
      <c r="D547" s="188"/>
      <c r="E547" s="189">
        <f t="shared" si="90"/>
        <v>0</v>
      </c>
      <c r="F547" s="190" t="e">
        <f t="shared" si="89"/>
        <v>#DIV/0!</v>
      </c>
      <c r="H547" s="88"/>
      <c r="I547" s="88"/>
      <c r="J547" s="88"/>
      <c r="K547" s="89"/>
      <c r="L547" s="89"/>
      <c r="M547" s="88"/>
      <c r="O547" s="88"/>
      <c r="P547" s="88"/>
    </row>
    <row r="548" spans="1:16" ht="12.75" hidden="1" customHeight="1">
      <c r="A548" s="187" t="s">
        <v>392</v>
      </c>
      <c r="B548" s="188"/>
      <c r="C548" s="188"/>
      <c r="D548" s="188"/>
      <c r="E548" s="189">
        <f t="shared" si="90"/>
        <v>0</v>
      </c>
      <c r="F548" s="190" t="e">
        <f t="shared" si="89"/>
        <v>#DIV/0!</v>
      </c>
      <c r="H548" s="88">
        <f t="shared" ref="H548:M548" si="94">SUM(H549:H551)</f>
        <v>0</v>
      </c>
      <c r="I548" s="88">
        <f t="shared" si="94"/>
        <v>0</v>
      </c>
      <c r="J548" s="88">
        <f t="shared" si="94"/>
        <v>0</v>
      </c>
      <c r="K548" s="89">
        <f t="shared" si="94"/>
        <v>0</v>
      </c>
      <c r="L548" s="89">
        <f t="shared" si="94"/>
        <v>0</v>
      </c>
      <c r="M548" s="88">
        <f t="shared" si="94"/>
        <v>0</v>
      </c>
      <c r="O548" s="88">
        <f>SUM(O549:O551)</f>
        <v>0</v>
      </c>
      <c r="P548" s="88">
        <f>SUM(P549:P551)</f>
        <v>0</v>
      </c>
    </row>
    <row r="549" spans="1:16" ht="12.75" hidden="1" customHeight="1">
      <c r="A549" s="187" t="s">
        <v>393</v>
      </c>
      <c r="B549" s="188"/>
      <c r="C549" s="188"/>
      <c r="D549" s="188"/>
      <c r="E549" s="189">
        <f t="shared" si="90"/>
        <v>0</v>
      </c>
      <c r="F549" s="190" t="e">
        <f t="shared" si="89"/>
        <v>#DIV/0!</v>
      </c>
      <c r="H549" s="88"/>
      <c r="I549" s="88"/>
      <c r="J549" s="88"/>
      <c r="K549" s="89"/>
      <c r="L549" s="89"/>
      <c r="M549" s="88"/>
      <c r="O549" s="88"/>
      <c r="P549" s="88"/>
    </row>
    <row r="550" spans="1:16" ht="12.75" hidden="1" customHeight="1">
      <c r="A550" s="187" t="s">
        <v>394</v>
      </c>
      <c r="B550" s="188"/>
      <c r="C550" s="188"/>
      <c r="D550" s="188"/>
      <c r="E550" s="189">
        <f t="shared" si="90"/>
        <v>0</v>
      </c>
      <c r="F550" s="190" t="e">
        <f t="shared" si="89"/>
        <v>#DIV/0!</v>
      </c>
      <c r="H550" s="88"/>
      <c r="I550" s="88"/>
      <c r="J550" s="88"/>
      <c r="K550" s="89"/>
      <c r="L550" s="89"/>
      <c r="M550" s="88"/>
      <c r="O550" s="88"/>
      <c r="P550" s="88"/>
    </row>
    <row r="551" spans="1:16" ht="12.75" hidden="1" customHeight="1">
      <c r="A551" s="187" t="s">
        <v>395</v>
      </c>
      <c r="B551" s="188"/>
      <c r="C551" s="188"/>
      <c r="D551" s="188"/>
      <c r="E551" s="189">
        <f t="shared" si="90"/>
        <v>0</v>
      </c>
      <c r="F551" s="190" t="e">
        <f t="shared" si="89"/>
        <v>#DIV/0!</v>
      </c>
      <c r="H551" s="88"/>
      <c r="I551" s="88"/>
      <c r="J551" s="88"/>
      <c r="K551" s="89"/>
      <c r="L551" s="89"/>
      <c r="M551" s="88"/>
      <c r="O551" s="88"/>
      <c r="P551" s="88"/>
    </row>
    <row r="552" spans="1:16">
      <c r="A552" s="187" t="s">
        <v>396</v>
      </c>
      <c r="B552" s="188"/>
      <c r="C552" s="188"/>
      <c r="D552" s="188"/>
      <c r="E552" s="189"/>
      <c r="F552" s="190"/>
      <c r="H552" s="88">
        <f t="shared" ref="H552:M552" si="95">SUM(H553:H565)</f>
        <v>0</v>
      </c>
      <c r="I552" s="88">
        <f t="shared" si="95"/>
        <v>35</v>
      </c>
      <c r="J552" s="88">
        <f t="shared" si="95"/>
        <v>0</v>
      </c>
      <c r="K552" s="89">
        <f t="shared" si="95"/>
        <v>0</v>
      </c>
      <c r="L552" s="89">
        <f t="shared" si="95"/>
        <v>0</v>
      </c>
      <c r="M552" s="88">
        <f t="shared" si="95"/>
        <v>0</v>
      </c>
      <c r="O552" s="88">
        <f>SUM(O553:O565)</f>
        <v>0</v>
      </c>
      <c r="P552" s="88">
        <f>SUM(P553:P565)</f>
        <v>0</v>
      </c>
    </row>
    <row r="553" spans="1:16" ht="12.75" hidden="1" customHeight="1">
      <c r="A553" s="187" t="s">
        <v>397</v>
      </c>
      <c r="B553" s="188"/>
      <c r="C553" s="188"/>
      <c r="D553" s="188"/>
      <c r="E553" s="189">
        <f t="shared" si="90"/>
        <v>0</v>
      </c>
      <c r="F553" s="190" t="e">
        <f t="shared" si="89"/>
        <v>#DIV/0!</v>
      </c>
      <c r="H553" s="88"/>
      <c r="I553" s="88"/>
      <c r="J553" s="88"/>
      <c r="K553" s="89"/>
      <c r="L553" s="89"/>
      <c r="M553" s="88"/>
      <c r="O553" s="88"/>
      <c r="P553" s="88"/>
    </row>
    <row r="554" spans="1:16" ht="12.75" hidden="1" customHeight="1">
      <c r="A554" s="187" t="s">
        <v>398</v>
      </c>
      <c r="B554" s="188"/>
      <c r="C554" s="188"/>
      <c r="D554" s="188"/>
      <c r="E554" s="189">
        <f t="shared" si="90"/>
        <v>0</v>
      </c>
      <c r="F554" s="190" t="e">
        <f t="shared" si="89"/>
        <v>#DIV/0!</v>
      </c>
      <c r="H554" s="88"/>
      <c r="I554" s="88"/>
      <c r="J554" s="88"/>
      <c r="K554" s="89"/>
      <c r="L554" s="89"/>
      <c r="M554" s="88"/>
      <c r="O554" s="88"/>
      <c r="P554" s="88"/>
    </row>
    <row r="555" spans="1:16" ht="12.75" hidden="1" customHeight="1">
      <c r="A555" s="187" t="s">
        <v>399</v>
      </c>
      <c r="B555" s="188"/>
      <c r="C555" s="188"/>
      <c r="D555" s="188"/>
      <c r="E555" s="189">
        <f t="shared" si="90"/>
        <v>0</v>
      </c>
      <c r="F555" s="190" t="e">
        <f t="shared" si="89"/>
        <v>#DIV/0!</v>
      </c>
      <c r="H555" s="88"/>
      <c r="I555" s="88"/>
      <c r="J555" s="88"/>
      <c r="K555" s="89"/>
      <c r="L555" s="89"/>
      <c r="M555" s="88"/>
      <c r="O555" s="88"/>
      <c r="P555" s="88"/>
    </row>
    <row r="556" spans="1:16" ht="12.75" hidden="1" customHeight="1">
      <c r="A556" s="187" t="s">
        <v>400</v>
      </c>
      <c r="B556" s="188"/>
      <c r="C556" s="188"/>
      <c r="D556" s="188"/>
      <c r="E556" s="189">
        <f t="shared" si="90"/>
        <v>0</v>
      </c>
      <c r="F556" s="190" t="e">
        <f t="shared" si="89"/>
        <v>#DIV/0!</v>
      </c>
      <c r="H556" s="88"/>
      <c r="I556" s="88"/>
      <c r="J556" s="88"/>
      <c r="K556" s="89"/>
      <c r="L556" s="89"/>
      <c r="M556" s="88"/>
      <c r="O556" s="88"/>
      <c r="P556" s="88"/>
    </row>
    <row r="557" spans="1:16" ht="12.75" hidden="1" customHeight="1">
      <c r="A557" s="187" t="s">
        <v>401</v>
      </c>
      <c r="B557" s="188"/>
      <c r="C557" s="188"/>
      <c r="D557" s="188"/>
      <c r="E557" s="189">
        <f t="shared" si="90"/>
        <v>0</v>
      </c>
      <c r="F557" s="190" t="e">
        <f t="shared" si="89"/>
        <v>#DIV/0!</v>
      </c>
      <c r="H557" s="88"/>
      <c r="I557" s="88"/>
      <c r="J557" s="88"/>
      <c r="K557" s="89"/>
      <c r="L557" s="89"/>
      <c r="M557" s="88"/>
      <c r="O557" s="88"/>
      <c r="P557" s="88"/>
    </row>
    <row r="558" spans="1:16" ht="12.75" hidden="1" customHeight="1">
      <c r="A558" s="187" t="s">
        <v>402</v>
      </c>
      <c r="B558" s="188"/>
      <c r="C558" s="188"/>
      <c r="D558" s="188"/>
      <c r="E558" s="189">
        <f t="shared" si="90"/>
        <v>0</v>
      </c>
      <c r="F558" s="190" t="e">
        <f t="shared" si="89"/>
        <v>#DIV/0!</v>
      </c>
      <c r="H558" s="88"/>
      <c r="I558" s="88"/>
      <c r="J558" s="88"/>
      <c r="K558" s="89"/>
      <c r="L558" s="89"/>
      <c r="M558" s="88"/>
      <c r="O558" s="88"/>
      <c r="P558" s="88"/>
    </row>
    <row r="559" spans="1:16" ht="12.75" hidden="1" customHeight="1">
      <c r="A559" s="187" t="s">
        <v>403</v>
      </c>
      <c r="B559" s="188"/>
      <c r="C559" s="188"/>
      <c r="D559" s="188"/>
      <c r="E559" s="189">
        <f t="shared" si="90"/>
        <v>0</v>
      </c>
      <c r="F559" s="190" t="e">
        <f t="shared" si="89"/>
        <v>#DIV/0!</v>
      </c>
      <c r="H559" s="88"/>
      <c r="I559" s="88"/>
      <c r="J559" s="88"/>
      <c r="K559" s="89"/>
      <c r="L559" s="89"/>
      <c r="M559" s="88"/>
      <c r="O559" s="88"/>
      <c r="P559" s="88"/>
    </row>
    <row r="560" spans="1:16" ht="12.75" hidden="1" customHeight="1">
      <c r="A560" s="187" t="s">
        <v>404</v>
      </c>
      <c r="B560" s="188"/>
      <c r="C560" s="188"/>
      <c r="D560" s="188"/>
      <c r="E560" s="189">
        <f t="shared" si="90"/>
        <v>0</v>
      </c>
      <c r="F560" s="190" t="e">
        <f t="shared" si="89"/>
        <v>#DIV/0!</v>
      </c>
      <c r="H560" s="88"/>
      <c r="I560" s="88"/>
      <c r="J560" s="88"/>
      <c r="K560" s="89"/>
      <c r="L560" s="89"/>
      <c r="M560" s="88"/>
      <c r="O560" s="88"/>
      <c r="P560" s="88"/>
    </row>
    <row r="561" spans="1:16" ht="12.75" hidden="1" customHeight="1">
      <c r="A561" s="187" t="s">
        <v>405</v>
      </c>
      <c r="B561" s="188"/>
      <c r="C561" s="188"/>
      <c r="D561" s="188"/>
      <c r="E561" s="189">
        <f t="shared" si="90"/>
        <v>0</v>
      </c>
      <c r="F561" s="190" t="e">
        <f t="shared" si="89"/>
        <v>#DIV/0!</v>
      </c>
      <c r="H561" s="88"/>
      <c r="I561" s="88"/>
      <c r="J561" s="88"/>
      <c r="K561" s="89"/>
      <c r="L561" s="89"/>
      <c r="M561" s="88"/>
      <c r="O561" s="88"/>
      <c r="P561" s="88"/>
    </row>
    <row r="562" spans="1:16" ht="12.75" hidden="1" customHeight="1">
      <c r="A562" s="187" t="s">
        <v>406</v>
      </c>
      <c r="B562" s="188"/>
      <c r="C562" s="188"/>
      <c r="D562" s="188"/>
      <c r="E562" s="189">
        <f t="shared" si="90"/>
        <v>0</v>
      </c>
      <c r="F562" s="190" t="e">
        <f t="shared" si="89"/>
        <v>#DIV/0!</v>
      </c>
      <c r="H562" s="88"/>
      <c r="I562" s="88"/>
      <c r="J562" s="88"/>
      <c r="K562" s="89"/>
      <c r="L562" s="89"/>
      <c r="M562" s="88"/>
      <c r="O562" s="88"/>
      <c r="P562" s="88"/>
    </row>
    <row r="563" spans="1:16" ht="12.75" hidden="1" customHeight="1">
      <c r="A563" s="187" t="s">
        <v>407</v>
      </c>
      <c r="B563" s="188"/>
      <c r="C563" s="188"/>
      <c r="D563" s="188"/>
      <c r="E563" s="189">
        <f t="shared" si="90"/>
        <v>0</v>
      </c>
      <c r="F563" s="190" t="e">
        <f t="shared" si="89"/>
        <v>#DIV/0!</v>
      </c>
      <c r="H563" s="88"/>
      <c r="I563" s="88"/>
      <c r="J563" s="88"/>
      <c r="K563" s="89"/>
      <c r="L563" s="89"/>
      <c r="M563" s="88"/>
      <c r="O563" s="88"/>
      <c r="P563" s="88"/>
    </row>
    <row r="564" spans="1:16" ht="12.75" hidden="1" customHeight="1">
      <c r="A564" s="187" t="s">
        <v>408</v>
      </c>
      <c r="B564" s="188"/>
      <c r="C564" s="188"/>
      <c r="D564" s="188"/>
      <c r="E564" s="189">
        <f t="shared" si="90"/>
        <v>0</v>
      </c>
      <c r="F564" s="190" t="e">
        <f t="shared" si="89"/>
        <v>#DIV/0!</v>
      </c>
      <c r="H564" s="88"/>
      <c r="I564" s="88"/>
      <c r="J564" s="88"/>
      <c r="K564" s="89"/>
      <c r="L564" s="89"/>
      <c r="M564" s="88"/>
      <c r="O564" s="88"/>
      <c r="P564" s="88"/>
    </row>
    <row r="565" spans="1:16" ht="12.75" hidden="1" customHeight="1">
      <c r="A565" s="187" t="s">
        <v>409</v>
      </c>
      <c r="B565" s="188"/>
      <c r="C565" s="188"/>
      <c r="D565" s="188"/>
      <c r="E565" s="189">
        <f t="shared" si="90"/>
        <v>0</v>
      </c>
      <c r="F565" s="190" t="e">
        <f t="shared" si="89"/>
        <v>#DIV/0!</v>
      </c>
      <c r="H565" s="88"/>
      <c r="I565" s="88">
        <v>35</v>
      </c>
      <c r="J565" s="88"/>
      <c r="K565" s="89"/>
      <c r="L565" s="89"/>
      <c r="M565" s="88"/>
      <c r="O565" s="88"/>
      <c r="P565" s="88"/>
    </row>
    <row r="566" spans="1:16">
      <c r="A566" s="187" t="s">
        <v>410</v>
      </c>
      <c r="B566" s="188">
        <v>1396.3</v>
      </c>
      <c r="C566" s="188">
        <v>1396.3</v>
      </c>
      <c r="D566" s="188">
        <v>1407.56</v>
      </c>
      <c r="E566" s="189">
        <f t="shared" si="90"/>
        <v>11.259999999999991</v>
      </c>
      <c r="F566" s="190">
        <f t="shared" si="89"/>
        <v>0.80641695910620859</v>
      </c>
      <c r="H566" s="88">
        <f t="shared" ref="H566:M566" si="96">SUM(H567:H573)</f>
        <v>0</v>
      </c>
      <c r="I566" s="88">
        <f t="shared" si="96"/>
        <v>963</v>
      </c>
      <c r="J566" s="88">
        <f t="shared" si="96"/>
        <v>0</v>
      </c>
      <c r="K566" s="89">
        <f t="shared" si="96"/>
        <v>0</v>
      </c>
      <c r="L566" s="89">
        <f t="shared" si="96"/>
        <v>0</v>
      </c>
      <c r="M566" s="88">
        <f t="shared" si="96"/>
        <v>0</v>
      </c>
      <c r="O566" s="88">
        <f>SUM(O567:O573)</f>
        <v>0</v>
      </c>
      <c r="P566" s="88">
        <f>SUM(P567:P573)</f>
        <v>0</v>
      </c>
    </row>
    <row r="567" spans="1:16" ht="12.75" hidden="1" customHeight="1">
      <c r="A567" s="187" t="s">
        <v>411</v>
      </c>
      <c r="B567" s="188"/>
      <c r="C567" s="188"/>
      <c r="D567" s="188"/>
      <c r="E567" s="189">
        <f t="shared" si="90"/>
        <v>0</v>
      </c>
      <c r="F567" s="190" t="e">
        <f t="shared" si="89"/>
        <v>#DIV/0!</v>
      </c>
      <c r="H567" s="88"/>
      <c r="I567" s="88">
        <v>29</v>
      </c>
      <c r="J567" s="88"/>
      <c r="K567" s="89"/>
      <c r="L567" s="89"/>
      <c r="M567" s="88"/>
      <c r="O567" s="88"/>
      <c r="P567" s="88"/>
    </row>
    <row r="568" spans="1:16" ht="12.75" hidden="1" customHeight="1">
      <c r="A568" s="187" t="s">
        <v>412</v>
      </c>
      <c r="B568" s="188"/>
      <c r="C568" s="188"/>
      <c r="D568" s="188"/>
      <c r="E568" s="189">
        <f t="shared" si="90"/>
        <v>0</v>
      </c>
      <c r="F568" s="190" t="e">
        <f t="shared" si="89"/>
        <v>#DIV/0!</v>
      </c>
      <c r="H568" s="88"/>
      <c r="I568" s="88">
        <v>108</v>
      </c>
      <c r="J568" s="88"/>
      <c r="K568" s="89"/>
      <c r="L568" s="89"/>
      <c r="M568" s="88"/>
      <c r="O568" s="88"/>
      <c r="P568" s="88"/>
    </row>
    <row r="569" spans="1:16" ht="12.75" hidden="1" customHeight="1">
      <c r="A569" s="187" t="s">
        <v>413</v>
      </c>
      <c r="B569" s="188"/>
      <c r="C569" s="188"/>
      <c r="D569" s="188"/>
      <c r="E569" s="189">
        <f t="shared" si="90"/>
        <v>0</v>
      </c>
      <c r="F569" s="190" t="e">
        <f t="shared" si="89"/>
        <v>#DIV/0!</v>
      </c>
      <c r="H569" s="88"/>
      <c r="I569" s="88">
        <v>116</v>
      </c>
      <c r="J569" s="88"/>
      <c r="K569" s="89"/>
      <c r="L569" s="89"/>
      <c r="M569" s="88"/>
      <c r="O569" s="88"/>
      <c r="P569" s="88"/>
    </row>
    <row r="570" spans="1:16" ht="12.75" hidden="1" customHeight="1">
      <c r="A570" s="187" t="s">
        <v>414</v>
      </c>
      <c r="B570" s="188"/>
      <c r="C570" s="188"/>
      <c r="D570" s="188"/>
      <c r="E570" s="189">
        <f t="shared" si="90"/>
        <v>0</v>
      </c>
      <c r="F570" s="190" t="e">
        <f t="shared" si="89"/>
        <v>#DIV/0!</v>
      </c>
      <c r="H570" s="88"/>
      <c r="I570" s="88"/>
      <c r="J570" s="88"/>
      <c r="K570" s="89"/>
      <c r="L570" s="89"/>
      <c r="M570" s="88"/>
      <c r="O570" s="88"/>
      <c r="P570" s="88"/>
    </row>
    <row r="571" spans="1:16" ht="12.75" hidden="1" customHeight="1">
      <c r="A571" s="187" t="s">
        <v>415</v>
      </c>
      <c r="B571" s="188"/>
      <c r="C571" s="188"/>
      <c r="D571" s="188"/>
      <c r="E571" s="189">
        <f t="shared" si="90"/>
        <v>0</v>
      </c>
      <c r="F571" s="190" t="e">
        <f t="shared" si="89"/>
        <v>#DIV/0!</v>
      </c>
      <c r="H571" s="88"/>
      <c r="I571" s="88">
        <v>640</v>
      </c>
      <c r="J571" s="88"/>
      <c r="K571" s="89"/>
      <c r="L571" s="89"/>
      <c r="M571" s="88"/>
      <c r="O571" s="88"/>
      <c r="P571" s="88"/>
    </row>
    <row r="572" spans="1:16" ht="12.75" hidden="1" customHeight="1">
      <c r="A572" s="187" t="s">
        <v>416</v>
      </c>
      <c r="B572" s="188"/>
      <c r="C572" s="188"/>
      <c r="D572" s="188"/>
      <c r="E572" s="189">
        <f t="shared" si="90"/>
        <v>0</v>
      </c>
      <c r="F572" s="190" t="e">
        <f t="shared" si="89"/>
        <v>#DIV/0!</v>
      </c>
      <c r="H572" s="88"/>
      <c r="I572" s="88">
        <v>15</v>
      </c>
      <c r="J572" s="88"/>
      <c r="K572" s="89"/>
      <c r="L572" s="89"/>
      <c r="M572" s="88"/>
      <c r="O572" s="88"/>
      <c r="P572" s="88"/>
    </row>
    <row r="573" spans="1:16" ht="12.75" hidden="1" customHeight="1">
      <c r="A573" s="187" t="s">
        <v>417</v>
      </c>
      <c r="B573" s="188"/>
      <c r="C573" s="188"/>
      <c r="D573" s="188"/>
      <c r="E573" s="189">
        <f t="shared" si="90"/>
        <v>0</v>
      </c>
      <c r="F573" s="190" t="e">
        <f t="shared" si="89"/>
        <v>#DIV/0!</v>
      </c>
      <c r="H573" s="88"/>
      <c r="I573" s="88">
        <v>55</v>
      </c>
      <c r="J573" s="88"/>
      <c r="K573" s="89"/>
      <c r="L573" s="89"/>
      <c r="M573" s="88"/>
      <c r="O573" s="88"/>
      <c r="P573" s="88"/>
    </row>
    <row r="574" spans="1:16">
      <c r="A574" s="187" t="s">
        <v>418</v>
      </c>
      <c r="B574" s="188">
        <v>543.46</v>
      </c>
      <c r="C574" s="188">
        <v>543.46</v>
      </c>
      <c r="D574" s="188">
        <v>624.51</v>
      </c>
      <c r="E574" s="189">
        <f t="shared" si="90"/>
        <v>81.049999999999955</v>
      </c>
      <c r="F574" s="190">
        <f t="shared" si="89"/>
        <v>14.913701100356963</v>
      </c>
      <c r="H574" s="88">
        <f t="shared" ref="H574:M574" si="97">SUM(H575:H579)</f>
        <v>0</v>
      </c>
      <c r="I574" s="88">
        <f t="shared" si="97"/>
        <v>401</v>
      </c>
      <c r="J574" s="88">
        <f t="shared" si="97"/>
        <v>0</v>
      </c>
      <c r="K574" s="89">
        <f t="shared" si="97"/>
        <v>0</v>
      </c>
      <c r="L574" s="89">
        <f t="shared" si="97"/>
        <v>4</v>
      </c>
      <c r="M574" s="88">
        <f t="shared" si="97"/>
        <v>0</v>
      </c>
      <c r="O574" s="88">
        <f>SUM(O575:O579)</f>
        <v>0</v>
      </c>
      <c r="P574" s="88">
        <f>SUM(P575:P579)</f>
        <v>0</v>
      </c>
    </row>
    <row r="575" spans="1:16" ht="12.75" hidden="1" customHeight="1">
      <c r="A575" s="187" t="s">
        <v>419</v>
      </c>
      <c r="B575" s="188"/>
      <c r="C575" s="188"/>
      <c r="D575" s="188"/>
      <c r="E575" s="189">
        <f t="shared" si="90"/>
        <v>0</v>
      </c>
      <c r="F575" s="190" t="e">
        <f t="shared" si="89"/>
        <v>#DIV/0!</v>
      </c>
      <c r="H575" s="88"/>
      <c r="I575" s="88">
        <v>360</v>
      </c>
      <c r="J575" s="88"/>
      <c r="K575" s="89"/>
      <c r="L575" s="89"/>
      <c r="M575" s="88"/>
      <c r="O575" s="88"/>
      <c r="P575" s="88"/>
    </row>
    <row r="576" spans="1:16" ht="12.75" hidden="1" customHeight="1">
      <c r="A576" s="187" t="s">
        <v>420</v>
      </c>
      <c r="B576" s="188"/>
      <c r="C576" s="188"/>
      <c r="D576" s="188"/>
      <c r="E576" s="189">
        <f t="shared" si="90"/>
        <v>0</v>
      </c>
      <c r="F576" s="190" t="e">
        <f t="shared" si="89"/>
        <v>#DIV/0!</v>
      </c>
      <c r="H576" s="88"/>
      <c r="I576" s="88"/>
      <c r="J576" s="88"/>
      <c r="K576" s="89"/>
      <c r="L576" s="89"/>
      <c r="M576" s="88"/>
      <c r="O576" s="88"/>
      <c r="P576" s="88"/>
    </row>
    <row r="577" spans="1:16" ht="12.75" hidden="1" customHeight="1">
      <c r="A577" s="187" t="s">
        <v>421</v>
      </c>
      <c r="B577" s="188"/>
      <c r="C577" s="188"/>
      <c r="D577" s="188"/>
      <c r="E577" s="189">
        <f t="shared" si="90"/>
        <v>0</v>
      </c>
      <c r="F577" s="190" t="e">
        <f t="shared" si="89"/>
        <v>#DIV/0!</v>
      </c>
      <c r="H577" s="88"/>
      <c r="I577" s="88">
        <v>26</v>
      </c>
      <c r="J577" s="88"/>
      <c r="K577" s="89"/>
      <c r="L577" s="89">
        <v>4</v>
      </c>
      <c r="M577" s="88"/>
      <c r="O577" s="88"/>
      <c r="P577" s="88"/>
    </row>
    <row r="578" spans="1:16" ht="12.75" hidden="1" customHeight="1">
      <c r="A578" s="187" t="s">
        <v>422</v>
      </c>
      <c r="B578" s="188"/>
      <c r="C578" s="188"/>
      <c r="D578" s="188"/>
      <c r="E578" s="189">
        <f t="shared" si="90"/>
        <v>0</v>
      </c>
      <c r="F578" s="190" t="e">
        <f t="shared" si="89"/>
        <v>#DIV/0!</v>
      </c>
      <c r="H578" s="88"/>
      <c r="I578" s="88">
        <v>15</v>
      </c>
      <c r="J578" s="88"/>
      <c r="K578" s="89"/>
      <c r="L578" s="89"/>
      <c r="M578" s="88"/>
      <c r="O578" s="88"/>
      <c r="P578" s="88"/>
    </row>
    <row r="579" spans="1:16" ht="12.75" hidden="1" customHeight="1">
      <c r="A579" s="187" t="s">
        <v>423</v>
      </c>
      <c r="B579" s="188"/>
      <c r="C579" s="188"/>
      <c r="D579" s="188"/>
      <c r="E579" s="189">
        <f t="shared" si="90"/>
        <v>0</v>
      </c>
      <c r="F579" s="190" t="e">
        <f t="shared" si="89"/>
        <v>#DIV/0!</v>
      </c>
      <c r="H579" s="88"/>
      <c r="I579" s="88"/>
      <c r="J579" s="88"/>
      <c r="K579" s="89"/>
      <c r="L579" s="89"/>
      <c r="M579" s="88"/>
      <c r="O579" s="88"/>
      <c r="P579" s="88"/>
    </row>
    <row r="580" spans="1:16">
      <c r="A580" s="187" t="s">
        <v>424</v>
      </c>
      <c r="B580" s="188">
        <v>4012.07</v>
      </c>
      <c r="C580" s="188">
        <v>3212.07</v>
      </c>
      <c r="D580" s="188">
        <v>3042.74</v>
      </c>
      <c r="E580" s="189">
        <f t="shared" si="90"/>
        <v>-169.33000000000038</v>
      </c>
      <c r="F580" s="190">
        <f t="shared" si="89"/>
        <v>-5.2716783880799731</v>
      </c>
      <c r="H580" s="88">
        <f t="shared" ref="H580:M580" si="98">SUM(H581:H586)</f>
        <v>0</v>
      </c>
      <c r="I580" s="88">
        <f t="shared" si="98"/>
        <v>123</v>
      </c>
      <c r="J580" s="88">
        <f t="shared" si="98"/>
        <v>0</v>
      </c>
      <c r="K580" s="89">
        <f t="shared" si="98"/>
        <v>0</v>
      </c>
      <c r="L580" s="89">
        <f t="shared" si="98"/>
        <v>55</v>
      </c>
      <c r="M580" s="88">
        <f t="shared" si="98"/>
        <v>0</v>
      </c>
      <c r="O580" s="88">
        <f>SUM(O581:O586)</f>
        <v>0</v>
      </c>
      <c r="P580" s="88">
        <f>SUM(P581:P586)</f>
        <v>0</v>
      </c>
    </row>
    <row r="581" spans="1:16" ht="12.75" hidden="1" customHeight="1">
      <c r="A581" s="187" t="s">
        <v>425</v>
      </c>
      <c r="B581" s="188"/>
      <c r="C581" s="188"/>
      <c r="D581" s="188"/>
      <c r="E581" s="189">
        <f t="shared" si="90"/>
        <v>0</v>
      </c>
      <c r="F581" s="190" t="e">
        <f t="shared" si="89"/>
        <v>#DIV/0!</v>
      </c>
      <c r="H581" s="88"/>
      <c r="I581" s="88"/>
      <c r="J581" s="88"/>
      <c r="K581" s="89"/>
      <c r="L581" s="89"/>
      <c r="M581" s="88"/>
      <c r="O581" s="88"/>
      <c r="P581" s="88"/>
    </row>
    <row r="582" spans="1:16" ht="12.75" hidden="1" customHeight="1">
      <c r="A582" s="187" t="s">
        <v>426</v>
      </c>
      <c r="B582" s="188"/>
      <c r="C582" s="188"/>
      <c r="D582" s="188"/>
      <c r="E582" s="189">
        <f t="shared" si="90"/>
        <v>0</v>
      </c>
      <c r="F582" s="190" t="e">
        <f t="shared" si="89"/>
        <v>#DIV/0!</v>
      </c>
      <c r="H582" s="88"/>
      <c r="I582" s="88"/>
      <c r="J582" s="88"/>
      <c r="K582" s="89"/>
      <c r="L582" s="89"/>
      <c r="M582" s="88"/>
      <c r="O582" s="88"/>
      <c r="P582" s="88"/>
    </row>
    <row r="583" spans="1:16" ht="12.75" hidden="1" customHeight="1">
      <c r="A583" s="187" t="s">
        <v>427</v>
      </c>
      <c r="B583" s="188"/>
      <c r="C583" s="188"/>
      <c r="D583" s="188"/>
      <c r="E583" s="189">
        <f t="shared" si="90"/>
        <v>0</v>
      </c>
      <c r="F583" s="190" t="e">
        <f t="shared" ref="F583:F646" si="99">E583/C583*100</f>
        <v>#DIV/0!</v>
      </c>
      <c r="H583" s="88"/>
      <c r="I583" s="88"/>
      <c r="J583" s="88"/>
      <c r="K583" s="89"/>
      <c r="L583" s="89"/>
      <c r="M583" s="88"/>
      <c r="O583" s="88"/>
      <c r="P583" s="88"/>
    </row>
    <row r="584" spans="1:16" ht="12.75" hidden="1" customHeight="1">
      <c r="A584" s="187" t="s">
        <v>428</v>
      </c>
      <c r="B584" s="188"/>
      <c r="C584" s="188"/>
      <c r="D584" s="188"/>
      <c r="E584" s="189">
        <f t="shared" si="90"/>
        <v>0</v>
      </c>
      <c r="F584" s="190" t="e">
        <f t="shared" si="99"/>
        <v>#DIV/0!</v>
      </c>
      <c r="H584" s="88"/>
      <c r="I584" s="88">
        <v>40</v>
      </c>
      <c r="J584" s="88"/>
      <c r="K584" s="89"/>
      <c r="L584" s="89">
        <v>55</v>
      </c>
      <c r="M584" s="88"/>
      <c r="O584" s="88"/>
      <c r="P584" s="88"/>
    </row>
    <row r="585" spans="1:16" ht="12.75" hidden="1" customHeight="1">
      <c r="A585" s="187" t="s">
        <v>429</v>
      </c>
      <c r="B585" s="188"/>
      <c r="C585" s="188"/>
      <c r="D585" s="188"/>
      <c r="E585" s="189">
        <f t="shared" ref="E585:E648" si="100">D585-C585</f>
        <v>0</v>
      </c>
      <c r="F585" s="190" t="e">
        <f t="shared" si="99"/>
        <v>#DIV/0!</v>
      </c>
      <c r="H585" s="88"/>
      <c r="I585" s="88">
        <v>83</v>
      </c>
      <c r="J585" s="88"/>
      <c r="K585" s="89"/>
      <c r="L585" s="89"/>
      <c r="M585" s="88"/>
      <c r="O585" s="88"/>
      <c r="P585" s="88"/>
    </row>
    <row r="586" spans="1:16" ht="12.75" hidden="1" customHeight="1">
      <c r="A586" s="187" t="s">
        <v>430</v>
      </c>
      <c r="B586" s="188"/>
      <c r="C586" s="188"/>
      <c r="D586" s="188"/>
      <c r="E586" s="189">
        <f t="shared" si="100"/>
        <v>0</v>
      </c>
      <c r="F586" s="190" t="e">
        <f t="shared" si="99"/>
        <v>#DIV/0!</v>
      </c>
      <c r="H586" s="88"/>
      <c r="I586" s="88"/>
      <c r="J586" s="88"/>
      <c r="K586" s="89"/>
      <c r="L586" s="89"/>
      <c r="M586" s="88"/>
      <c r="O586" s="88"/>
      <c r="P586" s="88"/>
    </row>
    <row r="587" spans="1:16">
      <c r="A587" s="187" t="s">
        <v>431</v>
      </c>
      <c r="B587" s="188">
        <v>532.91</v>
      </c>
      <c r="C587" s="188">
        <v>532.91</v>
      </c>
      <c r="D587" s="188">
        <v>551.70000000000005</v>
      </c>
      <c r="E587" s="189">
        <f t="shared" si="100"/>
        <v>18.790000000000077</v>
      </c>
      <c r="F587" s="190">
        <f t="shared" si="99"/>
        <v>3.5259237019384284</v>
      </c>
      <c r="H587" s="88">
        <f t="shared" ref="H587:M587" si="101">SUM(H588:H594)</f>
        <v>0</v>
      </c>
      <c r="I587" s="88">
        <f t="shared" si="101"/>
        <v>110</v>
      </c>
      <c r="J587" s="88">
        <f t="shared" si="101"/>
        <v>0</v>
      </c>
      <c r="K587" s="89">
        <f t="shared" si="101"/>
        <v>0</v>
      </c>
      <c r="L587" s="89">
        <f t="shared" si="101"/>
        <v>0</v>
      </c>
      <c r="M587" s="88">
        <f t="shared" si="101"/>
        <v>0</v>
      </c>
      <c r="O587" s="88">
        <f>SUM(O588:O594)</f>
        <v>0</v>
      </c>
      <c r="P587" s="88">
        <f>SUM(P588:P594)</f>
        <v>0</v>
      </c>
    </row>
    <row r="588" spans="1:16" ht="12.75" hidden="1" customHeight="1">
      <c r="A588" s="187" t="s">
        <v>13</v>
      </c>
      <c r="B588" s="188"/>
      <c r="C588" s="188"/>
      <c r="D588" s="188"/>
      <c r="E588" s="189">
        <f t="shared" si="100"/>
        <v>0</v>
      </c>
      <c r="F588" s="190" t="e">
        <f t="shared" si="99"/>
        <v>#DIV/0!</v>
      </c>
      <c r="H588" s="88"/>
      <c r="I588" s="88">
        <v>110</v>
      </c>
      <c r="J588" s="88"/>
      <c r="K588" s="89"/>
      <c r="L588" s="89"/>
      <c r="M588" s="88"/>
      <c r="O588" s="88"/>
      <c r="P588" s="88"/>
    </row>
    <row r="589" spans="1:16" ht="12.75" hidden="1" customHeight="1">
      <c r="A589" s="187" t="s">
        <v>14</v>
      </c>
      <c r="B589" s="188"/>
      <c r="C589" s="188"/>
      <c r="D589" s="188"/>
      <c r="E589" s="189">
        <f t="shared" si="100"/>
        <v>0</v>
      </c>
      <c r="F589" s="190" t="e">
        <f t="shared" si="99"/>
        <v>#DIV/0!</v>
      </c>
      <c r="H589" s="88"/>
      <c r="I589" s="88"/>
      <c r="J589" s="88"/>
      <c r="K589" s="89"/>
      <c r="L589" s="89"/>
      <c r="M589" s="88"/>
      <c r="O589" s="88"/>
      <c r="P589" s="88"/>
    </row>
    <row r="590" spans="1:16" ht="12.75" hidden="1" customHeight="1">
      <c r="A590" s="187" t="s">
        <v>15</v>
      </c>
      <c r="B590" s="188"/>
      <c r="C590" s="188"/>
      <c r="D590" s="188"/>
      <c r="E590" s="189">
        <f t="shared" si="100"/>
        <v>0</v>
      </c>
      <c r="F590" s="190" t="e">
        <f t="shared" si="99"/>
        <v>#DIV/0!</v>
      </c>
      <c r="H590" s="88"/>
      <c r="I590" s="88"/>
      <c r="J590" s="88"/>
      <c r="K590" s="89"/>
      <c r="L590" s="89"/>
      <c r="M590" s="88"/>
      <c r="O590" s="88"/>
      <c r="P590" s="88"/>
    </row>
    <row r="591" spans="1:16" ht="12.75" hidden="1" customHeight="1">
      <c r="A591" s="187" t="s">
        <v>432</v>
      </c>
      <c r="B591" s="188"/>
      <c r="C591" s="188"/>
      <c r="D591" s="188"/>
      <c r="E591" s="189">
        <f t="shared" si="100"/>
        <v>0</v>
      </c>
      <c r="F591" s="190" t="e">
        <f t="shared" si="99"/>
        <v>#DIV/0!</v>
      </c>
      <c r="H591" s="88"/>
      <c r="I591" s="88"/>
      <c r="J591" s="88"/>
      <c r="K591" s="89"/>
      <c r="L591" s="89"/>
      <c r="M591" s="88"/>
      <c r="O591" s="88"/>
      <c r="P591" s="88"/>
    </row>
    <row r="592" spans="1:16" ht="12.75" hidden="1" customHeight="1">
      <c r="A592" s="187" t="s">
        <v>433</v>
      </c>
      <c r="B592" s="188"/>
      <c r="C592" s="188"/>
      <c r="D592" s="188"/>
      <c r="E592" s="189">
        <f t="shared" si="100"/>
        <v>0</v>
      </c>
      <c r="F592" s="190" t="e">
        <f t="shared" si="99"/>
        <v>#DIV/0!</v>
      </c>
      <c r="H592" s="88"/>
      <c r="I592" s="88"/>
      <c r="J592" s="88"/>
      <c r="K592" s="89"/>
      <c r="L592" s="89"/>
      <c r="M592" s="88"/>
      <c r="O592" s="88"/>
      <c r="P592" s="88"/>
    </row>
    <row r="593" spans="1:16" ht="12.75" hidden="1" customHeight="1">
      <c r="A593" s="187" t="s">
        <v>434</v>
      </c>
      <c r="B593" s="188"/>
      <c r="C593" s="188"/>
      <c r="D593" s="188"/>
      <c r="E593" s="189">
        <f t="shared" si="100"/>
        <v>0</v>
      </c>
      <c r="F593" s="190" t="e">
        <f t="shared" si="99"/>
        <v>#DIV/0!</v>
      </c>
      <c r="H593" s="88"/>
      <c r="I593" s="88"/>
      <c r="J593" s="88"/>
      <c r="K593" s="89"/>
      <c r="L593" s="89"/>
      <c r="M593" s="88"/>
      <c r="O593" s="88"/>
      <c r="P593" s="88"/>
    </row>
    <row r="594" spans="1:16" ht="12.75" hidden="1" customHeight="1">
      <c r="A594" s="187" t="s">
        <v>435</v>
      </c>
      <c r="B594" s="188"/>
      <c r="C594" s="188"/>
      <c r="D594" s="188"/>
      <c r="E594" s="189">
        <f t="shared" si="100"/>
        <v>0</v>
      </c>
      <c r="F594" s="190" t="e">
        <f t="shared" si="99"/>
        <v>#DIV/0!</v>
      </c>
      <c r="H594" s="88"/>
      <c r="I594" s="88"/>
      <c r="J594" s="88"/>
      <c r="K594" s="89"/>
      <c r="L594" s="89"/>
      <c r="M594" s="88"/>
      <c r="O594" s="88"/>
      <c r="P594" s="88"/>
    </row>
    <row r="595" spans="1:16">
      <c r="A595" s="187" t="s">
        <v>436</v>
      </c>
      <c r="B595" s="188">
        <v>200</v>
      </c>
      <c r="C595" s="188">
        <v>200</v>
      </c>
      <c r="D595" s="188">
        <v>200</v>
      </c>
      <c r="E595" s="189"/>
      <c r="F595" s="190"/>
      <c r="H595" s="88">
        <f t="shared" ref="H595:M595" si="102">SUM(H596:H599)</f>
        <v>0</v>
      </c>
      <c r="I595" s="88">
        <f t="shared" si="102"/>
        <v>200</v>
      </c>
      <c r="J595" s="88">
        <f t="shared" si="102"/>
        <v>0</v>
      </c>
      <c r="K595" s="89">
        <f t="shared" si="102"/>
        <v>0</v>
      </c>
      <c r="L595" s="89">
        <f t="shared" si="102"/>
        <v>0</v>
      </c>
      <c r="M595" s="88">
        <f t="shared" si="102"/>
        <v>0</v>
      </c>
      <c r="O595" s="88">
        <f>SUM(O596:O599)</f>
        <v>0</v>
      </c>
      <c r="P595" s="88">
        <f>SUM(P596:P599)</f>
        <v>0</v>
      </c>
    </row>
    <row r="596" spans="1:16" ht="12.75" hidden="1" customHeight="1">
      <c r="A596" s="187" t="s">
        <v>437</v>
      </c>
      <c r="B596" s="188"/>
      <c r="C596" s="188"/>
      <c r="D596" s="188"/>
      <c r="E596" s="189">
        <f t="shared" si="100"/>
        <v>0</v>
      </c>
      <c r="F596" s="190" t="e">
        <f t="shared" si="99"/>
        <v>#DIV/0!</v>
      </c>
      <c r="H596" s="88"/>
      <c r="I596" s="88"/>
      <c r="J596" s="88"/>
      <c r="K596" s="89"/>
      <c r="L596" s="89"/>
      <c r="M596" s="88"/>
      <c r="O596" s="88"/>
      <c r="P596" s="88"/>
    </row>
    <row r="597" spans="1:16" ht="12.75" hidden="1" customHeight="1">
      <c r="A597" s="187" t="s">
        <v>438</v>
      </c>
      <c r="B597" s="188"/>
      <c r="C597" s="188"/>
      <c r="D597" s="188"/>
      <c r="E597" s="189">
        <f t="shared" si="100"/>
        <v>0</v>
      </c>
      <c r="F597" s="190" t="e">
        <f t="shared" si="99"/>
        <v>#DIV/0!</v>
      </c>
      <c r="H597" s="88"/>
      <c r="I597" s="88"/>
      <c r="J597" s="88"/>
      <c r="K597" s="89"/>
      <c r="L597" s="89"/>
      <c r="M597" s="88"/>
      <c r="O597" s="88"/>
      <c r="P597" s="88"/>
    </row>
    <row r="598" spans="1:16" ht="12.75" hidden="1" customHeight="1">
      <c r="A598" s="187" t="s">
        <v>439</v>
      </c>
      <c r="B598" s="188"/>
      <c r="C598" s="188"/>
      <c r="D598" s="188"/>
      <c r="E598" s="189">
        <f t="shared" si="100"/>
        <v>0</v>
      </c>
      <c r="F598" s="190" t="e">
        <f t="shared" si="99"/>
        <v>#DIV/0!</v>
      </c>
      <c r="H598" s="88"/>
      <c r="I598" s="88"/>
      <c r="J598" s="88"/>
      <c r="K598" s="89"/>
      <c r="L598" s="89"/>
      <c r="M598" s="88"/>
      <c r="O598" s="88"/>
      <c r="P598" s="88"/>
    </row>
    <row r="599" spans="1:16" ht="12.75" hidden="1" customHeight="1">
      <c r="A599" s="187" t="s">
        <v>440</v>
      </c>
      <c r="B599" s="188"/>
      <c r="C599" s="188"/>
      <c r="D599" s="188"/>
      <c r="E599" s="189">
        <f t="shared" si="100"/>
        <v>0</v>
      </c>
      <c r="F599" s="190" t="e">
        <f t="shared" si="99"/>
        <v>#DIV/0!</v>
      </c>
      <c r="H599" s="88"/>
      <c r="I599" s="88">
        <v>200</v>
      </c>
      <c r="J599" s="88"/>
      <c r="K599" s="89"/>
      <c r="L599" s="89"/>
      <c r="M599" s="88"/>
      <c r="O599" s="88"/>
      <c r="P599" s="88"/>
    </row>
    <row r="600" spans="1:16">
      <c r="A600" s="187" t="s">
        <v>441</v>
      </c>
      <c r="B600" s="188">
        <v>63.11</v>
      </c>
      <c r="C600" s="188">
        <v>63.11</v>
      </c>
      <c r="D600" s="188">
        <v>86.13</v>
      </c>
      <c r="E600" s="189">
        <f t="shared" si="100"/>
        <v>23.019999999999996</v>
      </c>
      <c r="F600" s="190">
        <f t="shared" si="99"/>
        <v>36.475994295674212</v>
      </c>
      <c r="H600" s="88">
        <f t="shared" ref="H600:M600" si="103">SUM(H601:H604)</f>
        <v>0</v>
      </c>
      <c r="I600" s="88">
        <f t="shared" si="103"/>
        <v>16</v>
      </c>
      <c r="J600" s="88">
        <f t="shared" si="103"/>
        <v>0</v>
      </c>
      <c r="K600" s="89">
        <f t="shared" si="103"/>
        <v>0</v>
      </c>
      <c r="L600" s="89">
        <f t="shared" si="103"/>
        <v>0</v>
      </c>
      <c r="M600" s="88">
        <f t="shared" si="103"/>
        <v>0</v>
      </c>
      <c r="O600" s="88">
        <f>SUM(O601:O604)</f>
        <v>0</v>
      </c>
      <c r="P600" s="88">
        <f>SUM(P601:P604)</f>
        <v>0</v>
      </c>
    </row>
    <row r="601" spans="1:16" ht="12.75" hidden="1" customHeight="1">
      <c r="A601" s="187" t="s">
        <v>13</v>
      </c>
      <c r="B601" s="188"/>
      <c r="C601" s="188"/>
      <c r="D601" s="188"/>
      <c r="E601" s="189">
        <f t="shared" si="100"/>
        <v>0</v>
      </c>
      <c r="F601" s="190" t="e">
        <f t="shared" si="99"/>
        <v>#DIV/0!</v>
      </c>
      <c r="H601" s="88"/>
      <c r="I601" s="88">
        <v>16</v>
      </c>
      <c r="J601" s="88"/>
      <c r="K601" s="89"/>
      <c r="L601" s="89"/>
      <c r="M601" s="88"/>
      <c r="O601" s="88"/>
      <c r="P601" s="88"/>
    </row>
    <row r="602" spans="1:16" ht="12.75" hidden="1" customHeight="1">
      <c r="A602" s="187" t="s">
        <v>14</v>
      </c>
      <c r="B602" s="188"/>
      <c r="C602" s="188"/>
      <c r="D602" s="188"/>
      <c r="E602" s="189">
        <f t="shared" si="100"/>
        <v>0</v>
      </c>
      <c r="F602" s="190" t="e">
        <f t="shared" si="99"/>
        <v>#DIV/0!</v>
      </c>
      <c r="H602" s="88"/>
      <c r="I602" s="88"/>
      <c r="J602" s="88"/>
      <c r="K602" s="89"/>
      <c r="L602" s="89"/>
      <c r="M602" s="88"/>
      <c r="O602" s="88"/>
      <c r="P602" s="88"/>
    </row>
    <row r="603" spans="1:16" ht="12.75" hidden="1" customHeight="1">
      <c r="A603" s="187" t="s">
        <v>15</v>
      </c>
      <c r="B603" s="188"/>
      <c r="C603" s="188"/>
      <c r="D603" s="188"/>
      <c r="E603" s="189">
        <f t="shared" si="100"/>
        <v>0</v>
      </c>
      <c r="F603" s="190" t="e">
        <f t="shared" si="99"/>
        <v>#DIV/0!</v>
      </c>
      <c r="H603" s="88"/>
      <c r="I603" s="88"/>
      <c r="J603" s="88"/>
      <c r="K603" s="89"/>
      <c r="L603" s="89"/>
      <c r="M603" s="88"/>
      <c r="O603" s="88"/>
      <c r="P603" s="88"/>
    </row>
    <row r="604" spans="1:16" ht="12.75" hidden="1" customHeight="1">
      <c r="A604" s="187" t="s">
        <v>442</v>
      </c>
      <c r="B604" s="188"/>
      <c r="C604" s="188"/>
      <c r="D604" s="188"/>
      <c r="E604" s="189">
        <f t="shared" si="100"/>
        <v>0</v>
      </c>
      <c r="F604" s="190" t="e">
        <f t="shared" si="99"/>
        <v>#DIV/0!</v>
      </c>
      <c r="H604" s="88"/>
      <c r="I604" s="88"/>
      <c r="J604" s="88"/>
      <c r="K604" s="89"/>
      <c r="L604" s="89"/>
      <c r="M604" s="88"/>
      <c r="O604" s="88"/>
      <c r="P604" s="88"/>
    </row>
    <row r="605" spans="1:16">
      <c r="A605" s="187" t="s">
        <v>443</v>
      </c>
      <c r="B605" s="188">
        <v>2452.6</v>
      </c>
      <c r="C605" s="188">
        <v>2452.6</v>
      </c>
      <c r="D605" s="188">
        <v>2087.2399999999998</v>
      </c>
      <c r="E605" s="189">
        <f t="shared" si="100"/>
        <v>-365.36000000000013</v>
      </c>
      <c r="F605" s="190">
        <f t="shared" si="99"/>
        <v>-14.896844165375525</v>
      </c>
      <c r="H605" s="88">
        <f t="shared" ref="H605:M605" si="104">SUM(H606:H607)</f>
        <v>0</v>
      </c>
      <c r="I605" s="88">
        <f t="shared" si="104"/>
        <v>1184</v>
      </c>
      <c r="J605" s="88">
        <f t="shared" si="104"/>
        <v>0</v>
      </c>
      <c r="K605" s="89">
        <f t="shared" si="104"/>
        <v>0</v>
      </c>
      <c r="L605" s="89">
        <f t="shared" si="104"/>
        <v>0</v>
      </c>
      <c r="M605" s="88">
        <f t="shared" si="104"/>
        <v>0</v>
      </c>
      <c r="O605" s="88">
        <f>SUM(O606:O607)</f>
        <v>0</v>
      </c>
      <c r="P605" s="88">
        <f>SUM(P606:P607)</f>
        <v>0</v>
      </c>
    </row>
    <row r="606" spans="1:16" ht="12.75" hidden="1" customHeight="1">
      <c r="A606" s="187" t="s">
        <v>444</v>
      </c>
      <c r="B606" s="188"/>
      <c r="C606" s="188"/>
      <c r="D606" s="188"/>
      <c r="E606" s="189">
        <f t="shared" si="100"/>
        <v>0</v>
      </c>
      <c r="F606" s="190" t="e">
        <f t="shared" si="99"/>
        <v>#DIV/0!</v>
      </c>
      <c r="H606" s="88"/>
      <c r="I606" s="88">
        <v>379</v>
      </c>
      <c r="J606" s="88"/>
      <c r="K606" s="89"/>
      <c r="L606" s="89"/>
      <c r="M606" s="88"/>
      <c r="O606" s="88"/>
      <c r="P606" s="88"/>
    </row>
    <row r="607" spans="1:16" ht="12.75" hidden="1" customHeight="1">
      <c r="A607" s="187" t="s">
        <v>445</v>
      </c>
      <c r="B607" s="188"/>
      <c r="C607" s="188"/>
      <c r="D607" s="188"/>
      <c r="E607" s="189">
        <f t="shared" si="100"/>
        <v>0</v>
      </c>
      <c r="F607" s="190" t="e">
        <f t="shared" si="99"/>
        <v>#DIV/0!</v>
      </c>
      <c r="H607" s="88"/>
      <c r="I607" s="88">
        <v>805</v>
      </c>
      <c r="J607" s="88"/>
      <c r="K607" s="89"/>
      <c r="L607" s="89"/>
      <c r="M607" s="88"/>
      <c r="O607" s="88"/>
      <c r="P607" s="88"/>
    </row>
    <row r="608" spans="1:16">
      <c r="A608" s="187" t="s">
        <v>446</v>
      </c>
      <c r="B608" s="188">
        <v>82</v>
      </c>
      <c r="C608" s="188">
        <v>82</v>
      </c>
      <c r="D608" s="188">
        <v>63</v>
      </c>
      <c r="E608" s="189">
        <f t="shared" si="100"/>
        <v>-19</v>
      </c>
      <c r="F608" s="190">
        <f t="shared" si="99"/>
        <v>-23.170731707317074</v>
      </c>
      <c r="H608" s="88">
        <f t="shared" ref="H608:M608" si="105">SUM(H609:H610)</f>
        <v>0</v>
      </c>
      <c r="I608" s="88">
        <f t="shared" si="105"/>
        <v>0</v>
      </c>
      <c r="J608" s="88">
        <f t="shared" si="105"/>
        <v>0</v>
      </c>
      <c r="K608" s="89">
        <f t="shared" si="105"/>
        <v>0</v>
      </c>
      <c r="L608" s="89">
        <f t="shared" si="105"/>
        <v>0</v>
      </c>
      <c r="M608" s="88">
        <f t="shared" si="105"/>
        <v>0</v>
      </c>
      <c r="O608" s="88">
        <f>SUM(O609:O610)</f>
        <v>0</v>
      </c>
      <c r="P608" s="88">
        <f>SUM(P609:P610)</f>
        <v>0</v>
      </c>
    </row>
    <row r="609" spans="1:16" ht="12.75" hidden="1" customHeight="1">
      <c r="A609" s="187" t="s">
        <v>447</v>
      </c>
      <c r="B609" s="188"/>
      <c r="C609" s="188"/>
      <c r="D609" s="188"/>
      <c r="E609" s="189">
        <f t="shared" si="100"/>
        <v>0</v>
      </c>
      <c r="F609" s="190" t="e">
        <f t="shared" si="99"/>
        <v>#DIV/0!</v>
      </c>
      <c r="H609" s="88"/>
      <c r="I609" s="88"/>
      <c r="J609" s="88"/>
      <c r="K609" s="89"/>
      <c r="L609" s="89"/>
      <c r="M609" s="88"/>
      <c r="O609" s="88"/>
      <c r="P609" s="88"/>
    </row>
    <row r="610" spans="1:16" ht="12.75" hidden="1" customHeight="1">
      <c r="A610" s="187" t="s">
        <v>448</v>
      </c>
      <c r="B610" s="188"/>
      <c r="C610" s="188"/>
      <c r="D610" s="188"/>
      <c r="E610" s="189">
        <f t="shared" si="100"/>
        <v>0</v>
      </c>
      <c r="F610" s="190" t="e">
        <f t="shared" si="99"/>
        <v>#DIV/0!</v>
      </c>
      <c r="H610" s="88"/>
      <c r="I610" s="88"/>
      <c r="J610" s="88"/>
      <c r="K610" s="89"/>
      <c r="L610" s="89"/>
      <c r="M610" s="88"/>
      <c r="O610" s="88"/>
      <c r="P610" s="88"/>
    </row>
    <row r="611" spans="1:16">
      <c r="A611" s="187" t="s">
        <v>449</v>
      </c>
      <c r="B611" s="188">
        <v>1612.2</v>
      </c>
      <c r="C611" s="188">
        <v>1612.2</v>
      </c>
      <c r="D611" s="188">
        <v>1119.75</v>
      </c>
      <c r="E611" s="189">
        <f t="shared" si="100"/>
        <v>-492.45000000000005</v>
      </c>
      <c r="F611" s="190">
        <f t="shared" si="99"/>
        <v>-30.545217714923712</v>
      </c>
      <c r="H611" s="88">
        <f t="shared" ref="H611:M611" si="106">SUM(H612:H613)</f>
        <v>0</v>
      </c>
      <c r="I611" s="88">
        <f t="shared" si="106"/>
        <v>1031</v>
      </c>
      <c r="J611" s="88">
        <f t="shared" si="106"/>
        <v>0</v>
      </c>
      <c r="K611" s="89">
        <f t="shared" si="106"/>
        <v>0</v>
      </c>
      <c r="L611" s="89">
        <f t="shared" si="106"/>
        <v>0</v>
      </c>
      <c r="M611" s="88">
        <f t="shared" si="106"/>
        <v>0</v>
      </c>
      <c r="O611" s="88">
        <f>SUM(O612:O613)</f>
        <v>0</v>
      </c>
      <c r="P611" s="88">
        <f>SUM(P612:P613)</f>
        <v>0</v>
      </c>
    </row>
    <row r="612" spans="1:16" ht="12.75" hidden="1" customHeight="1">
      <c r="A612" s="187" t="s">
        <v>450</v>
      </c>
      <c r="B612" s="188"/>
      <c r="C612" s="188"/>
      <c r="D612" s="188"/>
      <c r="E612" s="189">
        <f t="shared" si="100"/>
        <v>0</v>
      </c>
      <c r="F612" s="190" t="e">
        <f t="shared" si="99"/>
        <v>#DIV/0!</v>
      </c>
      <c r="H612" s="88"/>
      <c r="I612" s="88"/>
      <c r="J612" s="88"/>
      <c r="K612" s="89"/>
      <c r="L612" s="89"/>
      <c r="M612" s="88"/>
      <c r="O612" s="88"/>
      <c r="P612" s="88"/>
    </row>
    <row r="613" spans="1:16" ht="12.75" hidden="1" customHeight="1">
      <c r="A613" s="187" t="s">
        <v>451</v>
      </c>
      <c r="B613" s="188"/>
      <c r="C613" s="188"/>
      <c r="D613" s="188"/>
      <c r="E613" s="189">
        <f t="shared" si="100"/>
        <v>0</v>
      </c>
      <c r="F613" s="190" t="e">
        <f t="shared" si="99"/>
        <v>#DIV/0!</v>
      </c>
      <c r="H613" s="88"/>
      <c r="I613" s="88">
        <v>1031</v>
      </c>
      <c r="J613" s="88"/>
      <c r="K613" s="89"/>
      <c r="L613" s="89"/>
      <c r="M613" s="88"/>
      <c r="O613" s="88"/>
      <c r="P613" s="88"/>
    </row>
    <row r="614" spans="1:16" ht="13.5" hidden="1" customHeight="1">
      <c r="A614" s="187" t="s">
        <v>452</v>
      </c>
      <c r="B614" s="188"/>
      <c r="C614" s="188"/>
      <c r="D614" s="188"/>
      <c r="E614" s="189">
        <f t="shared" si="100"/>
        <v>0</v>
      </c>
      <c r="F614" s="190" t="e">
        <f t="shared" si="99"/>
        <v>#DIV/0!</v>
      </c>
      <c r="H614" s="88">
        <f t="shared" ref="H614:M614" si="107">SUM(H615:H616)</f>
        <v>0</v>
      </c>
      <c r="I614" s="88">
        <f t="shared" si="107"/>
        <v>0</v>
      </c>
      <c r="J614" s="88">
        <f t="shared" si="107"/>
        <v>0</v>
      </c>
      <c r="K614" s="89">
        <f t="shared" si="107"/>
        <v>0</v>
      </c>
      <c r="L614" s="89">
        <f t="shared" si="107"/>
        <v>0</v>
      </c>
      <c r="M614" s="88">
        <f t="shared" si="107"/>
        <v>0</v>
      </c>
      <c r="O614" s="88">
        <f>SUM(O615:O616)</f>
        <v>0</v>
      </c>
      <c r="P614" s="88">
        <f>SUM(P615:P616)</f>
        <v>0</v>
      </c>
    </row>
    <row r="615" spans="1:16" ht="12.75" hidden="1" customHeight="1">
      <c r="A615" s="187" t="s">
        <v>453</v>
      </c>
      <c r="B615" s="188"/>
      <c r="C615" s="188"/>
      <c r="D615" s="188"/>
      <c r="E615" s="189">
        <f t="shared" si="100"/>
        <v>0</v>
      </c>
      <c r="F615" s="190" t="e">
        <f t="shared" si="99"/>
        <v>#DIV/0!</v>
      </c>
      <c r="H615" s="88"/>
      <c r="I615" s="88"/>
      <c r="J615" s="88"/>
      <c r="K615" s="89"/>
      <c r="L615" s="89"/>
      <c r="M615" s="88"/>
      <c r="O615" s="88"/>
      <c r="P615" s="88"/>
    </row>
    <row r="616" spans="1:16" ht="12.75" hidden="1" customHeight="1">
      <c r="A616" s="187" t="s">
        <v>454</v>
      </c>
      <c r="B616" s="188"/>
      <c r="C616" s="188"/>
      <c r="D616" s="188"/>
      <c r="E616" s="189">
        <f t="shared" si="100"/>
        <v>0</v>
      </c>
      <c r="F616" s="190" t="e">
        <f t="shared" si="99"/>
        <v>#DIV/0!</v>
      </c>
      <c r="H616" s="88"/>
      <c r="I616" s="88"/>
      <c r="J616" s="88"/>
      <c r="K616" s="89"/>
      <c r="L616" s="89"/>
      <c r="M616" s="88"/>
      <c r="O616" s="88"/>
      <c r="P616" s="88"/>
    </row>
    <row r="617" spans="1:16">
      <c r="A617" s="187" t="s">
        <v>455</v>
      </c>
      <c r="B617" s="188">
        <v>114.09</v>
      </c>
      <c r="C617" s="188">
        <v>114.09</v>
      </c>
      <c r="D617" s="188">
        <v>96.19</v>
      </c>
      <c r="E617" s="189">
        <f t="shared" si="100"/>
        <v>-17.900000000000006</v>
      </c>
      <c r="F617" s="190">
        <f t="shared" si="99"/>
        <v>-15.689368042773252</v>
      </c>
      <c r="H617" s="88">
        <f t="shared" ref="H617:M617" si="108">SUM(H618:H619)</f>
        <v>0</v>
      </c>
      <c r="I617" s="88">
        <f t="shared" si="108"/>
        <v>151</v>
      </c>
      <c r="J617" s="88">
        <f t="shared" si="108"/>
        <v>0</v>
      </c>
      <c r="K617" s="89">
        <f t="shared" si="108"/>
        <v>0</v>
      </c>
      <c r="L617" s="89">
        <f t="shared" si="108"/>
        <v>121</v>
      </c>
      <c r="M617" s="88">
        <f t="shared" si="108"/>
        <v>0</v>
      </c>
      <c r="O617" s="88">
        <f>SUM(O618:O619)</f>
        <v>0</v>
      </c>
      <c r="P617" s="88">
        <f>SUM(P618:P619)</f>
        <v>0</v>
      </c>
    </row>
    <row r="618" spans="1:16" ht="12.75" hidden="1" customHeight="1">
      <c r="A618" s="187" t="s">
        <v>456</v>
      </c>
      <c r="B618" s="188"/>
      <c r="C618" s="188"/>
      <c r="D618" s="188"/>
      <c r="E618" s="189">
        <f t="shared" si="100"/>
        <v>0</v>
      </c>
      <c r="F618" s="190" t="e">
        <f t="shared" si="99"/>
        <v>#DIV/0!</v>
      </c>
      <c r="H618" s="88"/>
      <c r="I618" s="88">
        <v>151</v>
      </c>
      <c r="J618" s="88"/>
      <c r="K618" s="89"/>
      <c r="L618" s="89">
        <v>121</v>
      </c>
      <c r="M618" s="88"/>
      <c r="O618" s="88"/>
      <c r="P618" s="88"/>
    </row>
    <row r="619" spans="1:16" ht="12.75" hidden="1" customHeight="1">
      <c r="A619" s="187" t="s">
        <v>457</v>
      </c>
      <c r="B619" s="188"/>
      <c r="C619" s="188"/>
      <c r="D619" s="188"/>
      <c r="E619" s="189">
        <f t="shared" si="100"/>
        <v>0</v>
      </c>
      <c r="F619" s="190" t="e">
        <f t="shared" si="99"/>
        <v>#DIV/0!</v>
      </c>
      <c r="H619" s="88"/>
      <c r="I619" s="88"/>
      <c r="J619" s="88"/>
      <c r="K619" s="89"/>
      <c r="L619" s="89"/>
      <c r="M619" s="88"/>
      <c r="O619" s="88"/>
      <c r="P619" s="88"/>
    </row>
    <row r="620" spans="1:16">
      <c r="A620" s="187" t="s">
        <v>1028</v>
      </c>
      <c r="B620" s="188"/>
      <c r="C620" s="188"/>
      <c r="D620" s="188">
        <v>4795</v>
      </c>
      <c r="E620" s="189">
        <f t="shared" si="100"/>
        <v>4795</v>
      </c>
      <c r="F620" s="190"/>
      <c r="H620" s="88"/>
      <c r="I620" s="88"/>
      <c r="J620" s="88"/>
      <c r="K620" s="89"/>
      <c r="L620" s="89"/>
      <c r="M620" s="88"/>
      <c r="O620" s="88"/>
      <c r="P620" s="88"/>
    </row>
    <row r="621" spans="1:16">
      <c r="A621" s="187" t="s">
        <v>458</v>
      </c>
      <c r="B621" s="188">
        <v>1592.64</v>
      </c>
      <c r="C621" s="188">
        <v>1592.64</v>
      </c>
      <c r="D621" s="188">
        <v>592.46</v>
      </c>
      <c r="E621" s="189">
        <f t="shared" si="100"/>
        <v>-1000.1800000000001</v>
      </c>
      <c r="F621" s="190">
        <f t="shared" si="99"/>
        <v>-62.800130600763516</v>
      </c>
      <c r="H621" s="88">
        <f t="shared" ref="H621:M621" si="109">H622</f>
        <v>0</v>
      </c>
      <c r="I621" s="88">
        <f t="shared" si="109"/>
        <v>923</v>
      </c>
      <c r="J621" s="88">
        <f t="shared" si="109"/>
        <v>0</v>
      </c>
      <c r="K621" s="89">
        <f t="shared" si="109"/>
        <v>0</v>
      </c>
      <c r="L621" s="89">
        <f t="shared" si="109"/>
        <v>312</v>
      </c>
      <c r="M621" s="88">
        <f t="shared" si="109"/>
        <v>0</v>
      </c>
      <c r="O621" s="88">
        <f>O622</f>
        <v>0</v>
      </c>
      <c r="P621" s="88">
        <f>P622</f>
        <v>0</v>
      </c>
    </row>
    <row r="622" spans="1:16" ht="12.75" hidden="1" customHeight="1">
      <c r="A622" s="187" t="s">
        <v>459</v>
      </c>
      <c r="B622" s="188"/>
      <c r="C622" s="188"/>
      <c r="D622" s="188"/>
      <c r="E622" s="189">
        <f t="shared" si="100"/>
        <v>0</v>
      </c>
      <c r="F622" s="190" t="e">
        <f t="shared" si="99"/>
        <v>#DIV/0!</v>
      </c>
      <c r="H622" s="88"/>
      <c r="I622" s="88">
        <v>923</v>
      </c>
      <c r="J622" s="88"/>
      <c r="K622" s="89"/>
      <c r="L622" s="89">
        <v>312</v>
      </c>
      <c r="M622" s="88"/>
      <c r="O622" s="88"/>
      <c r="P622" s="88"/>
    </row>
    <row r="623" spans="1:16">
      <c r="A623" s="179" t="s">
        <v>460</v>
      </c>
      <c r="B623" s="182">
        <f>SUM(B624:B689)</f>
        <v>28645</v>
      </c>
      <c r="C623" s="182">
        <f>SUM(C624:C689)</f>
        <v>28645</v>
      </c>
      <c r="D623" s="182">
        <f>SUM(D624:D689)</f>
        <v>36825.01</v>
      </c>
      <c r="E623" s="185">
        <f t="shared" si="100"/>
        <v>8180.010000000002</v>
      </c>
      <c r="F623" s="186">
        <f t="shared" si="99"/>
        <v>28.55650200733113</v>
      </c>
      <c r="H623" s="88">
        <f t="shared" ref="H623:M623" si="110">SUM(H624,H629,H642,H646,H658,H668,H671,H675,H689)</f>
        <v>2450</v>
      </c>
      <c r="I623" s="88">
        <f t="shared" si="110"/>
        <v>16872</v>
      </c>
      <c r="J623" s="88">
        <f t="shared" si="110"/>
        <v>758</v>
      </c>
      <c r="K623" s="89">
        <f t="shared" si="110"/>
        <v>105</v>
      </c>
      <c r="L623" s="89">
        <f t="shared" si="110"/>
        <v>1363</v>
      </c>
      <c r="M623" s="88">
        <f t="shared" si="110"/>
        <v>0</v>
      </c>
      <c r="O623" s="88">
        <f>SUM(O624,O629,O642,O646,O658,O668,O671,O675,O689)</f>
        <v>0</v>
      </c>
      <c r="P623" s="88">
        <f>SUM(P624,P629,P642,P646,P658,P668,P671,P675,P689)</f>
        <v>0</v>
      </c>
    </row>
    <row r="624" spans="1:16">
      <c r="A624" s="187" t="s">
        <v>461</v>
      </c>
      <c r="B624" s="188">
        <v>981.78</v>
      </c>
      <c r="C624" s="188">
        <v>981.78</v>
      </c>
      <c r="D624" s="188">
        <v>1150.23</v>
      </c>
      <c r="E624" s="189">
        <f t="shared" si="100"/>
        <v>168.45000000000005</v>
      </c>
      <c r="F624" s="190">
        <f t="shared" si="99"/>
        <v>17.157611684898864</v>
      </c>
      <c r="H624" s="88">
        <f t="shared" ref="H624:M624" si="111">SUM(H625:H628)</f>
        <v>0</v>
      </c>
      <c r="I624" s="88">
        <f t="shared" si="111"/>
        <v>1952</v>
      </c>
      <c r="J624" s="88">
        <f t="shared" si="111"/>
        <v>311</v>
      </c>
      <c r="K624" s="89">
        <f t="shared" si="111"/>
        <v>0</v>
      </c>
      <c r="L624" s="89">
        <f t="shared" si="111"/>
        <v>185</v>
      </c>
      <c r="M624" s="88">
        <f t="shared" si="111"/>
        <v>0</v>
      </c>
      <c r="O624" s="88">
        <f>SUM(O625:O628)</f>
        <v>0</v>
      </c>
      <c r="P624" s="88">
        <f>SUM(P625:P628)</f>
        <v>0</v>
      </c>
    </row>
    <row r="625" spans="1:16" ht="12.75" hidden="1" customHeight="1">
      <c r="A625" s="187" t="s">
        <v>13</v>
      </c>
      <c r="B625" s="188"/>
      <c r="C625" s="188"/>
      <c r="D625" s="188"/>
      <c r="E625" s="189">
        <f t="shared" si="100"/>
        <v>0</v>
      </c>
      <c r="F625" s="190" t="e">
        <f t="shared" si="99"/>
        <v>#DIV/0!</v>
      </c>
      <c r="H625" s="88"/>
      <c r="I625" s="88">
        <f>275+68+108+131</f>
        <v>582</v>
      </c>
      <c r="J625" s="88">
        <v>311</v>
      </c>
      <c r="K625" s="89"/>
      <c r="L625" s="89">
        <v>185</v>
      </c>
      <c r="M625" s="88"/>
      <c r="O625" s="88"/>
      <c r="P625" s="88"/>
    </row>
    <row r="626" spans="1:16" ht="12.75" hidden="1" customHeight="1">
      <c r="A626" s="187" t="s">
        <v>14</v>
      </c>
      <c r="B626" s="188"/>
      <c r="C626" s="188"/>
      <c r="D626" s="188"/>
      <c r="E626" s="189">
        <f t="shared" si="100"/>
        <v>0</v>
      </c>
      <c r="F626" s="190" t="e">
        <f t="shared" si="99"/>
        <v>#DIV/0!</v>
      </c>
      <c r="H626" s="88"/>
      <c r="I626" s="88">
        <v>1370</v>
      </c>
      <c r="J626" s="88"/>
      <c r="K626" s="89"/>
      <c r="L626" s="89"/>
      <c r="M626" s="88"/>
      <c r="O626" s="88"/>
      <c r="P626" s="88"/>
    </row>
    <row r="627" spans="1:16" ht="12.75" hidden="1" customHeight="1">
      <c r="A627" s="187" t="s">
        <v>15</v>
      </c>
      <c r="B627" s="188"/>
      <c r="C627" s="188"/>
      <c r="D627" s="188"/>
      <c r="E627" s="189">
        <f t="shared" si="100"/>
        <v>0</v>
      </c>
      <c r="F627" s="190" t="e">
        <f t="shared" si="99"/>
        <v>#DIV/0!</v>
      </c>
      <c r="H627" s="88"/>
      <c r="I627" s="88"/>
      <c r="J627" s="88"/>
      <c r="K627" s="89"/>
      <c r="L627" s="89"/>
      <c r="M627" s="88"/>
      <c r="O627" s="88"/>
      <c r="P627" s="88"/>
    </row>
    <row r="628" spans="1:16" ht="12.75" hidden="1" customHeight="1">
      <c r="A628" s="187" t="s">
        <v>462</v>
      </c>
      <c r="B628" s="188"/>
      <c r="C628" s="188"/>
      <c r="D628" s="188"/>
      <c r="E628" s="189">
        <f t="shared" si="100"/>
        <v>0</v>
      </c>
      <c r="F628" s="190" t="e">
        <f t="shared" si="99"/>
        <v>#DIV/0!</v>
      </c>
      <c r="H628" s="88"/>
      <c r="I628" s="88"/>
      <c r="J628" s="88"/>
      <c r="K628" s="89"/>
      <c r="L628" s="89"/>
      <c r="M628" s="88"/>
      <c r="O628" s="88"/>
      <c r="P628" s="88"/>
    </row>
    <row r="629" spans="1:16">
      <c r="A629" s="187" t="s">
        <v>463</v>
      </c>
      <c r="B629" s="188">
        <v>5928.59</v>
      </c>
      <c r="C629" s="188">
        <v>5928.59</v>
      </c>
      <c r="D629" s="188">
        <v>8466.99</v>
      </c>
      <c r="E629" s="189">
        <f t="shared" si="100"/>
        <v>2538.3999999999996</v>
      </c>
      <c r="F629" s="190">
        <f t="shared" si="99"/>
        <v>42.816251418971454</v>
      </c>
      <c r="H629" s="88">
        <f t="shared" ref="H629:M629" si="112">SUM(H630:H641)</f>
        <v>45</v>
      </c>
      <c r="I629" s="88">
        <f t="shared" si="112"/>
        <v>1542</v>
      </c>
      <c r="J629" s="88">
        <f t="shared" si="112"/>
        <v>0</v>
      </c>
      <c r="K629" s="89">
        <f t="shared" si="112"/>
        <v>0</v>
      </c>
      <c r="L629" s="89">
        <f t="shared" si="112"/>
        <v>869</v>
      </c>
      <c r="M629" s="88">
        <f t="shared" si="112"/>
        <v>0</v>
      </c>
      <c r="O629" s="88">
        <f>SUM(O630:O641)</f>
        <v>0</v>
      </c>
      <c r="P629" s="88">
        <f>SUM(P630:P641)</f>
        <v>0</v>
      </c>
    </row>
    <row r="630" spans="1:16" ht="12.75" hidden="1" customHeight="1">
      <c r="A630" s="187" t="s">
        <v>464</v>
      </c>
      <c r="B630" s="188"/>
      <c r="C630" s="188"/>
      <c r="D630" s="188"/>
      <c r="E630" s="189">
        <f t="shared" si="100"/>
        <v>0</v>
      </c>
      <c r="F630" s="190" t="e">
        <f t="shared" si="99"/>
        <v>#DIV/0!</v>
      </c>
      <c r="H630" s="88">
        <v>45</v>
      </c>
      <c r="I630" s="88">
        <v>1014</v>
      </c>
      <c r="J630" s="88"/>
      <c r="K630" s="89"/>
      <c r="L630" s="89">
        <v>571</v>
      </c>
      <c r="M630" s="88"/>
      <c r="O630" s="88"/>
      <c r="P630" s="88"/>
    </row>
    <row r="631" spans="1:16" ht="12.75" hidden="1" customHeight="1">
      <c r="A631" s="187" t="s">
        <v>465</v>
      </c>
      <c r="B631" s="188"/>
      <c r="C631" s="188"/>
      <c r="D631" s="188"/>
      <c r="E631" s="189">
        <f t="shared" si="100"/>
        <v>0</v>
      </c>
      <c r="F631" s="190" t="e">
        <f t="shared" si="99"/>
        <v>#DIV/0!</v>
      </c>
      <c r="H631" s="88"/>
      <c r="I631" s="88">
        <v>316</v>
      </c>
      <c r="J631" s="88"/>
      <c r="K631" s="89"/>
      <c r="L631" s="89">
        <v>298</v>
      </c>
      <c r="M631" s="88"/>
      <c r="O631" s="88"/>
      <c r="P631" s="88"/>
    </row>
    <row r="632" spans="1:16" ht="12.75" hidden="1" customHeight="1">
      <c r="A632" s="187" t="s">
        <v>466</v>
      </c>
      <c r="B632" s="188"/>
      <c r="C632" s="188"/>
      <c r="D632" s="188"/>
      <c r="E632" s="189">
        <f t="shared" si="100"/>
        <v>0</v>
      </c>
      <c r="F632" s="190" t="e">
        <f t="shared" si="99"/>
        <v>#DIV/0!</v>
      </c>
      <c r="H632" s="88"/>
      <c r="I632" s="88"/>
      <c r="J632" s="88"/>
      <c r="K632" s="89"/>
      <c r="L632" s="89"/>
      <c r="M632" s="88"/>
      <c r="O632" s="88"/>
      <c r="P632" s="88"/>
    </row>
    <row r="633" spans="1:16" ht="12.75" hidden="1" customHeight="1">
      <c r="A633" s="187" t="s">
        <v>467</v>
      </c>
      <c r="B633" s="188"/>
      <c r="C633" s="188"/>
      <c r="D633" s="188"/>
      <c r="E633" s="189">
        <f t="shared" si="100"/>
        <v>0</v>
      </c>
      <c r="F633" s="190" t="e">
        <f t="shared" si="99"/>
        <v>#DIV/0!</v>
      </c>
      <c r="H633" s="88"/>
      <c r="I633" s="88"/>
      <c r="J633" s="88"/>
      <c r="K633" s="89"/>
      <c r="L633" s="89"/>
      <c r="M633" s="88"/>
      <c r="O633" s="88"/>
      <c r="P633" s="88"/>
    </row>
    <row r="634" spans="1:16" ht="12.75" hidden="1" customHeight="1">
      <c r="A634" s="187" t="s">
        <v>468</v>
      </c>
      <c r="B634" s="188"/>
      <c r="C634" s="188"/>
      <c r="D634" s="188"/>
      <c r="E634" s="189">
        <f t="shared" si="100"/>
        <v>0</v>
      </c>
      <c r="F634" s="190" t="e">
        <f t="shared" si="99"/>
        <v>#DIV/0!</v>
      </c>
      <c r="H634" s="88"/>
      <c r="I634" s="88"/>
      <c r="J634" s="88"/>
      <c r="K634" s="89"/>
      <c r="L634" s="89"/>
      <c r="M634" s="88"/>
      <c r="O634" s="88"/>
      <c r="P634" s="88"/>
    </row>
    <row r="635" spans="1:16" ht="12.75" hidden="1" customHeight="1">
      <c r="A635" s="187" t="s">
        <v>469</v>
      </c>
      <c r="B635" s="188"/>
      <c r="C635" s="188"/>
      <c r="D635" s="188"/>
      <c r="E635" s="189">
        <f t="shared" si="100"/>
        <v>0</v>
      </c>
      <c r="F635" s="190" t="e">
        <f t="shared" si="99"/>
        <v>#DIV/0!</v>
      </c>
      <c r="H635" s="88"/>
      <c r="I635" s="88"/>
      <c r="J635" s="88"/>
      <c r="K635" s="89"/>
      <c r="L635" s="89"/>
      <c r="M635" s="88"/>
      <c r="O635" s="88"/>
      <c r="P635" s="88"/>
    </row>
    <row r="636" spans="1:16" ht="12.75" hidden="1" customHeight="1">
      <c r="A636" s="187" t="s">
        <v>470</v>
      </c>
      <c r="B636" s="188"/>
      <c r="C636" s="188"/>
      <c r="D636" s="188"/>
      <c r="E636" s="189">
        <f t="shared" si="100"/>
        <v>0</v>
      </c>
      <c r="F636" s="190" t="e">
        <f t="shared" si="99"/>
        <v>#DIV/0!</v>
      </c>
      <c r="H636" s="88"/>
      <c r="I636" s="88"/>
      <c r="J636" s="88"/>
      <c r="K636" s="89"/>
      <c r="L636" s="89"/>
      <c r="M636" s="88"/>
      <c r="O636" s="88"/>
      <c r="P636" s="88"/>
    </row>
    <row r="637" spans="1:16" ht="12.75" hidden="1" customHeight="1">
      <c r="A637" s="187" t="s">
        <v>471</v>
      </c>
      <c r="B637" s="188"/>
      <c r="C637" s="188"/>
      <c r="D637" s="188"/>
      <c r="E637" s="189">
        <f t="shared" si="100"/>
        <v>0</v>
      </c>
      <c r="F637" s="190" t="e">
        <f t="shared" si="99"/>
        <v>#DIV/0!</v>
      </c>
      <c r="H637" s="88"/>
      <c r="I637" s="88">
        <v>212</v>
      </c>
      <c r="J637" s="88"/>
      <c r="K637" s="89"/>
      <c r="L637" s="89"/>
      <c r="M637" s="88"/>
      <c r="O637" s="88"/>
      <c r="P637" s="88"/>
    </row>
    <row r="638" spans="1:16" ht="12.75" hidden="1" customHeight="1">
      <c r="A638" s="187" t="s">
        <v>472</v>
      </c>
      <c r="B638" s="188"/>
      <c r="C638" s="188"/>
      <c r="D638" s="188"/>
      <c r="E638" s="189">
        <f t="shared" si="100"/>
        <v>0</v>
      </c>
      <c r="F638" s="190" t="e">
        <f t="shared" si="99"/>
        <v>#DIV/0!</v>
      </c>
      <c r="H638" s="88"/>
      <c r="I638" s="88"/>
      <c r="J638" s="88"/>
      <c r="K638" s="89"/>
      <c r="L638" s="89"/>
      <c r="M638" s="88"/>
      <c r="O638" s="88"/>
      <c r="P638" s="88"/>
    </row>
    <row r="639" spans="1:16" ht="12.75" hidden="1" customHeight="1">
      <c r="A639" s="187" t="s">
        <v>473</v>
      </c>
      <c r="B639" s="188"/>
      <c r="C639" s="188"/>
      <c r="D639" s="188"/>
      <c r="E639" s="189">
        <f t="shared" si="100"/>
        <v>0</v>
      </c>
      <c r="F639" s="190" t="e">
        <f t="shared" si="99"/>
        <v>#DIV/0!</v>
      </c>
      <c r="H639" s="88"/>
      <c r="I639" s="88"/>
      <c r="J639" s="88"/>
      <c r="K639" s="89"/>
      <c r="L639" s="89"/>
      <c r="M639" s="88"/>
      <c r="O639" s="88"/>
      <c r="P639" s="88"/>
    </row>
    <row r="640" spans="1:16" ht="12.75" hidden="1" customHeight="1">
      <c r="A640" s="187" t="s">
        <v>474</v>
      </c>
      <c r="B640" s="188"/>
      <c r="C640" s="188"/>
      <c r="D640" s="188"/>
      <c r="E640" s="189">
        <f t="shared" si="100"/>
        <v>0</v>
      </c>
      <c r="F640" s="190" t="e">
        <f t="shared" si="99"/>
        <v>#DIV/0!</v>
      </c>
      <c r="H640" s="88"/>
      <c r="I640" s="88"/>
      <c r="J640" s="88"/>
      <c r="K640" s="89"/>
      <c r="L640" s="89"/>
      <c r="M640" s="88"/>
      <c r="O640" s="88"/>
      <c r="P640" s="88"/>
    </row>
    <row r="641" spans="1:16" ht="12.75" hidden="1" customHeight="1">
      <c r="A641" s="187" t="s">
        <v>475</v>
      </c>
      <c r="B641" s="188"/>
      <c r="C641" s="188"/>
      <c r="D641" s="188"/>
      <c r="E641" s="189">
        <f t="shared" si="100"/>
        <v>0</v>
      </c>
      <c r="F641" s="190" t="e">
        <f t="shared" si="99"/>
        <v>#DIV/0!</v>
      </c>
      <c r="H641" s="88"/>
      <c r="I641" s="88"/>
      <c r="J641" s="88"/>
      <c r="K641" s="89"/>
      <c r="L641" s="89"/>
      <c r="M641" s="88"/>
      <c r="O641" s="88"/>
      <c r="P641" s="88"/>
    </row>
    <row r="642" spans="1:16">
      <c r="A642" s="187" t="s">
        <v>476</v>
      </c>
      <c r="B642" s="188">
        <v>6820.94</v>
      </c>
      <c r="C642" s="188">
        <v>6820.94</v>
      </c>
      <c r="D642" s="188">
        <v>8776.01</v>
      </c>
      <c r="E642" s="189">
        <f t="shared" si="100"/>
        <v>1955.0700000000006</v>
      </c>
      <c r="F642" s="190">
        <f t="shared" si="99"/>
        <v>28.662764956149751</v>
      </c>
      <c r="H642" s="88">
        <f t="shared" ref="H642:M642" si="113">SUM(H643:H645)</f>
        <v>0</v>
      </c>
      <c r="I642" s="88">
        <f t="shared" si="113"/>
        <v>2822</v>
      </c>
      <c r="J642" s="88">
        <f t="shared" si="113"/>
        <v>0</v>
      </c>
      <c r="K642" s="89">
        <f t="shared" si="113"/>
        <v>105</v>
      </c>
      <c r="L642" s="89">
        <f t="shared" si="113"/>
        <v>1105</v>
      </c>
      <c r="M642" s="88">
        <f t="shared" si="113"/>
        <v>0</v>
      </c>
      <c r="O642" s="88">
        <f>SUM(O643:O645)</f>
        <v>0</v>
      </c>
      <c r="P642" s="88">
        <f>SUM(P643:P645)</f>
        <v>0</v>
      </c>
    </row>
    <row r="643" spans="1:16" ht="12.75" hidden="1" customHeight="1">
      <c r="A643" s="187" t="s">
        <v>477</v>
      </c>
      <c r="B643" s="188"/>
      <c r="C643" s="188"/>
      <c r="D643" s="188"/>
      <c r="E643" s="189">
        <f t="shared" si="100"/>
        <v>0</v>
      </c>
      <c r="F643" s="190" t="e">
        <f t="shared" si="99"/>
        <v>#DIV/0!</v>
      </c>
      <c r="H643" s="88"/>
      <c r="I643" s="88"/>
      <c r="J643" s="88"/>
      <c r="K643" s="89"/>
      <c r="L643" s="89"/>
      <c r="M643" s="88"/>
      <c r="O643" s="88"/>
      <c r="P643" s="88"/>
    </row>
    <row r="644" spans="1:16" ht="12.75" hidden="1" customHeight="1">
      <c r="A644" s="187" t="s">
        <v>478</v>
      </c>
      <c r="B644" s="188"/>
      <c r="C644" s="188"/>
      <c r="D644" s="188"/>
      <c r="E644" s="189">
        <f t="shared" si="100"/>
        <v>0</v>
      </c>
      <c r="F644" s="190" t="e">
        <f t="shared" si="99"/>
        <v>#DIV/0!</v>
      </c>
      <c r="H644" s="88"/>
      <c r="I644" s="88">
        <v>2822</v>
      </c>
      <c r="J644" s="88"/>
      <c r="K644" s="89"/>
      <c r="L644" s="89">
        <v>1105</v>
      </c>
      <c r="M644" s="88"/>
      <c r="O644" s="88"/>
      <c r="P644" s="88"/>
    </row>
    <row r="645" spans="1:16" ht="12.75" hidden="1" customHeight="1">
      <c r="A645" s="187" t="s">
        <v>479</v>
      </c>
      <c r="B645" s="188"/>
      <c r="C645" s="188"/>
      <c r="D645" s="188"/>
      <c r="E645" s="189">
        <f t="shared" si="100"/>
        <v>0</v>
      </c>
      <c r="F645" s="190" t="e">
        <f t="shared" si="99"/>
        <v>#DIV/0!</v>
      </c>
      <c r="H645" s="88"/>
      <c r="I645" s="88"/>
      <c r="J645" s="88"/>
      <c r="K645" s="89">
        <v>105</v>
      </c>
      <c r="L645" s="89"/>
      <c r="M645" s="88"/>
      <c r="O645" s="88"/>
      <c r="P645" s="88"/>
    </row>
    <row r="646" spans="1:16">
      <c r="A646" s="187" t="s">
        <v>480</v>
      </c>
      <c r="B646" s="188">
        <v>2856.24</v>
      </c>
      <c r="C646" s="188">
        <v>2856.24</v>
      </c>
      <c r="D646" s="188">
        <v>5090.3599999999997</v>
      </c>
      <c r="E646" s="189">
        <f t="shared" si="100"/>
        <v>2234.12</v>
      </c>
      <c r="F646" s="190">
        <f t="shared" si="99"/>
        <v>78.218917177828189</v>
      </c>
      <c r="H646" s="88">
        <f t="shared" ref="H646:M646" si="114">SUM(H647:H657)</f>
        <v>0</v>
      </c>
      <c r="I646" s="88">
        <f t="shared" si="114"/>
        <v>832</v>
      </c>
      <c r="J646" s="88">
        <f t="shared" si="114"/>
        <v>0</v>
      </c>
      <c r="K646" s="89">
        <f t="shared" si="114"/>
        <v>0</v>
      </c>
      <c r="L646" s="89">
        <f t="shared" si="114"/>
        <v>0</v>
      </c>
      <c r="M646" s="88">
        <f t="shared" si="114"/>
        <v>0</v>
      </c>
      <c r="O646" s="88">
        <f>SUM(O647:O657)</f>
        <v>0</v>
      </c>
      <c r="P646" s="88">
        <f>SUM(P647:P657)</f>
        <v>0</v>
      </c>
    </row>
    <row r="647" spans="1:16" ht="12.75" hidden="1" customHeight="1">
      <c r="A647" s="187" t="s">
        <v>481</v>
      </c>
      <c r="B647" s="188"/>
      <c r="C647" s="188"/>
      <c r="D647" s="188"/>
      <c r="E647" s="189">
        <f t="shared" si="100"/>
        <v>0</v>
      </c>
      <c r="F647" s="190" t="e">
        <f t="shared" ref="F647:F713" si="115">E647/C647*100</f>
        <v>#DIV/0!</v>
      </c>
      <c r="H647" s="88"/>
      <c r="I647" s="88">
        <v>221</v>
      </c>
      <c r="J647" s="88"/>
      <c r="K647" s="89"/>
      <c r="L647" s="89"/>
      <c r="M647" s="88"/>
      <c r="O647" s="88"/>
      <c r="P647" s="88"/>
    </row>
    <row r="648" spans="1:16" ht="12.75" hidden="1" customHeight="1">
      <c r="A648" s="187" t="s">
        <v>482</v>
      </c>
      <c r="B648" s="188"/>
      <c r="C648" s="188"/>
      <c r="D648" s="188"/>
      <c r="E648" s="189">
        <f t="shared" si="100"/>
        <v>0</v>
      </c>
      <c r="F648" s="190" t="e">
        <f t="shared" si="115"/>
        <v>#DIV/0!</v>
      </c>
      <c r="H648" s="88"/>
      <c r="I648" s="88">
        <v>180</v>
      </c>
      <c r="J648" s="88"/>
      <c r="K648" s="89"/>
      <c r="L648" s="89"/>
      <c r="M648" s="88"/>
      <c r="O648" s="88"/>
      <c r="P648" s="88"/>
    </row>
    <row r="649" spans="1:16" ht="12.75" hidden="1" customHeight="1">
      <c r="A649" s="187" t="s">
        <v>483</v>
      </c>
      <c r="B649" s="188"/>
      <c r="C649" s="188"/>
      <c r="D649" s="188"/>
      <c r="E649" s="189">
        <f t="shared" ref="E649:E716" si="116">D649-C649</f>
        <v>0</v>
      </c>
      <c r="F649" s="190" t="e">
        <f t="shared" si="115"/>
        <v>#DIV/0!</v>
      </c>
      <c r="H649" s="88"/>
      <c r="I649" s="88">
        <v>216</v>
      </c>
      <c r="J649" s="88"/>
      <c r="K649" s="89"/>
      <c r="L649" s="89"/>
      <c r="M649" s="88"/>
      <c r="O649" s="88"/>
      <c r="P649" s="88"/>
    </row>
    <row r="650" spans="1:16" ht="12.75" hidden="1" customHeight="1">
      <c r="A650" s="187" t="s">
        <v>484</v>
      </c>
      <c r="B650" s="188"/>
      <c r="C650" s="188"/>
      <c r="D650" s="188"/>
      <c r="E650" s="189">
        <f t="shared" si="116"/>
        <v>0</v>
      </c>
      <c r="F650" s="190" t="e">
        <f t="shared" si="115"/>
        <v>#DIV/0!</v>
      </c>
      <c r="H650" s="88"/>
      <c r="I650" s="88"/>
      <c r="J650" s="88"/>
      <c r="K650" s="89"/>
      <c r="L650" s="89"/>
      <c r="M650" s="88"/>
      <c r="O650" s="88"/>
      <c r="P650" s="88"/>
    </row>
    <row r="651" spans="1:16" ht="12.75" hidden="1" customHeight="1">
      <c r="A651" s="187" t="s">
        <v>485</v>
      </c>
      <c r="B651" s="188"/>
      <c r="C651" s="188"/>
      <c r="D651" s="188"/>
      <c r="E651" s="189">
        <f t="shared" si="116"/>
        <v>0</v>
      </c>
      <c r="F651" s="190" t="e">
        <f t="shared" si="115"/>
        <v>#DIV/0!</v>
      </c>
      <c r="H651" s="88"/>
      <c r="I651" s="88"/>
      <c r="J651" s="88"/>
      <c r="K651" s="89"/>
      <c r="L651" s="89"/>
      <c r="M651" s="88"/>
      <c r="O651" s="88"/>
      <c r="P651" s="88"/>
    </row>
    <row r="652" spans="1:16" ht="12.75" hidden="1" customHeight="1">
      <c r="A652" s="187" t="s">
        <v>486</v>
      </c>
      <c r="B652" s="188"/>
      <c r="C652" s="188"/>
      <c r="D652" s="188"/>
      <c r="E652" s="189">
        <f t="shared" si="116"/>
        <v>0</v>
      </c>
      <c r="F652" s="190" t="e">
        <f t="shared" si="115"/>
        <v>#DIV/0!</v>
      </c>
      <c r="H652" s="88"/>
      <c r="I652" s="88"/>
      <c r="J652" s="88"/>
      <c r="K652" s="89"/>
      <c r="L652" s="89"/>
      <c r="M652" s="88"/>
      <c r="O652" s="88"/>
      <c r="P652" s="88"/>
    </row>
    <row r="653" spans="1:16" ht="12.75" hidden="1" customHeight="1">
      <c r="A653" s="187" t="s">
        <v>487</v>
      </c>
      <c r="B653" s="188"/>
      <c r="C653" s="188"/>
      <c r="D653" s="188"/>
      <c r="E653" s="189">
        <f t="shared" si="116"/>
        <v>0</v>
      </c>
      <c r="F653" s="190" t="e">
        <f t="shared" si="115"/>
        <v>#DIV/0!</v>
      </c>
      <c r="H653" s="88"/>
      <c r="I653" s="88"/>
      <c r="J653" s="88"/>
      <c r="K653" s="89"/>
      <c r="L653" s="89"/>
      <c r="M653" s="88"/>
      <c r="O653" s="88"/>
      <c r="P653" s="88"/>
    </row>
    <row r="654" spans="1:16" ht="12.75" hidden="1" customHeight="1">
      <c r="A654" s="187" t="s">
        <v>488</v>
      </c>
      <c r="B654" s="188"/>
      <c r="C654" s="188"/>
      <c r="D654" s="188"/>
      <c r="E654" s="189">
        <f t="shared" si="116"/>
        <v>0</v>
      </c>
      <c r="F654" s="190" t="e">
        <f t="shared" si="115"/>
        <v>#DIV/0!</v>
      </c>
      <c r="H654" s="88"/>
      <c r="I654" s="88">
        <v>215</v>
      </c>
      <c r="J654" s="88"/>
      <c r="K654" s="89"/>
      <c r="L654" s="89"/>
      <c r="M654" s="88"/>
      <c r="O654" s="88"/>
      <c r="P654" s="88"/>
    </row>
    <row r="655" spans="1:16" ht="12.75" hidden="1" customHeight="1">
      <c r="A655" s="187" t="s">
        <v>489</v>
      </c>
      <c r="B655" s="188"/>
      <c r="C655" s="188"/>
      <c r="D655" s="188"/>
      <c r="E655" s="189">
        <f t="shared" si="116"/>
        <v>0</v>
      </c>
      <c r="F655" s="190" t="e">
        <f t="shared" si="115"/>
        <v>#DIV/0!</v>
      </c>
      <c r="H655" s="88"/>
      <c r="I655" s="88"/>
      <c r="J655" s="88"/>
      <c r="K655" s="89"/>
      <c r="L655" s="89"/>
      <c r="M655" s="88"/>
      <c r="O655" s="88"/>
      <c r="P655" s="88"/>
    </row>
    <row r="656" spans="1:16" ht="12.75" hidden="1" customHeight="1">
      <c r="A656" s="187" t="s">
        <v>490</v>
      </c>
      <c r="B656" s="188"/>
      <c r="C656" s="188"/>
      <c r="D656" s="188"/>
      <c r="E656" s="189">
        <f t="shared" si="116"/>
        <v>0</v>
      </c>
      <c r="F656" s="190" t="e">
        <f t="shared" si="115"/>
        <v>#DIV/0!</v>
      </c>
      <c r="H656" s="88"/>
      <c r="I656" s="88"/>
      <c r="J656" s="88"/>
      <c r="K656" s="89"/>
      <c r="L656" s="89"/>
      <c r="M656" s="88"/>
      <c r="O656" s="88"/>
      <c r="P656" s="88"/>
    </row>
    <row r="657" spans="1:16" ht="12.75" hidden="1" customHeight="1">
      <c r="A657" s="187" t="s">
        <v>491</v>
      </c>
      <c r="B657" s="188"/>
      <c r="C657" s="188"/>
      <c r="D657" s="188"/>
      <c r="E657" s="189">
        <f t="shared" si="116"/>
        <v>0</v>
      </c>
      <c r="F657" s="190" t="e">
        <f t="shared" si="115"/>
        <v>#DIV/0!</v>
      </c>
      <c r="H657" s="88"/>
      <c r="I657" s="88"/>
      <c r="J657" s="88"/>
      <c r="K657" s="89"/>
      <c r="L657" s="89"/>
      <c r="M657" s="88"/>
      <c r="O657" s="88"/>
      <c r="P657" s="88"/>
    </row>
    <row r="658" spans="1:16">
      <c r="A658" s="187" t="s">
        <v>492</v>
      </c>
      <c r="B658" s="188"/>
      <c r="C658" s="188"/>
      <c r="D658" s="188"/>
      <c r="E658" s="189"/>
      <c r="F658" s="190"/>
      <c r="H658" s="88">
        <f t="shared" ref="H658:M658" si="117">SUM(H659:H667)</f>
        <v>2375</v>
      </c>
      <c r="I658" s="88">
        <f t="shared" si="117"/>
        <v>5492</v>
      </c>
      <c r="J658" s="88">
        <f t="shared" si="117"/>
        <v>0</v>
      </c>
      <c r="K658" s="89">
        <f t="shared" si="117"/>
        <v>0</v>
      </c>
      <c r="L658" s="89">
        <f t="shared" si="117"/>
        <v>33</v>
      </c>
      <c r="M658" s="88">
        <f t="shared" si="117"/>
        <v>0</v>
      </c>
      <c r="O658" s="88">
        <f>SUM(O659:O667)</f>
        <v>0</v>
      </c>
      <c r="P658" s="88">
        <f>SUM(P659:P667)</f>
        <v>0</v>
      </c>
    </row>
    <row r="659" spans="1:16" ht="12.75" hidden="1" customHeight="1">
      <c r="A659" s="187" t="s">
        <v>493</v>
      </c>
      <c r="B659" s="188"/>
      <c r="C659" s="188"/>
      <c r="D659" s="188"/>
      <c r="E659" s="189">
        <f t="shared" si="116"/>
        <v>0</v>
      </c>
      <c r="F659" s="190" t="e">
        <f t="shared" si="115"/>
        <v>#DIV/0!</v>
      </c>
      <c r="H659" s="88"/>
      <c r="I659" s="88"/>
      <c r="J659" s="88"/>
      <c r="K659" s="89"/>
      <c r="L659" s="89"/>
      <c r="M659" s="88"/>
      <c r="O659" s="88"/>
      <c r="P659" s="88"/>
    </row>
    <row r="660" spans="1:16" ht="12.75" hidden="1" customHeight="1">
      <c r="A660" s="187" t="s">
        <v>494</v>
      </c>
      <c r="B660" s="188"/>
      <c r="C660" s="188"/>
      <c r="D660" s="188"/>
      <c r="E660" s="189">
        <f t="shared" si="116"/>
        <v>0</v>
      </c>
      <c r="F660" s="190" t="e">
        <f t="shared" si="115"/>
        <v>#DIV/0!</v>
      </c>
      <c r="H660" s="88"/>
      <c r="I660" s="88"/>
      <c r="J660" s="88"/>
      <c r="K660" s="89"/>
      <c r="L660" s="89"/>
      <c r="M660" s="88"/>
      <c r="O660" s="88"/>
      <c r="P660" s="88"/>
    </row>
    <row r="661" spans="1:16" ht="12.75" hidden="1" customHeight="1">
      <c r="A661" s="187" t="s">
        <v>495</v>
      </c>
      <c r="B661" s="188"/>
      <c r="C661" s="188"/>
      <c r="D661" s="188"/>
      <c r="E661" s="189">
        <f t="shared" si="116"/>
        <v>0</v>
      </c>
      <c r="F661" s="190" t="e">
        <f t="shared" si="115"/>
        <v>#DIV/0!</v>
      </c>
      <c r="H661" s="88"/>
      <c r="I661" s="88">
        <v>823</v>
      </c>
      <c r="J661" s="88"/>
      <c r="K661" s="89"/>
      <c r="L661" s="89"/>
      <c r="M661" s="88"/>
      <c r="O661" s="88"/>
      <c r="P661" s="88"/>
    </row>
    <row r="662" spans="1:16" ht="12.75" hidden="1" customHeight="1">
      <c r="A662" s="187" t="s">
        <v>496</v>
      </c>
      <c r="B662" s="188"/>
      <c r="C662" s="188"/>
      <c r="D662" s="188"/>
      <c r="E662" s="189">
        <f t="shared" si="116"/>
        <v>0</v>
      </c>
      <c r="F662" s="190" t="e">
        <f t="shared" si="115"/>
        <v>#DIV/0!</v>
      </c>
      <c r="H662" s="88"/>
      <c r="I662" s="88">
        <v>4</v>
      </c>
      <c r="J662" s="88"/>
      <c r="K662" s="89"/>
      <c r="L662" s="89"/>
      <c r="M662" s="88"/>
      <c r="O662" s="88"/>
      <c r="P662" s="88"/>
    </row>
    <row r="663" spans="1:16" ht="12.75" hidden="1" customHeight="1">
      <c r="A663" s="187" t="s">
        <v>497</v>
      </c>
      <c r="B663" s="188"/>
      <c r="C663" s="188"/>
      <c r="D663" s="188"/>
      <c r="E663" s="189">
        <f t="shared" si="116"/>
        <v>0</v>
      </c>
      <c r="F663" s="190" t="e">
        <f t="shared" si="115"/>
        <v>#DIV/0!</v>
      </c>
      <c r="H663" s="88">
        <v>2375</v>
      </c>
      <c r="I663" s="88">
        <v>3531</v>
      </c>
      <c r="J663" s="88"/>
      <c r="K663" s="89"/>
      <c r="L663" s="89">
        <v>33</v>
      </c>
      <c r="M663" s="88"/>
      <c r="O663" s="88"/>
      <c r="P663" s="88"/>
    </row>
    <row r="664" spans="1:16" ht="12.75" hidden="1" customHeight="1">
      <c r="A664" s="187" t="s">
        <v>498</v>
      </c>
      <c r="B664" s="188"/>
      <c r="C664" s="188"/>
      <c r="D664" s="188"/>
      <c r="E664" s="189">
        <f t="shared" si="116"/>
        <v>0</v>
      </c>
      <c r="F664" s="190" t="e">
        <f t="shared" si="115"/>
        <v>#DIV/0!</v>
      </c>
      <c r="H664" s="88"/>
      <c r="I664" s="88">
        <v>234</v>
      </c>
      <c r="J664" s="88"/>
      <c r="K664" s="89"/>
      <c r="L664" s="89"/>
      <c r="M664" s="88"/>
      <c r="O664" s="88"/>
      <c r="P664" s="88"/>
    </row>
    <row r="665" spans="1:16" ht="12.75" hidden="1" customHeight="1">
      <c r="A665" s="187" t="s">
        <v>499</v>
      </c>
      <c r="B665" s="188"/>
      <c r="C665" s="188"/>
      <c r="D665" s="188"/>
      <c r="E665" s="189">
        <f t="shared" si="116"/>
        <v>0</v>
      </c>
      <c r="F665" s="190" t="e">
        <f t="shared" si="115"/>
        <v>#DIV/0!</v>
      </c>
      <c r="H665" s="88"/>
      <c r="I665" s="88">
        <v>600</v>
      </c>
      <c r="J665" s="88"/>
      <c r="K665" s="89"/>
      <c r="L665" s="89"/>
      <c r="M665" s="88"/>
      <c r="O665" s="88"/>
      <c r="P665" s="88"/>
    </row>
    <row r="666" spans="1:16" ht="12.75" hidden="1" customHeight="1">
      <c r="A666" s="187" t="s">
        <v>500</v>
      </c>
      <c r="B666" s="188"/>
      <c r="C666" s="188"/>
      <c r="D666" s="188"/>
      <c r="E666" s="189">
        <f t="shared" si="116"/>
        <v>0</v>
      </c>
      <c r="F666" s="190" t="e">
        <f t="shared" si="115"/>
        <v>#DIV/0!</v>
      </c>
      <c r="H666" s="88"/>
      <c r="I666" s="88"/>
      <c r="J666" s="88"/>
      <c r="K666" s="89"/>
      <c r="L666" s="89"/>
      <c r="M666" s="88"/>
      <c r="O666" s="88"/>
      <c r="P666" s="88"/>
    </row>
    <row r="667" spans="1:16" ht="12.75" hidden="1" customHeight="1">
      <c r="A667" s="187" t="s">
        <v>501</v>
      </c>
      <c r="B667" s="188"/>
      <c r="C667" s="188"/>
      <c r="D667" s="188"/>
      <c r="E667" s="189">
        <f t="shared" si="116"/>
        <v>0</v>
      </c>
      <c r="F667" s="190" t="e">
        <f t="shared" si="115"/>
        <v>#DIV/0!</v>
      </c>
      <c r="H667" s="88"/>
      <c r="I667" s="88">
        <v>300</v>
      </c>
      <c r="J667" s="88"/>
      <c r="K667" s="89"/>
      <c r="L667" s="89"/>
      <c r="M667" s="88"/>
      <c r="O667" s="88"/>
      <c r="P667" s="88"/>
    </row>
    <row r="668" spans="1:16" ht="12.75" hidden="1" customHeight="1">
      <c r="A668" s="187" t="s">
        <v>502</v>
      </c>
      <c r="B668" s="188"/>
      <c r="C668" s="188"/>
      <c r="D668" s="188"/>
      <c r="E668" s="189">
        <f t="shared" si="116"/>
        <v>0</v>
      </c>
      <c r="F668" s="190" t="e">
        <f t="shared" si="115"/>
        <v>#DIV/0!</v>
      </c>
      <c r="H668" s="88">
        <f t="shared" ref="H668:M668" si="118">SUM(H669:H670)</f>
        <v>0</v>
      </c>
      <c r="I668" s="88">
        <f t="shared" si="118"/>
        <v>0</v>
      </c>
      <c r="J668" s="88">
        <f t="shared" si="118"/>
        <v>0</v>
      </c>
      <c r="K668" s="89">
        <f t="shared" si="118"/>
        <v>0</v>
      </c>
      <c r="L668" s="89">
        <f t="shared" si="118"/>
        <v>0</v>
      </c>
      <c r="M668" s="88">
        <f t="shared" si="118"/>
        <v>0</v>
      </c>
      <c r="O668" s="88">
        <f>SUM(O669:O670)</f>
        <v>0</v>
      </c>
      <c r="P668" s="88">
        <f>SUM(P669:P670)</f>
        <v>0</v>
      </c>
    </row>
    <row r="669" spans="1:16" ht="12.75" hidden="1" customHeight="1">
      <c r="A669" s="187" t="s">
        <v>503</v>
      </c>
      <c r="B669" s="188"/>
      <c r="C669" s="188"/>
      <c r="D669" s="188"/>
      <c r="E669" s="189">
        <f t="shared" si="116"/>
        <v>0</v>
      </c>
      <c r="F669" s="190" t="e">
        <f t="shared" si="115"/>
        <v>#DIV/0!</v>
      </c>
      <c r="H669" s="90"/>
      <c r="I669" s="90"/>
      <c r="J669" s="90"/>
      <c r="K669" s="91"/>
      <c r="L669" s="91"/>
      <c r="M669" s="90"/>
      <c r="O669" s="90"/>
      <c r="P669" s="90"/>
    </row>
    <row r="670" spans="1:16" ht="12.75" hidden="1" customHeight="1">
      <c r="A670" s="187" t="s">
        <v>504</v>
      </c>
      <c r="B670" s="188"/>
      <c r="C670" s="188"/>
      <c r="D670" s="188"/>
      <c r="E670" s="189">
        <f t="shared" si="116"/>
        <v>0</v>
      </c>
      <c r="F670" s="190" t="e">
        <f t="shared" si="115"/>
        <v>#DIV/0!</v>
      </c>
      <c r="H670" s="90"/>
      <c r="I670" s="90"/>
      <c r="J670" s="90"/>
      <c r="K670" s="91"/>
      <c r="L670" s="91"/>
      <c r="M670" s="90"/>
      <c r="O670" s="90"/>
      <c r="P670" s="90"/>
    </row>
    <row r="671" spans="1:16">
      <c r="A671" s="187" t="s">
        <v>505</v>
      </c>
      <c r="B671" s="188">
        <v>1855</v>
      </c>
      <c r="C671" s="188">
        <v>1855</v>
      </c>
      <c r="D671" s="188">
        <v>2465.81</v>
      </c>
      <c r="E671" s="189">
        <f t="shared" si="116"/>
        <v>610.80999999999995</v>
      </c>
      <c r="F671" s="190">
        <f t="shared" si="115"/>
        <v>32.927762803234501</v>
      </c>
      <c r="H671" s="88">
        <f t="shared" ref="H671:M671" si="119">SUM(H672:H674)</f>
        <v>0</v>
      </c>
      <c r="I671" s="88">
        <f t="shared" si="119"/>
        <v>4185</v>
      </c>
      <c r="J671" s="88">
        <f t="shared" si="119"/>
        <v>447</v>
      </c>
      <c r="K671" s="89">
        <f t="shared" si="119"/>
        <v>0</v>
      </c>
      <c r="L671" s="89">
        <f t="shared" si="119"/>
        <v>-859</v>
      </c>
      <c r="M671" s="88">
        <f t="shared" si="119"/>
        <v>0</v>
      </c>
      <c r="O671" s="88">
        <f>SUM(O672:O674)</f>
        <v>0</v>
      </c>
      <c r="P671" s="88">
        <f>SUM(P672:P674)</f>
        <v>0</v>
      </c>
    </row>
    <row r="672" spans="1:16" ht="12.75" hidden="1" customHeight="1">
      <c r="A672" s="187" t="s">
        <v>506</v>
      </c>
      <c r="B672" s="188"/>
      <c r="C672" s="188"/>
      <c r="D672" s="188"/>
      <c r="E672" s="189">
        <f t="shared" si="116"/>
        <v>0</v>
      </c>
      <c r="F672" s="190" t="e">
        <f t="shared" si="115"/>
        <v>#DIV/0!</v>
      </c>
      <c r="H672" s="88"/>
      <c r="I672" s="88">
        <v>136</v>
      </c>
      <c r="J672" s="88">
        <v>447</v>
      </c>
      <c r="K672" s="89"/>
      <c r="L672" s="89"/>
      <c r="M672" s="88"/>
      <c r="O672" s="88"/>
      <c r="P672" s="88"/>
    </row>
    <row r="673" spans="1:16" ht="12.75" hidden="1" customHeight="1">
      <c r="A673" s="187" t="s">
        <v>507</v>
      </c>
      <c r="B673" s="188"/>
      <c r="C673" s="188"/>
      <c r="D673" s="188"/>
      <c r="E673" s="189">
        <f t="shared" si="116"/>
        <v>0</v>
      </c>
      <c r="F673" s="190" t="e">
        <f t="shared" si="115"/>
        <v>#DIV/0!</v>
      </c>
      <c r="H673" s="88"/>
      <c r="I673" s="88">
        <v>3020</v>
      </c>
      <c r="J673" s="88"/>
      <c r="K673" s="89"/>
      <c r="L673" s="89">
        <v>-859</v>
      </c>
      <c r="M673" s="88"/>
      <c r="O673" s="88"/>
      <c r="P673" s="88"/>
    </row>
    <row r="674" spans="1:16" ht="12.75" hidden="1" customHeight="1">
      <c r="A674" s="187" t="s">
        <v>508</v>
      </c>
      <c r="B674" s="188"/>
      <c r="C674" s="188"/>
      <c r="D674" s="188"/>
      <c r="E674" s="189">
        <f t="shared" si="116"/>
        <v>0</v>
      </c>
      <c r="F674" s="190" t="e">
        <f t="shared" si="115"/>
        <v>#DIV/0!</v>
      </c>
      <c r="H674" s="88"/>
      <c r="I674" s="88">
        <v>1029</v>
      </c>
      <c r="J674" s="88"/>
      <c r="K674" s="89"/>
      <c r="L674" s="89"/>
      <c r="M674" s="88"/>
      <c r="O674" s="88"/>
      <c r="P674" s="88"/>
    </row>
    <row r="675" spans="1:16">
      <c r="A675" s="187" t="s">
        <v>509</v>
      </c>
      <c r="B675" s="188">
        <v>909</v>
      </c>
      <c r="C675" s="188">
        <v>909</v>
      </c>
      <c r="D675" s="188">
        <v>1038.23</v>
      </c>
      <c r="E675" s="189">
        <f t="shared" si="116"/>
        <v>129.23000000000002</v>
      </c>
      <c r="F675" s="190">
        <f t="shared" si="115"/>
        <v>14.216721672167218</v>
      </c>
      <c r="H675" s="93">
        <f t="shared" ref="H675:M675" si="120">SUM(H676:H684)</f>
        <v>0</v>
      </c>
      <c r="I675" s="93">
        <f t="shared" si="120"/>
        <v>0</v>
      </c>
      <c r="J675" s="93">
        <f t="shared" si="120"/>
        <v>0</v>
      </c>
      <c r="K675" s="94">
        <f t="shared" si="120"/>
        <v>0</v>
      </c>
      <c r="L675" s="94">
        <f t="shared" si="120"/>
        <v>30</v>
      </c>
      <c r="M675" s="93">
        <f t="shared" si="120"/>
        <v>0</v>
      </c>
      <c r="O675" s="93">
        <f>SUM(O676:O684)</f>
        <v>0</v>
      </c>
      <c r="P675" s="93">
        <f>SUM(P676:P684)</f>
        <v>0</v>
      </c>
    </row>
    <row r="676" spans="1:16" ht="12.75" hidden="1" customHeight="1">
      <c r="A676" s="187" t="s">
        <v>13</v>
      </c>
      <c r="B676" s="188"/>
      <c r="C676" s="188"/>
      <c r="D676" s="188"/>
      <c r="E676" s="189">
        <f t="shared" si="116"/>
        <v>0</v>
      </c>
      <c r="F676" s="190" t="e">
        <f t="shared" si="115"/>
        <v>#DIV/0!</v>
      </c>
      <c r="H676" s="93"/>
      <c r="I676" s="93"/>
      <c r="J676" s="93"/>
      <c r="K676" s="94"/>
      <c r="L676" s="94">
        <v>30</v>
      </c>
      <c r="M676" s="93"/>
      <c r="O676" s="93"/>
      <c r="P676" s="93"/>
    </row>
    <row r="677" spans="1:16" ht="12.75" hidden="1" customHeight="1">
      <c r="A677" s="187" t="s">
        <v>14</v>
      </c>
      <c r="B677" s="188"/>
      <c r="C677" s="188"/>
      <c r="D677" s="188"/>
      <c r="E677" s="189">
        <f t="shared" si="116"/>
        <v>0</v>
      </c>
      <c r="F677" s="190" t="e">
        <f t="shared" si="115"/>
        <v>#DIV/0!</v>
      </c>
      <c r="H677" s="88"/>
      <c r="I677" s="88"/>
      <c r="J677" s="88"/>
      <c r="K677" s="89"/>
      <c r="L677" s="89"/>
      <c r="M677" s="88"/>
      <c r="O677" s="88"/>
      <c r="P677" s="88"/>
    </row>
    <row r="678" spans="1:16" ht="12.75" hidden="1" customHeight="1">
      <c r="A678" s="187" t="s">
        <v>15</v>
      </c>
      <c r="B678" s="188"/>
      <c r="C678" s="188"/>
      <c r="D678" s="188"/>
      <c r="E678" s="189">
        <f t="shared" si="116"/>
        <v>0</v>
      </c>
      <c r="F678" s="190" t="e">
        <f t="shared" si="115"/>
        <v>#DIV/0!</v>
      </c>
      <c r="H678" s="88"/>
      <c r="I678" s="88"/>
      <c r="J678" s="88"/>
      <c r="K678" s="89"/>
      <c r="L678" s="89"/>
      <c r="M678" s="88"/>
      <c r="O678" s="88"/>
      <c r="P678" s="88"/>
    </row>
    <row r="679" spans="1:16" ht="12.75" hidden="1" customHeight="1">
      <c r="A679" s="187" t="s">
        <v>510</v>
      </c>
      <c r="B679" s="188"/>
      <c r="C679" s="188"/>
      <c r="D679" s="188"/>
      <c r="E679" s="189">
        <f t="shared" si="116"/>
        <v>0</v>
      </c>
      <c r="F679" s="190" t="e">
        <f t="shared" si="115"/>
        <v>#DIV/0!</v>
      </c>
      <c r="H679" s="88"/>
      <c r="I679" s="88"/>
      <c r="J679" s="88"/>
      <c r="K679" s="89"/>
      <c r="L679" s="89"/>
      <c r="M679" s="88"/>
      <c r="O679" s="88"/>
      <c r="P679" s="88"/>
    </row>
    <row r="680" spans="1:16" ht="12.75" hidden="1" customHeight="1">
      <c r="A680" s="187" t="s">
        <v>511</v>
      </c>
      <c r="B680" s="188"/>
      <c r="C680" s="188"/>
      <c r="D680" s="188"/>
      <c r="E680" s="189">
        <f t="shared" si="116"/>
        <v>0</v>
      </c>
      <c r="F680" s="190" t="e">
        <f t="shared" si="115"/>
        <v>#DIV/0!</v>
      </c>
      <c r="H680" s="88"/>
      <c r="I680" s="88"/>
      <c r="J680" s="88"/>
      <c r="K680" s="89"/>
      <c r="L680" s="89"/>
      <c r="M680" s="88"/>
      <c r="O680" s="88"/>
      <c r="P680" s="88"/>
    </row>
    <row r="681" spans="1:16" ht="12.75" hidden="1" customHeight="1">
      <c r="A681" s="187" t="s">
        <v>512</v>
      </c>
      <c r="B681" s="188"/>
      <c r="C681" s="188"/>
      <c r="D681" s="188"/>
      <c r="E681" s="189">
        <f t="shared" si="116"/>
        <v>0</v>
      </c>
      <c r="F681" s="190" t="e">
        <f t="shared" si="115"/>
        <v>#DIV/0!</v>
      </c>
      <c r="H681" s="88"/>
      <c r="I681" s="88"/>
      <c r="J681" s="88"/>
      <c r="K681" s="89"/>
      <c r="L681" s="89"/>
      <c r="M681" s="88"/>
      <c r="O681" s="88"/>
      <c r="P681" s="88"/>
    </row>
    <row r="682" spans="1:16" ht="12.75" hidden="1" customHeight="1">
      <c r="A682" s="187" t="s">
        <v>513</v>
      </c>
      <c r="B682" s="188"/>
      <c r="C682" s="188"/>
      <c r="D682" s="188"/>
      <c r="E682" s="189">
        <f t="shared" si="116"/>
        <v>0</v>
      </c>
      <c r="F682" s="190" t="e">
        <f t="shared" si="115"/>
        <v>#DIV/0!</v>
      </c>
      <c r="H682" s="88"/>
      <c r="I682" s="88"/>
      <c r="J682" s="88"/>
      <c r="K682" s="89"/>
      <c r="L682" s="89"/>
      <c r="M682" s="88"/>
      <c r="O682" s="88"/>
      <c r="P682" s="88"/>
    </row>
    <row r="683" spans="1:16" ht="12.75" hidden="1" customHeight="1">
      <c r="A683" s="187" t="s">
        <v>22</v>
      </c>
      <c r="B683" s="188"/>
      <c r="C683" s="188"/>
      <c r="D683" s="188"/>
      <c r="E683" s="189">
        <f t="shared" si="116"/>
        <v>0</v>
      </c>
      <c r="F683" s="190" t="e">
        <f t="shared" si="115"/>
        <v>#DIV/0!</v>
      </c>
      <c r="H683" s="88"/>
      <c r="I683" s="88"/>
      <c r="J683" s="88"/>
      <c r="K683" s="89"/>
      <c r="L683" s="89"/>
      <c r="M683" s="88"/>
      <c r="O683" s="88"/>
      <c r="P683" s="88"/>
    </row>
    <row r="684" spans="1:16" ht="12.75" hidden="1" customHeight="1">
      <c r="A684" s="187" t="s">
        <v>514</v>
      </c>
      <c r="B684" s="188"/>
      <c r="C684" s="188"/>
      <c r="D684" s="188"/>
      <c r="E684" s="189">
        <f t="shared" si="116"/>
        <v>0</v>
      </c>
      <c r="F684" s="190" t="e">
        <f t="shared" si="115"/>
        <v>#DIV/0!</v>
      </c>
      <c r="H684" s="88"/>
      <c r="I684" s="88"/>
      <c r="J684" s="88"/>
      <c r="K684" s="89"/>
      <c r="L684" s="89"/>
      <c r="M684" s="88"/>
      <c r="O684" s="88"/>
      <c r="P684" s="88"/>
    </row>
    <row r="685" spans="1:16" ht="12.75" customHeight="1">
      <c r="A685" s="187" t="s">
        <v>515</v>
      </c>
      <c r="B685" s="188">
        <v>3350</v>
      </c>
      <c r="C685" s="188">
        <v>3350</v>
      </c>
      <c r="D685" s="188">
        <v>3483</v>
      </c>
      <c r="E685" s="189">
        <f t="shared" si="116"/>
        <v>133</v>
      </c>
      <c r="F685" s="190">
        <f t="shared" si="115"/>
        <v>3.9701492537313436</v>
      </c>
      <c r="H685" s="88"/>
      <c r="I685" s="88"/>
      <c r="J685" s="88"/>
      <c r="K685" s="89"/>
      <c r="L685" s="89"/>
      <c r="M685" s="88"/>
      <c r="O685" s="88"/>
      <c r="P685" s="88"/>
    </row>
    <row r="686" spans="1:16" ht="12.75" customHeight="1">
      <c r="A686" s="187" t="s">
        <v>516</v>
      </c>
      <c r="B686" s="188">
        <v>4936.32</v>
      </c>
      <c r="C686" s="188">
        <v>4936.32</v>
      </c>
      <c r="D686" s="188">
        <v>5241.2</v>
      </c>
      <c r="E686" s="189">
        <f t="shared" si="116"/>
        <v>304.88000000000011</v>
      </c>
      <c r="F686" s="190">
        <f t="shared" si="115"/>
        <v>6.1762608582911991</v>
      </c>
      <c r="H686" s="88"/>
      <c r="I686" s="88"/>
      <c r="J686" s="88"/>
      <c r="K686" s="89"/>
      <c r="L686" s="89"/>
      <c r="M686" s="88"/>
      <c r="O686" s="88"/>
      <c r="P686" s="88"/>
    </row>
    <row r="687" spans="1:16" ht="12.75" customHeight="1">
      <c r="A687" s="187" t="s">
        <v>517</v>
      </c>
      <c r="B687" s="188">
        <v>1000</v>
      </c>
      <c r="C687" s="188">
        <v>1000</v>
      </c>
      <c r="D687" s="188">
        <v>1100</v>
      </c>
      <c r="E687" s="189">
        <f t="shared" si="116"/>
        <v>100</v>
      </c>
      <c r="F687" s="190">
        <f t="shared" si="115"/>
        <v>10</v>
      </c>
      <c r="H687" s="88"/>
      <c r="I687" s="88"/>
      <c r="J687" s="88"/>
      <c r="K687" s="89"/>
      <c r="L687" s="89"/>
      <c r="M687" s="88"/>
      <c r="O687" s="88"/>
      <c r="P687" s="88"/>
    </row>
    <row r="688" spans="1:16" ht="12.75" customHeight="1">
      <c r="A688" s="187" t="s">
        <v>518</v>
      </c>
      <c r="B688" s="188">
        <v>7.13</v>
      </c>
      <c r="C688" s="188">
        <v>7.13</v>
      </c>
      <c r="D688" s="188">
        <v>13.18</v>
      </c>
      <c r="E688" s="189">
        <f t="shared" si="116"/>
        <v>6.05</v>
      </c>
      <c r="F688" s="190">
        <f t="shared" si="115"/>
        <v>84.852734922861146</v>
      </c>
      <c r="H688" s="88"/>
      <c r="I688" s="88"/>
      <c r="J688" s="88"/>
      <c r="K688" s="89"/>
      <c r="L688" s="89"/>
      <c r="M688" s="88"/>
      <c r="O688" s="88"/>
      <c r="P688" s="88"/>
    </row>
    <row r="689" spans="1:16">
      <c r="A689" s="187" t="s">
        <v>519</v>
      </c>
      <c r="B689" s="188"/>
      <c r="C689" s="188"/>
      <c r="D689" s="188"/>
      <c r="E689" s="189"/>
      <c r="F689" s="190"/>
      <c r="H689" s="88">
        <f t="shared" ref="H689:M689" si="121">H690</f>
        <v>30</v>
      </c>
      <c r="I689" s="88">
        <f t="shared" si="121"/>
        <v>47</v>
      </c>
      <c r="J689" s="88">
        <f t="shared" si="121"/>
        <v>0</v>
      </c>
      <c r="K689" s="89">
        <f t="shared" si="121"/>
        <v>0</v>
      </c>
      <c r="L689" s="89">
        <f t="shared" si="121"/>
        <v>0</v>
      </c>
      <c r="M689" s="88">
        <f t="shared" si="121"/>
        <v>0</v>
      </c>
      <c r="O689" s="88">
        <f>O690</f>
        <v>0</v>
      </c>
      <c r="P689" s="88">
        <f>P690</f>
        <v>0</v>
      </c>
    </row>
    <row r="690" spans="1:16" ht="12.75" hidden="1" customHeight="1">
      <c r="A690" s="187" t="s">
        <v>520</v>
      </c>
      <c r="B690" s="188"/>
      <c r="C690" s="188"/>
      <c r="D690" s="188"/>
      <c r="E690" s="189">
        <f t="shared" si="116"/>
        <v>0</v>
      </c>
      <c r="F690" s="190" t="e">
        <f t="shared" si="115"/>
        <v>#DIV/0!</v>
      </c>
      <c r="H690" s="88">
        <v>30</v>
      </c>
      <c r="I690" s="88">
        <v>47</v>
      </c>
      <c r="J690" s="88"/>
      <c r="K690" s="89"/>
      <c r="L690" s="89"/>
      <c r="M690" s="88"/>
      <c r="O690" s="88"/>
      <c r="P690" s="88"/>
    </row>
    <row r="691" spans="1:16">
      <c r="A691" s="179" t="s">
        <v>521</v>
      </c>
      <c r="B691" s="182">
        <f>B692+B701+B705+B714+B721+B727+B733+B736+B739+B741+B743+B749+B751+B753+B769</f>
        <v>5222.6900000000005</v>
      </c>
      <c r="C691" s="182">
        <f>C692+C701+C705+C714+C721+C727+C733+C736+C739+C741+C743+C749+C751+C753+C769</f>
        <v>4622.6900000000005</v>
      </c>
      <c r="D691" s="182">
        <f>D692+D701+D705+D714+D721+D727+D733+D736+D739+D741+D743+D749+D751+D753+D769</f>
        <v>5536.92</v>
      </c>
      <c r="E691" s="185">
        <f t="shared" si="116"/>
        <v>914.22999999999956</v>
      </c>
      <c r="F691" s="186">
        <f t="shared" si="115"/>
        <v>19.777012951333521</v>
      </c>
      <c r="H691" s="88">
        <f t="shared" ref="H691:M691" si="122">H692+H701+H705+H714+H721+H727+H733+H736+H739+H741+H743+H749+H751+H753+H769</f>
        <v>423</v>
      </c>
      <c r="I691" s="88">
        <f t="shared" si="122"/>
        <v>349</v>
      </c>
      <c r="J691" s="88">
        <f t="shared" si="122"/>
        <v>0</v>
      </c>
      <c r="K691" s="89">
        <f t="shared" si="122"/>
        <v>321</v>
      </c>
      <c r="L691" s="89">
        <f t="shared" si="122"/>
        <v>335</v>
      </c>
      <c r="M691" s="88">
        <f t="shared" si="122"/>
        <v>0</v>
      </c>
      <c r="O691" s="88">
        <f>O692+O701+O705+O714+O721+O727+O733+O736+O739+O741+O743+O749+O751+O753+O769</f>
        <v>0</v>
      </c>
      <c r="P691" s="88">
        <f>P692+P701+P705+P714+P721+P727+P733+P736+P739+P741+P743+P749+P751+P753+P769</f>
        <v>0</v>
      </c>
    </row>
    <row r="692" spans="1:16">
      <c r="A692" s="187" t="s">
        <v>522</v>
      </c>
      <c r="B692" s="188">
        <v>2842.69</v>
      </c>
      <c r="C692" s="188">
        <v>2842.69</v>
      </c>
      <c r="D692" s="188">
        <v>3976.92</v>
      </c>
      <c r="E692" s="189">
        <f t="shared" si="116"/>
        <v>1134.23</v>
      </c>
      <c r="F692" s="190">
        <f t="shared" si="115"/>
        <v>39.899883560993281</v>
      </c>
      <c r="H692" s="88">
        <f t="shared" ref="H692:M692" si="123">SUM(H693:H700)</f>
        <v>73</v>
      </c>
      <c r="I692" s="88">
        <f t="shared" si="123"/>
        <v>279</v>
      </c>
      <c r="J692" s="88">
        <f t="shared" si="123"/>
        <v>0</v>
      </c>
      <c r="K692" s="89">
        <f t="shared" si="123"/>
        <v>321</v>
      </c>
      <c r="L692" s="89">
        <f t="shared" si="123"/>
        <v>0</v>
      </c>
      <c r="M692" s="88">
        <f t="shared" si="123"/>
        <v>0</v>
      </c>
      <c r="O692" s="88">
        <f>SUM(O693:O700)</f>
        <v>0</v>
      </c>
      <c r="P692" s="88">
        <f>SUM(P693:P700)</f>
        <v>0</v>
      </c>
    </row>
    <row r="693" spans="1:16" ht="12.75" hidden="1" customHeight="1">
      <c r="A693" s="187" t="s">
        <v>13</v>
      </c>
      <c r="B693" s="188"/>
      <c r="C693" s="188"/>
      <c r="D693" s="188"/>
      <c r="E693" s="189">
        <f t="shared" si="116"/>
        <v>0</v>
      </c>
      <c r="F693" s="190" t="e">
        <f t="shared" si="115"/>
        <v>#DIV/0!</v>
      </c>
      <c r="H693" s="88">
        <v>73</v>
      </c>
      <c r="I693" s="88">
        <v>279</v>
      </c>
      <c r="J693" s="88"/>
      <c r="K693" s="89"/>
      <c r="L693" s="89"/>
      <c r="M693" s="88"/>
      <c r="O693" s="88"/>
      <c r="P693" s="88"/>
    </row>
    <row r="694" spans="1:16" ht="12.75" hidden="1" customHeight="1">
      <c r="A694" s="187" t="s">
        <v>14</v>
      </c>
      <c r="B694" s="188"/>
      <c r="C694" s="188"/>
      <c r="D694" s="188"/>
      <c r="E694" s="189">
        <f t="shared" si="116"/>
        <v>0</v>
      </c>
      <c r="F694" s="190" t="e">
        <f t="shared" si="115"/>
        <v>#DIV/0!</v>
      </c>
      <c r="H694" s="88"/>
      <c r="I694" s="88"/>
      <c r="J694" s="88"/>
      <c r="K694" s="89">
        <v>300</v>
      </c>
      <c r="L694" s="89"/>
      <c r="M694" s="88"/>
      <c r="O694" s="88"/>
      <c r="P694" s="88"/>
    </row>
    <row r="695" spans="1:16" ht="12.75" hidden="1" customHeight="1">
      <c r="A695" s="187" t="s">
        <v>15</v>
      </c>
      <c r="B695" s="188"/>
      <c r="C695" s="188"/>
      <c r="D695" s="188"/>
      <c r="E695" s="189">
        <f t="shared" si="116"/>
        <v>0</v>
      </c>
      <c r="F695" s="190" t="e">
        <f t="shared" si="115"/>
        <v>#DIV/0!</v>
      </c>
      <c r="H695" s="88"/>
      <c r="I695" s="88"/>
      <c r="J695" s="88"/>
      <c r="K695" s="89"/>
      <c r="L695" s="89"/>
      <c r="M695" s="88"/>
      <c r="O695" s="88"/>
      <c r="P695" s="88"/>
    </row>
    <row r="696" spans="1:16" ht="12.75" hidden="1" customHeight="1">
      <c r="A696" s="187" t="s">
        <v>523</v>
      </c>
      <c r="B696" s="188"/>
      <c r="C696" s="188"/>
      <c r="D696" s="188"/>
      <c r="E696" s="189">
        <f t="shared" si="116"/>
        <v>0</v>
      </c>
      <c r="F696" s="190" t="e">
        <f t="shared" si="115"/>
        <v>#DIV/0!</v>
      </c>
      <c r="H696" s="88"/>
      <c r="I696" s="88"/>
      <c r="J696" s="88"/>
      <c r="K696" s="89"/>
      <c r="L696" s="89"/>
      <c r="M696" s="88"/>
      <c r="O696" s="88"/>
      <c r="P696" s="88"/>
    </row>
    <row r="697" spans="1:16" ht="12.75" hidden="1" customHeight="1">
      <c r="A697" s="187" t="s">
        <v>524</v>
      </c>
      <c r="B697" s="188"/>
      <c r="C697" s="188"/>
      <c r="D697" s="188"/>
      <c r="E697" s="189">
        <f t="shared" si="116"/>
        <v>0</v>
      </c>
      <c r="F697" s="190" t="e">
        <f t="shared" si="115"/>
        <v>#DIV/0!</v>
      </c>
      <c r="H697" s="88"/>
      <c r="I697" s="88"/>
      <c r="J697" s="88"/>
      <c r="K697" s="89"/>
      <c r="L697" s="89"/>
      <c r="M697" s="88"/>
      <c r="O697" s="88"/>
      <c r="P697" s="88"/>
    </row>
    <row r="698" spans="1:16" ht="12.75" hidden="1" customHeight="1">
      <c r="A698" s="187" t="s">
        <v>525</v>
      </c>
      <c r="B698" s="188"/>
      <c r="C698" s="188"/>
      <c r="D698" s="188"/>
      <c r="E698" s="189">
        <f t="shared" si="116"/>
        <v>0</v>
      </c>
      <c r="F698" s="190" t="e">
        <f t="shared" si="115"/>
        <v>#DIV/0!</v>
      </c>
      <c r="H698" s="88"/>
      <c r="I698" s="88"/>
      <c r="J698" s="88"/>
      <c r="K698" s="89"/>
      <c r="L698" s="89"/>
      <c r="M698" s="88"/>
      <c r="O698" s="88"/>
      <c r="P698" s="88"/>
    </row>
    <row r="699" spans="1:16" ht="12.75" hidden="1" customHeight="1">
      <c r="A699" s="187" t="s">
        <v>526</v>
      </c>
      <c r="B699" s="188"/>
      <c r="C699" s="188"/>
      <c r="D699" s="188"/>
      <c r="E699" s="189">
        <f t="shared" si="116"/>
        <v>0</v>
      </c>
      <c r="F699" s="190" t="e">
        <f t="shared" si="115"/>
        <v>#DIV/0!</v>
      </c>
      <c r="H699" s="88"/>
      <c r="I699" s="88"/>
      <c r="J699" s="88"/>
      <c r="K699" s="89"/>
      <c r="L699" s="89"/>
      <c r="M699" s="88"/>
      <c r="O699" s="88"/>
      <c r="P699" s="88"/>
    </row>
    <row r="700" spans="1:16" ht="12.75" hidden="1" customHeight="1">
      <c r="A700" s="187" t="s">
        <v>527</v>
      </c>
      <c r="B700" s="188"/>
      <c r="C700" s="188"/>
      <c r="D700" s="188"/>
      <c r="E700" s="189">
        <f t="shared" si="116"/>
        <v>0</v>
      </c>
      <c r="F700" s="190" t="e">
        <f t="shared" si="115"/>
        <v>#DIV/0!</v>
      </c>
      <c r="H700" s="88"/>
      <c r="I700" s="88"/>
      <c r="J700" s="88"/>
      <c r="K700" s="89">
        <v>21</v>
      </c>
      <c r="L700" s="89"/>
      <c r="M700" s="88"/>
      <c r="O700" s="88"/>
      <c r="P700" s="88"/>
    </row>
    <row r="701" spans="1:16">
      <c r="A701" s="187" t="s">
        <v>528</v>
      </c>
      <c r="B701" s="188">
        <v>2380</v>
      </c>
      <c r="C701" s="188">
        <v>1780</v>
      </c>
      <c r="D701" s="188">
        <v>1210</v>
      </c>
      <c r="E701" s="189">
        <f t="shared" si="116"/>
        <v>-570</v>
      </c>
      <c r="F701" s="190">
        <f t="shared" si="115"/>
        <v>-32.022471910112358</v>
      </c>
      <c r="H701" s="88">
        <f t="shared" ref="H701:M701" si="124">SUM(H702:H704)</f>
        <v>350</v>
      </c>
      <c r="I701" s="88">
        <f t="shared" si="124"/>
        <v>0</v>
      </c>
      <c r="J701" s="88">
        <f t="shared" si="124"/>
        <v>0</v>
      </c>
      <c r="K701" s="89">
        <f t="shared" si="124"/>
        <v>0</v>
      </c>
      <c r="L701" s="89">
        <f t="shared" si="124"/>
        <v>0</v>
      </c>
      <c r="M701" s="88">
        <f t="shared" si="124"/>
        <v>0</v>
      </c>
      <c r="O701" s="88">
        <f>SUM(O702:O704)</f>
        <v>0</v>
      </c>
      <c r="P701" s="88">
        <f>SUM(P702:P704)</f>
        <v>0</v>
      </c>
    </row>
    <row r="702" spans="1:16" ht="12.75" hidden="1" customHeight="1">
      <c r="A702" s="187" t="s">
        <v>529</v>
      </c>
      <c r="B702" s="188"/>
      <c r="C702" s="188"/>
      <c r="D702" s="188"/>
      <c r="E702" s="189">
        <f t="shared" si="116"/>
        <v>0</v>
      </c>
      <c r="F702" s="190" t="e">
        <f t="shared" si="115"/>
        <v>#DIV/0!</v>
      </c>
      <c r="H702" s="88"/>
      <c r="I702" s="88"/>
      <c r="J702" s="88"/>
      <c r="K702" s="89"/>
      <c r="L702" s="89"/>
      <c r="M702" s="88"/>
      <c r="O702" s="88"/>
      <c r="P702" s="88"/>
    </row>
    <row r="703" spans="1:16" ht="12.75" hidden="1" customHeight="1">
      <c r="A703" s="187" t="s">
        <v>530</v>
      </c>
      <c r="B703" s="188"/>
      <c r="C703" s="188"/>
      <c r="D703" s="188"/>
      <c r="E703" s="189">
        <f t="shared" si="116"/>
        <v>0</v>
      </c>
      <c r="F703" s="190" t="e">
        <f t="shared" si="115"/>
        <v>#DIV/0!</v>
      </c>
      <c r="H703" s="88"/>
      <c r="I703" s="88"/>
      <c r="J703" s="88"/>
      <c r="K703" s="89"/>
      <c r="L703" s="89"/>
      <c r="M703" s="88"/>
      <c r="O703" s="88"/>
      <c r="P703" s="88"/>
    </row>
    <row r="704" spans="1:16" ht="12.75" hidden="1" customHeight="1">
      <c r="A704" s="187" t="s">
        <v>531</v>
      </c>
      <c r="B704" s="188"/>
      <c r="C704" s="188"/>
      <c r="D704" s="188"/>
      <c r="E704" s="189">
        <f t="shared" si="116"/>
        <v>0</v>
      </c>
      <c r="F704" s="190" t="e">
        <f t="shared" si="115"/>
        <v>#DIV/0!</v>
      </c>
      <c r="H704" s="88">
        <v>350</v>
      </c>
      <c r="I704" s="88"/>
      <c r="J704" s="88"/>
      <c r="K704" s="89"/>
      <c r="L704" s="89"/>
      <c r="M704" s="88"/>
      <c r="O704" s="88"/>
      <c r="P704" s="88"/>
    </row>
    <row r="705" spans="1:16">
      <c r="A705" s="187" t="s">
        <v>532</v>
      </c>
      <c r="B705" s="188"/>
      <c r="C705" s="188"/>
      <c r="D705" s="188"/>
      <c r="E705" s="189">
        <f t="shared" si="116"/>
        <v>0</v>
      </c>
      <c r="F705" s="190"/>
      <c r="H705" s="88">
        <f t="shared" ref="H705:M705" si="125">SUM(H706:H713)</f>
        <v>0</v>
      </c>
      <c r="I705" s="88">
        <f t="shared" si="125"/>
        <v>70</v>
      </c>
      <c r="J705" s="88">
        <f t="shared" si="125"/>
        <v>0</v>
      </c>
      <c r="K705" s="89">
        <f t="shared" si="125"/>
        <v>0</v>
      </c>
      <c r="L705" s="89">
        <f t="shared" si="125"/>
        <v>0</v>
      </c>
      <c r="M705" s="88">
        <f t="shared" si="125"/>
        <v>0</v>
      </c>
      <c r="O705" s="88">
        <f>SUM(O706:O713)</f>
        <v>0</v>
      </c>
      <c r="P705" s="88">
        <f>SUM(P706:P713)</f>
        <v>0</v>
      </c>
    </row>
    <row r="706" spans="1:16" ht="12.75" hidden="1" customHeight="1">
      <c r="A706" s="187" t="s">
        <v>533</v>
      </c>
      <c r="B706" s="188"/>
      <c r="C706" s="188"/>
      <c r="D706" s="188"/>
      <c r="E706" s="189">
        <f t="shared" si="116"/>
        <v>0</v>
      </c>
      <c r="F706" s="190" t="e">
        <f t="shared" si="115"/>
        <v>#DIV/0!</v>
      </c>
      <c r="H706" s="88"/>
      <c r="I706" s="88"/>
      <c r="J706" s="88"/>
      <c r="K706" s="89"/>
      <c r="L706" s="89"/>
      <c r="M706" s="88"/>
      <c r="O706" s="88"/>
      <c r="P706" s="88"/>
    </row>
    <row r="707" spans="1:16" ht="12.75" hidden="1" customHeight="1">
      <c r="A707" s="187" t="s">
        <v>534</v>
      </c>
      <c r="B707" s="188"/>
      <c r="C707" s="188"/>
      <c r="D707" s="188"/>
      <c r="E707" s="189">
        <f t="shared" si="116"/>
        <v>0</v>
      </c>
      <c r="F707" s="190" t="e">
        <f t="shared" si="115"/>
        <v>#DIV/0!</v>
      </c>
      <c r="H707" s="88"/>
      <c r="I707" s="88"/>
      <c r="J707" s="88"/>
      <c r="K707" s="89"/>
      <c r="L707" s="89"/>
      <c r="M707" s="88"/>
      <c r="O707" s="88"/>
      <c r="P707" s="88"/>
    </row>
    <row r="708" spans="1:16" ht="12.75" hidden="1" customHeight="1">
      <c r="A708" s="187" t="s">
        <v>535</v>
      </c>
      <c r="B708" s="188"/>
      <c r="C708" s="188"/>
      <c r="D708" s="188"/>
      <c r="E708" s="189">
        <f t="shared" si="116"/>
        <v>0</v>
      </c>
      <c r="F708" s="190" t="e">
        <f t="shared" si="115"/>
        <v>#DIV/0!</v>
      </c>
      <c r="H708" s="88"/>
      <c r="I708" s="88"/>
      <c r="J708" s="88"/>
      <c r="K708" s="89"/>
      <c r="L708" s="89"/>
      <c r="M708" s="88"/>
      <c r="O708" s="88"/>
      <c r="P708" s="88"/>
    </row>
    <row r="709" spans="1:16" ht="12.75" hidden="1" customHeight="1">
      <c r="A709" s="187" t="s">
        <v>536</v>
      </c>
      <c r="B709" s="188"/>
      <c r="C709" s="188"/>
      <c r="D709" s="188"/>
      <c r="E709" s="189">
        <f t="shared" si="116"/>
        <v>0</v>
      </c>
      <c r="F709" s="190" t="e">
        <f t="shared" si="115"/>
        <v>#DIV/0!</v>
      </c>
      <c r="H709" s="88"/>
      <c r="I709" s="88"/>
      <c r="J709" s="88"/>
      <c r="K709" s="89"/>
      <c r="L709" s="89"/>
      <c r="M709" s="88"/>
      <c r="O709" s="88"/>
      <c r="P709" s="88"/>
    </row>
    <row r="710" spans="1:16" ht="12.75" hidden="1" customHeight="1">
      <c r="A710" s="187" t="s">
        <v>537</v>
      </c>
      <c r="B710" s="188"/>
      <c r="C710" s="188"/>
      <c r="D710" s="188"/>
      <c r="E710" s="189">
        <f t="shared" si="116"/>
        <v>0</v>
      </c>
      <c r="F710" s="190" t="e">
        <f t="shared" si="115"/>
        <v>#DIV/0!</v>
      </c>
      <c r="H710" s="88"/>
      <c r="I710" s="88"/>
      <c r="J710" s="88"/>
      <c r="K710" s="89"/>
      <c r="L710" s="89"/>
      <c r="M710" s="88"/>
      <c r="O710" s="88"/>
      <c r="P710" s="88"/>
    </row>
    <row r="711" spans="1:16" ht="12.75" hidden="1" customHeight="1">
      <c r="A711" s="187" t="s">
        <v>538</v>
      </c>
      <c r="B711" s="188"/>
      <c r="C711" s="188"/>
      <c r="D711" s="188"/>
      <c r="E711" s="189">
        <f t="shared" si="116"/>
        <v>0</v>
      </c>
      <c r="F711" s="190" t="e">
        <f t="shared" si="115"/>
        <v>#DIV/0!</v>
      </c>
      <c r="H711" s="88"/>
      <c r="I711" s="88"/>
      <c r="J711" s="88"/>
      <c r="K711" s="89"/>
      <c r="L711" s="89"/>
      <c r="M711" s="88"/>
      <c r="O711" s="88"/>
      <c r="P711" s="88"/>
    </row>
    <row r="712" spans="1:16" ht="12.75" hidden="1" customHeight="1">
      <c r="A712" s="187" t="s">
        <v>539</v>
      </c>
      <c r="B712" s="188"/>
      <c r="C712" s="188"/>
      <c r="D712" s="188"/>
      <c r="E712" s="189">
        <f t="shared" si="116"/>
        <v>0</v>
      </c>
      <c r="F712" s="190" t="e">
        <f t="shared" si="115"/>
        <v>#DIV/0!</v>
      </c>
      <c r="H712" s="88"/>
      <c r="I712" s="88">
        <v>70</v>
      </c>
      <c r="J712" s="88"/>
      <c r="K712" s="89"/>
      <c r="L712" s="89"/>
      <c r="M712" s="88"/>
      <c r="O712" s="88"/>
      <c r="P712" s="88"/>
    </row>
    <row r="713" spans="1:16" ht="12.75" hidden="1" customHeight="1">
      <c r="A713" s="187" t="s">
        <v>540</v>
      </c>
      <c r="B713" s="188"/>
      <c r="C713" s="188"/>
      <c r="D713" s="188"/>
      <c r="E713" s="189">
        <f t="shared" si="116"/>
        <v>0</v>
      </c>
      <c r="F713" s="190" t="e">
        <f t="shared" si="115"/>
        <v>#DIV/0!</v>
      </c>
      <c r="H713" s="88"/>
      <c r="I713" s="88"/>
      <c r="J713" s="88"/>
      <c r="K713" s="89"/>
      <c r="L713" s="89"/>
      <c r="M713" s="88"/>
      <c r="O713" s="88"/>
      <c r="P713" s="88"/>
    </row>
    <row r="714" spans="1:16">
      <c r="A714" s="187" t="s">
        <v>541</v>
      </c>
      <c r="B714" s="188"/>
      <c r="C714" s="188"/>
      <c r="D714" s="188">
        <v>350</v>
      </c>
      <c r="E714" s="189">
        <f t="shared" si="116"/>
        <v>350</v>
      </c>
      <c r="F714" s="190"/>
      <c r="H714" s="88">
        <f t="shared" ref="H714:M714" si="126">SUM(H715:H720)</f>
        <v>0</v>
      </c>
      <c r="I714" s="88">
        <f t="shared" si="126"/>
        <v>0</v>
      </c>
      <c r="J714" s="88">
        <f t="shared" si="126"/>
        <v>0</v>
      </c>
      <c r="K714" s="89">
        <f t="shared" si="126"/>
        <v>0</v>
      </c>
      <c r="L714" s="89">
        <f t="shared" si="126"/>
        <v>335</v>
      </c>
      <c r="M714" s="88">
        <f t="shared" si="126"/>
        <v>0</v>
      </c>
      <c r="O714" s="88">
        <f>SUM(O715:O720)</f>
        <v>0</v>
      </c>
      <c r="P714" s="88">
        <f>SUM(P715:P720)</f>
        <v>0</v>
      </c>
    </row>
    <row r="715" spans="1:16" ht="12.75" hidden="1" customHeight="1">
      <c r="A715" s="187" t="s">
        <v>542</v>
      </c>
      <c r="B715" s="188"/>
      <c r="C715" s="188"/>
      <c r="D715" s="188"/>
      <c r="E715" s="189">
        <f t="shared" si="116"/>
        <v>0</v>
      </c>
      <c r="F715" s="190" t="e">
        <f t="shared" ref="F715:F778" si="127">E715/C715*100</f>
        <v>#DIV/0!</v>
      </c>
      <c r="H715" s="88"/>
      <c r="I715" s="88"/>
      <c r="J715" s="88"/>
      <c r="K715" s="89"/>
      <c r="L715" s="89"/>
      <c r="M715" s="88"/>
      <c r="O715" s="88"/>
      <c r="P715" s="88"/>
    </row>
    <row r="716" spans="1:16" ht="12.75" hidden="1" customHeight="1">
      <c r="A716" s="187" t="s">
        <v>543</v>
      </c>
      <c r="B716" s="188"/>
      <c r="C716" s="188"/>
      <c r="D716" s="188"/>
      <c r="E716" s="189">
        <f t="shared" si="116"/>
        <v>0</v>
      </c>
      <c r="F716" s="190" t="e">
        <f t="shared" si="127"/>
        <v>#DIV/0!</v>
      </c>
      <c r="H716" s="88"/>
      <c r="I716" s="88"/>
      <c r="J716" s="88"/>
      <c r="K716" s="89"/>
      <c r="L716" s="89">
        <v>335</v>
      </c>
      <c r="M716" s="88"/>
      <c r="O716" s="88"/>
      <c r="P716" s="88"/>
    </row>
    <row r="717" spans="1:16" ht="12.75" hidden="1" customHeight="1">
      <c r="A717" s="187" t="s">
        <v>544</v>
      </c>
      <c r="B717" s="188"/>
      <c r="C717" s="188"/>
      <c r="D717" s="188"/>
      <c r="E717" s="189">
        <f t="shared" ref="E717:E780" si="128">D717-C717</f>
        <v>0</v>
      </c>
      <c r="F717" s="190" t="e">
        <f t="shared" si="127"/>
        <v>#DIV/0!</v>
      </c>
      <c r="H717" s="88"/>
      <c r="I717" s="88"/>
      <c r="J717" s="88"/>
      <c r="K717" s="89"/>
      <c r="L717" s="89"/>
      <c r="M717" s="88"/>
      <c r="O717" s="88"/>
      <c r="P717" s="88"/>
    </row>
    <row r="718" spans="1:16" ht="12.75" hidden="1" customHeight="1">
      <c r="A718" s="187" t="s">
        <v>545</v>
      </c>
      <c r="B718" s="188"/>
      <c r="C718" s="188"/>
      <c r="D718" s="188"/>
      <c r="E718" s="189">
        <f t="shared" si="128"/>
        <v>0</v>
      </c>
      <c r="F718" s="190" t="e">
        <f t="shared" si="127"/>
        <v>#DIV/0!</v>
      </c>
      <c r="H718" s="88"/>
      <c r="I718" s="88"/>
      <c r="J718" s="88"/>
      <c r="K718" s="89"/>
      <c r="L718" s="89"/>
      <c r="M718" s="88"/>
      <c r="O718" s="88"/>
      <c r="P718" s="88"/>
    </row>
    <row r="719" spans="1:16" ht="12.75" hidden="1" customHeight="1">
      <c r="A719" s="187" t="s">
        <v>546</v>
      </c>
      <c r="B719" s="188"/>
      <c r="C719" s="188"/>
      <c r="D719" s="188"/>
      <c r="E719" s="189">
        <f t="shared" si="128"/>
        <v>0</v>
      </c>
      <c r="F719" s="190" t="e">
        <f t="shared" si="127"/>
        <v>#DIV/0!</v>
      </c>
      <c r="H719" s="88"/>
      <c r="I719" s="88"/>
      <c r="J719" s="88"/>
      <c r="K719" s="89"/>
      <c r="L719" s="89"/>
      <c r="M719" s="88"/>
      <c r="O719" s="88"/>
      <c r="P719" s="88"/>
    </row>
    <row r="720" spans="1:16" ht="12.75" hidden="1" customHeight="1">
      <c r="A720" s="187" t="s">
        <v>547</v>
      </c>
      <c r="B720" s="188"/>
      <c r="C720" s="188"/>
      <c r="D720" s="188"/>
      <c r="E720" s="189">
        <f t="shared" si="128"/>
        <v>0</v>
      </c>
      <c r="F720" s="190" t="e">
        <f t="shared" si="127"/>
        <v>#DIV/0!</v>
      </c>
      <c r="H720" s="88"/>
      <c r="I720" s="88"/>
      <c r="J720" s="88"/>
      <c r="K720" s="89"/>
      <c r="L720" s="89"/>
      <c r="M720" s="88"/>
      <c r="O720" s="88"/>
      <c r="P720" s="88"/>
    </row>
    <row r="721" spans="1:16" ht="12.75" hidden="1" customHeight="1">
      <c r="A721" s="187" t="s">
        <v>548</v>
      </c>
      <c r="B721" s="188"/>
      <c r="C721" s="188"/>
      <c r="D721" s="188"/>
      <c r="E721" s="189">
        <f t="shared" si="128"/>
        <v>0</v>
      </c>
      <c r="F721" s="190" t="e">
        <f t="shared" si="127"/>
        <v>#DIV/0!</v>
      </c>
      <c r="H721" s="88">
        <f t="shared" ref="H721:M721" si="129">SUM(H722:H726)</f>
        <v>0</v>
      </c>
      <c r="I721" s="88">
        <f t="shared" si="129"/>
        <v>0</v>
      </c>
      <c r="J721" s="88">
        <f t="shared" si="129"/>
        <v>0</v>
      </c>
      <c r="K721" s="89">
        <f t="shared" si="129"/>
        <v>0</v>
      </c>
      <c r="L721" s="89">
        <f t="shared" si="129"/>
        <v>0</v>
      </c>
      <c r="M721" s="88">
        <f t="shared" si="129"/>
        <v>0</v>
      </c>
      <c r="O721" s="88">
        <f>SUM(O722:O726)</f>
        <v>0</v>
      </c>
      <c r="P721" s="88">
        <f>SUM(P722:P726)</f>
        <v>0</v>
      </c>
    </row>
    <row r="722" spans="1:16" ht="12.75" hidden="1" customHeight="1">
      <c r="A722" s="187" t="s">
        <v>549</v>
      </c>
      <c r="B722" s="188"/>
      <c r="C722" s="188"/>
      <c r="D722" s="188"/>
      <c r="E722" s="189">
        <f t="shared" si="128"/>
        <v>0</v>
      </c>
      <c r="F722" s="190" t="e">
        <f t="shared" si="127"/>
        <v>#DIV/0!</v>
      </c>
      <c r="H722" s="88"/>
      <c r="I722" s="88"/>
      <c r="J722" s="88"/>
      <c r="K722" s="89"/>
      <c r="L722" s="89"/>
      <c r="M722" s="88"/>
      <c r="O722" s="88"/>
      <c r="P722" s="88"/>
    </row>
    <row r="723" spans="1:16" ht="12.75" hidden="1" customHeight="1">
      <c r="A723" s="187" t="s">
        <v>550</v>
      </c>
      <c r="B723" s="188"/>
      <c r="C723" s="188"/>
      <c r="D723" s="188"/>
      <c r="E723" s="189">
        <f t="shared" si="128"/>
        <v>0</v>
      </c>
      <c r="F723" s="190" t="e">
        <f t="shared" si="127"/>
        <v>#DIV/0!</v>
      </c>
      <c r="H723" s="88"/>
      <c r="I723" s="88"/>
      <c r="J723" s="88"/>
      <c r="K723" s="89"/>
      <c r="L723" s="89"/>
      <c r="M723" s="88"/>
      <c r="O723" s="88"/>
      <c r="P723" s="88"/>
    </row>
    <row r="724" spans="1:16" ht="12.75" hidden="1" customHeight="1">
      <c r="A724" s="187" t="s">
        <v>551</v>
      </c>
      <c r="B724" s="188"/>
      <c r="C724" s="188"/>
      <c r="D724" s="188"/>
      <c r="E724" s="189">
        <f t="shared" si="128"/>
        <v>0</v>
      </c>
      <c r="F724" s="190" t="e">
        <f t="shared" si="127"/>
        <v>#DIV/0!</v>
      </c>
      <c r="H724" s="88"/>
      <c r="I724" s="88"/>
      <c r="J724" s="88"/>
      <c r="K724" s="89"/>
      <c r="L724" s="89"/>
      <c r="M724" s="88"/>
      <c r="O724" s="88"/>
      <c r="P724" s="88"/>
    </row>
    <row r="725" spans="1:16" ht="12.75" hidden="1" customHeight="1">
      <c r="A725" s="187" t="s">
        <v>552</v>
      </c>
      <c r="B725" s="188"/>
      <c r="C725" s="188"/>
      <c r="D725" s="188"/>
      <c r="E725" s="189">
        <f t="shared" si="128"/>
        <v>0</v>
      </c>
      <c r="F725" s="190" t="e">
        <f t="shared" si="127"/>
        <v>#DIV/0!</v>
      </c>
      <c r="H725" s="88"/>
      <c r="I725" s="88"/>
      <c r="J725" s="88"/>
      <c r="K725" s="89"/>
      <c r="L725" s="89"/>
      <c r="M725" s="88"/>
      <c r="O725" s="88"/>
      <c r="P725" s="88"/>
    </row>
    <row r="726" spans="1:16" ht="12.75" hidden="1" customHeight="1">
      <c r="A726" s="187" t="s">
        <v>553</v>
      </c>
      <c r="B726" s="188"/>
      <c r="C726" s="188"/>
      <c r="D726" s="188"/>
      <c r="E726" s="189">
        <f t="shared" si="128"/>
        <v>0</v>
      </c>
      <c r="F726" s="190" t="e">
        <f t="shared" si="127"/>
        <v>#DIV/0!</v>
      </c>
      <c r="H726" s="88"/>
      <c r="I726" s="88"/>
      <c r="J726" s="88"/>
      <c r="K726" s="89"/>
      <c r="L726" s="89"/>
      <c r="M726" s="88"/>
      <c r="O726" s="88"/>
      <c r="P726" s="88"/>
    </row>
    <row r="727" spans="1:16" ht="12.75" hidden="1" customHeight="1">
      <c r="A727" s="187" t="s">
        <v>554</v>
      </c>
      <c r="B727" s="188"/>
      <c r="C727" s="188"/>
      <c r="D727" s="188"/>
      <c r="E727" s="189">
        <f t="shared" si="128"/>
        <v>0</v>
      </c>
      <c r="F727" s="190" t="e">
        <f t="shared" si="127"/>
        <v>#DIV/0!</v>
      </c>
      <c r="H727" s="88">
        <f t="shared" ref="H727:M727" si="130">SUM(H728:H732)</f>
        <v>0</v>
      </c>
      <c r="I727" s="88">
        <f t="shared" si="130"/>
        <v>0</v>
      </c>
      <c r="J727" s="88">
        <f t="shared" si="130"/>
        <v>0</v>
      </c>
      <c r="K727" s="89">
        <f t="shared" si="130"/>
        <v>0</v>
      </c>
      <c r="L727" s="89">
        <f t="shared" si="130"/>
        <v>0</v>
      </c>
      <c r="M727" s="88">
        <f t="shared" si="130"/>
        <v>0</v>
      </c>
      <c r="O727" s="88">
        <f>SUM(O728:O732)</f>
        <v>0</v>
      </c>
      <c r="P727" s="88">
        <f>SUM(P728:P732)</f>
        <v>0</v>
      </c>
    </row>
    <row r="728" spans="1:16" ht="12.75" hidden="1" customHeight="1">
      <c r="A728" s="187" t="s">
        <v>555</v>
      </c>
      <c r="B728" s="188"/>
      <c r="C728" s="188"/>
      <c r="D728" s="188"/>
      <c r="E728" s="189">
        <f t="shared" si="128"/>
        <v>0</v>
      </c>
      <c r="F728" s="190" t="e">
        <f t="shared" si="127"/>
        <v>#DIV/0!</v>
      </c>
      <c r="H728" s="88"/>
      <c r="I728" s="88"/>
      <c r="J728" s="88"/>
      <c r="K728" s="89"/>
      <c r="L728" s="89"/>
      <c r="M728" s="88"/>
      <c r="O728" s="88"/>
      <c r="P728" s="88"/>
    </row>
    <row r="729" spans="1:16" ht="12.75" hidden="1" customHeight="1">
      <c r="A729" s="187" t="s">
        <v>556</v>
      </c>
      <c r="B729" s="188"/>
      <c r="C729" s="188"/>
      <c r="D729" s="188"/>
      <c r="E729" s="189">
        <f t="shared" si="128"/>
        <v>0</v>
      </c>
      <c r="F729" s="190" t="e">
        <f t="shared" si="127"/>
        <v>#DIV/0!</v>
      </c>
      <c r="H729" s="88"/>
      <c r="I729" s="88"/>
      <c r="J729" s="88"/>
      <c r="K729" s="89"/>
      <c r="L729" s="89"/>
      <c r="M729" s="88"/>
      <c r="O729" s="88"/>
      <c r="P729" s="88"/>
    </row>
    <row r="730" spans="1:16" ht="12.75" hidden="1" customHeight="1">
      <c r="A730" s="187" t="s">
        <v>557</v>
      </c>
      <c r="B730" s="188"/>
      <c r="C730" s="188"/>
      <c r="D730" s="188"/>
      <c r="E730" s="189">
        <f t="shared" si="128"/>
        <v>0</v>
      </c>
      <c r="F730" s="190" t="e">
        <f t="shared" si="127"/>
        <v>#DIV/0!</v>
      </c>
      <c r="H730" s="88"/>
      <c r="I730" s="88"/>
      <c r="J730" s="88"/>
      <c r="K730" s="89"/>
      <c r="L730" s="89"/>
      <c r="M730" s="88"/>
      <c r="O730" s="88"/>
      <c r="P730" s="88"/>
    </row>
    <row r="731" spans="1:16" ht="12.75" hidden="1" customHeight="1">
      <c r="A731" s="187" t="s">
        <v>558</v>
      </c>
      <c r="B731" s="188"/>
      <c r="C731" s="188"/>
      <c r="D731" s="188"/>
      <c r="E731" s="189">
        <f t="shared" si="128"/>
        <v>0</v>
      </c>
      <c r="F731" s="190" t="e">
        <f t="shared" si="127"/>
        <v>#DIV/0!</v>
      </c>
      <c r="H731" s="88"/>
      <c r="I731" s="88"/>
      <c r="J731" s="88"/>
      <c r="K731" s="89"/>
      <c r="L731" s="89"/>
      <c r="M731" s="88"/>
      <c r="O731" s="88"/>
      <c r="P731" s="88"/>
    </row>
    <row r="732" spans="1:16" ht="12.75" hidden="1" customHeight="1">
      <c r="A732" s="187" t="s">
        <v>559</v>
      </c>
      <c r="B732" s="188"/>
      <c r="C732" s="188"/>
      <c r="D732" s="188"/>
      <c r="E732" s="189">
        <f t="shared" si="128"/>
        <v>0</v>
      </c>
      <c r="F732" s="190" t="e">
        <f t="shared" si="127"/>
        <v>#DIV/0!</v>
      </c>
      <c r="H732" s="88"/>
      <c r="I732" s="88"/>
      <c r="J732" s="88"/>
      <c r="K732" s="89"/>
      <c r="L732" s="89"/>
      <c r="M732" s="88"/>
      <c r="O732" s="88"/>
      <c r="P732" s="88"/>
    </row>
    <row r="733" spans="1:16" ht="12.75" hidden="1" customHeight="1">
      <c r="A733" s="187" t="s">
        <v>560</v>
      </c>
      <c r="B733" s="188"/>
      <c r="C733" s="188"/>
      <c r="D733" s="188"/>
      <c r="E733" s="189">
        <f t="shared" si="128"/>
        <v>0</v>
      </c>
      <c r="F733" s="190" t="e">
        <f t="shared" si="127"/>
        <v>#DIV/0!</v>
      </c>
      <c r="H733" s="88">
        <f t="shared" ref="H733:M733" si="131">SUM(H734:H735)</f>
        <v>0</v>
      </c>
      <c r="I733" s="88">
        <f t="shared" si="131"/>
        <v>0</v>
      </c>
      <c r="J733" s="88">
        <f t="shared" si="131"/>
        <v>0</v>
      </c>
      <c r="K733" s="89">
        <f t="shared" si="131"/>
        <v>0</v>
      </c>
      <c r="L733" s="89">
        <f t="shared" si="131"/>
        <v>0</v>
      </c>
      <c r="M733" s="88">
        <f t="shared" si="131"/>
        <v>0</v>
      </c>
      <c r="O733" s="88">
        <f>SUM(O734:O735)</f>
        <v>0</v>
      </c>
      <c r="P733" s="88">
        <f>SUM(P734:P735)</f>
        <v>0</v>
      </c>
    </row>
    <row r="734" spans="1:16" ht="12.75" hidden="1" customHeight="1">
      <c r="A734" s="187" t="s">
        <v>561</v>
      </c>
      <c r="B734" s="188"/>
      <c r="C734" s="188"/>
      <c r="D734" s="188"/>
      <c r="E734" s="189">
        <f t="shared" si="128"/>
        <v>0</v>
      </c>
      <c r="F734" s="190" t="e">
        <f t="shared" si="127"/>
        <v>#DIV/0!</v>
      </c>
      <c r="H734" s="88"/>
      <c r="I734" s="88"/>
      <c r="J734" s="88"/>
      <c r="K734" s="89"/>
      <c r="L734" s="89"/>
      <c r="M734" s="88"/>
      <c r="O734" s="88"/>
      <c r="P734" s="88"/>
    </row>
    <row r="735" spans="1:16" ht="12.75" hidden="1" customHeight="1">
      <c r="A735" s="187" t="s">
        <v>562</v>
      </c>
      <c r="B735" s="188"/>
      <c r="C735" s="188"/>
      <c r="D735" s="188"/>
      <c r="E735" s="189">
        <f t="shared" si="128"/>
        <v>0</v>
      </c>
      <c r="F735" s="190" t="e">
        <f t="shared" si="127"/>
        <v>#DIV/0!</v>
      </c>
      <c r="H735" s="88"/>
      <c r="I735" s="88"/>
      <c r="J735" s="88"/>
      <c r="K735" s="89"/>
      <c r="L735" s="89"/>
      <c r="M735" s="88"/>
      <c r="O735" s="88"/>
      <c r="P735" s="88"/>
    </row>
    <row r="736" spans="1:16" ht="12.75" hidden="1" customHeight="1">
      <c r="A736" s="187" t="s">
        <v>563</v>
      </c>
      <c r="B736" s="188"/>
      <c r="C736" s="188"/>
      <c r="D736" s="188"/>
      <c r="E736" s="189">
        <f t="shared" si="128"/>
        <v>0</v>
      </c>
      <c r="F736" s="190" t="e">
        <f t="shared" si="127"/>
        <v>#DIV/0!</v>
      </c>
      <c r="H736" s="88">
        <f t="shared" ref="H736:M736" si="132">SUM(H737:H738)</f>
        <v>0</v>
      </c>
      <c r="I736" s="88">
        <f t="shared" si="132"/>
        <v>0</v>
      </c>
      <c r="J736" s="88">
        <f t="shared" si="132"/>
        <v>0</v>
      </c>
      <c r="K736" s="89">
        <f t="shared" si="132"/>
        <v>0</v>
      </c>
      <c r="L736" s="89">
        <f t="shared" si="132"/>
        <v>0</v>
      </c>
      <c r="M736" s="88">
        <f t="shared" si="132"/>
        <v>0</v>
      </c>
      <c r="O736" s="88">
        <f>SUM(O737:O738)</f>
        <v>0</v>
      </c>
      <c r="P736" s="88">
        <f>SUM(P737:P738)</f>
        <v>0</v>
      </c>
    </row>
    <row r="737" spans="1:16" ht="12.75" hidden="1" customHeight="1">
      <c r="A737" s="187" t="s">
        <v>564</v>
      </c>
      <c r="B737" s="188"/>
      <c r="C737" s="188"/>
      <c r="D737" s="188"/>
      <c r="E737" s="189">
        <f t="shared" si="128"/>
        <v>0</v>
      </c>
      <c r="F737" s="190" t="e">
        <f t="shared" si="127"/>
        <v>#DIV/0!</v>
      </c>
      <c r="H737" s="88"/>
      <c r="I737" s="88"/>
      <c r="J737" s="88"/>
      <c r="K737" s="89"/>
      <c r="L737" s="89"/>
      <c r="M737" s="88"/>
      <c r="O737" s="88"/>
      <c r="P737" s="88"/>
    </row>
    <row r="738" spans="1:16" ht="12.75" hidden="1" customHeight="1">
      <c r="A738" s="187" t="s">
        <v>565</v>
      </c>
      <c r="B738" s="188"/>
      <c r="C738" s="188"/>
      <c r="D738" s="188"/>
      <c r="E738" s="189">
        <f t="shared" si="128"/>
        <v>0</v>
      </c>
      <c r="F738" s="190" t="e">
        <f t="shared" si="127"/>
        <v>#DIV/0!</v>
      </c>
      <c r="H738" s="88"/>
      <c r="I738" s="88"/>
      <c r="J738" s="88"/>
      <c r="K738" s="89"/>
      <c r="L738" s="89"/>
      <c r="M738" s="88"/>
      <c r="O738" s="88"/>
      <c r="P738" s="88"/>
    </row>
    <row r="739" spans="1:16" ht="12.75" hidden="1" customHeight="1">
      <c r="A739" s="187" t="s">
        <v>566</v>
      </c>
      <c r="B739" s="188"/>
      <c r="C739" s="188"/>
      <c r="D739" s="188"/>
      <c r="E739" s="189">
        <f t="shared" si="128"/>
        <v>0</v>
      </c>
      <c r="F739" s="190" t="e">
        <f t="shared" si="127"/>
        <v>#DIV/0!</v>
      </c>
      <c r="H739" s="88">
        <f t="shared" ref="H739:M739" si="133">H740</f>
        <v>0</v>
      </c>
      <c r="I739" s="88">
        <f t="shared" si="133"/>
        <v>0</v>
      </c>
      <c r="J739" s="88">
        <f t="shared" si="133"/>
        <v>0</v>
      </c>
      <c r="K739" s="89">
        <f t="shared" si="133"/>
        <v>0</v>
      </c>
      <c r="L739" s="89">
        <f t="shared" si="133"/>
        <v>0</v>
      </c>
      <c r="M739" s="88">
        <f t="shared" si="133"/>
        <v>0</v>
      </c>
      <c r="O739" s="88">
        <f>O740</f>
        <v>0</v>
      </c>
      <c r="P739" s="88">
        <f>P740</f>
        <v>0</v>
      </c>
    </row>
    <row r="740" spans="1:16" ht="12.75" hidden="1" customHeight="1">
      <c r="A740" s="187" t="s">
        <v>567</v>
      </c>
      <c r="B740" s="188"/>
      <c r="C740" s="188"/>
      <c r="D740" s="188"/>
      <c r="E740" s="189">
        <f t="shared" si="128"/>
        <v>0</v>
      </c>
      <c r="F740" s="190" t="e">
        <f t="shared" si="127"/>
        <v>#DIV/0!</v>
      </c>
      <c r="H740" s="88"/>
      <c r="I740" s="88"/>
      <c r="J740" s="88"/>
      <c r="K740" s="89"/>
      <c r="L740" s="89"/>
      <c r="M740" s="88"/>
      <c r="O740" s="88"/>
      <c r="P740" s="88"/>
    </row>
    <row r="741" spans="1:16" ht="12.75" hidden="1" customHeight="1">
      <c r="A741" s="187" t="s">
        <v>568</v>
      </c>
      <c r="B741" s="188">
        <v>0</v>
      </c>
      <c r="C741" s="188">
        <v>0</v>
      </c>
      <c r="D741" s="188">
        <v>0</v>
      </c>
      <c r="E741" s="189">
        <f t="shared" si="128"/>
        <v>0</v>
      </c>
      <c r="F741" s="190" t="e">
        <f t="shared" si="127"/>
        <v>#DIV/0!</v>
      </c>
      <c r="H741" s="88">
        <f t="shared" ref="H741:M741" si="134">H742</f>
        <v>0</v>
      </c>
      <c r="I741" s="88">
        <f t="shared" si="134"/>
        <v>0</v>
      </c>
      <c r="J741" s="88">
        <f t="shared" si="134"/>
        <v>0</v>
      </c>
      <c r="K741" s="89">
        <f t="shared" si="134"/>
        <v>0</v>
      </c>
      <c r="L741" s="89">
        <f t="shared" si="134"/>
        <v>0</v>
      </c>
      <c r="M741" s="88">
        <f t="shared" si="134"/>
        <v>0</v>
      </c>
      <c r="O741" s="88">
        <f>O742</f>
        <v>0</v>
      </c>
      <c r="P741" s="88">
        <f>P742</f>
        <v>0</v>
      </c>
    </row>
    <row r="742" spans="1:16" ht="12.75" hidden="1" customHeight="1">
      <c r="A742" s="187" t="s">
        <v>569</v>
      </c>
      <c r="B742" s="188"/>
      <c r="C742" s="188"/>
      <c r="D742" s="188"/>
      <c r="E742" s="189">
        <f t="shared" si="128"/>
        <v>0</v>
      </c>
      <c r="F742" s="190" t="e">
        <f t="shared" si="127"/>
        <v>#DIV/0!</v>
      </c>
      <c r="H742" s="88"/>
      <c r="I742" s="88"/>
      <c r="J742" s="88"/>
      <c r="K742" s="89"/>
      <c r="L742" s="89"/>
      <c r="M742" s="88"/>
      <c r="O742" s="88"/>
      <c r="P742" s="88"/>
    </row>
    <row r="743" spans="1:16" ht="12.75" hidden="1" customHeight="1">
      <c r="A743" s="187" t="s">
        <v>570</v>
      </c>
      <c r="B743" s="188">
        <v>0</v>
      </c>
      <c r="C743" s="188">
        <v>0</v>
      </c>
      <c r="D743" s="188">
        <v>0</v>
      </c>
      <c r="E743" s="189">
        <f t="shared" si="128"/>
        <v>0</v>
      </c>
      <c r="F743" s="190" t="e">
        <f t="shared" si="127"/>
        <v>#DIV/0!</v>
      </c>
      <c r="H743" s="88">
        <f t="shared" ref="H743:M743" si="135">SUM(H744:H748)</f>
        <v>0</v>
      </c>
      <c r="I743" s="88">
        <f t="shared" si="135"/>
        <v>0</v>
      </c>
      <c r="J743" s="88">
        <f t="shared" si="135"/>
        <v>0</v>
      </c>
      <c r="K743" s="89">
        <f t="shared" si="135"/>
        <v>0</v>
      </c>
      <c r="L743" s="89">
        <f t="shared" si="135"/>
        <v>0</v>
      </c>
      <c r="M743" s="88">
        <f t="shared" si="135"/>
        <v>0</v>
      </c>
      <c r="O743" s="88">
        <f>SUM(O744:O748)</f>
        <v>0</v>
      </c>
      <c r="P743" s="88">
        <f>SUM(P744:P748)</f>
        <v>0</v>
      </c>
    </row>
    <row r="744" spans="1:16" ht="12.75" hidden="1" customHeight="1">
      <c r="A744" s="187" t="s">
        <v>571</v>
      </c>
      <c r="B744" s="188"/>
      <c r="C744" s="188"/>
      <c r="D744" s="188"/>
      <c r="E744" s="189">
        <f t="shared" si="128"/>
        <v>0</v>
      </c>
      <c r="F744" s="190" t="e">
        <f t="shared" si="127"/>
        <v>#DIV/0!</v>
      </c>
      <c r="H744" s="88"/>
      <c r="I744" s="88"/>
      <c r="J744" s="88"/>
      <c r="K744" s="89"/>
      <c r="L744" s="89"/>
      <c r="M744" s="88"/>
      <c r="O744" s="88"/>
      <c r="P744" s="88"/>
    </row>
    <row r="745" spans="1:16" ht="12.75" hidden="1" customHeight="1">
      <c r="A745" s="187" t="s">
        <v>572</v>
      </c>
      <c r="B745" s="188"/>
      <c r="C745" s="188"/>
      <c r="D745" s="188"/>
      <c r="E745" s="189">
        <f t="shared" si="128"/>
        <v>0</v>
      </c>
      <c r="F745" s="190" t="e">
        <f t="shared" si="127"/>
        <v>#DIV/0!</v>
      </c>
      <c r="H745" s="88"/>
      <c r="I745" s="88"/>
      <c r="J745" s="88"/>
      <c r="K745" s="89"/>
      <c r="L745" s="89"/>
      <c r="M745" s="88"/>
      <c r="O745" s="88"/>
      <c r="P745" s="88"/>
    </row>
    <row r="746" spans="1:16" ht="12.75" hidden="1" customHeight="1">
      <c r="A746" s="187" t="s">
        <v>573</v>
      </c>
      <c r="B746" s="188"/>
      <c r="C746" s="188"/>
      <c r="D746" s="188"/>
      <c r="E746" s="189">
        <f t="shared" si="128"/>
        <v>0</v>
      </c>
      <c r="F746" s="190" t="e">
        <f t="shared" si="127"/>
        <v>#DIV/0!</v>
      </c>
      <c r="H746" s="88"/>
      <c r="I746" s="88"/>
      <c r="J746" s="88"/>
      <c r="K746" s="89"/>
      <c r="L746" s="89"/>
      <c r="M746" s="88"/>
      <c r="O746" s="88"/>
      <c r="P746" s="88"/>
    </row>
    <row r="747" spans="1:16" ht="12.75" hidden="1" customHeight="1">
      <c r="A747" s="187" t="s">
        <v>574</v>
      </c>
      <c r="B747" s="188"/>
      <c r="C747" s="188"/>
      <c r="D747" s="188"/>
      <c r="E747" s="189">
        <f t="shared" si="128"/>
        <v>0</v>
      </c>
      <c r="F747" s="190" t="e">
        <f t="shared" si="127"/>
        <v>#DIV/0!</v>
      </c>
      <c r="H747" s="88"/>
      <c r="I747" s="88"/>
      <c r="J747" s="88"/>
      <c r="K747" s="89"/>
      <c r="L747" s="89"/>
      <c r="M747" s="88"/>
      <c r="O747" s="88"/>
      <c r="P747" s="88"/>
    </row>
    <row r="748" spans="1:16" ht="12.75" hidden="1" customHeight="1">
      <c r="A748" s="187" t="s">
        <v>575</v>
      </c>
      <c r="B748" s="188"/>
      <c r="C748" s="188"/>
      <c r="D748" s="188"/>
      <c r="E748" s="189">
        <f t="shared" si="128"/>
        <v>0</v>
      </c>
      <c r="F748" s="190" t="e">
        <f t="shared" si="127"/>
        <v>#DIV/0!</v>
      </c>
      <c r="H748" s="88"/>
      <c r="I748" s="88"/>
      <c r="J748" s="88"/>
      <c r="K748" s="89"/>
      <c r="L748" s="89"/>
      <c r="M748" s="88"/>
      <c r="O748" s="88"/>
      <c r="P748" s="88"/>
    </row>
    <row r="749" spans="1:16" ht="12.75" hidden="1" customHeight="1">
      <c r="A749" s="187" t="s">
        <v>576</v>
      </c>
      <c r="B749" s="188">
        <v>0</v>
      </c>
      <c r="C749" s="188">
        <v>0</v>
      </c>
      <c r="D749" s="188">
        <v>0</v>
      </c>
      <c r="E749" s="189">
        <f t="shared" si="128"/>
        <v>0</v>
      </c>
      <c r="F749" s="190" t="e">
        <f t="shared" si="127"/>
        <v>#DIV/0!</v>
      </c>
      <c r="H749" s="88">
        <f t="shared" ref="H749:M749" si="136">H750</f>
        <v>0</v>
      </c>
      <c r="I749" s="88">
        <f t="shared" si="136"/>
        <v>0</v>
      </c>
      <c r="J749" s="88">
        <f t="shared" si="136"/>
        <v>0</v>
      </c>
      <c r="K749" s="89">
        <f t="shared" si="136"/>
        <v>0</v>
      </c>
      <c r="L749" s="89">
        <f t="shared" si="136"/>
        <v>0</v>
      </c>
      <c r="M749" s="88">
        <f t="shared" si="136"/>
        <v>0</v>
      </c>
      <c r="O749" s="88">
        <f>O750</f>
        <v>0</v>
      </c>
      <c r="P749" s="88">
        <f>P750</f>
        <v>0</v>
      </c>
    </row>
    <row r="750" spans="1:16" ht="12.75" hidden="1" customHeight="1">
      <c r="A750" s="187" t="s">
        <v>577</v>
      </c>
      <c r="B750" s="188"/>
      <c r="C750" s="188"/>
      <c r="D750" s="188"/>
      <c r="E750" s="189">
        <f t="shared" si="128"/>
        <v>0</v>
      </c>
      <c r="F750" s="190" t="e">
        <f t="shared" si="127"/>
        <v>#DIV/0!</v>
      </c>
      <c r="H750" s="88"/>
      <c r="I750" s="88"/>
      <c r="J750" s="88"/>
      <c r="K750" s="89"/>
      <c r="L750" s="89"/>
      <c r="M750" s="88"/>
      <c r="O750" s="88"/>
      <c r="P750" s="88"/>
    </row>
    <row r="751" spans="1:16" ht="12.75" hidden="1" customHeight="1">
      <c r="A751" s="187" t="s">
        <v>578</v>
      </c>
      <c r="B751" s="188">
        <v>0</v>
      </c>
      <c r="C751" s="188">
        <v>0</v>
      </c>
      <c r="D751" s="188">
        <v>0</v>
      </c>
      <c r="E751" s="189">
        <f t="shared" si="128"/>
        <v>0</v>
      </c>
      <c r="F751" s="190" t="e">
        <f t="shared" si="127"/>
        <v>#DIV/0!</v>
      </c>
      <c r="H751" s="88">
        <f t="shared" ref="H751:M751" si="137">H752</f>
        <v>0</v>
      </c>
      <c r="I751" s="88">
        <f t="shared" si="137"/>
        <v>0</v>
      </c>
      <c r="J751" s="88">
        <f t="shared" si="137"/>
        <v>0</v>
      </c>
      <c r="K751" s="89">
        <f t="shared" si="137"/>
        <v>0</v>
      </c>
      <c r="L751" s="89">
        <f t="shared" si="137"/>
        <v>0</v>
      </c>
      <c r="M751" s="88">
        <f t="shared" si="137"/>
        <v>0</v>
      </c>
      <c r="O751" s="88">
        <f>O752</f>
        <v>0</v>
      </c>
      <c r="P751" s="88">
        <f>P752</f>
        <v>0</v>
      </c>
    </row>
    <row r="752" spans="1:16" ht="12.75" hidden="1" customHeight="1">
      <c r="A752" s="187" t="s">
        <v>579</v>
      </c>
      <c r="B752" s="188"/>
      <c r="C752" s="188"/>
      <c r="D752" s="188"/>
      <c r="E752" s="189">
        <f t="shared" si="128"/>
        <v>0</v>
      </c>
      <c r="F752" s="190" t="e">
        <f t="shared" si="127"/>
        <v>#DIV/0!</v>
      </c>
      <c r="H752" s="88"/>
      <c r="I752" s="88"/>
      <c r="J752" s="88"/>
      <c r="K752" s="89"/>
      <c r="L752" s="89"/>
      <c r="M752" s="88"/>
      <c r="O752" s="88"/>
      <c r="P752" s="88"/>
    </row>
    <row r="753" spans="1:16" ht="12.75" hidden="1" customHeight="1">
      <c r="A753" s="187" t="s">
        <v>580</v>
      </c>
      <c r="B753" s="188"/>
      <c r="C753" s="188"/>
      <c r="D753" s="188"/>
      <c r="E753" s="189">
        <f t="shared" si="128"/>
        <v>0</v>
      </c>
      <c r="F753" s="190" t="e">
        <f t="shared" si="127"/>
        <v>#DIV/0!</v>
      </c>
      <c r="H753" s="88">
        <f t="shared" ref="H753:M753" si="138">SUM(H754:H768)</f>
        <v>0</v>
      </c>
      <c r="I753" s="88">
        <f t="shared" si="138"/>
        <v>0</v>
      </c>
      <c r="J753" s="88">
        <f t="shared" si="138"/>
        <v>0</v>
      </c>
      <c r="K753" s="89">
        <f t="shared" si="138"/>
        <v>0</v>
      </c>
      <c r="L753" s="89">
        <f t="shared" si="138"/>
        <v>0</v>
      </c>
      <c r="M753" s="88">
        <f t="shared" si="138"/>
        <v>0</v>
      </c>
      <c r="O753" s="88">
        <f>SUM(O754:O768)</f>
        <v>0</v>
      </c>
      <c r="P753" s="88">
        <f>SUM(P754:P768)</f>
        <v>0</v>
      </c>
    </row>
    <row r="754" spans="1:16" ht="12.75" hidden="1" customHeight="1">
      <c r="A754" s="187" t="s">
        <v>13</v>
      </c>
      <c r="B754" s="188"/>
      <c r="C754" s="188"/>
      <c r="D754" s="188"/>
      <c r="E754" s="189">
        <f t="shared" si="128"/>
        <v>0</v>
      </c>
      <c r="F754" s="190" t="e">
        <f t="shared" si="127"/>
        <v>#DIV/0!</v>
      </c>
      <c r="H754" s="88"/>
      <c r="I754" s="88"/>
      <c r="J754" s="88"/>
      <c r="K754" s="89"/>
      <c r="L754" s="89"/>
      <c r="M754" s="88"/>
      <c r="O754" s="88"/>
      <c r="P754" s="88"/>
    </row>
    <row r="755" spans="1:16" ht="12.75" hidden="1" customHeight="1">
      <c r="A755" s="187" t="s">
        <v>14</v>
      </c>
      <c r="B755" s="188"/>
      <c r="C755" s="188"/>
      <c r="D755" s="188"/>
      <c r="E755" s="189">
        <f t="shared" si="128"/>
        <v>0</v>
      </c>
      <c r="F755" s="190" t="e">
        <f t="shared" si="127"/>
        <v>#DIV/0!</v>
      </c>
      <c r="H755" s="88"/>
      <c r="I755" s="88"/>
      <c r="J755" s="88"/>
      <c r="K755" s="89"/>
      <c r="L755" s="89"/>
      <c r="M755" s="88"/>
      <c r="O755" s="88"/>
      <c r="P755" s="88"/>
    </row>
    <row r="756" spans="1:16" ht="12.75" hidden="1" customHeight="1">
      <c r="A756" s="187" t="s">
        <v>15</v>
      </c>
      <c r="B756" s="188"/>
      <c r="C756" s="188"/>
      <c r="D756" s="188"/>
      <c r="E756" s="189">
        <f t="shared" si="128"/>
        <v>0</v>
      </c>
      <c r="F756" s="190" t="e">
        <f t="shared" si="127"/>
        <v>#DIV/0!</v>
      </c>
      <c r="H756" s="88"/>
      <c r="I756" s="88"/>
      <c r="J756" s="88"/>
      <c r="K756" s="89"/>
      <c r="L756" s="89"/>
      <c r="M756" s="88"/>
      <c r="O756" s="88"/>
      <c r="P756" s="88"/>
    </row>
    <row r="757" spans="1:16" ht="12.75" hidden="1" customHeight="1">
      <c r="A757" s="187" t="s">
        <v>581</v>
      </c>
      <c r="B757" s="188"/>
      <c r="C757" s="188"/>
      <c r="D757" s="188"/>
      <c r="E757" s="189">
        <f t="shared" si="128"/>
        <v>0</v>
      </c>
      <c r="F757" s="190" t="e">
        <f t="shared" si="127"/>
        <v>#DIV/0!</v>
      </c>
      <c r="H757" s="88"/>
      <c r="I757" s="88"/>
      <c r="J757" s="88"/>
      <c r="K757" s="89"/>
      <c r="L757" s="89"/>
      <c r="M757" s="88"/>
      <c r="O757" s="88"/>
      <c r="P757" s="88"/>
    </row>
    <row r="758" spans="1:16" ht="12.75" hidden="1" customHeight="1">
      <c r="A758" s="187" t="s">
        <v>582</v>
      </c>
      <c r="B758" s="188"/>
      <c r="C758" s="188"/>
      <c r="D758" s="188"/>
      <c r="E758" s="189">
        <f t="shared" si="128"/>
        <v>0</v>
      </c>
      <c r="F758" s="190" t="e">
        <f t="shared" si="127"/>
        <v>#DIV/0!</v>
      </c>
      <c r="H758" s="88"/>
      <c r="I758" s="88"/>
      <c r="J758" s="88"/>
      <c r="K758" s="89"/>
      <c r="L758" s="89"/>
      <c r="M758" s="88"/>
      <c r="O758" s="88"/>
      <c r="P758" s="88"/>
    </row>
    <row r="759" spans="1:16" ht="12.75" hidden="1" customHeight="1">
      <c r="A759" s="187" t="s">
        <v>583</v>
      </c>
      <c r="B759" s="188"/>
      <c r="C759" s="188"/>
      <c r="D759" s="188"/>
      <c r="E759" s="189">
        <f t="shared" si="128"/>
        <v>0</v>
      </c>
      <c r="F759" s="190" t="e">
        <f t="shared" si="127"/>
        <v>#DIV/0!</v>
      </c>
      <c r="H759" s="88"/>
      <c r="I759" s="88"/>
      <c r="J759" s="88"/>
      <c r="K759" s="89"/>
      <c r="L759" s="89"/>
      <c r="M759" s="88"/>
      <c r="O759" s="88"/>
      <c r="P759" s="88"/>
    </row>
    <row r="760" spans="1:16" ht="12.75" hidden="1" customHeight="1">
      <c r="A760" s="187" t="s">
        <v>584</v>
      </c>
      <c r="B760" s="188"/>
      <c r="C760" s="188"/>
      <c r="D760" s="188"/>
      <c r="E760" s="189">
        <f t="shared" si="128"/>
        <v>0</v>
      </c>
      <c r="F760" s="190" t="e">
        <f t="shared" si="127"/>
        <v>#DIV/0!</v>
      </c>
      <c r="H760" s="88"/>
      <c r="I760" s="88"/>
      <c r="J760" s="88"/>
      <c r="K760" s="89"/>
      <c r="L760" s="89"/>
      <c r="M760" s="88"/>
      <c r="O760" s="88"/>
      <c r="P760" s="88"/>
    </row>
    <row r="761" spans="1:16" ht="12.75" hidden="1" customHeight="1">
      <c r="A761" s="187" t="s">
        <v>585</v>
      </c>
      <c r="B761" s="188"/>
      <c r="C761" s="188"/>
      <c r="D761" s="188"/>
      <c r="E761" s="189">
        <f t="shared" si="128"/>
        <v>0</v>
      </c>
      <c r="F761" s="190" t="e">
        <f t="shared" si="127"/>
        <v>#DIV/0!</v>
      </c>
      <c r="H761" s="88"/>
      <c r="I761" s="88"/>
      <c r="J761" s="88"/>
      <c r="K761" s="89"/>
      <c r="L761" s="89"/>
      <c r="M761" s="88"/>
      <c r="O761" s="88"/>
      <c r="P761" s="88"/>
    </row>
    <row r="762" spans="1:16" ht="12.75" hidden="1" customHeight="1">
      <c r="A762" s="187" t="s">
        <v>586</v>
      </c>
      <c r="B762" s="188"/>
      <c r="C762" s="188"/>
      <c r="D762" s="188"/>
      <c r="E762" s="189">
        <f t="shared" si="128"/>
        <v>0</v>
      </c>
      <c r="F762" s="190" t="e">
        <f t="shared" si="127"/>
        <v>#DIV/0!</v>
      </c>
      <c r="H762" s="88"/>
      <c r="I762" s="88"/>
      <c r="J762" s="88"/>
      <c r="K762" s="89"/>
      <c r="L762" s="89"/>
      <c r="M762" s="88"/>
      <c r="O762" s="88"/>
      <c r="P762" s="88"/>
    </row>
    <row r="763" spans="1:16" ht="12.75" hidden="1" customHeight="1">
      <c r="A763" s="187" t="s">
        <v>587</v>
      </c>
      <c r="B763" s="188"/>
      <c r="C763" s="188"/>
      <c r="D763" s="188"/>
      <c r="E763" s="189">
        <f t="shared" si="128"/>
        <v>0</v>
      </c>
      <c r="F763" s="190" t="e">
        <f t="shared" si="127"/>
        <v>#DIV/0!</v>
      </c>
      <c r="H763" s="88"/>
      <c r="I763" s="88"/>
      <c r="J763" s="88"/>
      <c r="K763" s="89"/>
      <c r="L763" s="89"/>
      <c r="M763" s="88"/>
      <c r="O763" s="88"/>
      <c r="P763" s="88"/>
    </row>
    <row r="764" spans="1:16" ht="12.75" hidden="1" customHeight="1">
      <c r="A764" s="187" t="s">
        <v>55</v>
      </c>
      <c r="B764" s="188"/>
      <c r="C764" s="188"/>
      <c r="D764" s="188"/>
      <c r="E764" s="189">
        <f t="shared" si="128"/>
        <v>0</v>
      </c>
      <c r="F764" s="190" t="e">
        <f t="shared" si="127"/>
        <v>#DIV/0!</v>
      </c>
      <c r="H764" s="88"/>
      <c r="I764" s="88"/>
      <c r="J764" s="88"/>
      <c r="K764" s="89"/>
      <c r="L764" s="89"/>
      <c r="M764" s="88"/>
      <c r="O764" s="88"/>
      <c r="P764" s="88"/>
    </row>
    <row r="765" spans="1:16" ht="12.75" hidden="1" customHeight="1">
      <c r="A765" s="187" t="s">
        <v>588</v>
      </c>
      <c r="B765" s="188"/>
      <c r="C765" s="188"/>
      <c r="D765" s="188"/>
      <c r="E765" s="189">
        <f t="shared" si="128"/>
        <v>0</v>
      </c>
      <c r="F765" s="190" t="e">
        <f t="shared" si="127"/>
        <v>#DIV/0!</v>
      </c>
      <c r="H765" s="88"/>
      <c r="I765" s="88"/>
      <c r="J765" s="88"/>
      <c r="K765" s="89"/>
      <c r="L765" s="89"/>
      <c r="M765" s="88"/>
      <c r="O765" s="88"/>
      <c r="P765" s="88"/>
    </row>
    <row r="766" spans="1:16" ht="12.75" hidden="1" customHeight="1">
      <c r="A766" s="187" t="s">
        <v>589</v>
      </c>
      <c r="B766" s="188"/>
      <c r="C766" s="188"/>
      <c r="D766" s="188"/>
      <c r="E766" s="189">
        <f t="shared" si="128"/>
        <v>0</v>
      </c>
      <c r="F766" s="190" t="e">
        <f t="shared" si="127"/>
        <v>#DIV/0!</v>
      </c>
      <c r="H766" s="88"/>
      <c r="I766" s="88"/>
      <c r="J766" s="88"/>
      <c r="K766" s="89"/>
      <c r="L766" s="89"/>
      <c r="M766" s="88"/>
      <c r="O766" s="88"/>
      <c r="P766" s="88"/>
    </row>
    <row r="767" spans="1:16" ht="12.75" hidden="1" customHeight="1">
      <c r="A767" s="187" t="s">
        <v>22</v>
      </c>
      <c r="B767" s="188"/>
      <c r="C767" s="188"/>
      <c r="D767" s="188"/>
      <c r="E767" s="189">
        <f t="shared" si="128"/>
        <v>0</v>
      </c>
      <c r="F767" s="190" t="e">
        <f t="shared" si="127"/>
        <v>#DIV/0!</v>
      </c>
      <c r="H767" s="88"/>
      <c r="I767" s="88"/>
      <c r="J767" s="88"/>
      <c r="K767" s="89"/>
      <c r="L767" s="89"/>
      <c r="M767" s="88"/>
      <c r="O767" s="88"/>
      <c r="P767" s="88"/>
    </row>
    <row r="768" spans="1:16" ht="12.75" hidden="1" customHeight="1">
      <c r="A768" s="187" t="s">
        <v>590</v>
      </c>
      <c r="B768" s="188"/>
      <c r="C768" s="188"/>
      <c r="D768" s="188"/>
      <c r="E768" s="189">
        <f t="shared" si="128"/>
        <v>0</v>
      </c>
      <c r="F768" s="190" t="e">
        <f t="shared" si="127"/>
        <v>#DIV/0!</v>
      </c>
      <c r="H768" s="88"/>
      <c r="I768" s="88"/>
      <c r="J768" s="88"/>
      <c r="K768" s="89"/>
      <c r="L768" s="89"/>
      <c r="M768" s="88"/>
      <c r="O768" s="88"/>
      <c r="P768" s="88"/>
    </row>
    <row r="769" spans="1:16" ht="12.75" hidden="1" customHeight="1">
      <c r="A769" s="187" t="s">
        <v>591</v>
      </c>
      <c r="B769" s="188">
        <v>0</v>
      </c>
      <c r="C769" s="188">
        <v>0</v>
      </c>
      <c r="D769" s="188">
        <v>0</v>
      </c>
      <c r="E769" s="189">
        <f t="shared" si="128"/>
        <v>0</v>
      </c>
      <c r="F769" s="190" t="e">
        <f t="shared" si="127"/>
        <v>#DIV/0!</v>
      </c>
      <c r="H769" s="88">
        <f t="shared" ref="H769:M769" si="139">H770</f>
        <v>0</v>
      </c>
      <c r="I769" s="88">
        <f t="shared" si="139"/>
        <v>0</v>
      </c>
      <c r="J769" s="88">
        <f t="shared" si="139"/>
        <v>0</v>
      </c>
      <c r="K769" s="89">
        <f t="shared" si="139"/>
        <v>0</v>
      </c>
      <c r="L769" s="89">
        <f t="shared" si="139"/>
        <v>0</v>
      </c>
      <c r="M769" s="88">
        <f t="shared" si="139"/>
        <v>0</v>
      </c>
      <c r="O769" s="88">
        <f>O770</f>
        <v>0</v>
      </c>
      <c r="P769" s="88">
        <f>P770</f>
        <v>0</v>
      </c>
    </row>
    <row r="770" spans="1:16" ht="12.75" hidden="1" customHeight="1">
      <c r="A770" s="187" t="s">
        <v>592</v>
      </c>
      <c r="B770" s="188"/>
      <c r="C770" s="188"/>
      <c r="D770" s="188"/>
      <c r="E770" s="189">
        <f t="shared" si="128"/>
        <v>0</v>
      </c>
      <c r="F770" s="190" t="e">
        <f t="shared" si="127"/>
        <v>#DIV/0!</v>
      </c>
      <c r="H770" s="88"/>
      <c r="I770" s="88"/>
      <c r="J770" s="88"/>
      <c r="K770" s="89"/>
      <c r="L770" s="89"/>
      <c r="M770" s="88"/>
      <c r="O770" s="88"/>
      <c r="P770" s="88"/>
    </row>
    <row r="771" spans="1:16">
      <c r="A771" s="179" t="s">
        <v>593</v>
      </c>
      <c r="B771" s="182">
        <f>B772+B784+B786+B789+B791+B793+B797+B795+B796</f>
        <v>170371.67</v>
      </c>
      <c r="C771" s="182">
        <f>C772+C784+C786+C789+C797</f>
        <v>124976.67000000001</v>
      </c>
      <c r="D771" s="182">
        <f>D772+D784+D786+D789+D791+D793+D797+D795+D796</f>
        <v>81382.23000000001</v>
      </c>
      <c r="E771" s="185">
        <f t="shared" si="128"/>
        <v>-43594.44</v>
      </c>
      <c r="F771" s="186">
        <f t="shared" si="127"/>
        <v>-34.882062388124119</v>
      </c>
      <c r="H771" s="88">
        <f t="shared" ref="H771:M771" si="140">H772+H784+H786+H789+H791+H793</f>
        <v>135018</v>
      </c>
      <c r="I771" s="88">
        <f t="shared" si="140"/>
        <v>4827</v>
      </c>
      <c r="J771" s="88">
        <f t="shared" si="140"/>
        <v>0</v>
      </c>
      <c r="K771" s="89">
        <f t="shared" si="140"/>
        <v>-53382</v>
      </c>
      <c r="L771" s="89">
        <f t="shared" si="140"/>
        <v>755</v>
      </c>
      <c r="M771" s="88">
        <f t="shared" si="140"/>
        <v>0</v>
      </c>
      <c r="O771" s="88">
        <f>O772+O784+O786+O789+O791+O793</f>
        <v>0</v>
      </c>
      <c r="P771" s="88">
        <f>P772+P784+P786+P789+P791+P793</f>
        <v>0</v>
      </c>
    </row>
    <row r="772" spans="1:16">
      <c r="A772" s="187" t="s">
        <v>594</v>
      </c>
      <c r="B772" s="188">
        <v>14817.44</v>
      </c>
      <c r="C772" s="188">
        <v>14817.44</v>
      </c>
      <c r="D772" s="188">
        <v>11629.14</v>
      </c>
      <c r="E772" s="189">
        <f t="shared" si="128"/>
        <v>-3188.3000000000011</v>
      </c>
      <c r="F772" s="190">
        <f t="shared" si="127"/>
        <v>-21.517212150007026</v>
      </c>
      <c r="H772" s="88">
        <f t="shared" ref="H772:M772" si="141">SUM(H773:H783)</f>
        <v>2925</v>
      </c>
      <c r="I772" s="88">
        <f t="shared" si="141"/>
        <v>2248</v>
      </c>
      <c r="J772" s="88">
        <f t="shared" si="141"/>
        <v>0</v>
      </c>
      <c r="K772" s="89">
        <f t="shared" si="141"/>
        <v>0</v>
      </c>
      <c r="L772" s="89">
        <f t="shared" si="141"/>
        <v>55</v>
      </c>
      <c r="M772" s="88">
        <f t="shared" si="141"/>
        <v>0</v>
      </c>
      <c r="O772" s="88">
        <f>SUM(O773:O783)</f>
        <v>0</v>
      </c>
      <c r="P772" s="88">
        <f>SUM(P773:P783)</f>
        <v>0</v>
      </c>
    </row>
    <row r="773" spans="1:16" ht="12.75" hidden="1" customHeight="1">
      <c r="A773" s="187" t="s">
        <v>13</v>
      </c>
      <c r="B773" s="188"/>
      <c r="C773" s="188"/>
      <c r="D773" s="188"/>
      <c r="E773" s="189">
        <f t="shared" si="128"/>
        <v>0</v>
      </c>
      <c r="F773" s="190" t="e">
        <f t="shared" si="127"/>
        <v>#DIV/0!</v>
      </c>
      <c r="H773" s="88">
        <v>925</v>
      </c>
      <c r="I773" s="88">
        <v>879</v>
      </c>
      <c r="J773" s="88"/>
      <c r="K773" s="89"/>
      <c r="L773" s="89"/>
      <c r="M773" s="88"/>
      <c r="O773" s="88"/>
      <c r="P773" s="88"/>
    </row>
    <row r="774" spans="1:16" ht="12.75" hidden="1" customHeight="1">
      <c r="A774" s="187" t="s">
        <v>14</v>
      </c>
      <c r="B774" s="188"/>
      <c r="C774" s="188"/>
      <c r="D774" s="188"/>
      <c r="E774" s="189">
        <f t="shared" si="128"/>
        <v>0</v>
      </c>
      <c r="F774" s="190" t="e">
        <f t="shared" si="127"/>
        <v>#DIV/0!</v>
      </c>
      <c r="H774" s="88">
        <v>2000</v>
      </c>
      <c r="I774" s="88">
        <v>0</v>
      </c>
      <c r="J774" s="88"/>
      <c r="K774" s="89"/>
      <c r="L774" s="89"/>
      <c r="M774" s="88"/>
      <c r="O774" s="88"/>
      <c r="P774" s="88"/>
    </row>
    <row r="775" spans="1:16" ht="12.75" hidden="1" customHeight="1">
      <c r="A775" s="187" t="s">
        <v>15</v>
      </c>
      <c r="B775" s="188"/>
      <c r="C775" s="188"/>
      <c r="D775" s="188"/>
      <c r="E775" s="189">
        <f t="shared" si="128"/>
        <v>0</v>
      </c>
      <c r="F775" s="190" t="e">
        <f t="shared" si="127"/>
        <v>#DIV/0!</v>
      </c>
      <c r="H775" s="88"/>
      <c r="I775" s="88"/>
      <c r="J775" s="88"/>
      <c r="K775" s="89"/>
      <c r="L775" s="89"/>
      <c r="M775" s="88"/>
      <c r="O775" s="88"/>
      <c r="P775" s="88"/>
    </row>
    <row r="776" spans="1:16" ht="12.75" hidden="1" customHeight="1">
      <c r="A776" s="187" t="s">
        <v>595</v>
      </c>
      <c r="B776" s="188"/>
      <c r="C776" s="188"/>
      <c r="D776" s="188"/>
      <c r="E776" s="189">
        <f t="shared" si="128"/>
        <v>0</v>
      </c>
      <c r="F776" s="190" t="e">
        <f t="shared" si="127"/>
        <v>#DIV/0!</v>
      </c>
      <c r="H776" s="88"/>
      <c r="I776" s="88">
        <v>948</v>
      </c>
      <c r="J776" s="88"/>
      <c r="K776" s="89"/>
      <c r="L776" s="89">
        <v>55</v>
      </c>
      <c r="M776" s="88"/>
      <c r="O776" s="88"/>
      <c r="P776" s="88"/>
    </row>
    <row r="777" spans="1:16" ht="12.75" hidden="1" customHeight="1">
      <c r="A777" s="187" t="s">
        <v>596</v>
      </c>
      <c r="B777" s="188"/>
      <c r="C777" s="188"/>
      <c r="D777" s="188"/>
      <c r="E777" s="189">
        <f t="shared" si="128"/>
        <v>0</v>
      </c>
      <c r="F777" s="190" t="e">
        <f t="shared" si="127"/>
        <v>#DIV/0!</v>
      </c>
      <c r="H777" s="88"/>
      <c r="I777" s="88"/>
      <c r="J777" s="88"/>
      <c r="K777" s="89"/>
      <c r="L777" s="89"/>
      <c r="M777" s="88"/>
      <c r="O777" s="88"/>
      <c r="P777" s="88"/>
    </row>
    <row r="778" spans="1:16" ht="12.75" hidden="1" customHeight="1">
      <c r="A778" s="187" t="s">
        <v>597</v>
      </c>
      <c r="B778" s="188"/>
      <c r="C778" s="188"/>
      <c r="D778" s="188"/>
      <c r="E778" s="189">
        <f t="shared" si="128"/>
        <v>0</v>
      </c>
      <c r="F778" s="190" t="e">
        <f t="shared" si="127"/>
        <v>#DIV/0!</v>
      </c>
      <c r="H778" s="88"/>
      <c r="I778" s="88"/>
      <c r="J778" s="88"/>
      <c r="K778" s="89"/>
      <c r="L778" s="89"/>
      <c r="M778" s="88"/>
      <c r="O778" s="88"/>
      <c r="P778" s="88"/>
    </row>
    <row r="779" spans="1:16" ht="12.75" hidden="1" customHeight="1">
      <c r="A779" s="187" t="s">
        <v>598</v>
      </c>
      <c r="B779" s="188"/>
      <c r="C779" s="188"/>
      <c r="D779" s="188"/>
      <c r="E779" s="189">
        <f t="shared" si="128"/>
        <v>0</v>
      </c>
      <c r="F779" s="190" t="e">
        <f t="shared" ref="F779:F845" si="142">E779/C779*100</f>
        <v>#DIV/0!</v>
      </c>
      <c r="H779" s="88"/>
      <c r="I779" s="88"/>
      <c r="J779" s="88"/>
      <c r="K779" s="89"/>
      <c r="L779" s="89"/>
      <c r="M779" s="88"/>
      <c r="O779" s="88"/>
      <c r="P779" s="88"/>
    </row>
    <row r="780" spans="1:16" ht="12.75" hidden="1" customHeight="1">
      <c r="A780" s="187" t="s">
        <v>599</v>
      </c>
      <c r="B780" s="188"/>
      <c r="C780" s="188"/>
      <c r="D780" s="188"/>
      <c r="E780" s="189">
        <f t="shared" si="128"/>
        <v>0</v>
      </c>
      <c r="F780" s="190" t="e">
        <f t="shared" si="142"/>
        <v>#DIV/0!</v>
      </c>
      <c r="H780" s="88"/>
      <c r="I780" s="88"/>
      <c r="J780" s="88"/>
      <c r="K780" s="89"/>
      <c r="L780" s="89"/>
      <c r="M780" s="88"/>
      <c r="O780" s="88"/>
      <c r="P780" s="88"/>
    </row>
    <row r="781" spans="1:16" ht="12.75" hidden="1" customHeight="1">
      <c r="A781" s="187" t="s">
        <v>600</v>
      </c>
      <c r="B781" s="188"/>
      <c r="C781" s="188"/>
      <c r="D781" s="188"/>
      <c r="E781" s="189">
        <f t="shared" ref="E781:E847" si="143">D781-C781</f>
        <v>0</v>
      </c>
      <c r="F781" s="190" t="e">
        <f t="shared" si="142"/>
        <v>#DIV/0!</v>
      </c>
      <c r="H781" s="88"/>
      <c r="I781" s="88"/>
      <c r="J781" s="88"/>
      <c r="K781" s="89"/>
      <c r="L781" s="89"/>
      <c r="M781" s="88"/>
      <c r="O781" s="88"/>
      <c r="P781" s="88"/>
    </row>
    <row r="782" spans="1:16" ht="12.75" hidden="1" customHeight="1">
      <c r="A782" s="187" t="s">
        <v>601</v>
      </c>
      <c r="B782" s="188"/>
      <c r="C782" s="188"/>
      <c r="D782" s="188"/>
      <c r="E782" s="189">
        <f t="shared" si="143"/>
        <v>0</v>
      </c>
      <c r="F782" s="190" t="e">
        <f t="shared" si="142"/>
        <v>#DIV/0!</v>
      </c>
      <c r="H782" s="88"/>
      <c r="I782" s="88"/>
      <c r="J782" s="88"/>
      <c r="K782" s="89"/>
      <c r="L782" s="89"/>
      <c r="M782" s="88"/>
      <c r="O782" s="88"/>
      <c r="P782" s="88"/>
    </row>
    <row r="783" spans="1:16" ht="12.75" hidden="1" customHeight="1">
      <c r="A783" s="187" t="s">
        <v>602</v>
      </c>
      <c r="B783" s="188"/>
      <c r="C783" s="188"/>
      <c r="D783" s="188"/>
      <c r="E783" s="189">
        <f t="shared" si="143"/>
        <v>0</v>
      </c>
      <c r="F783" s="190" t="e">
        <f t="shared" si="142"/>
        <v>#DIV/0!</v>
      </c>
      <c r="H783" s="88"/>
      <c r="I783" s="88">
        <f>409+12</f>
        <v>421</v>
      </c>
      <c r="J783" s="88"/>
      <c r="K783" s="89"/>
      <c r="L783" s="89"/>
      <c r="M783" s="88"/>
      <c r="O783" s="88"/>
      <c r="P783" s="88"/>
    </row>
    <row r="784" spans="1:16">
      <c r="A784" s="187" t="s">
        <v>603</v>
      </c>
      <c r="B784" s="188">
        <v>5256.88</v>
      </c>
      <c r="C784" s="188">
        <v>3661.88</v>
      </c>
      <c r="D784" s="188">
        <v>4360.2700000000004</v>
      </c>
      <c r="E784" s="189">
        <f t="shared" si="143"/>
        <v>698.39000000000033</v>
      </c>
      <c r="F784" s="190">
        <f t="shared" si="142"/>
        <v>19.071897495275657</v>
      </c>
      <c r="H784" s="88">
        <f t="shared" ref="H784:M784" si="144">H785</f>
        <v>193</v>
      </c>
      <c r="I784" s="88">
        <f t="shared" si="144"/>
        <v>0</v>
      </c>
      <c r="J784" s="88">
        <f t="shared" si="144"/>
        <v>0</v>
      </c>
      <c r="K784" s="89">
        <f t="shared" si="144"/>
        <v>0</v>
      </c>
      <c r="L784" s="89">
        <f t="shared" si="144"/>
        <v>0</v>
      </c>
      <c r="M784" s="88">
        <f t="shared" si="144"/>
        <v>0</v>
      </c>
      <c r="O784" s="88">
        <f>O785</f>
        <v>0</v>
      </c>
      <c r="P784" s="88">
        <f>P785</f>
        <v>0</v>
      </c>
    </row>
    <row r="785" spans="1:16" ht="12.75" hidden="1" customHeight="1">
      <c r="A785" s="187" t="s">
        <v>604</v>
      </c>
      <c r="B785" s="188"/>
      <c r="C785" s="188"/>
      <c r="D785" s="188"/>
      <c r="E785" s="189">
        <f t="shared" si="143"/>
        <v>0</v>
      </c>
      <c r="F785" s="190" t="e">
        <f t="shared" si="142"/>
        <v>#DIV/0!</v>
      </c>
      <c r="H785" s="88">
        <v>193</v>
      </c>
      <c r="I785" s="88"/>
      <c r="J785" s="88"/>
      <c r="K785" s="89"/>
      <c r="L785" s="89"/>
      <c r="M785" s="88"/>
      <c r="O785" s="88"/>
      <c r="P785" s="88"/>
    </row>
    <row r="786" spans="1:16">
      <c r="A786" s="187" t="s">
        <v>605</v>
      </c>
      <c r="B786" s="188">
        <v>134000</v>
      </c>
      <c r="C786" s="188">
        <v>90200</v>
      </c>
      <c r="D786" s="188">
        <v>57900</v>
      </c>
      <c r="E786" s="189">
        <f t="shared" si="143"/>
        <v>-32300</v>
      </c>
      <c r="F786" s="190">
        <f t="shared" si="142"/>
        <v>-35.809312638580934</v>
      </c>
      <c r="H786" s="88">
        <f t="shared" ref="H786:M786" si="145">SUM(H787:H788)</f>
        <v>131900</v>
      </c>
      <c r="I786" s="88">
        <f t="shared" si="145"/>
        <v>1000</v>
      </c>
      <c r="J786" s="88">
        <f t="shared" si="145"/>
        <v>0</v>
      </c>
      <c r="K786" s="89">
        <f t="shared" si="145"/>
        <v>-53382</v>
      </c>
      <c r="L786" s="89">
        <f t="shared" si="145"/>
        <v>700</v>
      </c>
      <c r="M786" s="88">
        <f t="shared" si="145"/>
        <v>0</v>
      </c>
      <c r="O786" s="88">
        <f>SUM(O787:O788)</f>
        <v>0</v>
      </c>
      <c r="P786" s="88">
        <f>SUM(P787:P788)</f>
        <v>0</v>
      </c>
    </row>
    <row r="787" spans="1:16" ht="12.75" hidden="1" customHeight="1">
      <c r="A787" s="187" t="s">
        <v>606</v>
      </c>
      <c r="B787" s="188"/>
      <c r="C787" s="188"/>
      <c r="D787" s="188"/>
      <c r="E787" s="189">
        <f t="shared" si="143"/>
        <v>0</v>
      </c>
      <c r="F787" s="190" t="e">
        <f t="shared" si="142"/>
        <v>#DIV/0!</v>
      </c>
      <c r="H787" s="88">
        <v>131900</v>
      </c>
      <c r="I787" s="88"/>
      <c r="J787" s="88"/>
      <c r="K787" s="89">
        <v>-53382</v>
      </c>
      <c r="L787" s="89"/>
      <c r="M787" s="88"/>
      <c r="O787" s="88"/>
      <c r="P787" s="88"/>
    </row>
    <row r="788" spans="1:16" ht="12.75" hidden="1" customHeight="1">
      <c r="A788" s="187" t="s">
        <v>607</v>
      </c>
      <c r="B788" s="188"/>
      <c r="C788" s="188"/>
      <c r="D788" s="188"/>
      <c r="E788" s="189">
        <f t="shared" si="143"/>
        <v>0</v>
      </c>
      <c r="F788" s="190" t="e">
        <f t="shared" si="142"/>
        <v>#DIV/0!</v>
      </c>
      <c r="H788" s="88"/>
      <c r="I788" s="88">
        <v>1000</v>
      </c>
      <c r="J788" s="88"/>
      <c r="K788" s="89"/>
      <c r="L788" s="89">
        <v>700</v>
      </c>
      <c r="M788" s="88"/>
      <c r="O788" s="88"/>
      <c r="P788" s="88"/>
    </row>
    <row r="789" spans="1:16">
      <c r="A789" s="187" t="s">
        <v>608</v>
      </c>
      <c r="B789" s="188">
        <v>12197.35</v>
      </c>
      <c r="C789" s="188">
        <v>12197.35</v>
      </c>
      <c r="D789" s="188">
        <v>7492.82</v>
      </c>
      <c r="E789" s="189">
        <f t="shared" si="143"/>
        <v>-4704.5300000000007</v>
      </c>
      <c r="F789" s="190">
        <f t="shared" si="142"/>
        <v>-38.570099242868331</v>
      </c>
      <c r="H789" s="88">
        <f t="shared" ref="H789:M789" si="146">H790</f>
        <v>0</v>
      </c>
      <c r="I789" s="88">
        <f t="shared" si="146"/>
        <v>1579</v>
      </c>
      <c r="J789" s="88">
        <f t="shared" si="146"/>
        <v>0</v>
      </c>
      <c r="K789" s="89">
        <f t="shared" si="146"/>
        <v>0</v>
      </c>
      <c r="L789" s="89">
        <f t="shared" si="146"/>
        <v>0</v>
      </c>
      <c r="M789" s="88">
        <f t="shared" si="146"/>
        <v>0</v>
      </c>
      <c r="O789" s="88">
        <f>O790</f>
        <v>0</v>
      </c>
      <c r="P789" s="88">
        <f>P790</f>
        <v>0</v>
      </c>
    </row>
    <row r="790" spans="1:16" ht="12.75" hidden="1" customHeight="1">
      <c r="A790" s="187" t="s">
        <v>609</v>
      </c>
      <c r="B790" s="188"/>
      <c r="C790" s="188"/>
      <c r="D790" s="188"/>
      <c r="E790" s="189">
        <f t="shared" si="143"/>
        <v>0</v>
      </c>
      <c r="F790" s="190" t="e">
        <f t="shared" si="142"/>
        <v>#DIV/0!</v>
      </c>
      <c r="H790" s="88"/>
      <c r="I790" s="88">
        <v>1579</v>
      </c>
      <c r="J790" s="88"/>
      <c r="K790" s="89"/>
      <c r="L790" s="89"/>
      <c r="M790" s="88"/>
      <c r="O790" s="88"/>
      <c r="P790" s="88"/>
    </row>
    <row r="791" spans="1:16">
      <c r="A791" s="187" t="s">
        <v>610</v>
      </c>
      <c r="B791" s="188"/>
      <c r="C791" s="188"/>
      <c r="D791" s="188"/>
      <c r="E791" s="189"/>
      <c r="F791" s="190"/>
      <c r="H791" s="88">
        <f t="shared" ref="H791:M791" si="147">H792</f>
        <v>0</v>
      </c>
      <c r="I791" s="88">
        <f t="shared" si="147"/>
        <v>0</v>
      </c>
      <c r="J791" s="88">
        <f t="shared" si="147"/>
        <v>0</v>
      </c>
      <c r="K791" s="89">
        <f t="shared" si="147"/>
        <v>0</v>
      </c>
      <c r="L791" s="89">
        <f t="shared" si="147"/>
        <v>0</v>
      </c>
      <c r="M791" s="88">
        <f t="shared" si="147"/>
        <v>0</v>
      </c>
      <c r="O791" s="88">
        <f>O792</f>
        <v>0</v>
      </c>
      <c r="P791" s="88">
        <f>P792</f>
        <v>0</v>
      </c>
    </row>
    <row r="792" spans="1:16" ht="12.75" hidden="1" customHeight="1">
      <c r="A792" s="187" t="s">
        <v>611</v>
      </c>
      <c r="B792" s="188"/>
      <c r="C792" s="188"/>
      <c r="D792" s="188"/>
      <c r="E792" s="189"/>
      <c r="F792" s="190"/>
      <c r="H792" s="88"/>
      <c r="I792" s="88"/>
      <c r="J792" s="88"/>
      <c r="K792" s="89"/>
      <c r="L792" s="89"/>
      <c r="M792" s="88"/>
      <c r="O792" s="88"/>
      <c r="P792" s="88"/>
    </row>
    <row r="793" spans="1:16" ht="12.75" hidden="1" customHeight="1">
      <c r="A793" s="187" t="s">
        <v>612</v>
      </c>
      <c r="B793" s="188"/>
      <c r="C793" s="188"/>
      <c r="D793" s="188"/>
      <c r="E793" s="189"/>
      <c r="F793" s="190"/>
      <c r="H793" s="88">
        <f t="shared" ref="H793:M793" si="148">H794</f>
        <v>0</v>
      </c>
      <c r="I793" s="88">
        <f t="shared" si="148"/>
        <v>0</v>
      </c>
      <c r="J793" s="88">
        <f t="shared" si="148"/>
        <v>0</v>
      </c>
      <c r="K793" s="89">
        <f t="shared" si="148"/>
        <v>0</v>
      </c>
      <c r="L793" s="89">
        <f t="shared" si="148"/>
        <v>0</v>
      </c>
      <c r="M793" s="88">
        <f t="shared" si="148"/>
        <v>0</v>
      </c>
      <c r="O793" s="88">
        <f>O794</f>
        <v>0</v>
      </c>
      <c r="P793" s="88">
        <f>P794</f>
        <v>0</v>
      </c>
    </row>
    <row r="794" spans="1:16" ht="12.75" hidden="1" customHeight="1">
      <c r="A794" s="187" t="s">
        <v>613</v>
      </c>
      <c r="B794" s="188"/>
      <c r="C794" s="188"/>
      <c r="D794" s="188"/>
      <c r="E794" s="189"/>
      <c r="F794" s="190"/>
      <c r="H794" s="88"/>
      <c r="I794" s="88"/>
      <c r="J794" s="88"/>
      <c r="K794" s="89"/>
      <c r="L794" s="89"/>
      <c r="M794" s="88"/>
      <c r="O794" s="88"/>
      <c r="P794" s="88"/>
    </row>
    <row r="795" spans="1:16" ht="31.5" customHeight="1">
      <c r="A795" s="192" t="s">
        <v>1371</v>
      </c>
      <c r="B795" s="188"/>
      <c r="C795" s="188"/>
      <c r="D795" s="188"/>
      <c r="E795" s="189"/>
      <c r="F795" s="190"/>
      <c r="H795" s="88"/>
      <c r="I795" s="88"/>
      <c r="J795" s="88"/>
      <c r="K795" s="89"/>
      <c r="L795" s="89"/>
      <c r="M795" s="88"/>
      <c r="O795" s="88"/>
      <c r="P795" s="88"/>
    </row>
    <row r="796" spans="1:16" ht="27.75" customHeight="1">
      <c r="A796" s="192" t="s">
        <v>614</v>
      </c>
      <c r="B796" s="188"/>
      <c r="C796" s="188"/>
      <c r="D796" s="188"/>
      <c r="E796" s="189"/>
      <c r="F796" s="190"/>
      <c r="H796" s="88"/>
      <c r="I796" s="88"/>
      <c r="J796" s="88"/>
      <c r="K796" s="89"/>
      <c r="L796" s="89"/>
      <c r="M796" s="88"/>
      <c r="O796" s="88"/>
      <c r="P796" s="88"/>
    </row>
    <row r="797" spans="1:16" ht="12.75" customHeight="1">
      <c r="A797" s="187" t="s">
        <v>615</v>
      </c>
      <c r="B797" s="188">
        <v>4100</v>
      </c>
      <c r="C797" s="188">
        <v>4100</v>
      </c>
      <c r="D797" s="188"/>
      <c r="E797" s="189">
        <f t="shared" si="143"/>
        <v>-4100</v>
      </c>
      <c r="F797" s="190"/>
      <c r="H797" s="88"/>
      <c r="I797" s="88"/>
      <c r="J797" s="88"/>
      <c r="K797" s="89"/>
      <c r="L797" s="89"/>
      <c r="M797" s="88"/>
      <c r="O797" s="88"/>
      <c r="P797" s="88"/>
    </row>
    <row r="798" spans="1:16">
      <c r="A798" s="179" t="s">
        <v>616</v>
      </c>
      <c r="B798" s="182">
        <f>B799+B828+B857+B884+B895+B901+B913+B908+B912</f>
        <v>13046.67</v>
      </c>
      <c r="C798" s="182">
        <f>C799+C828+C857+C901+C912+C913</f>
        <v>10046.67</v>
      </c>
      <c r="D798" s="182">
        <f>D799+D828+D857+D884+D895+D901+D913+D908+D912</f>
        <v>9855.17</v>
      </c>
      <c r="E798" s="185">
        <f t="shared" si="143"/>
        <v>-191.5</v>
      </c>
      <c r="F798" s="186">
        <f t="shared" si="142"/>
        <v>-1.9061042116442561</v>
      </c>
      <c r="H798" s="88">
        <f t="shared" ref="H798:M798" si="149">H799+H828+H857+H884+H895+H901+H913+H908</f>
        <v>479</v>
      </c>
      <c r="I798" s="88">
        <f t="shared" si="149"/>
        <v>2539</v>
      </c>
      <c r="J798" s="88">
        <f t="shared" si="149"/>
        <v>2184</v>
      </c>
      <c r="K798" s="89">
        <f t="shared" si="149"/>
        <v>4</v>
      </c>
      <c r="L798" s="89">
        <f t="shared" si="149"/>
        <v>8</v>
      </c>
      <c r="M798" s="88">
        <f t="shared" si="149"/>
        <v>0</v>
      </c>
      <c r="O798" s="88">
        <f>O799+O828+O857+O884+O895+O901+O913+O908</f>
        <v>0</v>
      </c>
      <c r="P798" s="88">
        <f>P799+P828+P857+P884+P895+P901+P913+P908</f>
        <v>0</v>
      </c>
    </row>
    <row r="799" spans="1:16">
      <c r="A799" s="187" t="s">
        <v>617</v>
      </c>
      <c r="B799" s="188">
        <v>2615.61</v>
      </c>
      <c r="C799" s="188">
        <v>2615.61</v>
      </c>
      <c r="D799" s="188">
        <v>2998.14</v>
      </c>
      <c r="E799" s="189">
        <f t="shared" si="143"/>
        <v>382.52999999999975</v>
      </c>
      <c r="F799" s="190">
        <f t="shared" si="142"/>
        <v>14.624886737701711</v>
      </c>
      <c r="H799" s="88">
        <f t="shared" ref="H799:M799" si="150">SUM(H800:H827)</f>
        <v>0</v>
      </c>
      <c r="I799" s="88">
        <f t="shared" si="150"/>
        <v>826</v>
      </c>
      <c r="J799" s="88">
        <f t="shared" si="150"/>
        <v>730</v>
      </c>
      <c r="K799" s="89">
        <f t="shared" si="150"/>
        <v>0</v>
      </c>
      <c r="L799" s="89">
        <f t="shared" si="150"/>
        <v>0</v>
      </c>
      <c r="M799" s="88">
        <f t="shared" si="150"/>
        <v>0</v>
      </c>
      <c r="O799" s="88">
        <f>SUM(O800:O827)</f>
        <v>0</v>
      </c>
      <c r="P799" s="88">
        <f>SUM(P800:P827)</f>
        <v>0</v>
      </c>
    </row>
    <row r="800" spans="1:16" ht="12.75" hidden="1" customHeight="1">
      <c r="A800" s="187" t="s">
        <v>13</v>
      </c>
      <c r="B800" s="188"/>
      <c r="C800" s="188"/>
      <c r="D800" s="188"/>
      <c r="E800" s="189">
        <f t="shared" si="143"/>
        <v>0</v>
      </c>
      <c r="F800" s="190" t="e">
        <f t="shared" si="142"/>
        <v>#DIV/0!</v>
      </c>
      <c r="H800" s="88"/>
      <c r="I800" s="88">
        <v>359</v>
      </c>
      <c r="J800" s="88">
        <v>730</v>
      </c>
      <c r="K800" s="89"/>
      <c r="L800" s="89"/>
      <c r="M800" s="88"/>
      <c r="O800" s="88"/>
      <c r="P800" s="88"/>
    </row>
    <row r="801" spans="1:16" ht="12.75" hidden="1" customHeight="1">
      <c r="A801" s="187" t="s">
        <v>14</v>
      </c>
      <c r="B801" s="188"/>
      <c r="C801" s="188"/>
      <c r="D801" s="188"/>
      <c r="E801" s="189">
        <f t="shared" si="143"/>
        <v>0</v>
      </c>
      <c r="F801" s="190" t="e">
        <f t="shared" si="142"/>
        <v>#DIV/0!</v>
      </c>
      <c r="H801" s="88"/>
      <c r="I801" s="88"/>
      <c r="J801" s="88"/>
      <c r="K801" s="89"/>
      <c r="L801" s="89"/>
      <c r="M801" s="88"/>
      <c r="O801" s="88"/>
      <c r="P801" s="88"/>
    </row>
    <row r="802" spans="1:16" ht="12.75" hidden="1" customHeight="1">
      <c r="A802" s="187" t="s">
        <v>15</v>
      </c>
      <c r="B802" s="188"/>
      <c r="C802" s="188"/>
      <c r="D802" s="188"/>
      <c r="E802" s="189">
        <f t="shared" si="143"/>
        <v>0</v>
      </c>
      <c r="F802" s="190" t="e">
        <f t="shared" si="142"/>
        <v>#DIV/0!</v>
      </c>
      <c r="H802" s="88"/>
      <c r="I802" s="88"/>
      <c r="J802" s="88"/>
      <c r="K802" s="89"/>
      <c r="L802" s="89"/>
      <c r="M802" s="88"/>
      <c r="O802" s="88"/>
      <c r="P802" s="88"/>
    </row>
    <row r="803" spans="1:16" ht="12.75" hidden="1" customHeight="1">
      <c r="A803" s="187" t="s">
        <v>22</v>
      </c>
      <c r="B803" s="188"/>
      <c r="C803" s="188"/>
      <c r="D803" s="188"/>
      <c r="E803" s="189">
        <f t="shared" si="143"/>
        <v>0</v>
      </c>
      <c r="F803" s="190" t="e">
        <f t="shared" si="142"/>
        <v>#DIV/0!</v>
      </c>
      <c r="H803" s="88"/>
      <c r="I803" s="88">
        <v>349</v>
      </c>
      <c r="J803" s="88"/>
      <c r="K803" s="89"/>
      <c r="L803" s="89"/>
      <c r="M803" s="88"/>
      <c r="O803" s="88"/>
      <c r="P803" s="88"/>
    </row>
    <row r="804" spans="1:16" ht="12.75" hidden="1" customHeight="1">
      <c r="A804" s="187" t="s">
        <v>618</v>
      </c>
      <c r="B804" s="188"/>
      <c r="C804" s="188"/>
      <c r="D804" s="188"/>
      <c r="E804" s="189">
        <f t="shared" si="143"/>
        <v>0</v>
      </c>
      <c r="F804" s="190" t="e">
        <f t="shared" si="142"/>
        <v>#DIV/0!</v>
      </c>
      <c r="H804" s="88"/>
      <c r="I804" s="88">
        <v>33</v>
      </c>
      <c r="J804" s="88"/>
      <c r="K804" s="89"/>
      <c r="L804" s="89"/>
      <c r="M804" s="88"/>
      <c r="O804" s="88"/>
      <c r="P804" s="88"/>
    </row>
    <row r="805" spans="1:16" ht="12.75" hidden="1" customHeight="1">
      <c r="A805" s="187" t="s">
        <v>619</v>
      </c>
      <c r="B805" s="188"/>
      <c r="C805" s="188"/>
      <c r="D805" s="188"/>
      <c r="E805" s="189">
        <f t="shared" si="143"/>
        <v>0</v>
      </c>
      <c r="F805" s="190" t="e">
        <f t="shared" si="142"/>
        <v>#DIV/0!</v>
      </c>
      <c r="H805" s="88"/>
      <c r="I805" s="88"/>
      <c r="J805" s="88"/>
      <c r="K805" s="89"/>
      <c r="L805" s="89"/>
      <c r="M805" s="88"/>
      <c r="O805" s="88"/>
      <c r="P805" s="88"/>
    </row>
    <row r="806" spans="1:16" ht="12.75" hidden="1" customHeight="1">
      <c r="A806" s="187" t="s">
        <v>620</v>
      </c>
      <c r="B806" s="188"/>
      <c r="C806" s="188"/>
      <c r="D806" s="188"/>
      <c r="E806" s="189">
        <f t="shared" si="143"/>
        <v>0</v>
      </c>
      <c r="F806" s="190" t="e">
        <f t="shared" si="142"/>
        <v>#DIV/0!</v>
      </c>
      <c r="H806" s="88"/>
      <c r="I806" s="88">
        <v>37</v>
      </c>
      <c r="J806" s="88"/>
      <c r="K806" s="89"/>
      <c r="L806" s="89"/>
      <c r="M806" s="88"/>
      <c r="O806" s="88"/>
      <c r="P806" s="88"/>
    </row>
    <row r="807" spans="1:16" ht="12.75" hidden="1" customHeight="1">
      <c r="A807" s="187" t="s">
        <v>621</v>
      </c>
      <c r="B807" s="188"/>
      <c r="C807" s="188"/>
      <c r="D807" s="188"/>
      <c r="E807" s="189">
        <f t="shared" si="143"/>
        <v>0</v>
      </c>
      <c r="F807" s="190" t="e">
        <f t="shared" si="142"/>
        <v>#DIV/0!</v>
      </c>
      <c r="H807" s="88"/>
      <c r="I807" s="88"/>
      <c r="J807" s="88"/>
      <c r="K807" s="89"/>
      <c r="L807" s="89"/>
      <c r="M807" s="88"/>
      <c r="O807" s="88"/>
      <c r="P807" s="88"/>
    </row>
    <row r="808" spans="1:16" ht="12.75" hidden="1" customHeight="1">
      <c r="A808" s="187" t="s">
        <v>622</v>
      </c>
      <c r="B808" s="188"/>
      <c r="C808" s="188"/>
      <c r="D808" s="188"/>
      <c r="E808" s="189">
        <f t="shared" si="143"/>
        <v>0</v>
      </c>
      <c r="F808" s="190" t="e">
        <f t="shared" si="142"/>
        <v>#DIV/0!</v>
      </c>
      <c r="H808" s="88"/>
      <c r="I808" s="88"/>
      <c r="J808" s="88"/>
      <c r="K808" s="89"/>
      <c r="L808" s="89"/>
      <c r="M808" s="88"/>
      <c r="O808" s="88"/>
      <c r="P808" s="88"/>
    </row>
    <row r="809" spans="1:16" ht="12.75" hidden="1" customHeight="1">
      <c r="A809" s="187" t="s">
        <v>623</v>
      </c>
      <c r="B809" s="188"/>
      <c r="C809" s="188"/>
      <c r="D809" s="188"/>
      <c r="E809" s="189">
        <f t="shared" si="143"/>
        <v>0</v>
      </c>
      <c r="F809" s="190" t="e">
        <f t="shared" si="142"/>
        <v>#DIV/0!</v>
      </c>
      <c r="H809" s="88"/>
      <c r="I809" s="88"/>
      <c r="J809" s="88"/>
      <c r="K809" s="89"/>
      <c r="L809" s="89"/>
      <c r="M809" s="88"/>
      <c r="O809" s="88"/>
      <c r="P809" s="88"/>
    </row>
    <row r="810" spans="1:16" ht="12.75" hidden="1" customHeight="1">
      <c r="A810" s="187" t="s">
        <v>624</v>
      </c>
      <c r="B810" s="188"/>
      <c r="C810" s="188"/>
      <c r="D810" s="188"/>
      <c r="E810" s="189">
        <f t="shared" si="143"/>
        <v>0</v>
      </c>
      <c r="F810" s="190" t="e">
        <f t="shared" si="142"/>
        <v>#DIV/0!</v>
      </c>
      <c r="H810" s="88"/>
      <c r="I810" s="88"/>
      <c r="J810" s="88"/>
      <c r="K810" s="89"/>
      <c r="L810" s="89"/>
      <c r="M810" s="88"/>
      <c r="O810" s="88"/>
      <c r="P810" s="88"/>
    </row>
    <row r="811" spans="1:16" ht="12.75" hidden="1" customHeight="1">
      <c r="A811" s="187" t="s">
        <v>625</v>
      </c>
      <c r="B811" s="188"/>
      <c r="C811" s="188"/>
      <c r="D811" s="188"/>
      <c r="E811" s="189">
        <f t="shared" si="143"/>
        <v>0</v>
      </c>
      <c r="F811" s="190" t="e">
        <f t="shared" si="142"/>
        <v>#DIV/0!</v>
      </c>
      <c r="H811" s="88"/>
      <c r="I811" s="88"/>
      <c r="J811" s="88"/>
      <c r="K811" s="89"/>
      <c r="L811" s="89"/>
      <c r="M811" s="88"/>
      <c r="O811" s="88"/>
      <c r="P811" s="88"/>
    </row>
    <row r="812" spans="1:16" ht="12.75" hidden="1" customHeight="1">
      <c r="A812" s="187" t="s">
        <v>626</v>
      </c>
      <c r="B812" s="188"/>
      <c r="C812" s="188"/>
      <c r="D812" s="188"/>
      <c r="E812" s="189">
        <f t="shared" si="143"/>
        <v>0</v>
      </c>
      <c r="F812" s="190" t="e">
        <f t="shared" si="142"/>
        <v>#DIV/0!</v>
      </c>
      <c r="H812" s="88"/>
      <c r="I812" s="88"/>
      <c r="J812" s="88"/>
      <c r="K812" s="89"/>
      <c r="L812" s="89"/>
      <c r="M812" s="88"/>
      <c r="O812" s="88"/>
      <c r="P812" s="88"/>
    </row>
    <row r="813" spans="1:16" ht="12.75" hidden="1" customHeight="1">
      <c r="A813" s="187" t="s">
        <v>627</v>
      </c>
      <c r="B813" s="188"/>
      <c r="C813" s="188"/>
      <c r="D813" s="188"/>
      <c r="E813" s="189">
        <f t="shared" si="143"/>
        <v>0</v>
      </c>
      <c r="F813" s="190" t="e">
        <f t="shared" si="142"/>
        <v>#DIV/0!</v>
      </c>
      <c r="H813" s="88"/>
      <c r="I813" s="88"/>
      <c r="J813" s="88"/>
      <c r="K813" s="89"/>
      <c r="L813" s="89"/>
      <c r="M813" s="88"/>
      <c r="O813" s="88"/>
      <c r="P813" s="88"/>
    </row>
    <row r="814" spans="1:16" ht="12.75" hidden="1" customHeight="1">
      <c r="A814" s="187" t="s">
        <v>628</v>
      </c>
      <c r="B814" s="188"/>
      <c r="C814" s="188"/>
      <c r="D814" s="188"/>
      <c r="E814" s="189">
        <f t="shared" si="143"/>
        <v>0</v>
      </c>
      <c r="F814" s="190" t="e">
        <f t="shared" si="142"/>
        <v>#DIV/0!</v>
      </c>
      <c r="H814" s="88"/>
      <c r="I814" s="88"/>
      <c r="J814" s="88"/>
      <c r="K814" s="89"/>
      <c r="L814" s="89"/>
      <c r="M814" s="88"/>
      <c r="O814" s="88"/>
      <c r="P814" s="88"/>
    </row>
    <row r="815" spans="1:16" ht="12.75" hidden="1" customHeight="1">
      <c r="A815" s="187" t="s">
        <v>629</v>
      </c>
      <c r="B815" s="188"/>
      <c r="C815" s="188"/>
      <c r="D815" s="188"/>
      <c r="E815" s="189">
        <f t="shared" si="143"/>
        <v>0</v>
      </c>
      <c r="F815" s="190" t="e">
        <f t="shared" si="142"/>
        <v>#DIV/0!</v>
      </c>
      <c r="H815" s="88"/>
      <c r="I815" s="88"/>
      <c r="J815" s="88"/>
      <c r="K815" s="89"/>
      <c r="L815" s="89"/>
      <c r="M815" s="88"/>
      <c r="O815" s="88"/>
      <c r="P815" s="88"/>
    </row>
    <row r="816" spans="1:16" ht="12.75" hidden="1" customHeight="1">
      <c r="A816" s="187" t="s">
        <v>630</v>
      </c>
      <c r="B816" s="188"/>
      <c r="C816" s="188"/>
      <c r="D816" s="188"/>
      <c r="E816" s="189">
        <f t="shared" si="143"/>
        <v>0</v>
      </c>
      <c r="F816" s="190" t="e">
        <f t="shared" si="142"/>
        <v>#DIV/0!</v>
      </c>
      <c r="H816" s="90"/>
      <c r="I816" s="90"/>
      <c r="J816" s="90"/>
      <c r="K816" s="91"/>
      <c r="L816" s="91"/>
      <c r="M816" s="90"/>
      <c r="O816" s="90"/>
      <c r="P816" s="90"/>
    </row>
    <row r="817" spans="1:16" ht="12.75" hidden="1" customHeight="1">
      <c r="A817" s="187" t="s">
        <v>631</v>
      </c>
      <c r="B817" s="188"/>
      <c r="C817" s="188"/>
      <c r="D817" s="188"/>
      <c r="E817" s="189">
        <f t="shared" si="143"/>
        <v>0</v>
      </c>
      <c r="F817" s="190" t="e">
        <f t="shared" si="142"/>
        <v>#DIV/0!</v>
      </c>
      <c r="H817" s="88"/>
      <c r="I817" s="88"/>
      <c r="J817" s="88"/>
      <c r="K817" s="89"/>
      <c r="L817" s="89"/>
      <c r="M817" s="88"/>
      <c r="O817" s="88"/>
      <c r="P817" s="88"/>
    </row>
    <row r="818" spans="1:16" ht="12.75" hidden="1" customHeight="1">
      <c r="A818" s="187" t="s">
        <v>632</v>
      </c>
      <c r="B818" s="188"/>
      <c r="C818" s="188"/>
      <c r="D818" s="188"/>
      <c r="E818" s="189">
        <f t="shared" si="143"/>
        <v>0</v>
      </c>
      <c r="F818" s="190" t="e">
        <f t="shared" si="142"/>
        <v>#DIV/0!</v>
      </c>
      <c r="H818" s="88"/>
      <c r="I818" s="88"/>
      <c r="J818" s="88"/>
      <c r="K818" s="89"/>
      <c r="L818" s="89"/>
      <c r="M818" s="88"/>
      <c r="O818" s="88"/>
      <c r="P818" s="88"/>
    </row>
    <row r="819" spans="1:16" ht="12.75" hidden="1" customHeight="1">
      <c r="A819" s="187" t="s">
        <v>633</v>
      </c>
      <c r="B819" s="188"/>
      <c r="C819" s="188"/>
      <c r="D819" s="188"/>
      <c r="E819" s="189">
        <f t="shared" si="143"/>
        <v>0</v>
      </c>
      <c r="F819" s="190" t="e">
        <f t="shared" si="142"/>
        <v>#DIV/0!</v>
      </c>
      <c r="H819" s="88"/>
      <c r="I819" s="88"/>
      <c r="J819" s="88"/>
      <c r="K819" s="89"/>
      <c r="L819" s="89"/>
      <c r="M819" s="88"/>
      <c r="O819" s="88"/>
      <c r="P819" s="88"/>
    </row>
    <row r="820" spans="1:16" ht="12.75" hidden="1" customHeight="1">
      <c r="A820" s="187" t="s">
        <v>634</v>
      </c>
      <c r="B820" s="188"/>
      <c r="C820" s="188"/>
      <c r="D820" s="188"/>
      <c r="E820" s="189">
        <f t="shared" si="143"/>
        <v>0</v>
      </c>
      <c r="F820" s="190" t="e">
        <f t="shared" si="142"/>
        <v>#DIV/0!</v>
      </c>
      <c r="H820" s="88"/>
      <c r="I820" s="88"/>
      <c r="J820" s="88"/>
      <c r="K820" s="89"/>
      <c r="L820" s="89"/>
      <c r="M820" s="88"/>
      <c r="O820" s="88"/>
      <c r="P820" s="88"/>
    </row>
    <row r="821" spans="1:16" ht="12.75" hidden="1" customHeight="1">
      <c r="A821" s="187" t="s">
        <v>635</v>
      </c>
      <c r="B821" s="188"/>
      <c r="C821" s="188"/>
      <c r="D821" s="188"/>
      <c r="E821" s="189">
        <f t="shared" si="143"/>
        <v>0</v>
      </c>
      <c r="F821" s="190" t="e">
        <f t="shared" si="142"/>
        <v>#DIV/0!</v>
      </c>
      <c r="H821" s="88"/>
      <c r="I821" s="88"/>
      <c r="J821" s="88"/>
      <c r="K821" s="89"/>
      <c r="L821" s="89"/>
      <c r="M821" s="88"/>
      <c r="O821" s="88"/>
      <c r="P821" s="88"/>
    </row>
    <row r="822" spans="1:16" ht="12.75" hidden="1" customHeight="1">
      <c r="A822" s="187" t="s">
        <v>636</v>
      </c>
      <c r="B822" s="188"/>
      <c r="C822" s="188"/>
      <c r="D822" s="188"/>
      <c r="E822" s="189">
        <f t="shared" si="143"/>
        <v>0</v>
      </c>
      <c r="F822" s="190" t="e">
        <f t="shared" si="142"/>
        <v>#DIV/0!</v>
      </c>
      <c r="H822" s="88"/>
      <c r="I822" s="88"/>
      <c r="J822" s="88"/>
      <c r="K822" s="89"/>
      <c r="L822" s="89"/>
      <c r="M822" s="88"/>
      <c r="O822" s="88"/>
      <c r="P822" s="88"/>
    </row>
    <row r="823" spans="1:16" ht="12.75" hidden="1" customHeight="1">
      <c r="A823" s="187" t="s">
        <v>637</v>
      </c>
      <c r="B823" s="188"/>
      <c r="C823" s="188"/>
      <c r="D823" s="188"/>
      <c r="E823" s="189">
        <f t="shared" si="143"/>
        <v>0</v>
      </c>
      <c r="F823" s="190" t="e">
        <f t="shared" si="142"/>
        <v>#DIV/0!</v>
      </c>
      <c r="H823" s="88"/>
      <c r="I823" s="88"/>
      <c r="J823" s="88"/>
      <c r="K823" s="89"/>
      <c r="L823" s="89"/>
      <c r="M823" s="88"/>
      <c r="O823" s="88"/>
      <c r="P823" s="88"/>
    </row>
    <row r="824" spans="1:16" ht="12.75" hidden="1" customHeight="1">
      <c r="A824" s="187" t="s">
        <v>638</v>
      </c>
      <c r="B824" s="188"/>
      <c r="C824" s="188"/>
      <c r="D824" s="188"/>
      <c r="E824" s="189">
        <f t="shared" si="143"/>
        <v>0</v>
      </c>
      <c r="F824" s="190" t="e">
        <f t="shared" si="142"/>
        <v>#DIV/0!</v>
      </c>
      <c r="H824" s="88"/>
      <c r="I824" s="88"/>
      <c r="J824" s="88"/>
      <c r="K824" s="89"/>
      <c r="L824" s="89"/>
      <c r="M824" s="88"/>
      <c r="O824" s="88"/>
      <c r="P824" s="88"/>
    </row>
    <row r="825" spans="1:16" ht="12.75" hidden="1" customHeight="1">
      <c r="A825" s="187" t="s">
        <v>639</v>
      </c>
      <c r="B825" s="188"/>
      <c r="C825" s="188"/>
      <c r="D825" s="188"/>
      <c r="E825" s="189">
        <f t="shared" si="143"/>
        <v>0</v>
      </c>
      <c r="F825" s="190" t="e">
        <f t="shared" si="142"/>
        <v>#DIV/0!</v>
      </c>
      <c r="H825" s="88"/>
      <c r="I825" s="88"/>
      <c r="J825" s="88"/>
      <c r="K825" s="89"/>
      <c r="L825" s="89"/>
      <c r="M825" s="88"/>
      <c r="O825" s="88"/>
      <c r="P825" s="88"/>
    </row>
    <row r="826" spans="1:16" ht="12.75" hidden="1" customHeight="1">
      <c r="A826" s="187" t="s">
        <v>640</v>
      </c>
      <c r="B826" s="188"/>
      <c r="C826" s="188"/>
      <c r="D826" s="188"/>
      <c r="E826" s="189">
        <f t="shared" si="143"/>
        <v>0</v>
      </c>
      <c r="F826" s="190" t="e">
        <f t="shared" si="142"/>
        <v>#DIV/0!</v>
      </c>
      <c r="H826" s="88"/>
      <c r="I826" s="88"/>
      <c r="J826" s="88"/>
      <c r="K826" s="89"/>
      <c r="L826" s="89"/>
      <c r="M826" s="88"/>
      <c r="O826" s="88"/>
      <c r="P826" s="88"/>
    </row>
    <row r="827" spans="1:16" ht="12.75" hidden="1" customHeight="1">
      <c r="A827" s="187" t="s">
        <v>641</v>
      </c>
      <c r="B827" s="188"/>
      <c r="C827" s="188"/>
      <c r="D827" s="188"/>
      <c r="E827" s="189">
        <f t="shared" si="143"/>
        <v>0</v>
      </c>
      <c r="F827" s="190" t="e">
        <f t="shared" si="142"/>
        <v>#DIV/0!</v>
      </c>
      <c r="H827" s="88"/>
      <c r="I827" s="88">
        <v>48</v>
      </c>
      <c r="J827" s="88"/>
      <c r="K827" s="89"/>
      <c r="L827" s="89"/>
      <c r="M827" s="88"/>
      <c r="O827" s="88"/>
      <c r="P827" s="88"/>
    </row>
    <row r="828" spans="1:16">
      <c r="A828" s="187" t="s">
        <v>642</v>
      </c>
      <c r="B828" s="188">
        <v>1371.98</v>
      </c>
      <c r="C828" s="188">
        <v>1371.98</v>
      </c>
      <c r="D828" s="188">
        <v>1745.64</v>
      </c>
      <c r="E828" s="189">
        <f t="shared" si="143"/>
        <v>373.66000000000008</v>
      </c>
      <c r="F828" s="190">
        <f t="shared" si="142"/>
        <v>27.235090890537766</v>
      </c>
      <c r="H828" s="88">
        <f t="shared" ref="H828:M828" si="151">SUM(H829:H856)</f>
        <v>404</v>
      </c>
      <c r="I828" s="88">
        <f t="shared" si="151"/>
        <v>478</v>
      </c>
      <c r="J828" s="88">
        <f t="shared" si="151"/>
        <v>102</v>
      </c>
      <c r="K828" s="89">
        <f t="shared" si="151"/>
        <v>0</v>
      </c>
      <c r="L828" s="89">
        <f t="shared" si="151"/>
        <v>0</v>
      </c>
      <c r="M828" s="88">
        <f t="shared" si="151"/>
        <v>0</v>
      </c>
      <c r="O828" s="88">
        <f>SUM(O829:O856)</f>
        <v>0</v>
      </c>
      <c r="P828" s="88">
        <f>SUM(P829:P856)</f>
        <v>0</v>
      </c>
    </row>
    <row r="829" spans="1:16" ht="12.75" hidden="1" customHeight="1">
      <c r="A829" s="187" t="s">
        <v>13</v>
      </c>
      <c r="B829" s="188"/>
      <c r="C829" s="188"/>
      <c r="D829" s="188"/>
      <c r="E829" s="189">
        <f t="shared" si="143"/>
        <v>0</v>
      </c>
      <c r="F829" s="190" t="e">
        <f t="shared" si="142"/>
        <v>#DIV/0!</v>
      </c>
      <c r="H829" s="88">
        <v>43</v>
      </c>
      <c r="I829" s="88">
        <v>177</v>
      </c>
      <c r="J829" s="88">
        <v>102</v>
      </c>
      <c r="K829" s="89"/>
      <c r="L829" s="89"/>
      <c r="M829" s="88"/>
      <c r="O829" s="88"/>
      <c r="P829" s="88"/>
    </row>
    <row r="830" spans="1:16" ht="12.75" hidden="1" customHeight="1">
      <c r="A830" s="187" t="s">
        <v>14</v>
      </c>
      <c r="B830" s="188"/>
      <c r="C830" s="188"/>
      <c r="D830" s="188"/>
      <c r="E830" s="189">
        <f t="shared" si="143"/>
        <v>0</v>
      </c>
      <c r="F830" s="190" t="e">
        <f t="shared" si="142"/>
        <v>#DIV/0!</v>
      </c>
      <c r="H830" s="88"/>
      <c r="I830" s="88"/>
      <c r="J830" s="88"/>
      <c r="K830" s="89"/>
      <c r="L830" s="89"/>
      <c r="M830" s="88"/>
      <c r="O830" s="88"/>
      <c r="P830" s="88"/>
    </row>
    <row r="831" spans="1:16" ht="12.75" hidden="1" customHeight="1">
      <c r="A831" s="187" t="s">
        <v>15</v>
      </c>
      <c r="B831" s="188"/>
      <c r="C831" s="188"/>
      <c r="D831" s="188"/>
      <c r="E831" s="189">
        <f t="shared" si="143"/>
        <v>0</v>
      </c>
      <c r="F831" s="190" t="e">
        <f t="shared" si="142"/>
        <v>#DIV/0!</v>
      </c>
      <c r="H831" s="88"/>
      <c r="I831" s="88"/>
      <c r="J831" s="88"/>
      <c r="K831" s="89"/>
      <c r="L831" s="89"/>
      <c r="M831" s="88"/>
      <c r="O831" s="88"/>
      <c r="P831" s="88"/>
    </row>
    <row r="832" spans="1:16" ht="12.75" hidden="1" customHeight="1">
      <c r="A832" s="187" t="s">
        <v>643</v>
      </c>
      <c r="B832" s="188"/>
      <c r="C832" s="188"/>
      <c r="D832" s="188"/>
      <c r="E832" s="189">
        <f t="shared" si="143"/>
        <v>0</v>
      </c>
      <c r="F832" s="190" t="e">
        <f t="shared" si="142"/>
        <v>#DIV/0!</v>
      </c>
      <c r="H832" s="88">
        <v>361</v>
      </c>
      <c r="I832" s="88">
        <v>288</v>
      </c>
      <c r="J832" s="88"/>
      <c r="K832" s="89"/>
      <c r="L832" s="89"/>
      <c r="M832" s="88"/>
      <c r="O832" s="88"/>
      <c r="P832" s="88"/>
    </row>
    <row r="833" spans="1:16" ht="12.75" hidden="1" customHeight="1">
      <c r="A833" s="187" t="s">
        <v>644</v>
      </c>
      <c r="B833" s="188"/>
      <c r="C833" s="188"/>
      <c r="D833" s="188"/>
      <c r="E833" s="189">
        <f t="shared" si="143"/>
        <v>0</v>
      </c>
      <c r="F833" s="190" t="e">
        <f t="shared" si="142"/>
        <v>#DIV/0!</v>
      </c>
      <c r="H833" s="88"/>
      <c r="I833" s="88"/>
      <c r="J833" s="88"/>
      <c r="K833" s="89"/>
      <c r="L833" s="89"/>
      <c r="M833" s="88"/>
      <c r="O833" s="88"/>
      <c r="P833" s="88"/>
    </row>
    <row r="834" spans="1:16" ht="12.75" hidden="1" customHeight="1">
      <c r="A834" s="187" t="s">
        <v>645</v>
      </c>
      <c r="B834" s="188"/>
      <c r="C834" s="188"/>
      <c r="D834" s="188"/>
      <c r="E834" s="189">
        <f t="shared" si="143"/>
        <v>0</v>
      </c>
      <c r="F834" s="190" t="e">
        <f t="shared" si="142"/>
        <v>#DIV/0!</v>
      </c>
      <c r="H834" s="88"/>
      <c r="I834" s="88"/>
      <c r="J834" s="88"/>
      <c r="K834" s="89"/>
      <c r="L834" s="89"/>
      <c r="M834" s="88"/>
      <c r="O834" s="88"/>
      <c r="P834" s="88"/>
    </row>
    <row r="835" spans="1:16" ht="12.75" hidden="1" customHeight="1">
      <c r="A835" s="187" t="s">
        <v>646</v>
      </c>
      <c r="B835" s="188"/>
      <c r="C835" s="188"/>
      <c r="D835" s="188"/>
      <c r="E835" s="189">
        <f t="shared" si="143"/>
        <v>0</v>
      </c>
      <c r="F835" s="190" t="e">
        <f t="shared" si="142"/>
        <v>#DIV/0!</v>
      </c>
      <c r="H835" s="88"/>
      <c r="I835" s="88"/>
      <c r="J835" s="88"/>
      <c r="K835" s="89"/>
      <c r="L835" s="89"/>
      <c r="M835" s="88"/>
      <c r="O835" s="88"/>
      <c r="P835" s="88"/>
    </row>
    <row r="836" spans="1:16" ht="12.75" hidden="1" customHeight="1">
      <c r="A836" s="187" t="s">
        <v>647</v>
      </c>
      <c r="B836" s="188"/>
      <c r="C836" s="188"/>
      <c r="D836" s="188"/>
      <c r="E836" s="189">
        <f t="shared" si="143"/>
        <v>0</v>
      </c>
      <c r="F836" s="190" t="e">
        <f t="shared" si="142"/>
        <v>#DIV/0!</v>
      </c>
      <c r="H836" s="88"/>
      <c r="I836" s="88"/>
      <c r="J836" s="88"/>
      <c r="K836" s="89"/>
      <c r="L836" s="89"/>
      <c r="M836" s="88"/>
      <c r="O836" s="88"/>
      <c r="P836" s="88"/>
    </row>
    <row r="837" spans="1:16" ht="12.75" hidden="1" customHeight="1">
      <c r="A837" s="187" t="s">
        <v>648</v>
      </c>
      <c r="B837" s="188"/>
      <c r="C837" s="188"/>
      <c r="D837" s="188"/>
      <c r="E837" s="189">
        <f t="shared" si="143"/>
        <v>0</v>
      </c>
      <c r="F837" s="190" t="e">
        <f t="shared" si="142"/>
        <v>#DIV/0!</v>
      </c>
      <c r="H837" s="88"/>
      <c r="I837" s="88"/>
      <c r="J837" s="88"/>
      <c r="K837" s="89"/>
      <c r="L837" s="89"/>
      <c r="M837" s="88"/>
      <c r="O837" s="88"/>
      <c r="P837" s="88"/>
    </row>
    <row r="838" spans="1:16" ht="12.75" hidden="1" customHeight="1">
      <c r="A838" s="187" t="s">
        <v>649</v>
      </c>
      <c r="B838" s="188"/>
      <c r="C838" s="188"/>
      <c r="D838" s="188"/>
      <c r="E838" s="189">
        <f t="shared" si="143"/>
        <v>0</v>
      </c>
      <c r="F838" s="190" t="e">
        <f t="shared" si="142"/>
        <v>#DIV/0!</v>
      </c>
      <c r="H838" s="88"/>
      <c r="I838" s="88"/>
      <c r="J838" s="88"/>
      <c r="K838" s="89"/>
      <c r="L838" s="89"/>
      <c r="M838" s="88"/>
      <c r="O838" s="88"/>
      <c r="P838" s="88"/>
    </row>
    <row r="839" spans="1:16" ht="12.75" hidden="1" customHeight="1">
      <c r="A839" s="187" t="s">
        <v>650</v>
      </c>
      <c r="B839" s="188"/>
      <c r="C839" s="188"/>
      <c r="D839" s="188"/>
      <c r="E839" s="189">
        <f t="shared" si="143"/>
        <v>0</v>
      </c>
      <c r="F839" s="190" t="e">
        <f t="shared" si="142"/>
        <v>#DIV/0!</v>
      </c>
      <c r="H839" s="88"/>
      <c r="I839" s="88"/>
      <c r="J839" s="88"/>
      <c r="K839" s="89"/>
      <c r="L839" s="89"/>
      <c r="M839" s="88"/>
      <c r="O839" s="88"/>
      <c r="P839" s="88"/>
    </row>
    <row r="840" spans="1:16" ht="12.75" hidden="1" customHeight="1">
      <c r="A840" s="187" t="s">
        <v>651</v>
      </c>
      <c r="B840" s="188"/>
      <c r="C840" s="188"/>
      <c r="D840" s="188"/>
      <c r="E840" s="189">
        <f t="shared" si="143"/>
        <v>0</v>
      </c>
      <c r="F840" s="190" t="e">
        <f t="shared" si="142"/>
        <v>#DIV/0!</v>
      </c>
      <c r="H840" s="88"/>
      <c r="I840" s="88"/>
      <c r="J840" s="88"/>
      <c r="K840" s="89"/>
      <c r="L840" s="89"/>
      <c r="M840" s="88"/>
      <c r="O840" s="88"/>
      <c r="P840" s="88"/>
    </row>
    <row r="841" spans="1:16" ht="12.75" hidden="1" customHeight="1">
      <c r="A841" s="187" t="s">
        <v>652</v>
      </c>
      <c r="B841" s="188"/>
      <c r="C841" s="188"/>
      <c r="D841" s="188"/>
      <c r="E841" s="189">
        <f t="shared" si="143"/>
        <v>0</v>
      </c>
      <c r="F841" s="190" t="e">
        <f t="shared" si="142"/>
        <v>#DIV/0!</v>
      </c>
      <c r="H841" s="88"/>
      <c r="I841" s="88"/>
      <c r="J841" s="88"/>
      <c r="K841" s="89"/>
      <c r="L841" s="89"/>
      <c r="M841" s="88"/>
      <c r="O841" s="88"/>
      <c r="P841" s="88"/>
    </row>
    <row r="842" spans="1:16" ht="12.75" hidden="1" customHeight="1">
      <c r="A842" s="187" t="s">
        <v>653</v>
      </c>
      <c r="B842" s="188"/>
      <c r="C842" s="188"/>
      <c r="D842" s="188"/>
      <c r="E842" s="189">
        <f t="shared" si="143"/>
        <v>0</v>
      </c>
      <c r="F842" s="190" t="e">
        <f t="shared" si="142"/>
        <v>#DIV/0!</v>
      </c>
      <c r="H842" s="88"/>
      <c r="I842" s="88"/>
      <c r="J842" s="88"/>
      <c r="K842" s="89"/>
      <c r="L842" s="89"/>
      <c r="M842" s="88"/>
      <c r="O842" s="88"/>
      <c r="P842" s="88"/>
    </row>
    <row r="843" spans="1:16" ht="12.75" hidden="1" customHeight="1">
      <c r="A843" s="187" t="s">
        <v>654</v>
      </c>
      <c r="B843" s="188"/>
      <c r="C843" s="188"/>
      <c r="D843" s="188"/>
      <c r="E843" s="189">
        <f t="shared" si="143"/>
        <v>0</v>
      </c>
      <c r="F843" s="190" t="e">
        <f t="shared" si="142"/>
        <v>#DIV/0!</v>
      </c>
      <c r="H843" s="88"/>
      <c r="I843" s="88"/>
      <c r="J843" s="88"/>
      <c r="K843" s="89"/>
      <c r="L843" s="89"/>
      <c r="M843" s="88"/>
      <c r="O843" s="88"/>
      <c r="P843" s="88"/>
    </row>
    <row r="844" spans="1:16" ht="12.75" hidden="1" customHeight="1">
      <c r="A844" s="187" t="s">
        <v>655</v>
      </c>
      <c r="B844" s="188"/>
      <c r="C844" s="188"/>
      <c r="D844" s="188"/>
      <c r="E844" s="189">
        <f t="shared" si="143"/>
        <v>0</v>
      </c>
      <c r="F844" s="190" t="e">
        <f t="shared" si="142"/>
        <v>#DIV/0!</v>
      </c>
      <c r="H844" s="88"/>
      <c r="I844" s="88"/>
      <c r="J844" s="88"/>
      <c r="K844" s="89"/>
      <c r="L844" s="89"/>
      <c r="M844" s="88"/>
      <c r="O844" s="88"/>
      <c r="P844" s="88"/>
    </row>
    <row r="845" spans="1:16" ht="12.75" hidden="1" customHeight="1">
      <c r="A845" s="187" t="s">
        <v>656</v>
      </c>
      <c r="B845" s="188"/>
      <c r="C845" s="188"/>
      <c r="D845" s="188"/>
      <c r="E845" s="189">
        <f t="shared" si="143"/>
        <v>0</v>
      </c>
      <c r="F845" s="190" t="e">
        <f t="shared" si="142"/>
        <v>#DIV/0!</v>
      </c>
      <c r="H845" s="88"/>
      <c r="I845" s="88"/>
      <c r="J845" s="88"/>
      <c r="K845" s="89"/>
      <c r="L845" s="89"/>
      <c r="M845" s="88"/>
      <c r="O845" s="88"/>
      <c r="P845" s="88"/>
    </row>
    <row r="846" spans="1:16" ht="12.75" hidden="1" customHeight="1">
      <c r="A846" s="187" t="s">
        <v>657</v>
      </c>
      <c r="B846" s="188"/>
      <c r="C846" s="188"/>
      <c r="D846" s="188"/>
      <c r="E846" s="189">
        <f t="shared" si="143"/>
        <v>0</v>
      </c>
      <c r="F846" s="190" t="e">
        <f t="shared" ref="F846:F909" si="152">E846/C846*100</f>
        <v>#DIV/0!</v>
      </c>
      <c r="H846" s="88"/>
      <c r="I846" s="88"/>
      <c r="J846" s="88"/>
      <c r="K846" s="89"/>
      <c r="L846" s="89"/>
      <c r="M846" s="88"/>
      <c r="O846" s="88"/>
      <c r="P846" s="88"/>
    </row>
    <row r="847" spans="1:16" ht="12.75" hidden="1" customHeight="1">
      <c r="A847" s="187" t="s">
        <v>658</v>
      </c>
      <c r="B847" s="188"/>
      <c r="C847" s="188"/>
      <c r="D847" s="188"/>
      <c r="E847" s="189">
        <f t="shared" si="143"/>
        <v>0</v>
      </c>
      <c r="F847" s="190" t="e">
        <f t="shared" si="152"/>
        <v>#DIV/0!</v>
      </c>
      <c r="H847" s="88"/>
      <c r="I847" s="88"/>
      <c r="J847" s="88"/>
      <c r="K847" s="89"/>
      <c r="L847" s="89"/>
      <c r="M847" s="88"/>
      <c r="O847" s="88"/>
      <c r="P847" s="88"/>
    </row>
    <row r="848" spans="1:16" ht="12.75" hidden="1" customHeight="1">
      <c r="A848" s="187" t="s">
        <v>659</v>
      </c>
      <c r="B848" s="188"/>
      <c r="C848" s="188"/>
      <c r="D848" s="188"/>
      <c r="E848" s="189">
        <f t="shared" ref="E848:E911" si="153">D848-C848</f>
        <v>0</v>
      </c>
      <c r="F848" s="190" t="e">
        <f t="shared" si="152"/>
        <v>#DIV/0!</v>
      </c>
      <c r="H848" s="88"/>
      <c r="I848" s="88"/>
      <c r="J848" s="88"/>
      <c r="K848" s="89"/>
      <c r="L848" s="89"/>
      <c r="M848" s="88"/>
      <c r="O848" s="88"/>
      <c r="P848" s="88"/>
    </row>
    <row r="849" spans="1:16" ht="12.75" hidden="1" customHeight="1">
      <c r="A849" s="187" t="s">
        <v>660</v>
      </c>
      <c r="B849" s="188"/>
      <c r="C849" s="188"/>
      <c r="D849" s="188"/>
      <c r="E849" s="189">
        <f t="shared" si="153"/>
        <v>0</v>
      </c>
      <c r="F849" s="190" t="e">
        <f t="shared" si="152"/>
        <v>#DIV/0!</v>
      </c>
      <c r="H849" s="88"/>
      <c r="I849" s="88"/>
      <c r="J849" s="88"/>
      <c r="K849" s="89"/>
      <c r="L849" s="89"/>
      <c r="M849" s="88"/>
      <c r="O849" s="88"/>
      <c r="P849" s="88"/>
    </row>
    <row r="850" spans="1:16" ht="12.75" hidden="1" customHeight="1">
      <c r="A850" s="187" t="s">
        <v>661</v>
      </c>
      <c r="B850" s="188"/>
      <c r="C850" s="188"/>
      <c r="D850" s="188"/>
      <c r="E850" s="189">
        <f t="shared" si="153"/>
        <v>0</v>
      </c>
      <c r="F850" s="190" t="e">
        <f t="shared" si="152"/>
        <v>#DIV/0!</v>
      </c>
      <c r="H850" s="88"/>
      <c r="I850" s="88"/>
      <c r="J850" s="88"/>
      <c r="K850" s="89"/>
      <c r="L850" s="89"/>
      <c r="M850" s="88"/>
      <c r="O850" s="88"/>
      <c r="P850" s="88"/>
    </row>
    <row r="851" spans="1:16" ht="12.75" hidden="1" customHeight="1">
      <c r="A851" s="187" t="s">
        <v>662</v>
      </c>
      <c r="B851" s="188"/>
      <c r="C851" s="188"/>
      <c r="D851" s="188"/>
      <c r="E851" s="189">
        <f t="shared" si="153"/>
        <v>0</v>
      </c>
      <c r="F851" s="190" t="e">
        <f t="shared" si="152"/>
        <v>#DIV/0!</v>
      </c>
      <c r="H851" s="88"/>
      <c r="I851" s="88"/>
      <c r="J851" s="88"/>
      <c r="K851" s="89"/>
      <c r="L851" s="89"/>
      <c r="M851" s="88"/>
      <c r="O851" s="88"/>
      <c r="P851" s="88"/>
    </row>
    <row r="852" spans="1:16" ht="12.75" hidden="1" customHeight="1">
      <c r="A852" s="187" t="s">
        <v>663</v>
      </c>
      <c r="B852" s="188"/>
      <c r="C852" s="188"/>
      <c r="D852" s="188"/>
      <c r="E852" s="189">
        <f t="shared" si="153"/>
        <v>0</v>
      </c>
      <c r="F852" s="190" t="e">
        <f t="shared" si="152"/>
        <v>#DIV/0!</v>
      </c>
      <c r="H852" s="88"/>
      <c r="I852" s="88"/>
      <c r="J852" s="88"/>
      <c r="K852" s="89"/>
      <c r="L852" s="89"/>
      <c r="M852" s="88"/>
      <c r="O852" s="88"/>
      <c r="P852" s="88"/>
    </row>
    <row r="853" spans="1:16" ht="12.75" hidden="1" customHeight="1">
      <c r="A853" s="187" t="s">
        <v>664</v>
      </c>
      <c r="B853" s="188"/>
      <c r="C853" s="188"/>
      <c r="D853" s="188"/>
      <c r="E853" s="189">
        <f t="shared" si="153"/>
        <v>0</v>
      </c>
      <c r="F853" s="190" t="e">
        <f t="shared" si="152"/>
        <v>#DIV/0!</v>
      </c>
      <c r="H853" s="88"/>
      <c r="I853" s="88"/>
      <c r="J853" s="88"/>
      <c r="K853" s="89"/>
      <c r="L853" s="89"/>
      <c r="M853" s="88"/>
      <c r="O853" s="88"/>
      <c r="P853" s="88"/>
    </row>
    <row r="854" spans="1:16" ht="12.75" hidden="1" customHeight="1">
      <c r="A854" s="187" t="s">
        <v>665</v>
      </c>
      <c r="B854" s="188"/>
      <c r="C854" s="188"/>
      <c r="D854" s="188"/>
      <c r="E854" s="189">
        <f t="shared" si="153"/>
        <v>0</v>
      </c>
      <c r="F854" s="190" t="e">
        <f t="shared" si="152"/>
        <v>#DIV/0!</v>
      </c>
      <c r="H854" s="88"/>
      <c r="I854" s="88"/>
      <c r="J854" s="88"/>
      <c r="K854" s="89"/>
      <c r="L854" s="89"/>
      <c r="M854" s="88"/>
      <c r="O854" s="88"/>
      <c r="P854" s="88"/>
    </row>
    <row r="855" spans="1:16" ht="12.75" hidden="1" customHeight="1">
      <c r="A855" s="187" t="s">
        <v>666</v>
      </c>
      <c r="B855" s="188"/>
      <c r="C855" s="188"/>
      <c r="D855" s="188"/>
      <c r="E855" s="189">
        <f t="shared" si="153"/>
        <v>0</v>
      </c>
      <c r="F855" s="190" t="e">
        <f t="shared" si="152"/>
        <v>#DIV/0!</v>
      </c>
      <c r="H855" s="88"/>
      <c r="I855" s="88"/>
      <c r="J855" s="88"/>
      <c r="K855" s="89"/>
      <c r="L855" s="89"/>
      <c r="M855" s="88"/>
      <c r="O855" s="88"/>
      <c r="P855" s="88"/>
    </row>
    <row r="856" spans="1:16" ht="12.75" hidden="1" customHeight="1">
      <c r="A856" s="187" t="s">
        <v>667</v>
      </c>
      <c r="B856" s="188"/>
      <c r="C856" s="188"/>
      <c r="D856" s="188"/>
      <c r="E856" s="189">
        <f t="shared" si="153"/>
        <v>0</v>
      </c>
      <c r="F856" s="190" t="e">
        <f t="shared" si="152"/>
        <v>#DIV/0!</v>
      </c>
      <c r="H856" s="88"/>
      <c r="I856" s="88">
        <v>13</v>
      </c>
      <c r="J856" s="88"/>
      <c r="K856" s="89"/>
      <c r="L856" s="89"/>
      <c r="M856" s="88"/>
      <c r="O856" s="88"/>
      <c r="P856" s="88"/>
    </row>
    <row r="857" spans="1:16">
      <c r="A857" s="187" t="s">
        <v>668</v>
      </c>
      <c r="B857" s="188">
        <v>8456.08</v>
      </c>
      <c r="C857" s="188">
        <v>5456.08</v>
      </c>
      <c r="D857" s="188">
        <v>4141.3900000000003</v>
      </c>
      <c r="E857" s="189">
        <f t="shared" si="153"/>
        <v>-1314.6899999999996</v>
      </c>
      <c r="F857" s="190">
        <f t="shared" si="152"/>
        <v>-24.095871028284037</v>
      </c>
      <c r="H857" s="88">
        <f t="shared" ref="H857:M857" si="154">SUM(H858:H883)</f>
        <v>75</v>
      </c>
      <c r="I857" s="88">
        <f t="shared" si="154"/>
        <v>950</v>
      </c>
      <c r="J857" s="88">
        <f t="shared" si="154"/>
        <v>0</v>
      </c>
      <c r="K857" s="89">
        <f t="shared" si="154"/>
        <v>4</v>
      </c>
      <c r="L857" s="89">
        <f t="shared" si="154"/>
        <v>8</v>
      </c>
      <c r="M857" s="88">
        <f t="shared" si="154"/>
        <v>0</v>
      </c>
      <c r="O857" s="88">
        <f>SUM(O858:O883)</f>
        <v>0</v>
      </c>
      <c r="P857" s="88">
        <f>SUM(P858:P883)</f>
        <v>0</v>
      </c>
    </row>
    <row r="858" spans="1:16" ht="12.75" hidden="1" customHeight="1">
      <c r="A858" s="187" t="s">
        <v>13</v>
      </c>
      <c r="B858" s="188"/>
      <c r="C858" s="188"/>
      <c r="D858" s="188"/>
      <c r="E858" s="189">
        <f t="shared" si="153"/>
        <v>0</v>
      </c>
      <c r="F858" s="190" t="e">
        <f t="shared" si="152"/>
        <v>#DIV/0!</v>
      </c>
      <c r="H858" s="88">
        <v>50</v>
      </c>
      <c r="I858" s="88">
        <v>34</v>
      </c>
      <c r="J858" s="88"/>
      <c r="K858" s="89"/>
      <c r="L858" s="89"/>
      <c r="M858" s="88"/>
      <c r="O858" s="88"/>
      <c r="P858" s="88"/>
    </row>
    <row r="859" spans="1:16" ht="12.75" hidden="1" customHeight="1">
      <c r="A859" s="187" t="s">
        <v>14</v>
      </c>
      <c r="B859" s="188"/>
      <c r="C859" s="188"/>
      <c r="D859" s="188"/>
      <c r="E859" s="189">
        <f t="shared" si="153"/>
        <v>0</v>
      </c>
      <c r="F859" s="190" t="e">
        <f t="shared" si="152"/>
        <v>#DIV/0!</v>
      </c>
      <c r="H859" s="88"/>
      <c r="I859" s="88"/>
      <c r="J859" s="88"/>
      <c r="K859" s="89"/>
      <c r="L859" s="89"/>
      <c r="M859" s="88"/>
      <c r="O859" s="88"/>
      <c r="P859" s="88"/>
    </row>
    <row r="860" spans="1:16" ht="12.75" hidden="1" customHeight="1">
      <c r="A860" s="187" t="s">
        <v>15</v>
      </c>
      <c r="B860" s="188"/>
      <c r="C860" s="188"/>
      <c r="D860" s="188"/>
      <c r="E860" s="189">
        <f t="shared" si="153"/>
        <v>0</v>
      </c>
      <c r="F860" s="190" t="e">
        <f t="shared" si="152"/>
        <v>#DIV/0!</v>
      </c>
      <c r="H860" s="88"/>
      <c r="I860" s="88"/>
      <c r="J860" s="88"/>
      <c r="K860" s="89"/>
      <c r="L860" s="89"/>
      <c r="M860" s="88"/>
      <c r="O860" s="88"/>
      <c r="P860" s="88"/>
    </row>
    <row r="861" spans="1:16" ht="12.75" hidden="1" customHeight="1">
      <c r="A861" s="187" t="s">
        <v>669</v>
      </c>
      <c r="B861" s="188"/>
      <c r="C861" s="188"/>
      <c r="D861" s="188"/>
      <c r="E861" s="189">
        <f t="shared" si="153"/>
        <v>0</v>
      </c>
      <c r="F861" s="190" t="e">
        <f t="shared" si="152"/>
        <v>#DIV/0!</v>
      </c>
      <c r="H861" s="88"/>
      <c r="I861" s="88">
        <v>386</v>
      </c>
      <c r="J861" s="88"/>
      <c r="K861" s="89"/>
      <c r="L861" s="89">
        <v>8</v>
      </c>
      <c r="M861" s="88"/>
      <c r="O861" s="88"/>
      <c r="P861" s="88"/>
    </row>
    <row r="862" spans="1:16" ht="12.75" hidden="1" customHeight="1">
      <c r="A862" s="187" t="s">
        <v>670</v>
      </c>
      <c r="B862" s="188"/>
      <c r="C862" s="188"/>
      <c r="D862" s="188"/>
      <c r="E862" s="189">
        <f t="shared" si="153"/>
        <v>0</v>
      </c>
      <c r="F862" s="190" t="e">
        <f t="shared" si="152"/>
        <v>#DIV/0!</v>
      </c>
      <c r="H862" s="88"/>
      <c r="I862" s="88"/>
      <c r="J862" s="88"/>
      <c r="K862" s="89"/>
      <c r="L862" s="89"/>
      <c r="M862" s="88"/>
      <c r="O862" s="88"/>
      <c r="P862" s="88"/>
    </row>
    <row r="863" spans="1:16" ht="12.75" hidden="1" customHeight="1">
      <c r="A863" s="187" t="s">
        <v>671</v>
      </c>
      <c r="B863" s="188"/>
      <c r="C863" s="188"/>
      <c r="D863" s="188"/>
      <c r="E863" s="189">
        <f t="shared" si="153"/>
        <v>0</v>
      </c>
      <c r="F863" s="190" t="e">
        <f t="shared" si="152"/>
        <v>#DIV/0!</v>
      </c>
      <c r="H863" s="88"/>
      <c r="I863" s="88"/>
      <c r="J863" s="88"/>
      <c r="K863" s="89"/>
      <c r="L863" s="89"/>
      <c r="M863" s="88"/>
      <c r="O863" s="88"/>
      <c r="P863" s="88"/>
    </row>
    <row r="864" spans="1:16" ht="12.75" hidden="1" customHeight="1">
      <c r="A864" s="187" t="s">
        <v>672</v>
      </c>
      <c r="B864" s="188"/>
      <c r="C864" s="188"/>
      <c r="D864" s="188"/>
      <c r="E864" s="189">
        <f t="shared" si="153"/>
        <v>0</v>
      </c>
      <c r="F864" s="190" t="e">
        <f t="shared" si="152"/>
        <v>#DIV/0!</v>
      </c>
      <c r="H864" s="88"/>
      <c r="I864" s="88"/>
      <c r="J864" s="88"/>
      <c r="K864" s="89"/>
      <c r="L864" s="89"/>
      <c r="M864" s="88"/>
      <c r="O864" s="88"/>
      <c r="P864" s="88"/>
    </row>
    <row r="865" spans="1:16" ht="12.75" hidden="1" customHeight="1">
      <c r="A865" s="187" t="s">
        <v>673</v>
      </c>
      <c r="B865" s="188"/>
      <c r="C865" s="188"/>
      <c r="D865" s="188"/>
      <c r="E865" s="189">
        <f t="shared" si="153"/>
        <v>0</v>
      </c>
      <c r="F865" s="190" t="e">
        <f t="shared" si="152"/>
        <v>#DIV/0!</v>
      </c>
      <c r="H865" s="88"/>
      <c r="I865" s="88"/>
      <c r="J865" s="88"/>
      <c r="K865" s="89"/>
      <c r="L865" s="89"/>
      <c r="M865" s="88"/>
      <c r="O865" s="88"/>
      <c r="P865" s="88"/>
    </row>
    <row r="866" spans="1:16" ht="12.75" hidden="1" customHeight="1">
      <c r="A866" s="187" t="s">
        <v>674</v>
      </c>
      <c r="B866" s="188"/>
      <c r="C866" s="188"/>
      <c r="D866" s="188"/>
      <c r="E866" s="189">
        <f t="shared" si="153"/>
        <v>0</v>
      </c>
      <c r="F866" s="190" t="e">
        <f t="shared" si="152"/>
        <v>#DIV/0!</v>
      </c>
      <c r="H866" s="88"/>
      <c r="I866" s="88">
        <v>93</v>
      </c>
      <c r="J866" s="88"/>
      <c r="K866" s="89"/>
      <c r="L866" s="89"/>
      <c r="M866" s="88"/>
      <c r="O866" s="88"/>
      <c r="P866" s="88"/>
    </row>
    <row r="867" spans="1:16" ht="12.75" hidden="1" customHeight="1">
      <c r="A867" s="187" t="s">
        <v>675</v>
      </c>
      <c r="B867" s="188"/>
      <c r="C867" s="188"/>
      <c r="D867" s="188"/>
      <c r="E867" s="189">
        <f t="shared" si="153"/>
        <v>0</v>
      </c>
      <c r="F867" s="190" t="e">
        <f t="shared" si="152"/>
        <v>#DIV/0!</v>
      </c>
      <c r="H867" s="88"/>
      <c r="I867" s="88"/>
      <c r="J867" s="88"/>
      <c r="K867" s="89"/>
      <c r="L867" s="89"/>
      <c r="M867" s="88"/>
      <c r="O867" s="88"/>
      <c r="P867" s="88"/>
    </row>
    <row r="868" spans="1:16" ht="12.75" hidden="1" customHeight="1">
      <c r="A868" s="187" t="s">
        <v>676</v>
      </c>
      <c r="B868" s="188"/>
      <c r="C868" s="188"/>
      <c r="D868" s="188"/>
      <c r="E868" s="189">
        <f t="shared" si="153"/>
        <v>0</v>
      </c>
      <c r="F868" s="190" t="e">
        <f t="shared" si="152"/>
        <v>#DIV/0!</v>
      </c>
      <c r="H868" s="88"/>
      <c r="I868" s="88"/>
      <c r="J868" s="88"/>
      <c r="K868" s="89"/>
      <c r="L868" s="89"/>
      <c r="M868" s="88"/>
      <c r="O868" s="88"/>
      <c r="P868" s="88"/>
    </row>
    <row r="869" spans="1:16" ht="12.75" hidden="1" customHeight="1">
      <c r="A869" s="187" t="s">
        <v>677</v>
      </c>
      <c r="B869" s="188"/>
      <c r="C869" s="188"/>
      <c r="D869" s="188"/>
      <c r="E869" s="189">
        <f t="shared" si="153"/>
        <v>0</v>
      </c>
      <c r="F869" s="190" t="e">
        <f t="shared" si="152"/>
        <v>#DIV/0!</v>
      </c>
      <c r="H869" s="88"/>
      <c r="I869" s="88"/>
      <c r="J869" s="88"/>
      <c r="K869" s="89"/>
      <c r="L869" s="89"/>
      <c r="M869" s="88"/>
      <c r="O869" s="88"/>
      <c r="P869" s="88"/>
    </row>
    <row r="870" spans="1:16" ht="12.75" hidden="1" customHeight="1">
      <c r="A870" s="187" t="s">
        <v>678</v>
      </c>
      <c r="B870" s="188"/>
      <c r="C870" s="188"/>
      <c r="D870" s="188"/>
      <c r="E870" s="189">
        <f t="shared" si="153"/>
        <v>0</v>
      </c>
      <c r="F870" s="190" t="e">
        <f t="shared" si="152"/>
        <v>#DIV/0!</v>
      </c>
      <c r="H870" s="88"/>
      <c r="I870" s="88"/>
      <c r="J870" s="88"/>
      <c r="K870" s="89"/>
      <c r="L870" s="89"/>
      <c r="M870" s="88"/>
      <c r="O870" s="88"/>
      <c r="P870" s="88"/>
    </row>
    <row r="871" spans="1:16" ht="12.75" hidden="1" customHeight="1">
      <c r="A871" s="187" t="s">
        <v>679</v>
      </c>
      <c r="B871" s="188"/>
      <c r="C871" s="188"/>
      <c r="D871" s="188"/>
      <c r="E871" s="189">
        <f t="shared" si="153"/>
        <v>0</v>
      </c>
      <c r="F871" s="190" t="e">
        <f t="shared" si="152"/>
        <v>#DIV/0!</v>
      </c>
      <c r="H871" s="88">
        <v>25</v>
      </c>
      <c r="I871" s="88"/>
      <c r="J871" s="88"/>
      <c r="K871" s="89">
        <v>4</v>
      </c>
      <c r="L871" s="89"/>
      <c r="M871" s="88"/>
      <c r="O871" s="88"/>
      <c r="P871" s="88"/>
    </row>
    <row r="872" spans="1:16" ht="12.75" hidden="1" customHeight="1">
      <c r="A872" s="187" t="s">
        <v>680</v>
      </c>
      <c r="B872" s="188"/>
      <c r="C872" s="188"/>
      <c r="D872" s="188"/>
      <c r="E872" s="189">
        <f t="shared" si="153"/>
        <v>0</v>
      </c>
      <c r="F872" s="190" t="e">
        <f t="shared" si="152"/>
        <v>#DIV/0!</v>
      </c>
      <c r="H872" s="88"/>
      <c r="I872" s="88"/>
      <c r="J872" s="88"/>
      <c r="K872" s="89"/>
      <c r="L872" s="89"/>
      <c r="M872" s="88"/>
      <c r="O872" s="88"/>
      <c r="P872" s="88"/>
    </row>
    <row r="873" spans="1:16" ht="12.75" hidden="1" customHeight="1">
      <c r="A873" s="187" t="s">
        <v>681</v>
      </c>
      <c r="B873" s="188"/>
      <c r="C873" s="188"/>
      <c r="D873" s="188"/>
      <c r="E873" s="189">
        <f t="shared" si="153"/>
        <v>0</v>
      </c>
      <c r="F873" s="190" t="e">
        <f t="shared" si="152"/>
        <v>#DIV/0!</v>
      </c>
      <c r="H873" s="88"/>
      <c r="I873" s="88"/>
      <c r="J873" s="88"/>
      <c r="K873" s="89"/>
      <c r="L873" s="89"/>
      <c r="M873" s="88"/>
      <c r="O873" s="88"/>
      <c r="P873" s="88"/>
    </row>
    <row r="874" spans="1:16" ht="12.75" hidden="1" customHeight="1">
      <c r="A874" s="187" t="s">
        <v>682</v>
      </c>
      <c r="B874" s="188"/>
      <c r="C874" s="188"/>
      <c r="D874" s="188"/>
      <c r="E874" s="189">
        <f t="shared" si="153"/>
        <v>0</v>
      </c>
      <c r="F874" s="190" t="e">
        <f t="shared" si="152"/>
        <v>#DIV/0!</v>
      </c>
      <c r="H874" s="88"/>
      <c r="I874" s="88"/>
      <c r="J874" s="88"/>
      <c r="K874" s="89"/>
      <c r="L874" s="89"/>
      <c r="M874" s="88"/>
      <c r="O874" s="88"/>
      <c r="P874" s="88"/>
    </row>
    <row r="875" spans="1:16" ht="12.75" hidden="1" customHeight="1">
      <c r="A875" s="187" t="s">
        <v>683</v>
      </c>
      <c r="B875" s="188"/>
      <c r="C875" s="188"/>
      <c r="D875" s="188"/>
      <c r="E875" s="189">
        <f t="shared" si="153"/>
        <v>0</v>
      </c>
      <c r="F875" s="190" t="e">
        <f t="shared" si="152"/>
        <v>#DIV/0!</v>
      </c>
      <c r="H875" s="88"/>
      <c r="I875" s="88"/>
      <c r="J875" s="88"/>
      <c r="K875" s="89"/>
      <c r="L875" s="89"/>
      <c r="M875" s="88"/>
      <c r="O875" s="88"/>
      <c r="P875" s="88"/>
    </row>
    <row r="876" spans="1:16" ht="12.75" hidden="1" customHeight="1">
      <c r="A876" s="187" t="s">
        <v>684</v>
      </c>
      <c r="B876" s="188"/>
      <c r="C876" s="188"/>
      <c r="D876" s="188"/>
      <c r="E876" s="189">
        <f t="shared" si="153"/>
        <v>0</v>
      </c>
      <c r="F876" s="190" t="e">
        <f t="shared" si="152"/>
        <v>#DIV/0!</v>
      </c>
      <c r="H876" s="88"/>
      <c r="I876" s="88"/>
      <c r="J876" s="88"/>
      <c r="K876" s="89"/>
      <c r="L876" s="89"/>
      <c r="M876" s="88"/>
      <c r="O876" s="88"/>
      <c r="P876" s="88"/>
    </row>
    <row r="877" spans="1:16" ht="12.75" hidden="1" customHeight="1">
      <c r="A877" s="187" t="s">
        <v>685</v>
      </c>
      <c r="B877" s="188"/>
      <c r="C877" s="188"/>
      <c r="D877" s="188"/>
      <c r="E877" s="189">
        <f t="shared" si="153"/>
        <v>0</v>
      </c>
      <c r="F877" s="190" t="e">
        <f t="shared" si="152"/>
        <v>#DIV/0!</v>
      </c>
      <c r="H877" s="88"/>
      <c r="I877" s="88"/>
      <c r="J877" s="88"/>
      <c r="K877" s="89"/>
      <c r="L877" s="89"/>
      <c r="M877" s="88"/>
      <c r="O877" s="88"/>
      <c r="P877" s="88"/>
    </row>
    <row r="878" spans="1:16" ht="12.75" hidden="1" customHeight="1">
      <c r="A878" s="187" t="s">
        <v>686</v>
      </c>
      <c r="B878" s="188"/>
      <c r="C878" s="188"/>
      <c r="D878" s="188"/>
      <c r="E878" s="189">
        <f t="shared" si="153"/>
        <v>0</v>
      </c>
      <c r="F878" s="190" t="e">
        <f t="shared" si="152"/>
        <v>#DIV/0!</v>
      </c>
      <c r="H878" s="88"/>
      <c r="I878" s="88"/>
      <c r="J878" s="88"/>
      <c r="K878" s="89"/>
      <c r="L878" s="89"/>
      <c r="M878" s="88"/>
      <c r="O878" s="88"/>
      <c r="P878" s="88"/>
    </row>
    <row r="879" spans="1:16" ht="12.75" hidden="1" customHeight="1">
      <c r="A879" s="187" t="s">
        <v>687</v>
      </c>
      <c r="B879" s="188"/>
      <c r="C879" s="188"/>
      <c r="D879" s="188"/>
      <c r="E879" s="189">
        <f t="shared" si="153"/>
        <v>0</v>
      </c>
      <c r="F879" s="190" t="e">
        <f t="shared" si="152"/>
        <v>#DIV/0!</v>
      </c>
      <c r="H879" s="88"/>
      <c r="I879" s="88"/>
      <c r="J879" s="88"/>
      <c r="K879" s="89"/>
      <c r="L879" s="89"/>
      <c r="M879" s="88"/>
      <c r="O879" s="88"/>
      <c r="P879" s="88"/>
    </row>
    <row r="880" spans="1:16" ht="12.75" hidden="1" customHeight="1">
      <c r="A880" s="187" t="s">
        <v>659</v>
      </c>
      <c r="B880" s="188"/>
      <c r="C880" s="188"/>
      <c r="D880" s="188"/>
      <c r="E880" s="189">
        <f t="shared" si="153"/>
        <v>0</v>
      </c>
      <c r="F880" s="190" t="e">
        <f t="shared" si="152"/>
        <v>#DIV/0!</v>
      </c>
      <c r="H880" s="88"/>
      <c r="I880" s="88"/>
      <c r="J880" s="88"/>
      <c r="K880" s="89"/>
      <c r="L880" s="89"/>
      <c r="M880" s="88"/>
      <c r="O880" s="88"/>
      <c r="P880" s="88"/>
    </row>
    <row r="881" spans="1:16" ht="12.75" hidden="1" customHeight="1">
      <c r="A881" s="187" t="s">
        <v>688</v>
      </c>
      <c r="B881" s="188"/>
      <c r="C881" s="188"/>
      <c r="D881" s="188"/>
      <c r="E881" s="189">
        <f t="shared" si="153"/>
        <v>0</v>
      </c>
      <c r="F881" s="190" t="e">
        <f t="shared" si="152"/>
        <v>#DIV/0!</v>
      </c>
      <c r="H881" s="88"/>
      <c r="I881" s="88"/>
      <c r="J881" s="88"/>
      <c r="K881" s="89"/>
      <c r="L881" s="89"/>
      <c r="M881" s="88"/>
      <c r="O881" s="88"/>
      <c r="P881" s="88"/>
    </row>
    <row r="882" spans="1:16" ht="12.75" hidden="1" customHeight="1">
      <c r="A882" s="187" t="s">
        <v>689</v>
      </c>
      <c r="B882" s="188"/>
      <c r="C882" s="188"/>
      <c r="D882" s="188"/>
      <c r="E882" s="189">
        <f t="shared" si="153"/>
        <v>0</v>
      </c>
      <c r="F882" s="190" t="e">
        <f t="shared" si="152"/>
        <v>#DIV/0!</v>
      </c>
      <c r="H882" s="88"/>
      <c r="I882" s="88"/>
      <c r="J882" s="88"/>
      <c r="K882" s="89"/>
      <c r="L882" s="89"/>
      <c r="M882" s="88"/>
      <c r="O882" s="88"/>
      <c r="P882" s="88"/>
    </row>
    <row r="883" spans="1:16" ht="12.75" hidden="1" customHeight="1">
      <c r="A883" s="187" t="s">
        <v>690</v>
      </c>
      <c r="B883" s="188"/>
      <c r="C883" s="188"/>
      <c r="D883" s="188"/>
      <c r="E883" s="189">
        <f t="shared" si="153"/>
        <v>0</v>
      </c>
      <c r="F883" s="190" t="e">
        <f t="shared" si="152"/>
        <v>#DIV/0!</v>
      </c>
      <c r="H883" s="88"/>
      <c r="I883" s="88">
        <v>437</v>
      </c>
      <c r="J883" s="88"/>
      <c r="K883" s="89"/>
      <c r="L883" s="89"/>
      <c r="M883" s="88"/>
      <c r="O883" s="88"/>
      <c r="P883" s="88"/>
    </row>
    <row r="884" spans="1:16">
      <c r="A884" s="187" t="s">
        <v>691</v>
      </c>
      <c r="B884" s="188"/>
      <c r="C884" s="188"/>
      <c r="D884" s="188"/>
      <c r="E884" s="189"/>
      <c r="F884" s="190"/>
      <c r="H884" s="88">
        <f t="shared" ref="H884:M884" si="155">SUM(H885:H894)</f>
        <v>0</v>
      </c>
      <c r="I884" s="88">
        <f t="shared" si="155"/>
        <v>4</v>
      </c>
      <c r="J884" s="88">
        <f t="shared" si="155"/>
        <v>0</v>
      </c>
      <c r="K884" s="89">
        <f t="shared" si="155"/>
        <v>0</v>
      </c>
      <c r="L884" s="89">
        <f t="shared" si="155"/>
        <v>0</v>
      </c>
      <c r="M884" s="88">
        <f t="shared" si="155"/>
        <v>0</v>
      </c>
      <c r="O884" s="88">
        <f>SUM(O885:O894)</f>
        <v>0</v>
      </c>
      <c r="P884" s="88">
        <f>SUM(P885:P894)</f>
        <v>0</v>
      </c>
    </row>
    <row r="885" spans="1:16" ht="12.75" hidden="1" customHeight="1">
      <c r="A885" s="187" t="s">
        <v>13</v>
      </c>
      <c r="B885" s="188"/>
      <c r="C885" s="188"/>
      <c r="D885" s="188"/>
      <c r="E885" s="189">
        <f t="shared" si="153"/>
        <v>0</v>
      </c>
      <c r="F885" s="190" t="e">
        <f t="shared" si="152"/>
        <v>#DIV/0!</v>
      </c>
      <c r="H885" s="88"/>
      <c r="I885" s="88">
        <v>4</v>
      </c>
      <c r="J885" s="88"/>
      <c r="K885" s="89"/>
      <c r="L885" s="89"/>
      <c r="M885" s="88"/>
      <c r="O885" s="88"/>
      <c r="P885" s="88"/>
    </row>
    <row r="886" spans="1:16" ht="12.75" hidden="1" customHeight="1">
      <c r="A886" s="187" t="s">
        <v>14</v>
      </c>
      <c r="B886" s="188"/>
      <c r="C886" s="188"/>
      <c r="D886" s="188"/>
      <c r="E886" s="189">
        <f t="shared" si="153"/>
        <v>0</v>
      </c>
      <c r="F886" s="190" t="e">
        <f t="shared" si="152"/>
        <v>#DIV/0!</v>
      </c>
      <c r="H886" s="88"/>
      <c r="I886" s="88"/>
      <c r="J886" s="88"/>
      <c r="K886" s="89"/>
      <c r="L886" s="89"/>
      <c r="M886" s="88"/>
      <c r="O886" s="88"/>
      <c r="P886" s="88"/>
    </row>
    <row r="887" spans="1:16" ht="12.75" hidden="1" customHeight="1">
      <c r="A887" s="187" t="s">
        <v>15</v>
      </c>
      <c r="B887" s="188"/>
      <c r="C887" s="188"/>
      <c r="D887" s="188"/>
      <c r="E887" s="189">
        <f t="shared" si="153"/>
        <v>0</v>
      </c>
      <c r="F887" s="190" t="e">
        <f t="shared" si="152"/>
        <v>#DIV/0!</v>
      </c>
      <c r="H887" s="88"/>
      <c r="I887" s="88"/>
      <c r="J887" s="88"/>
      <c r="K887" s="89"/>
      <c r="L887" s="89"/>
      <c r="M887" s="88"/>
      <c r="O887" s="88"/>
      <c r="P887" s="88"/>
    </row>
    <row r="888" spans="1:16" ht="12.75" hidden="1" customHeight="1">
      <c r="A888" s="187" t="s">
        <v>692</v>
      </c>
      <c r="B888" s="188"/>
      <c r="C888" s="188"/>
      <c r="D888" s="188"/>
      <c r="E888" s="189">
        <f t="shared" si="153"/>
        <v>0</v>
      </c>
      <c r="F888" s="190" t="e">
        <f t="shared" si="152"/>
        <v>#DIV/0!</v>
      </c>
      <c r="H888" s="88"/>
      <c r="I888" s="88"/>
      <c r="J888" s="88"/>
      <c r="K888" s="89"/>
      <c r="L888" s="89"/>
      <c r="M888" s="88"/>
      <c r="O888" s="88"/>
      <c r="P888" s="88"/>
    </row>
    <row r="889" spans="1:16" ht="12.75" hidden="1" customHeight="1">
      <c r="A889" s="187" t="s">
        <v>693</v>
      </c>
      <c r="B889" s="188"/>
      <c r="C889" s="188"/>
      <c r="D889" s="188"/>
      <c r="E889" s="189">
        <f t="shared" si="153"/>
        <v>0</v>
      </c>
      <c r="F889" s="190" t="e">
        <f t="shared" si="152"/>
        <v>#DIV/0!</v>
      </c>
      <c r="H889" s="88"/>
      <c r="I889" s="88"/>
      <c r="J889" s="88"/>
      <c r="K889" s="89"/>
      <c r="L889" s="89"/>
      <c r="M889" s="88"/>
      <c r="O889" s="88"/>
      <c r="P889" s="88"/>
    </row>
    <row r="890" spans="1:16" ht="12.75" hidden="1" customHeight="1">
      <c r="A890" s="187" t="s">
        <v>694</v>
      </c>
      <c r="B890" s="188"/>
      <c r="C890" s="188"/>
      <c r="D890" s="188"/>
      <c r="E890" s="189">
        <f t="shared" si="153"/>
        <v>0</v>
      </c>
      <c r="F890" s="190" t="e">
        <f t="shared" si="152"/>
        <v>#DIV/0!</v>
      </c>
      <c r="H890" s="88"/>
      <c r="I890" s="88"/>
      <c r="J890" s="88"/>
      <c r="K890" s="89"/>
      <c r="L890" s="89"/>
      <c r="M890" s="88"/>
      <c r="O890" s="88"/>
      <c r="P890" s="88"/>
    </row>
    <row r="891" spans="1:16" ht="12.75" hidden="1" customHeight="1">
      <c r="A891" s="187" t="s">
        <v>695</v>
      </c>
      <c r="B891" s="188"/>
      <c r="C891" s="188"/>
      <c r="D891" s="188"/>
      <c r="E891" s="189">
        <f t="shared" si="153"/>
        <v>0</v>
      </c>
      <c r="F891" s="190" t="e">
        <f t="shared" si="152"/>
        <v>#DIV/0!</v>
      </c>
      <c r="H891" s="88"/>
      <c r="I891" s="88"/>
      <c r="J891" s="88"/>
      <c r="K891" s="89"/>
      <c r="L891" s="89"/>
      <c r="M891" s="88"/>
      <c r="O891" s="88"/>
      <c r="P891" s="88"/>
    </row>
    <row r="892" spans="1:16" ht="12.75" hidden="1" customHeight="1">
      <c r="A892" s="187" t="s">
        <v>696</v>
      </c>
      <c r="B892" s="188"/>
      <c r="C892" s="188"/>
      <c r="D892" s="188"/>
      <c r="E892" s="189">
        <f t="shared" si="153"/>
        <v>0</v>
      </c>
      <c r="F892" s="190" t="e">
        <f t="shared" si="152"/>
        <v>#DIV/0!</v>
      </c>
      <c r="H892" s="88"/>
      <c r="I892" s="88"/>
      <c r="J892" s="88"/>
      <c r="K892" s="89"/>
      <c r="L892" s="89"/>
      <c r="M892" s="88"/>
      <c r="O892" s="88"/>
      <c r="P892" s="88"/>
    </row>
    <row r="893" spans="1:16" ht="12.75" hidden="1" customHeight="1">
      <c r="A893" s="187" t="s">
        <v>697</v>
      </c>
      <c r="B893" s="188"/>
      <c r="C893" s="188"/>
      <c r="D893" s="188"/>
      <c r="E893" s="189">
        <f t="shared" si="153"/>
        <v>0</v>
      </c>
      <c r="F893" s="190" t="e">
        <f t="shared" si="152"/>
        <v>#DIV/0!</v>
      </c>
      <c r="H893" s="88"/>
      <c r="I893" s="88"/>
      <c r="J893" s="88"/>
      <c r="K893" s="89"/>
      <c r="L893" s="89"/>
      <c r="M893" s="88"/>
      <c r="O893" s="88"/>
      <c r="P893" s="88"/>
    </row>
    <row r="894" spans="1:16" ht="12.75" hidden="1" customHeight="1">
      <c r="A894" s="187" t="s">
        <v>698</v>
      </c>
      <c r="B894" s="188"/>
      <c r="C894" s="188"/>
      <c r="D894" s="188"/>
      <c r="E894" s="189">
        <f t="shared" si="153"/>
        <v>0</v>
      </c>
      <c r="F894" s="190" t="e">
        <f t="shared" si="152"/>
        <v>#DIV/0!</v>
      </c>
      <c r="H894" s="88"/>
      <c r="I894" s="88"/>
      <c r="J894" s="88"/>
      <c r="K894" s="89"/>
      <c r="L894" s="89"/>
      <c r="M894" s="88"/>
      <c r="O894" s="88"/>
      <c r="P894" s="88"/>
    </row>
    <row r="895" spans="1:16" ht="12.75" hidden="1" customHeight="1">
      <c r="A895" s="187" t="s">
        <v>699</v>
      </c>
      <c r="B895" s="188"/>
      <c r="C895" s="188"/>
      <c r="D895" s="188"/>
      <c r="E895" s="189">
        <f t="shared" si="153"/>
        <v>0</v>
      </c>
      <c r="F895" s="190" t="e">
        <f t="shared" si="152"/>
        <v>#DIV/0!</v>
      </c>
      <c r="H895" s="88">
        <f t="shared" ref="H895:M895" si="156">SUM(H896:H900)</f>
        <v>0</v>
      </c>
      <c r="I895" s="88">
        <f t="shared" si="156"/>
        <v>0</v>
      </c>
      <c r="J895" s="88">
        <f t="shared" si="156"/>
        <v>0</v>
      </c>
      <c r="K895" s="89">
        <f t="shared" si="156"/>
        <v>0</v>
      </c>
      <c r="L895" s="89">
        <f t="shared" si="156"/>
        <v>0</v>
      </c>
      <c r="M895" s="88">
        <f t="shared" si="156"/>
        <v>0</v>
      </c>
      <c r="O895" s="88">
        <f>SUM(O896:O900)</f>
        <v>0</v>
      </c>
      <c r="P895" s="88">
        <f>SUM(P896:P900)</f>
        <v>0</v>
      </c>
    </row>
    <row r="896" spans="1:16" ht="12.75" hidden="1" customHeight="1">
      <c r="A896" s="187" t="s">
        <v>276</v>
      </c>
      <c r="B896" s="188"/>
      <c r="C896" s="188"/>
      <c r="D896" s="188"/>
      <c r="E896" s="189">
        <f t="shared" si="153"/>
        <v>0</v>
      </c>
      <c r="F896" s="190" t="e">
        <f t="shared" si="152"/>
        <v>#DIV/0!</v>
      </c>
      <c r="H896" s="88"/>
      <c r="I896" s="88"/>
      <c r="J896" s="88"/>
      <c r="K896" s="89"/>
      <c r="L896" s="89"/>
      <c r="M896" s="88"/>
      <c r="O896" s="88"/>
      <c r="P896" s="88"/>
    </row>
    <row r="897" spans="1:16" ht="12.75" hidden="1" customHeight="1">
      <c r="A897" s="187" t="s">
        <v>700</v>
      </c>
      <c r="B897" s="188"/>
      <c r="C897" s="188"/>
      <c r="D897" s="188"/>
      <c r="E897" s="189">
        <f t="shared" si="153"/>
        <v>0</v>
      </c>
      <c r="F897" s="190" t="e">
        <f t="shared" si="152"/>
        <v>#DIV/0!</v>
      </c>
      <c r="H897" s="88"/>
      <c r="I897" s="88"/>
      <c r="J897" s="88"/>
      <c r="K897" s="89"/>
      <c r="L897" s="89"/>
      <c r="M897" s="88"/>
      <c r="O897" s="88"/>
      <c r="P897" s="88"/>
    </row>
    <row r="898" spans="1:16" ht="12.75" hidden="1" customHeight="1">
      <c r="A898" s="187" t="s">
        <v>701</v>
      </c>
      <c r="B898" s="188"/>
      <c r="C898" s="188"/>
      <c r="D898" s="188"/>
      <c r="E898" s="189">
        <f t="shared" si="153"/>
        <v>0</v>
      </c>
      <c r="F898" s="190" t="e">
        <f t="shared" si="152"/>
        <v>#DIV/0!</v>
      </c>
      <c r="H898" s="88"/>
      <c r="I898" s="88"/>
      <c r="J898" s="88"/>
      <c r="K898" s="89"/>
      <c r="L898" s="89"/>
      <c r="M898" s="88"/>
      <c r="O898" s="88"/>
      <c r="P898" s="88"/>
    </row>
    <row r="899" spans="1:16" ht="12.75" hidden="1" customHeight="1">
      <c r="A899" s="187" t="s">
        <v>702</v>
      </c>
      <c r="B899" s="188"/>
      <c r="C899" s="188"/>
      <c r="D899" s="188"/>
      <c r="E899" s="189">
        <f t="shared" si="153"/>
        <v>0</v>
      </c>
      <c r="F899" s="190" t="e">
        <f t="shared" si="152"/>
        <v>#DIV/0!</v>
      </c>
      <c r="H899" s="88"/>
      <c r="I899" s="88"/>
      <c r="J899" s="88"/>
      <c r="K899" s="89"/>
      <c r="L899" s="89"/>
      <c r="M899" s="88"/>
      <c r="O899" s="88"/>
      <c r="P899" s="88"/>
    </row>
    <row r="900" spans="1:16" ht="12.75" hidden="1" customHeight="1">
      <c r="A900" s="187" t="s">
        <v>703</v>
      </c>
      <c r="B900" s="188"/>
      <c r="C900" s="188"/>
      <c r="D900" s="188"/>
      <c r="E900" s="189">
        <f t="shared" si="153"/>
        <v>0</v>
      </c>
      <c r="F900" s="190" t="e">
        <f t="shared" si="152"/>
        <v>#DIV/0!</v>
      </c>
      <c r="H900" s="88"/>
      <c r="I900" s="88"/>
      <c r="J900" s="88"/>
      <c r="K900" s="89"/>
      <c r="L900" s="89"/>
      <c r="M900" s="88"/>
      <c r="O900" s="88"/>
      <c r="P900" s="88"/>
    </row>
    <row r="901" spans="1:16">
      <c r="A901" s="187" t="s">
        <v>704</v>
      </c>
      <c r="B901" s="188">
        <v>183</v>
      </c>
      <c r="C901" s="188">
        <v>183</v>
      </c>
      <c r="D901" s="188">
        <v>200</v>
      </c>
      <c r="E901" s="189">
        <f t="shared" si="153"/>
        <v>17</v>
      </c>
      <c r="F901" s="190">
        <f t="shared" si="152"/>
        <v>9.2896174863387984</v>
      </c>
      <c r="H901" s="88">
        <f t="shared" ref="H901:M901" si="157">SUM(H902:H907)</f>
        <v>0</v>
      </c>
      <c r="I901" s="88">
        <f t="shared" si="157"/>
        <v>215</v>
      </c>
      <c r="J901" s="88">
        <f t="shared" si="157"/>
        <v>1352</v>
      </c>
      <c r="K901" s="89">
        <f t="shared" si="157"/>
        <v>0</v>
      </c>
      <c r="L901" s="89">
        <f t="shared" si="157"/>
        <v>0</v>
      </c>
      <c r="M901" s="88">
        <f t="shared" si="157"/>
        <v>0</v>
      </c>
      <c r="O901" s="88">
        <f>SUM(O902:O907)</f>
        <v>0</v>
      </c>
      <c r="P901" s="88">
        <f>SUM(P902:P907)</f>
        <v>0</v>
      </c>
    </row>
    <row r="902" spans="1:16" ht="12.75" hidden="1" customHeight="1">
      <c r="A902" s="187" t="s">
        <v>705</v>
      </c>
      <c r="B902" s="188"/>
      <c r="C902" s="188"/>
      <c r="D902" s="188"/>
      <c r="E902" s="189">
        <f t="shared" si="153"/>
        <v>0</v>
      </c>
      <c r="F902" s="190" t="e">
        <f t="shared" si="152"/>
        <v>#DIV/0!</v>
      </c>
      <c r="H902" s="88"/>
      <c r="I902" s="88">
        <v>200</v>
      </c>
      <c r="J902" s="88"/>
      <c r="K902" s="89"/>
      <c r="L902" s="89"/>
      <c r="M902" s="88"/>
      <c r="O902" s="88"/>
      <c r="P902" s="88"/>
    </row>
    <row r="903" spans="1:16" ht="12.75" hidden="1" customHeight="1">
      <c r="A903" s="187" t="s">
        <v>706</v>
      </c>
      <c r="B903" s="188"/>
      <c r="C903" s="188"/>
      <c r="D903" s="188"/>
      <c r="E903" s="189">
        <f t="shared" si="153"/>
        <v>0</v>
      </c>
      <c r="F903" s="190" t="e">
        <f t="shared" si="152"/>
        <v>#DIV/0!</v>
      </c>
      <c r="H903" s="88"/>
      <c r="I903" s="88"/>
      <c r="J903" s="88"/>
      <c r="K903" s="89"/>
      <c r="L903" s="89"/>
      <c r="M903" s="88"/>
      <c r="O903" s="88"/>
      <c r="P903" s="88"/>
    </row>
    <row r="904" spans="1:16" ht="12.75" hidden="1" customHeight="1">
      <c r="A904" s="187" t="s">
        <v>707</v>
      </c>
      <c r="B904" s="188"/>
      <c r="C904" s="188"/>
      <c r="D904" s="188"/>
      <c r="E904" s="189">
        <f t="shared" si="153"/>
        <v>0</v>
      </c>
      <c r="F904" s="190" t="e">
        <f t="shared" si="152"/>
        <v>#DIV/0!</v>
      </c>
      <c r="H904" s="88"/>
      <c r="I904" s="88"/>
      <c r="J904" s="88">
        <v>1352</v>
      </c>
      <c r="K904" s="89"/>
      <c r="L904" s="89"/>
      <c r="M904" s="88"/>
      <c r="O904" s="88"/>
      <c r="P904" s="88"/>
    </row>
    <row r="905" spans="1:16" ht="12.75" hidden="1" customHeight="1">
      <c r="A905" s="187" t="s">
        <v>708</v>
      </c>
      <c r="B905" s="188"/>
      <c r="C905" s="188"/>
      <c r="D905" s="188"/>
      <c r="E905" s="189">
        <f t="shared" si="153"/>
        <v>0</v>
      </c>
      <c r="F905" s="190" t="e">
        <f t="shared" si="152"/>
        <v>#DIV/0!</v>
      </c>
      <c r="H905" s="88"/>
      <c r="I905" s="88"/>
      <c r="J905" s="88"/>
      <c r="K905" s="89"/>
      <c r="L905" s="89"/>
      <c r="M905" s="88"/>
      <c r="O905" s="88"/>
      <c r="P905" s="88"/>
    </row>
    <row r="906" spans="1:16" ht="12.75" hidden="1" customHeight="1">
      <c r="A906" s="187" t="s">
        <v>709</v>
      </c>
      <c r="B906" s="188"/>
      <c r="C906" s="188"/>
      <c r="D906" s="188"/>
      <c r="E906" s="189">
        <f t="shared" si="153"/>
        <v>0</v>
      </c>
      <c r="F906" s="190" t="e">
        <f t="shared" si="152"/>
        <v>#DIV/0!</v>
      </c>
      <c r="H906" s="88"/>
      <c r="I906" s="88"/>
      <c r="J906" s="88"/>
      <c r="K906" s="89"/>
      <c r="L906" s="89"/>
      <c r="M906" s="88"/>
      <c r="O906" s="88"/>
      <c r="P906" s="88"/>
    </row>
    <row r="907" spans="1:16" ht="12.75" hidden="1" customHeight="1">
      <c r="A907" s="187" t="s">
        <v>710</v>
      </c>
      <c r="B907" s="188"/>
      <c r="C907" s="188"/>
      <c r="D907" s="188"/>
      <c r="E907" s="189">
        <f t="shared" si="153"/>
        <v>0</v>
      </c>
      <c r="F907" s="190" t="e">
        <f t="shared" si="152"/>
        <v>#DIV/0!</v>
      </c>
      <c r="H907" s="88"/>
      <c r="I907" s="88">
        <v>15</v>
      </c>
      <c r="J907" s="88"/>
      <c r="K907" s="89"/>
      <c r="L907" s="89"/>
      <c r="M907" s="88"/>
      <c r="O907" s="88"/>
      <c r="P907" s="88"/>
    </row>
    <row r="908" spans="1:16" ht="12.75" hidden="1" customHeight="1">
      <c r="A908" s="187" t="s">
        <v>711</v>
      </c>
      <c r="B908" s="188"/>
      <c r="C908" s="188"/>
      <c r="D908" s="188"/>
      <c r="E908" s="189">
        <f t="shared" si="153"/>
        <v>0</v>
      </c>
      <c r="F908" s="190" t="e">
        <f t="shared" si="152"/>
        <v>#DIV/0!</v>
      </c>
      <c r="H908" s="88">
        <f t="shared" ref="H908:M908" si="158">SUM(H909:H911)</f>
        <v>0</v>
      </c>
      <c r="I908" s="88">
        <f t="shared" si="158"/>
        <v>0</v>
      </c>
      <c r="J908" s="88">
        <f t="shared" si="158"/>
        <v>0</v>
      </c>
      <c r="K908" s="89">
        <f t="shared" si="158"/>
        <v>0</v>
      </c>
      <c r="L908" s="89">
        <f t="shared" si="158"/>
        <v>0</v>
      </c>
      <c r="M908" s="88">
        <f t="shared" si="158"/>
        <v>0</v>
      </c>
      <c r="O908" s="88">
        <f>SUM(O909:O911)</f>
        <v>0</v>
      </c>
      <c r="P908" s="88">
        <f>SUM(P909:P911)</f>
        <v>0</v>
      </c>
    </row>
    <row r="909" spans="1:16" ht="12.75" hidden="1" customHeight="1">
      <c r="A909" s="187" t="s">
        <v>712</v>
      </c>
      <c r="B909" s="188"/>
      <c r="C909" s="188"/>
      <c r="D909" s="188"/>
      <c r="E909" s="189">
        <f t="shared" si="153"/>
        <v>0</v>
      </c>
      <c r="F909" s="190" t="e">
        <f t="shared" si="152"/>
        <v>#DIV/0!</v>
      </c>
      <c r="H909" s="88"/>
      <c r="I909" s="88"/>
      <c r="J909" s="88"/>
      <c r="K909" s="89"/>
      <c r="L909" s="89"/>
      <c r="M909" s="88"/>
      <c r="O909" s="88"/>
      <c r="P909" s="88"/>
    </row>
    <row r="910" spans="1:16" ht="12.75" hidden="1" customHeight="1">
      <c r="A910" s="187" t="s">
        <v>713</v>
      </c>
      <c r="B910" s="188"/>
      <c r="C910" s="188"/>
      <c r="D910" s="188"/>
      <c r="E910" s="189">
        <f t="shared" si="153"/>
        <v>0</v>
      </c>
      <c r="F910" s="190" t="e">
        <f t="shared" ref="F910:F973" si="159">E910/C910*100</f>
        <v>#DIV/0!</v>
      </c>
      <c r="H910" s="88"/>
      <c r="I910" s="88"/>
      <c r="J910" s="88"/>
      <c r="K910" s="89"/>
      <c r="L910" s="89"/>
      <c r="M910" s="88"/>
      <c r="O910" s="88"/>
      <c r="P910" s="88"/>
    </row>
    <row r="911" spans="1:16" ht="12.75" hidden="1" customHeight="1">
      <c r="A911" s="187" t="s">
        <v>714</v>
      </c>
      <c r="B911" s="188"/>
      <c r="C911" s="188"/>
      <c r="D911" s="188"/>
      <c r="E911" s="189">
        <f t="shared" si="153"/>
        <v>0</v>
      </c>
      <c r="F911" s="190" t="e">
        <f t="shared" si="159"/>
        <v>#DIV/0!</v>
      </c>
      <c r="H911" s="88"/>
      <c r="I911" s="88"/>
      <c r="J911" s="88"/>
      <c r="K911" s="89"/>
      <c r="L911" s="89"/>
      <c r="M911" s="88"/>
      <c r="O911" s="88"/>
      <c r="P911" s="88"/>
    </row>
    <row r="912" spans="1:16" ht="12.75" customHeight="1">
      <c r="A912" s="187" t="s">
        <v>715</v>
      </c>
      <c r="B912" s="188">
        <v>350</v>
      </c>
      <c r="C912" s="188">
        <v>350</v>
      </c>
      <c r="D912" s="188">
        <v>700</v>
      </c>
      <c r="E912" s="189">
        <f>D912-C912</f>
        <v>350</v>
      </c>
      <c r="F912" s="190">
        <f t="shared" si="159"/>
        <v>100</v>
      </c>
      <c r="H912" s="88"/>
      <c r="I912" s="88"/>
      <c r="J912" s="88"/>
      <c r="K912" s="89"/>
      <c r="L912" s="89"/>
      <c r="M912" s="88"/>
      <c r="O912" s="88"/>
      <c r="P912" s="88"/>
    </row>
    <row r="913" spans="1:16">
      <c r="A913" s="187" t="s">
        <v>716</v>
      </c>
      <c r="B913" s="188">
        <v>70</v>
      </c>
      <c r="C913" s="188">
        <v>70</v>
      </c>
      <c r="D913" s="188">
        <v>70</v>
      </c>
      <c r="E913" s="189"/>
      <c r="F913" s="190"/>
      <c r="H913" s="88">
        <f t="shared" ref="H913:M913" si="160">SUM(H914:H915)</f>
        <v>0</v>
      </c>
      <c r="I913" s="88">
        <f t="shared" si="160"/>
        <v>66</v>
      </c>
      <c r="J913" s="88">
        <f t="shared" si="160"/>
        <v>0</v>
      </c>
      <c r="K913" s="89">
        <f t="shared" si="160"/>
        <v>0</v>
      </c>
      <c r="L913" s="89">
        <f t="shared" si="160"/>
        <v>0</v>
      </c>
      <c r="M913" s="88">
        <f t="shared" si="160"/>
        <v>0</v>
      </c>
      <c r="O913" s="88">
        <f>SUM(O914:O915)</f>
        <v>0</v>
      </c>
      <c r="P913" s="88">
        <f>SUM(P914:P915)</f>
        <v>0</v>
      </c>
    </row>
    <row r="914" spans="1:16" ht="12.75" hidden="1" customHeight="1">
      <c r="A914" s="187" t="s">
        <v>717</v>
      </c>
      <c r="B914" s="188"/>
      <c r="C914" s="188"/>
      <c r="D914" s="188"/>
      <c r="E914" s="189">
        <f>D914-C914</f>
        <v>0</v>
      </c>
      <c r="F914" s="190" t="e">
        <f t="shared" si="159"/>
        <v>#DIV/0!</v>
      </c>
      <c r="H914" s="88"/>
      <c r="I914" s="88"/>
      <c r="J914" s="88"/>
      <c r="K914" s="89"/>
      <c r="L914" s="89"/>
      <c r="M914" s="88"/>
      <c r="O914" s="88"/>
      <c r="P914" s="88"/>
    </row>
    <row r="915" spans="1:16" ht="12.75" hidden="1" customHeight="1">
      <c r="A915" s="187" t="s">
        <v>718</v>
      </c>
      <c r="B915" s="188"/>
      <c r="C915" s="188"/>
      <c r="D915" s="188"/>
      <c r="E915" s="189">
        <f>D915-C915</f>
        <v>0</v>
      </c>
      <c r="F915" s="190" t="e">
        <f t="shared" si="159"/>
        <v>#DIV/0!</v>
      </c>
      <c r="H915" s="88"/>
      <c r="I915" s="88">
        <v>66</v>
      </c>
      <c r="J915" s="88"/>
      <c r="K915" s="89"/>
      <c r="L915" s="89"/>
      <c r="M915" s="88"/>
      <c r="O915" s="88"/>
      <c r="P915" s="88"/>
    </row>
    <row r="916" spans="1:16">
      <c r="A916" s="179" t="s">
        <v>719</v>
      </c>
      <c r="B916" s="182">
        <f>B917+B947+B956+B962+B961</f>
        <v>4643.55</v>
      </c>
      <c r="C916" s="182">
        <f>C917+C947+C956+C962+C961</f>
        <v>4643.55</v>
      </c>
      <c r="D916" s="182">
        <f>D917+D947+D956+D962+D961</f>
        <v>14150.51</v>
      </c>
      <c r="E916" s="185">
        <f t="shared" ref="E916:E979" si="161">D916-C916</f>
        <v>9506.9599999999991</v>
      </c>
      <c r="F916" s="186">
        <f t="shared" si="159"/>
        <v>204.73473958501575</v>
      </c>
      <c r="H916" s="88">
        <f>H917+H947+H956+H962</f>
        <v>24117</v>
      </c>
      <c r="I916" s="88">
        <f t="shared" ref="I916:P916" si="162">I917+I947+I956+I962</f>
        <v>963</v>
      </c>
      <c r="J916" s="88">
        <f t="shared" si="162"/>
        <v>0</v>
      </c>
      <c r="K916" s="88">
        <f t="shared" si="162"/>
        <v>78995</v>
      </c>
      <c r="L916" s="88">
        <f t="shared" si="162"/>
        <v>0</v>
      </c>
      <c r="M916" s="88">
        <f t="shared" si="162"/>
        <v>0</v>
      </c>
      <c r="O916" s="88">
        <f t="shared" si="162"/>
        <v>0</v>
      </c>
      <c r="P916" s="88">
        <f t="shared" si="162"/>
        <v>84000</v>
      </c>
    </row>
    <row r="917" spans="1:16">
      <c r="A917" s="187" t="s">
        <v>720</v>
      </c>
      <c r="B917" s="188">
        <v>2743</v>
      </c>
      <c r="C917" s="188">
        <v>2743</v>
      </c>
      <c r="D917" s="188">
        <v>12186.99</v>
      </c>
      <c r="E917" s="189">
        <f t="shared" si="161"/>
        <v>9443.99</v>
      </c>
      <c r="F917" s="190">
        <f t="shared" si="159"/>
        <v>344.29420342690486</v>
      </c>
      <c r="H917" s="88">
        <f t="shared" ref="H917:M917" si="163">SUM(H918:H946)</f>
        <v>4059</v>
      </c>
      <c r="I917" s="88">
        <f t="shared" si="163"/>
        <v>963</v>
      </c>
      <c r="J917" s="88">
        <f t="shared" si="163"/>
        <v>0</v>
      </c>
      <c r="K917" s="89">
        <f t="shared" si="163"/>
        <v>70995</v>
      </c>
      <c r="L917" s="89">
        <f t="shared" si="163"/>
        <v>0</v>
      </c>
      <c r="M917" s="88">
        <f t="shared" si="163"/>
        <v>0</v>
      </c>
      <c r="O917" s="88">
        <f>SUM(O918:O946)</f>
        <v>0</v>
      </c>
      <c r="P917" s="88">
        <f>SUM(P918:P946)</f>
        <v>71000</v>
      </c>
    </row>
    <row r="918" spans="1:16" ht="12.75" hidden="1" customHeight="1">
      <c r="A918" s="187" t="s">
        <v>13</v>
      </c>
      <c r="B918" s="188"/>
      <c r="C918" s="188"/>
      <c r="D918" s="188"/>
      <c r="E918" s="189">
        <f t="shared" si="161"/>
        <v>0</v>
      </c>
      <c r="F918" s="190" t="e">
        <f t="shared" si="159"/>
        <v>#DIV/0!</v>
      </c>
      <c r="H918" s="88">
        <v>516</v>
      </c>
      <c r="I918" s="88">
        <v>138</v>
      </c>
      <c r="J918" s="88"/>
      <c r="K918" s="89">
        <v>45</v>
      </c>
      <c r="L918" s="89"/>
      <c r="M918" s="88"/>
      <c r="O918" s="88"/>
      <c r="P918" s="88"/>
    </row>
    <row r="919" spans="1:16" ht="12.75" hidden="1" customHeight="1">
      <c r="A919" s="187" t="s">
        <v>14</v>
      </c>
      <c r="B919" s="188"/>
      <c r="C919" s="188"/>
      <c r="D919" s="188"/>
      <c r="E919" s="189">
        <f t="shared" si="161"/>
        <v>0</v>
      </c>
      <c r="F919" s="190" t="e">
        <f t="shared" si="159"/>
        <v>#DIV/0!</v>
      </c>
      <c r="H919" s="88">
        <v>500</v>
      </c>
      <c r="I919" s="88"/>
      <c r="J919" s="88"/>
      <c r="K919" s="89"/>
      <c r="L919" s="89"/>
      <c r="M919" s="88"/>
      <c r="O919" s="88"/>
      <c r="P919" s="88"/>
    </row>
    <row r="920" spans="1:16" ht="12.75" hidden="1" customHeight="1">
      <c r="A920" s="187" t="s">
        <v>15</v>
      </c>
      <c r="B920" s="188"/>
      <c r="C920" s="188"/>
      <c r="D920" s="188"/>
      <c r="E920" s="189">
        <f t="shared" si="161"/>
        <v>0</v>
      </c>
      <c r="F920" s="190" t="e">
        <f t="shared" si="159"/>
        <v>#DIV/0!</v>
      </c>
      <c r="H920" s="88"/>
      <c r="I920" s="88"/>
      <c r="J920" s="88"/>
      <c r="K920" s="89"/>
      <c r="L920" s="89"/>
      <c r="M920" s="88"/>
      <c r="O920" s="88"/>
      <c r="P920" s="88"/>
    </row>
    <row r="921" spans="1:16" ht="12.75" hidden="1" customHeight="1">
      <c r="A921" s="187" t="s">
        <v>721</v>
      </c>
      <c r="B921" s="188"/>
      <c r="C921" s="188"/>
      <c r="D921" s="188"/>
      <c r="E921" s="189">
        <f t="shared" si="161"/>
        <v>0</v>
      </c>
      <c r="F921" s="190" t="e">
        <f t="shared" si="159"/>
        <v>#DIV/0!</v>
      </c>
      <c r="H921" s="88"/>
      <c r="I921" s="88"/>
      <c r="J921" s="88"/>
      <c r="K921" s="89">
        <v>35000</v>
      </c>
      <c r="L921" s="89"/>
      <c r="M921" s="88"/>
      <c r="O921" s="88"/>
      <c r="P921" s="88">
        <v>65000</v>
      </c>
    </row>
    <row r="922" spans="1:16" ht="12.75" hidden="1" customHeight="1">
      <c r="A922" s="187" t="s">
        <v>722</v>
      </c>
      <c r="B922" s="188"/>
      <c r="C922" s="188"/>
      <c r="D922" s="188"/>
      <c r="E922" s="189">
        <f t="shared" si="161"/>
        <v>0</v>
      </c>
      <c r="F922" s="190" t="e">
        <f t="shared" si="159"/>
        <v>#DIV/0!</v>
      </c>
      <c r="H922" s="88"/>
      <c r="I922" s="88"/>
      <c r="J922" s="88"/>
      <c r="K922" s="89"/>
      <c r="L922" s="89"/>
      <c r="M922" s="88"/>
      <c r="O922" s="88"/>
      <c r="P922" s="88"/>
    </row>
    <row r="923" spans="1:16" ht="12.75" hidden="1" customHeight="1">
      <c r="A923" s="187" t="s">
        <v>723</v>
      </c>
      <c r="B923" s="188"/>
      <c r="C923" s="188"/>
      <c r="D923" s="188"/>
      <c r="E923" s="189">
        <f t="shared" si="161"/>
        <v>0</v>
      </c>
      <c r="F923" s="190" t="e">
        <f t="shared" si="159"/>
        <v>#DIV/0!</v>
      </c>
      <c r="H923" s="88"/>
      <c r="I923" s="88">
        <v>16</v>
      </c>
      <c r="J923" s="88"/>
      <c r="K923" s="89">
        <v>200</v>
      </c>
      <c r="L923" s="89"/>
      <c r="M923" s="88"/>
      <c r="O923" s="88"/>
      <c r="P923" s="88"/>
    </row>
    <row r="924" spans="1:16" ht="12.75" hidden="1" customHeight="1">
      <c r="A924" s="187" t="s">
        <v>724</v>
      </c>
      <c r="B924" s="188"/>
      <c r="C924" s="188"/>
      <c r="D924" s="188"/>
      <c r="E924" s="189">
        <f t="shared" si="161"/>
        <v>0</v>
      </c>
      <c r="F924" s="190" t="e">
        <f t="shared" si="159"/>
        <v>#DIV/0!</v>
      </c>
      <c r="H924" s="88"/>
      <c r="I924" s="88"/>
      <c r="J924" s="88"/>
      <c r="K924" s="89"/>
      <c r="L924" s="89"/>
      <c r="M924" s="88"/>
      <c r="O924" s="88"/>
      <c r="P924" s="88"/>
    </row>
    <row r="925" spans="1:16" ht="12.75" hidden="1" customHeight="1">
      <c r="A925" s="187" t="s">
        <v>725</v>
      </c>
      <c r="B925" s="188"/>
      <c r="C925" s="188"/>
      <c r="D925" s="188"/>
      <c r="E925" s="189">
        <f t="shared" si="161"/>
        <v>0</v>
      </c>
      <c r="F925" s="190" t="e">
        <f t="shared" si="159"/>
        <v>#DIV/0!</v>
      </c>
      <c r="H925" s="88"/>
      <c r="I925" s="88"/>
      <c r="J925" s="88"/>
      <c r="K925" s="89"/>
      <c r="L925" s="89"/>
      <c r="M925" s="88"/>
      <c r="O925" s="88"/>
      <c r="P925" s="88"/>
    </row>
    <row r="926" spans="1:16" ht="12.75" hidden="1" customHeight="1">
      <c r="A926" s="187" t="s">
        <v>726</v>
      </c>
      <c r="B926" s="188"/>
      <c r="C926" s="188"/>
      <c r="D926" s="188"/>
      <c r="E926" s="189">
        <f t="shared" si="161"/>
        <v>0</v>
      </c>
      <c r="F926" s="190" t="e">
        <f t="shared" si="159"/>
        <v>#DIV/0!</v>
      </c>
      <c r="H926" s="88"/>
      <c r="I926" s="88"/>
      <c r="J926" s="88"/>
      <c r="K926" s="89"/>
      <c r="L926" s="89"/>
      <c r="M926" s="88"/>
      <c r="O926" s="88"/>
      <c r="P926" s="88"/>
    </row>
    <row r="927" spans="1:16" ht="12.75" hidden="1" customHeight="1">
      <c r="A927" s="187" t="s">
        <v>727</v>
      </c>
      <c r="B927" s="188"/>
      <c r="C927" s="188"/>
      <c r="D927" s="188"/>
      <c r="E927" s="189">
        <f t="shared" si="161"/>
        <v>0</v>
      </c>
      <c r="F927" s="190" t="e">
        <f t="shared" si="159"/>
        <v>#DIV/0!</v>
      </c>
      <c r="H927" s="88"/>
      <c r="I927" s="88"/>
      <c r="J927" s="88"/>
      <c r="K927" s="89"/>
      <c r="L927" s="89"/>
      <c r="M927" s="88"/>
      <c r="O927" s="88"/>
      <c r="P927" s="88"/>
    </row>
    <row r="928" spans="1:16" ht="12.75" hidden="1" customHeight="1">
      <c r="A928" s="187" t="s">
        <v>728</v>
      </c>
      <c r="B928" s="188"/>
      <c r="C928" s="188"/>
      <c r="D928" s="188"/>
      <c r="E928" s="189">
        <f t="shared" si="161"/>
        <v>0</v>
      </c>
      <c r="F928" s="190" t="e">
        <f t="shared" si="159"/>
        <v>#DIV/0!</v>
      </c>
      <c r="H928" s="88"/>
      <c r="I928" s="88"/>
      <c r="J928" s="88"/>
      <c r="K928" s="89"/>
      <c r="L928" s="89"/>
      <c r="M928" s="88"/>
      <c r="O928" s="88"/>
      <c r="P928" s="88"/>
    </row>
    <row r="929" spans="1:16" ht="12.75" hidden="1" customHeight="1">
      <c r="A929" s="187" t="s">
        <v>729</v>
      </c>
      <c r="B929" s="188"/>
      <c r="C929" s="188"/>
      <c r="D929" s="188"/>
      <c r="E929" s="189">
        <f t="shared" si="161"/>
        <v>0</v>
      </c>
      <c r="F929" s="190" t="e">
        <f t="shared" si="159"/>
        <v>#DIV/0!</v>
      </c>
      <c r="H929" s="88"/>
      <c r="I929" s="88">
        <v>299</v>
      </c>
      <c r="J929" s="88"/>
      <c r="K929" s="89">
        <v>750</v>
      </c>
      <c r="L929" s="89"/>
      <c r="M929" s="88"/>
      <c r="O929" s="88"/>
      <c r="P929" s="88"/>
    </row>
    <row r="930" spans="1:16" ht="12.75" hidden="1" customHeight="1">
      <c r="A930" s="187" t="s">
        <v>730</v>
      </c>
      <c r="B930" s="188"/>
      <c r="C930" s="188"/>
      <c r="D930" s="188"/>
      <c r="E930" s="189">
        <f t="shared" si="161"/>
        <v>0</v>
      </c>
      <c r="F930" s="190" t="e">
        <f t="shared" si="159"/>
        <v>#DIV/0!</v>
      </c>
      <c r="H930" s="88"/>
      <c r="I930" s="88"/>
      <c r="J930" s="88"/>
      <c r="K930" s="89"/>
      <c r="L930" s="89"/>
      <c r="M930" s="88"/>
      <c r="O930" s="88"/>
      <c r="P930" s="88"/>
    </row>
    <row r="931" spans="1:16" ht="12.75" hidden="1" customHeight="1">
      <c r="A931" s="187" t="s">
        <v>731</v>
      </c>
      <c r="B931" s="188"/>
      <c r="C931" s="188"/>
      <c r="D931" s="188"/>
      <c r="E931" s="189">
        <f t="shared" si="161"/>
        <v>0</v>
      </c>
      <c r="F931" s="190" t="e">
        <f t="shared" si="159"/>
        <v>#DIV/0!</v>
      </c>
      <c r="H931" s="88"/>
      <c r="I931" s="88"/>
      <c r="J931" s="88"/>
      <c r="K931" s="89"/>
      <c r="L931" s="89"/>
      <c r="M931" s="88"/>
      <c r="O931" s="88"/>
      <c r="P931" s="88"/>
    </row>
    <row r="932" spans="1:16" ht="12.75" hidden="1" customHeight="1">
      <c r="A932" s="187" t="s">
        <v>732</v>
      </c>
      <c r="B932" s="188"/>
      <c r="C932" s="188"/>
      <c r="D932" s="188"/>
      <c r="E932" s="189">
        <f t="shared" si="161"/>
        <v>0</v>
      </c>
      <c r="F932" s="190" t="e">
        <f t="shared" si="159"/>
        <v>#DIV/0!</v>
      </c>
      <c r="H932" s="88">
        <v>2500</v>
      </c>
      <c r="I932" s="88"/>
      <c r="J932" s="88"/>
      <c r="K932" s="89">
        <v>35000</v>
      </c>
      <c r="L932" s="89"/>
      <c r="M932" s="88"/>
      <c r="O932" s="88"/>
      <c r="P932" s="88">
        <v>6000</v>
      </c>
    </row>
    <row r="933" spans="1:16" ht="12.75" hidden="1" customHeight="1">
      <c r="A933" s="187" t="s">
        <v>733</v>
      </c>
      <c r="B933" s="188"/>
      <c r="C933" s="188"/>
      <c r="D933" s="188"/>
      <c r="E933" s="189">
        <f t="shared" si="161"/>
        <v>0</v>
      </c>
      <c r="F933" s="190" t="e">
        <f t="shared" si="159"/>
        <v>#DIV/0!</v>
      </c>
      <c r="H933" s="88"/>
      <c r="I933" s="88"/>
      <c r="J933" s="88"/>
      <c r="K933" s="89"/>
      <c r="L933" s="89"/>
      <c r="M933" s="88"/>
      <c r="O933" s="88"/>
      <c r="P933" s="88"/>
    </row>
    <row r="934" spans="1:16" ht="12.75" hidden="1" customHeight="1">
      <c r="A934" s="187" t="s">
        <v>734</v>
      </c>
      <c r="B934" s="188"/>
      <c r="C934" s="188"/>
      <c r="D934" s="188"/>
      <c r="E934" s="189">
        <f t="shared" si="161"/>
        <v>0</v>
      </c>
      <c r="F934" s="190" t="e">
        <f t="shared" si="159"/>
        <v>#DIV/0!</v>
      </c>
      <c r="H934" s="88"/>
      <c r="I934" s="88"/>
      <c r="J934" s="88"/>
      <c r="K934" s="89"/>
      <c r="L934" s="89"/>
      <c r="M934" s="88"/>
      <c r="O934" s="88"/>
      <c r="P934" s="88"/>
    </row>
    <row r="935" spans="1:16" ht="12.75" hidden="1" customHeight="1">
      <c r="A935" s="187" t="s">
        <v>735</v>
      </c>
      <c r="B935" s="188"/>
      <c r="C935" s="188"/>
      <c r="D935" s="188"/>
      <c r="E935" s="189">
        <f t="shared" si="161"/>
        <v>0</v>
      </c>
      <c r="F935" s="190" t="e">
        <f t="shared" si="159"/>
        <v>#DIV/0!</v>
      </c>
      <c r="H935" s="88"/>
      <c r="I935" s="88"/>
      <c r="J935" s="88"/>
      <c r="K935" s="89"/>
      <c r="L935" s="89"/>
      <c r="M935" s="88"/>
      <c r="O935" s="88"/>
      <c r="P935" s="88"/>
    </row>
    <row r="936" spans="1:16" ht="12.75" hidden="1" customHeight="1">
      <c r="A936" s="187" t="s">
        <v>736</v>
      </c>
      <c r="B936" s="188"/>
      <c r="C936" s="188"/>
      <c r="D936" s="188"/>
      <c r="E936" s="189">
        <f t="shared" si="161"/>
        <v>0</v>
      </c>
      <c r="F936" s="190" t="e">
        <f t="shared" si="159"/>
        <v>#DIV/0!</v>
      </c>
      <c r="H936" s="88"/>
      <c r="I936" s="88"/>
      <c r="J936" s="88"/>
      <c r="K936" s="89"/>
      <c r="L936" s="89"/>
      <c r="M936" s="88"/>
      <c r="O936" s="88"/>
      <c r="P936" s="88"/>
    </row>
    <row r="937" spans="1:16" ht="12.75" hidden="1" customHeight="1">
      <c r="A937" s="187" t="s">
        <v>737</v>
      </c>
      <c r="B937" s="188"/>
      <c r="C937" s="188"/>
      <c r="D937" s="188"/>
      <c r="E937" s="189">
        <f t="shared" si="161"/>
        <v>0</v>
      </c>
      <c r="F937" s="190" t="e">
        <f t="shared" si="159"/>
        <v>#DIV/0!</v>
      </c>
      <c r="H937" s="88"/>
      <c r="I937" s="88"/>
      <c r="J937" s="88"/>
      <c r="K937" s="89"/>
      <c r="L937" s="89"/>
      <c r="M937" s="88"/>
      <c r="O937" s="88"/>
      <c r="P937" s="88"/>
    </row>
    <row r="938" spans="1:16" ht="12.75" hidden="1" customHeight="1">
      <c r="A938" s="187" t="s">
        <v>738</v>
      </c>
      <c r="B938" s="188"/>
      <c r="C938" s="188"/>
      <c r="D938" s="188"/>
      <c r="E938" s="189">
        <f t="shared" si="161"/>
        <v>0</v>
      </c>
      <c r="F938" s="190" t="e">
        <f t="shared" si="159"/>
        <v>#DIV/0!</v>
      </c>
      <c r="H938" s="88"/>
      <c r="I938" s="88"/>
      <c r="J938" s="88"/>
      <c r="K938" s="89"/>
      <c r="L938" s="89"/>
      <c r="M938" s="88"/>
      <c r="O938" s="88"/>
      <c r="P938" s="88"/>
    </row>
    <row r="939" spans="1:16" ht="12.75" hidden="1" customHeight="1">
      <c r="A939" s="187" t="s">
        <v>739</v>
      </c>
      <c r="B939" s="188"/>
      <c r="C939" s="188"/>
      <c r="D939" s="188"/>
      <c r="E939" s="189">
        <f t="shared" si="161"/>
        <v>0</v>
      </c>
      <c r="F939" s="190" t="e">
        <f t="shared" si="159"/>
        <v>#DIV/0!</v>
      </c>
      <c r="H939" s="88"/>
      <c r="I939" s="88"/>
      <c r="J939" s="88"/>
      <c r="K939" s="89"/>
      <c r="L939" s="89"/>
      <c r="M939" s="88"/>
      <c r="O939" s="88"/>
      <c r="P939" s="88"/>
    </row>
    <row r="940" spans="1:16" ht="12.75" hidden="1" customHeight="1">
      <c r="A940" s="187" t="s">
        <v>740</v>
      </c>
      <c r="B940" s="188"/>
      <c r="C940" s="188"/>
      <c r="D940" s="188"/>
      <c r="E940" s="189">
        <f t="shared" si="161"/>
        <v>0</v>
      </c>
      <c r="F940" s="190" t="e">
        <f t="shared" si="159"/>
        <v>#DIV/0!</v>
      </c>
      <c r="H940" s="88"/>
      <c r="I940" s="88"/>
      <c r="J940" s="88"/>
      <c r="K940" s="89"/>
      <c r="L940" s="89"/>
      <c r="M940" s="88"/>
      <c r="O940" s="88"/>
      <c r="P940" s="88"/>
    </row>
    <row r="941" spans="1:16" ht="12.75" hidden="1" customHeight="1">
      <c r="A941" s="187" t="s">
        <v>741</v>
      </c>
      <c r="B941" s="188"/>
      <c r="C941" s="188"/>
      <c r="D941" s="188"/>
      <c r="E941" s="189">
        <f t="shared" si="161"/>
        <v>0</v>
      </c>
      <c r="F941" s="190" t="e">
        <f t="shared" si="159"/>
        <v>#DIV/0!</v>
      </c>
      <c r="H941" s="88"/>
      <c r="I941" s="88"/>
      <c r="J941" s="88"/>
      <c r="K941" s="89"/>
      <c r="L941" s="89"/>
      <c r="M941" s="88"/>
      <c r="O941" s="88"/>
      <c r="P941" s="88"/>
    </row>
    <row r="942" spans="1:16" ht="12.75" hidden="1" customHeight="1">
      <c r="A942" s="187" t="s">
        <v>742</v>
      </c>
      <c r="B942" s="188"/>
      <c r="C942" s="188"/>
      <c r="D942" s="188"/>
      <c r="E942" s="189">
        <f t="shared" si="161"/>
        <v>0</v>
      </c>
      <c r="F942" s="190" t="e">
        <f t="shared" si="159"/>
        <v>#DIV/0!</v>
      </c>
      <c r="H942" s="88"/>
      <c r="I942" s="88"/>
      <c r="J942" s="88"/>
      <c r="K942" s="89"/>
      <c r="L942" s="89"/>
      <c r="M942" s="88"/>
      <c r="O942" s="88"/>
      <c r="P942" s="88"/>
    </row>
    <row r="943" spans="1:16" ht="12.75" hidden="1" customHeight="1">
      <c r="A943" s="187" t="s">
        <v>743</v>
      </c>
      <c r="B943" s="188"/>
      <c r="C943" s="188"/>
      <c r="D943" s="188"/>
      <c r="E943" s="189">
        <f t="shared" si="161"/>
        <v>0</v>
      </c>
      <c r="F943" s="190" t="e">
        <f t="shared" si="159"/>
        <v>#DIV/0!</v>
      </c>
      <c r="H943" s="88"/>
      <c r="I943" s="88"/>
      <c r="J943" s="88"/>
      <c r="K943" s="89"/>
      <c r="L943" s="89"/>
      <c r="M943" s="88"/>
      <c r="O943" s="88"/>
      <c r="P943" s="88"/>
    </row>
    <row r="944" spans="1:16" ht="12.75" hidden="1" customHeight="1">
      <c r="A944" s="187" t="s">
        <v>744</v>
      </c>
      <c r="B944" s="188"/>
      <c r="C944" s="188"/>
      <c r="D944" s="188"/>
      <c r="E944" s="189">
        <f t="shared" si="161"/>
        <v>0</v>
      </c>
      <c r="F944" s="190" t="e">
        <f t="shared" si="159"/>
        <v>#DIV/0!</v>
      </c>
      <c r="H944" s="88"/>
      <c r="I944" s="88"/>
      <c r="J944" s="88"/>
      <c r="K944" s="89"/>
      <c r="L944" s="89"/>
      <c r="M944" s="88"/>
      <c r="O944" s="88"/>
      <c r="P944" s="88"/>
    </row>
    <row r="945" spans="1:16" ht="12.75" hidden="1" customHeight="1">
      <c r="A945" s="187" t="s">
        <v>745</v>
      </c>
      <c r="B945" s="188"/>
      <c r="C945" s="188"/>
      <c r="D945" s="188"/>
      <c r="E945" s="189">
        <f t="shared" si="161"/>
        <v>0</v>
      </c>
      <c r="F945" s="190" t="e">
        <f t="shared" si="159"/>
        <v>#DIV/0!</v>
      </c>
      <c r="H945" s="88"/>
      <c r="I945" s="88"/>
      <c r="J945" s="88"/>
      <c r="K945" s="89"/>
      <c r="L945" s="89"/>
      <c r="M945" s="88"/>
      <c r="O945" s="88"/>
      <c r="P945" s="88"/>
    </row>
    <row r="946" spans="1:16" ht="12.75" hidden="1" customHeight="1">
      <c r="A946" s="187" t="s">
        <v>746</v>
      </c>
      <c r="B946" s="188"/>
      <c r="C946" s="188"/>
      <c r="D946" s="188"/>
      <c r="E946" s="189">
        <f t="shared" si="161"/>
        <v>0</v>
      </c>
      <c r="F946" s="190" t="e">
        <f t="shared" si="159"/>
        <v>#DIV/0!</v>
      </c>
      <c r="H946" s="88">
        <v>543</v>
      </c>
      <c r="I946" s="88">
        <v>510</v>
      </c>
      <c r="J946" s="88"/>
      <c r="K946" s="89"/>
      <c r="L946" s="89"/>
      <c r="M946" s="88"/>
      <c r="O946" s="88"/>
      <c r="P946" s="88"/>
    </row>
    <row r="947" spans="1:16">
      <c r="A947" s="187" t="s">
        <v>747</v>
      </c>
      <c r="B947" s="188">
        <v>80</v>
      </c>
      <c r="C947" s="188">
        <v>80</v>
      </c>
      <c r="D947" s="188">
        <v>80</v>
      </c>
      <c r="E947" s="189">
        <f t="shared" si="161"/>
        <v>0</v>
      </c>
      <c r="F947" s="190">
        <f t="shared" si="159"/>
        <v>0</v>
      </c>
      <c r="H947" s="88">
        <f t="shared" ref="H947:M947" si="164">SUM(H948:H955)</f>
        <v>20058</v>
      </c>
      <c r="I947" s="88">
        <f t="shared" si="164"/>
        <v>0</v>
      </c>
      <c r="J947" s="88">
        <f t="shared" si="164"/>
        <v>0</v>
      </c>
      <c r="K947" s="89">
        <f t="shared" si="164"/>
        <v>8000</v>
      </c>
      <c r="L947" s="89">
        <f t="shared" si="164"/>
        <v>0</v>
      </c>
      <c r="M947" s="88">
        <f t="shared" si="164"/>
        <v>0</v>
      </c>
      <c r="O947" s="88">
        <f>SUM(O948:O955)</f>
        <v>0</v>
      </c>
      <c r="P947" s="88">
        <f>SUM(P948:P955)</f>
        <v>13000</v>
      </c>
    </row>
    <row r="948" spans="1:16" ht="12.75" hidden="1" customHeight="1">
      <c r="A948" s="187" t="s">
        <v>13</v>
      </c>
      <c r="B948" s="188"/>
      <c r="C948" s="188"/>
      <c r="D948" s="188"/>
      <c r="E948" s="189">
        <f t="shared" si="161"/>
        <v>0</v>
      </c>
      <c r="F948" s="190" t="e">
        <f t="shared" si="159"/>
        <v>#DIV/0!</v>
      </c>
      <c r="H948" s="88">
        <v>58</v>
      </c>
      <c r="I948" s="88"/>
      <c r="J948" s="88"/>
      <c r="K948" s="89"/>
      <c r="L948" s="89"/>
      <c r="M948" s="88"/>
      <c r="O948" s="88"/>
      <c r="P948" s="88"/>
    </row>
    <row r="949" spans="1:16" ht="12.75" hidden="1" customHeight="1">
      <c r="A949" s="187" t="s">
        <v>14</v>
      </c>
      <c r="B949" s="188"/>
      <c r="C949" s="188"/>
      <c r="D949" s="188"/>
      <c r="E949" s="189">
        <f t="shared" si="161"/>
        <v>0</v>
      </c>
      <c r="F949" s="190" t="e">
        <f t="shared" si="159"/>
        <v>#DIV/0!</v>
      </c>
      <c r="H949" s="88"/>
      <c r="I949" s="88"/>
      <c r="J949" s="88"/>
      <c r="K949" s="89"/>
      <c r="L949" s="89"/>
      <c r="M949" s="88"/>
      <c r="O949" s="88"/>
      <c r="P949" s="88"/>
    </row>
    <row r="950" spans="1:16" ht="12.75" hidden="1" customHeight="1">
      <c r="A950" s="187" t="s">
        <v>15</v>
      </c>
      <c r="B950" s="188"/>
      <c r="C950" s="188"/>
      <c r="D950" s="188"/>
      <c r="E950" s="189">
        <f t="shared" si="161"/>
        <v>0</v>
      </c>
      <c r="F950" s="190" t="e">
        <f t="shared" si="159"/>
        <v>#DIV/0!</v>
      </c>
      <c r="H950" s="88"/>
      <c r="I950" s="88"/>
      <c r="J950" s="88"/>
      <c r="K950" s="89"/>
      <c r="L950" s="89"/>
      <c r="M950" s="88"/>
      <c r="O950" s="88"/>
      <c r="P950" s="88"/>
    </row>
    <row r="951" spans="1:16" ht="12.75" hidden="1" customHeight="1">
      <c r="A951" s="187" t="s">
        <v>748</v>
      </c>
      <c r="B951" s="188"/>
      <c r="C951" s="188"/>
      <c r="D951" s="188"/>
      <c r="E951" s="189">
        <f t="shared" si="161"/>
        <v>0</v>
      </c>
      <c r="F951" s="190" t="e">
        <f t="shared" si="159"/>
        <v>#DIV/0!</v>
      </c>
      <c r="H951" s="88">
        <v>20000</v>
      </c>
      <c r="I951" s="88"/>
      <c r="J951" s="88"/>
      <c r="K951" s="89">
        <v>8000</v>
      </c>
      <c r="L951" s="89"/>
      <c r="M951" s="88"/>
      <c r="O951" s="88"/>
      <c r="P951" s="88">
        <v>13000</v>
      </c>
    </row>
    <row r="952" spans="1:16" ht="12.75" hidden="1" customHeight="1">
      <c r="A952" s="187" t="s">
        <v>749</v>
      </c>
      <c r="B952" s="188"/>
      <c r="C952" s="188"/>
      <c r="D952" s="188"/>
      <c r="E952" s="189">
        <f t="shared" si="161"/>
        <v>0</v>
      </c>
      <c r="F952" s="190" t="e">
        <f t="shared" si="159"/>
        <v>#DIV/0!</v>
      </c>
      <c r="H952" s="88"/>
      <c r="I952" s="88"/>
      <c r="J952" s="88"/>
      <c r="K952" s="89"/>
      <c r="L952" s="89"/>
      <c r="M952" s="88"/>
      <c r="O952" s="88"/>
      <c r="P952" s="88"/>
    </row>
    <row r="953" spans="1:16" ht="12.75" hidden="1" customHeight="1">
      <c r="A953" s="187" t="s">
        <v>750</v>
      </c>
      <c r="B953" s="188"/>
      <c r="C953" s="188"/>
      <c r="D953" s="188"/>
      <c r="E953" s="189">
        <f t="shared" si="161"/>
        <v>0</v>
      </c>
      <c r="F953" s="190" t="e">
        <f t="shared" si="159"/>
        <v>#DIV/0!</v>
      </c>
      <c r="H953" s="88"/>
      <c r="I953" s="88"/>
      <c r="J953" s="88"/>
      <c r="K953" s="89"/>
      <c r="L953" s="89"/>
      <c r="M953" s="88"/>
      <c r="O953" s="88"/>
      <c r="P953" s="88"/>
    </row>
    <row r="954" spans="1:16" ht="12.75" hidden="1" customHeight="1">
      <c r="A954" s="187" t="s">
        <v>751</v>
      </c>
      <c r="B954" s="188"/>
      <c r="C954" s="188"/>
      <c r="D954" s="188"/>
      <c r="E954" s="189">
        <f t="shared" si="161"/>
        <v>0</v>
      </c>
      <c r="F954" s="190" t="e">
        <f t="shared" si="159"/>
        <v>#DIV/0!</v>
      </c>
      <c r="H954" s="88"/>
      <c r="I954" s="88"/>
      <c r="J954" s="88"/>
      <c r="K954" s="89"/>
      <c r="L954" s="89"/>
      <c r="M954" s="88"/>
      <c r="O954" s="88"/>
      <c r="P954" s="88"/>
    </row>
    <row r="955" spans="1:16" ht="12.75" hidden="1" customHeight="1">
      <c r="A955" s="187" t="s">
        <v>752</v>
      </c>
      <c r="B955" s="188"/>
      <c r="C955" s="188"/>
      <c r="D955" s="188"/>
      <c r="E955" s="189">
        <f t="shared" si="161"/>
        <v>0</v>
      </c>
      <c r="F955" s="190" t="e">
        <f t="shared" si="159"/>
        <v>#DIV/0!</v>
      </c>
      <c r="H955" s="88"/>
      <c r="I955" s="88"/>
      <c r="J955" s="88"/>
      <c r="K955" s="89"/>
      <c r="L955" s="89"/>
      <c r="M955" s="88"/>
      <c r="O955" s="88"/>
      <c r="P955" s="88"/>
    </row>
    <row r="956" spans="1:16" ht="12.75" hidden="1" customHeight="1">
      <c r="A956" s="187" t="s">
        <v>753</v>
      </c>
      <c r="B956" s="188"/>
      <c r="C956" s="188"/>
      <c r="D956" s="188"/>
      <c r="E956" s="189">
        <f t="shared" si="161"/>
        <v>0</v>
      </c>
      <c r="F956" s="190" t="e">
        <f t="shared" si="159"/>
        <v>#DIV/0!</v>
      </c>
      <c r="H956" s="88">
        <f t="shared" ref="H956:M956" si="165">SUM(H957:H960)</f>
        <v>0</v>
      </c>
      <c r="I956" s="88">
        <f t="shared" si="165"/>
        <v>0</v>
      </c>
      <c r="J956" s="88">
        <f t="shared" si="165"/>
        <v>0</v>
      </c>
      <c r="K956" s="89">
        <f t="shared" si="165"/>
        <v>0</v>
      </c>
      <c r="L956" s="89">
        <f t="shared" si="165"/>
        <v>0</v>
      </c>
      <c r="M956" s="88">
        <f t="shared" si="165"/>
        <v>0</v>
      </c>
      <c r="O956" s="88">
        <f>SUM(O957:O960)</f>
        <v>0</v>
      </c>
      <c r="P956" s="88">
        <f>SUM(P957:P960)</f>
        <v>0</v>
      </c>
    </row>
    <row r="957" spans="1:16" ht="12.75" hidden="1" customHeight="1">
      <c r="A957" s="187" t="s">
        <v>754</v>
      </c>
      <c r="B957" s="188"/>
      <c r="C957" s="188"/>
      <c r="D957" s="188"/>
      <c r="E957" s="189">
        <f t="shared" si="161"/>
        <v>0</v>
      </c>
      <c r="F957" s="190" t="e">
        <f t="shared" si="159"/>
        <v>#DIV/0!</v>
      </c>
      <c r="H957" s="88"/>
      <c r="I957" s="88"/>
      <c r="J957" s="88"/>
      <c r="K957" s="89"/>
      <c r="L957" s="89"/>
      <c r="M957" s="88"/>
      <c r="O957" s="88"/>
      <c r="P957" s="88"/>
    </row>
    <row r="958" spans="1:16" ht="12.75" hidden="1" customHeight="1">
      <c r="A958" s="187" t="s">
        <v>755</v>
      </c>
      <c r="B958" s="188"/>
      <c r="C958" s="188"/>
      <c r="D958" s="188"/>
      <c r="E958" s="189">
        <f t="shared" si="161"/>
        <v>0</v>
      </c>
      <c r="F958" s="190" t="e">
        <f t="shared" si="159"/>
        <v>#DIV/0!</v>
      </c>
      <c r="H958" s="88"/>
      <c r="I958" s="88"/>
      <c r="J958" s="88"/>
      <c r="K958" s="89"/>
      <c r="L958" s="89"/>
      <c r="M958" s="88"/>
      <c r="O958" s="88"/>
      <c r="P958" s="88"/>
    </row>
    <row r="959" spans="1:16" ht="12.75" hidden="1" customHeight="1">
      <c r="A959" s="187" t="s">
        <v>756</v>
      </c>
      <c r="B959" s="188"/>
      <c r="C959" s="188"/>
      <c r="D959" s="188"/>
      <c r="E959" s="189">
        <f t="shared" si="161"/>
        <v>0</v>
      </c>
      <c r="F959" s="190" t="e">
        <f t="shared" si="159"/>
        <v>#DIV/0!</v>
      </c>
      <c r="H959" s="88"/>
      <c r="I959" s="88"/>
      <c r="J959" s="88"/>
      <c r="K959" s="89"/>
      <c r="L959" s="89"/>
      <c r="M959" s="88"/>
      <c r="O959" s="88"/>
      <c r="P959" s="88"/>
    </row>
    <row r="960" spans="1:16" ht="12.75" hidden="1" customHeight="1">
      <c r="A960" s="187" t="s">
        <v>757</v>
      </c>
      <c r="B960" s="188"/>
      <c r="C960" s="188"/>
      <c r="D960" s="188"/>
      <c r="E960" s="189">
        <f t="shared" si="161"/>
        <v>0</v>
      </c>
      <c r="F960" s="190" t="e">
        <f t="shared" si="159"/>
        <v>#DIV/0!</v>
      </c>
      <c r="H960" s="88"/>
      <c r="I960" s="88"/>
      <c r="J960" s="88"/>
      <c r="K960" s="89"/>
      <c r="L960" s="89"/>
      <c r="M960" s="88"/>
      <c r="O960" s="88"/>
      <c r="P960" s="88"/>
    </row>
    <row r="961" spans="1:16" ht="12.75" customHeight="1">
      <c r="A961" s="187" t="s">
        <v>758</v>
      </c>
      <c r="B961" s="188">
        <v>20.55</v>
      </c>
      <c r="C961" s="188">
        <v>20.55</v>
      </c>
      <c r="D961" s="188">
        <v>83.52</v>
      </c>
      <c r="E961" s="189">
        <f t="shared" si="161"/>
        <v>62.97</v>
      </c>
      <c r="F961" s="190"/>
      <c r="H961" s="88"/>
      <c r="I961" s="88"/>
      <c r="J961" s="88"/>
      <c r="K961" s="89"/>
      <c r="L961" s="89"/>
      <c r="M961" s="88"/>
      <c r="O961" s="88"/>
      <c r="P961" s="88"/>
    </row>
    <row r="962" spans="1:16">
      <c r="A962" s="187" t="s">
        <v>759</v>
      </c>
      <c r="B962" s="188">
        <v>1800</v>
      </c>
      <c r="C962" s="188">
        <v>1800</v>
      </c>
      <c r="D962" s="188">
        <v>1800</v>
      </c>
      <c r="E962" s="189">
        <f t="shared" si="161"/>
        <v>0</v>
      </c>
      <c r="F962" s="190">
        <f t="shared" si="159"/>
        <v>0</v>
      </c>
      <c r="H962" s="88">
        <f t="shared" ref="H962:M962" si="166">SUM(H963:H964)</f>
        <v>0</v>
      </c>
      <c r="I962" s="88">
        <f t="shared" si="166"/>
        <v>0</v>
      </c>
      <c r="J962" s="88">
        <f t="shared" si="166"/>
        <v>0</v>
      </c>
      <c r="K962" s="89">
        <f t="shared" si="166"/>
        <v>0</v>
      </c>
      <c r="L962" s="89">
        <f t="shared" si="166"/>
        <v>0</v>
      </c>
      <c r="M962" s="88">
        <f t="shared" si="166"/>
        <v>0</v>
      </c>
      <c r="O962" s="88">
        <f>SUM(O963:O964)</f>
        <v>0</v>
      </c>
      <c r="P962" s="88">
        <f>SUM(P963:P964)</f>
        <v>0</v>
      </c>
    </row>
    <row r="963" spans="1:16" ht="12.75" hidden="1" customHeight="1">
      <c r="A963" s="187" t="s">
        <v>760</v>
      </c>
      <c r="B963" s="188"/>
      <c r="C963" s="188"/>
      <c r="D963" s="188"/>
      <c r="E963" s="189">
        <f t="shared" si="161"/>
        <v>0</v>
      </c>
      <c r="F963" s="190" t="e">
        <f t="shared" si="159"/>
        <v>#DIV/0!</v>
      </c>
      <c r="H963" s="88"/>
      <c r="I963" s="88"/>
      <c r="J963" s="88"/>
      <c r="K963" s="89"/>
      <c r="L963" s="89"/>
      <c r="M963" s="88"/>
      <c r="O963" s="88"/>
      <c r="P963" s="88"/>
    </row>
    <row r="964" spans="1:16" ht="12.75" hidden="1" customHeight="1">
      <c r="A964" s="187" t="s">
        <v>761</v>
      </c>
      <c r="B964" s="188"/>
      <c r="C964" s="188"/>
      <c r="D964" s="188"/>
      <c r="E964" s="189">
        <f t="shared" si="161"/>
        <v>0</v>
      </c>
      <c r="F964" s="190" t="e">
        <f t="shared" si="159"/>
        <v>#DIV/0!</v>
      </c>
      <c r="H964" s="88"/>
      <c r="I964" s="88"/>
      <c r="J964" s="88"/>
      <c r="K964" s="89"/>
      <c r="L964" s="89"/>
      <c r="M964" s="88"/>
      <c r="O964" s="88"/>
      <c r="P964" s="88"/>
    </row>
    <row r="965" spans="1:16">
      <c r="A965" s="179" t="s">
        <v>762</v>
      </c>
      <c r="B965" s="182">
        <f>B967+B976+B983+B990</f>
        <v>84006.2</v>
      </c>
      <c r="C965" s="182">
        <f>C967+C976+C983+C990+C966</f>
        <v>119006.2</v>
      </c>
      <c r="D965" s="182">
        <f>D967+D976+D983+D990+D966</f>
        <v>14480.75</v>
      </c>
      <c r="E965" s="185">
        <f t="shared" si="161"/>
        <v>-104525.45</v>
      </c>
      <c r="F965" s="186">
        <f t="shared" si="159"/>
        <v>-87.831936487342674</v>
      </c>
      <c r="H965" s="88">
        <f>H967+H976+H983+H990</f>
        <v>35688</v>
      </c>
      <c r="I965" s="88">
        <f t="shared" ref="I965:P965" si="167">I967+I976+I983+I990</f>
        <v>8130</v>
      </c>
      <c r="J965" s="88">
        <f t="shared" si="167"/>
        <v>0</v>
      </c>
      <c r="K965" s="88">
        <f t="shared" si="167"/>
        <v>28359</v>
      </c>
      <c r="L965" s="88">
        <f t="shared" si="167"/>
        <v>-7962</v>
      </c>
      <c r="M965" s="88">
        <f t="shared" si="167"/>
        <v>0</v>
      </c>
      <c r="O965" s="88">
        <f t="shared" si="167"/>
        <v>0</v>
      </c>
      <c r="P965" s="88">
        <f t="shared" si="167"/>
        <v>0</v>
      </c>
    </row>
    <row r="966" spans="1:16">
      <c r="A966" s="187" t="s">
        <v>1029</v>
      </c>
      <c r="B966" s="182"/>
      <c r="C966" s="188"/>
      <c r="D966" s="188">
        <v>3500</v>
      </c>
      <c r="E966" s="189"/>
      <c r="F966" s="190"/>
      <c r="H966" s="88"/>
      <c r="I966" s="88"/>
      <c r="J966" s="88"/>
      <c r="K966" s="88"/>
      <c r="L966" s="88"/>
      <c r="M966" s="88"/>
      <c r="O966" s="88"/>
      <c r="P966" s="88"/>
    </row>
    <row r="967" spans="1:16">
      <c r="A967" s="187" t="s">
        <v>763</v>
      </c>
      <c r="B967" s="188">
        <v>315.14999999999998</v>
      </c>
      <c r="C967" s="188">
        <v>315.14999999999998</v>
      </c>
      <c r="D967" s="188">
        <v>408.05</v>
      </c>
      <c r="E967" s="189">
        <f t="shared" si="161"/>
        <v>92.900000000000034</v>
      </c>
      <c r="F967" s="190">
        <f t="shared" si="159"/>
        <v>29.478026336665092</v>
      </c>
      <c r="H967" s="88">
        <f t="shared" ref="H967:M967" si="168">SUM(H968:H975)</f>
        <v>88</v>
      </c>
      <c r="I967" s="88">
        <f t="shared" si="168"/>
        <v>130</v>
      </c>
      <c r="J967" s="88">
        <f t="shared" si="168"/>
        <v>0</v>
      </c>
      <c r="K967" s="89">
        <f t="shared" si="168"/>
        <v>0</v>
      </c>
      <c r="L967" s="89">
        <f t="shared" si="168"/>
        <v>0</v>
      </c>
      <c r="M967" s="88">
        <f t="shared" si="168"/>
        <v>0</v>
      </c>
      <c r="O967" s="88">
        <f>SUM(O968:O975)</f>
        <v>0</v>
      </c>
      <c r="P967" s="88">
        <f>SUM(P968:P975)</f>
        <v>0</v>
      </c>
    </row>
    <row r="968" spans="1:16" ht="12.75" hidden="1" customHeight="1">
      <c r="A968" s="187" t="s">
        <v>13</v>
      </c>
      <c r="B968" s="188"/>
      <c r="C968" s="188"/>
      <c r="D968" s="188"/>
      <c r="E968" s="189">
        <f t="shared" si="161"/>
        <v>0</v>
      </c>
      <c r="F968" s="190" t="e">
        <f t="shared" si="159"/>
        <v>#DIV/0!</v>
      </c>
      <c r="H968" s="88">
        <v>88</v>
      </c>
      <c r="I968" s="88">
        <v>130</v>
      </c>
      <c r="J968" s="88"/>
      <c r="K968" s="89"/>
      <c r="L968" s="89"/>
      <c r="M968" s="88"/>
      <c r="O968" s="88"/>
      <c r="P968" s="88"/>
    </row>
    <row r="969" spans="1:16" ht="12.75" hidden="1" customHeight="1">
      <c r="A969" s="187" t="s">
        <v>14</v>
      </c>
      <c r="B969" s="188"/>
      <c r="C969" s="188"/>
      <c r="D969" s="188"/>
      <c r="E969" s="189">
        <f t="shared" si="161"/>
        <v>0</v>
      </c>
      <c r="F969" s="190" t="e">
        <f t="shared" si="159"/>
        <v>#DIV/0!</v>
      </c>
      <c r="H969" s="88"/>
      <c r="I969" s="88"/>
      <c r="J969" s="88"/>
      <c r="K969" s="89"/>
      <c r="L969" s="89"/>
      <c r="M969" s="88"/>
      <c r="O969" s="88"/>
      <c r="P969" s="88"/>
    </row>
    <row r="970" spans="1:16" ht="12.75" hidden="1" customHeight="1">
      <c r="A970" s="187" t="s">
        <v>15</v>
      </c>
      <c r="B970" s="188"/>
      <c r="C970" s="188"/>
      <c r="D970" s="188"/>
      <c r="E970" s="189">
        <f t="shared" si="161"/>
        <v>0</v>
      </c>
      <c r="F970" s="190" t="e">
        <f t="shared" si="159"/>
        <v>#DIV/0!</v>
      </c>
      <c r="H970" s="88"/>
      <c r="I970" s="88"/>
      <c r="J970" s="88"/>
      <c r="K970" s="89"/>
      <c r="L970" s="89"/>
      <c r="M970" s="88"/>
      <c r="O970" s="88"/>
      <c r="P970" s="88"/>
    </row>
    <row r="971" spans="1:16" ht="12.75" hidden="1" customHeight="1">
      <c r="A971" s="187" t="s">
        <v>764</v>
      </c>
      <c r="B971" s="188"/>
      <c r="C971" s="188"/>
      <c r="D971" s="188"/>
      <c r="E971" s="189">
        <f t="shared" si="161"/>
        <v>0</v>
      </c>
      <c r="F971" s="190" t="e">
        <f t="shared" si="159"/>
        <v>#DIV/0!</v>
      </c>
      <c r="H971" s="88"/>
      <c r="I971" s="88"/>
      <c r="J971" s="88"/>
      <c r="K971" s="89"/>
      <c r="L971" s="89"/>
      <c r="M971" s="88"/>
      <c r="O971" s="88"/>
      <c r="P971" s="88"/>
    </row>
    <row r="972" spans="1:16" ht="12.75" hidden="1" customHeight="1">
      <c r="A972" s="187" t="s">
        <v>765</v>
      </c>
      <c r="B972" s="188"/>
      <c r="C972" s="188"/>
      <c r="D972" s="188"/>
      <c r="E972" s="189">
        <f t="shared" si="161"/>
        <v>0</v>
      </c>
      <c r="F972" s="190" t="e">
        <f t="shared" si="159"/>
        <v>#DIV/0!</v>
      </c>
      <c r="H972" s="88"/>
      <c r="I972" s="88"/>
      <c r="J972" s="88"/>
      <c r="K972" s="89"/>
      <c r="L972" s="89"/>
      <c r="M972" s="88"/>
      <c r="O972" s="88"/>
      <c r="P972" s="88"/>
    </row>
    <row r="973" spans="1:16" ht="12.75" hidden="1" customHeight="1">
      <c r="A973" s="187" t="s">
        <v>766</v>
      </c>
      <c r="B973" s="188"/>
      <c r="C973" s="188"/>
      <c r="D973" s="188"/>
      <c r="E973" s="189">
        <f t="shared" si="161"/>
        <v>0</v>
      </c>
      <c r="F973" s="190" t="e">
        <f t="shared" si="159"/>
        <v>#DIV/0!</v>
      </c>
      <c r="H973" s="88"/>
      <c r="I973" s="88"/>
      <c r="J973" s="88"/>
      <c r="K973" s="89"/>
      <c r="L973" s="89"/>
      <c r="M973" s="88"/>
      <c r="O973" s="88"/>
      <c r="P973" s="88"/>
    </row>
    <row r="974" spans="1:16" ht="12.75" hidden="1" customHeight="1">
      <c r="A974" s="187" t="s">
        <v>767</v>
      </c>
      <c r="B974" s="188"/>
      <c r="C974" s="188"/>
      <c r="D974" s="188"/>
      <c r="E974" s="189">
        <f t="shared" si="161"/>
        <v>0</v>
      </c>
      <c r="F974" s="190" t="e">
        <f t="shared" ref="F974:F1037" si="169">E974/C974*100</f>
        <v>#DIV/0!</v>
      </c>
      <c r="H974" s="88"/>
      <c r="I974" s="88"/>
      <c r="J974" s="88"/>
      <c r="K974" s="89"/>
      <c r="L974" s="89"/>
      <c r="M974" s="88"/>
      <c r="O974" s="88"/>
      <c r="P974" s="88"/>
    </row>
    <row r="975" spans="1:16" ht="12.75" hidden="1" customHeight="1">
      <c r="A975" s="187" t="s">
        <v>768</v>
      </c>
      <c r="B975" s="188"/>
      <c r="C975" s="188"/>
      <c r="D975" s="188"/>
      <c r="E975" s="189">
        <f t="shared" si="161"/>
        <v>0</v>
      </c>
      <c r="F975" s="190" t="e">
        <f t="shared" si="169"/>
        <v>#DIV/0!</v>
      </c>
      <c r="H975" s="88"/>
      <c r="I975" s="88"/>
      <c r="J975" s="88"/>
      <c r="K975" s="89"/>
      <c r="L975" s="89"/>
      <c r="M975" s="88"/>
      <c r="O975" s="88"/>
      <c r="P975" s="88"/>
    </row>
    <row r="976" spans="1:16">
      <c r="A976" s="187" t="s">
        <v>769</v>
      </c>
      <c r="B976" s="188">
        <v>91.05</v>
      </c>
      <c r="C976" s="188">
        <v>91.05</v>
      </c>
      <c r="D976" s="188">
        <v>94.7</v>
      </c>
      <c r="E976" s="189">
        <f t="shared" si="161"/>
        <v>3.6500000000000057</v>
      </c>
      <c r="F976" s="190">
        <f t="shared" si="169"/>
        <v>4.008786381109287</v>
      </c>
      <c r="H976" s="88">
        <f t="shared" ref="H976:M976" si="170">SUM(H977:H982)</f>
        <v>0</v>
      </c>
      <c r="I976" s="88">
        <f t="shared" si="170"/>
        <v>0</v>
      </c>
      <c r="J976" s="88">
        <f t="shared" si="170"/>
        <v>0</v>
      </c>
      <c r="K976" s="89">
        <f t="shared" si="170"/>
        <v>0</v>
      </c>
      <c r="L976" s="89">
        <f t="shared" si="170"/>
        <v>0</v>
      </c>
      <c r="M976" s="88">
        <f t="shared" si="170"/>
        <v>0</v>
      </c>
      <c r="O976" s="88">
        <f>SUM(O977:O982)</f>
        <v>0</v>
      </c>
      <c r="P976" s="88">
        <f>SUM(P977:P982)</f>
        <v>0</v>
      </c>
    </row>
    <row r="977" spans="1:16" ht="12.75" hidden="1" customHeight="1">
      <c r="A977" s="187" t="s">
        <v>13</v>
      </c>
      <c r="B977" s="188"/>
      <c r="C977" s="188"/>
      <c r="D977" s="188"/>
      <c r="E977" s="189">
        <f t="shared" si="161"/>
        <v>0</v>
      </c>
      <c r="F977" s="190" t="e">
        <f t="shared" si="169"/>
        <v>#DIV/0!</v>
      </c>
      <c r="H977" s="88"/>
      <c r="I977" s="88"/>
      <c r="J977" s="88"/>
      <c r="K977" s="89"/>
      <c r="L977" s="89"/>
      <c r="M977" s="88"/>
      <c r="O977" s="88"/>
      <c r="P977" s="88"/>
    </row>
    <row r="978" spans="1:16" ht="12.75" hidden="1" customHeight="1">
      <c r="A978" s="187" t="s">
        <v>14</v>
      </c>
      <c r="B978" s="188"/>
      <c r="C978" s="188"/>
      <c r="D978" s="188"/>
      <c r="E978" s="189">
        <f t="shared" si="161"/>
        <v>0</v>
      </c>
      <c r="F978" s="190" t="e">
        <f t="shared" si="169"/>
        <v>#DIV/0!</v>
      </c>
      <c r="H978" s="88"/>
      <c r="I978" s="88"/>
      <c r="J978" s="88"/>
      <c r="K978" s="89"/>
      <c r="L978" s="89"/>
      <c r="M978" s="88"/>
      <c r="O978" s="88"/>
      <c r="P978" s="88"/>
    </row>
    <row r="979" spans="1:16" ht="12.75" hidden="1" customHeight="1">
      <c r="A979" s="187" t="s">
        <v>15</v>
      </c>
      <c r="B979" s="188"/>
      <c r="C979" s="188"/>
      <c r="D979" s="188"/>
      <c r="E979" s="189">
        <f t="shared" si="161"/>
        <v>0</v>
      </c>
      <c r="F979" s="190" t="e">
        <f t="shared" si="169"/>
        <v>#DIV/0!</v>
      </c>
      <c r="H979" s="88"/>
      <c r="I979" s="88"/>
      <c r="J979" s="88"/>
      <c r="K979" s="89"/>
      <c r="L979" s="89"/>
      <c r="M979" s="88"/>
      <c r="O979" s="88"/>
      <c r="P979" s="88"/>
    </row>
    <row r="980" spans="1:16" ht="12.75" hidden="1" customHeight="1">
      <c r="A980" s="187" t="s">
        <v>770</v>
      </c>
      <c r="B980" s="188"/>
      <c r="C980" s="188"/>
      <c r="D980" s="188"/>
      <c r="E980" s="189">
        <f t="shared" ref="E980:E1043" si="171">D980-C980</f>
        <v>0</v>
      </c>
      <c r="F980" s="190" t="e">
        <f t="shared" si="169"/>
        <v>#DIV/0!</v>
      </c>
      <c r="H980" s="88"/>
      <c r="I980" s="88"/>
      <c r="J980" s="88"/>
      <c r="K980" s="89"/>
      <c r="L980" s="89"/>
      <c r="M980" s="88"/>
      <c r="O980" s="88"/>
      <c r="P980" s="88"/>
    </row>
    <row r="981" spans="1:16" ht="12.75" hidden="1" customHeight="1">
      <c r="A981" s="187" t="s">
        <v>771</v>
      </c>
      <c r="B981" s="188"/>
      <c r="C981" s="188"/>
      <c r="D981" s="188"/>
      <c r="E981" s="189">
        <f t="shared" si="171"/>
        <v>0</v>
      </c>
      <c r="F981" s="190" t="e">
        <f t="shared" si="169"/>
        <v>#DIV/0!</v>
      </c>
      <c r="H981" s="88"/>
      <c r="I981" s="88"/>
      <c r="J981" s="88"/>
      <c r="K981" s="89"/>
      <c r="L981" s="89"/>
      <c r="M981" s="88"/>
      <c r="O981" s="88"/>
      <c r="P981" s="88"/>
    </row>
    <row r="982" spans="1:16" ht="12.75" hidden="1" customHeight="1">
      <c r="A982" s="187" t="s">
        <v>772</v>
      </c>
      <c r="B982" s="188"/>
      <c r="C982" s="188"/>
      <c r="D982" s="188"/>
      <c r="E982" s="189">
        <f t="shared" si="171"/>
        <v>0</v>
      </c>
      <c r="F982" s="190" t="e">
        <f t="shared" si="169"/>
        <v>#DIV/0!</v>
      </c>
      <c r="H982" s="88"/>
      <c r="I982" s="88"/>
      <c r="J982" s="88"/>
      <c r="K982" s="89"/>
      <c r="L982" s="89"/>
      <c r="M982" s="88"/>
      <c r="O982" s="88"/>
      <c r="P982" s="88"/>
    </row>
    <row r="983" spans="1:16">
      <c r="A983" s="187" t="s">
        <v>773</v>
      </c>
      <c r="B983" s="188">
        <v>83600</v>
      </c>
      <c r="C983" s="188">
        <v>118600</v>
      </c>
      <c r="D983" s="188">
        <v>10478</v>
      </c>
      <c r="E983" s="189">
        <f t="shared" si="171"/>
        <v>-108122</v>
      </c>
      <c r="F983" s="190">
        <f t="shared" si="169"/>
        <v>-91.165261382799329</v>
      </c>
      <c r="H983" s="88">
        <f t="shared" ref="H983:M983" si="172">SUM(H984:H989)</f>
        <v>35600</v>
      </c>
      <c r="I983" s="88">
        <f t="shared" si="172"/>
        <v>8000</v>
      </c>
      <c r="J983" s="88">
        <f t="shared" si="172"/>
        <v>0</v>
      </c>
      <c r="K983" s="89">
        <f t="shared" si="172"/>
        <v>28359</v>
      </c>
      <c r="L983" s="89">
        <f t="shared" si="172"/>
        <v>-7962</v>
      </c>
      <c r="M983" s="88">
        <f t="shared" si="172"/>
        <v>0</v>
      </c>
      <c r="O983" s="88">
        <f>SUM(O984:O989)</f>
        <v>0</v>
      </c>
      <c r="P983" s="88">
        <f>SUM(P984:P989)</f>
        <v>0</v>
      </c>
    </row>
    <row r="984" spans="1:16" ht="12.75" hidden="1" customHeight="1">
      <c r="A984" s="187" t="s">
        <v>13</v>
      </c>
      <c r="B984" s="188"/>
      <c r="C984" s="188"/>
      <c r="D984" s="188"/>
      <c r="E984" s="189">
        <f t="shared" si="171"/>
        <v>0</v>
      </c>
      <c r="F984" s="190" t="e">
        <f t="shared" si="169"/>
        <v>#DIV/0!</v>
      </c>
      <c r="H984" s="88"/>
      <c r="I984" s="88"/>
      <c r="J984" s="88"/>
      <c r="K984" s="89"/>
      <c r="L984" s="89"/>
      <c r="M984" s="88"/>
      <c r="O984" s="88"/>
      <c r="P984" s="88"/>
    </row>
    <row r="985" spans="1:16" ht="12.75" hidden="1" customHeight="1">
      <c r="A985" s="187" t="s">
        <v>14</v>
      </c>
      <c r="B985" s="188"/>
      <c r="C985" s="188"/>
      <c r="D985" s="188"/>
      <c r="E985" s="189">
        <f t="shared" si="171"/>
        <v>0</v>
      </c>
      <c r="F985" s="190" t="e">
        <f t="shared" si="169"/>
        <v>#DIV/0!</v>
      </c>
      <c r="H985" s="88"/>
      <c r="I985" s="88"/>
      <c r="J985" s="88"/>
      <c r="K985" s="89"/>
      <c r="L985" s="89"/>
      <c r="M985" s="88"/>
      <c r="O985" s="88"/>
      <c r="P985" s="88"/>
    </row>
    <row r="986" spans="1:16" ht="12.75" hidden="1" customHeight="1">
      <c r="A986" s="187" t="s">
        <v>15</v>
      </c>
      <c r="B986" s="188"/>
      <c r="C986" s="188"/>
      <c r="D986" s="188"/>
      <c r="E986" s="189">
        <f t="shared" si="171"/>
        <v>0</v>
      </c>
      <c r="F986" s="190" t="e">
        <f t="shared" si="169"/>
        <v>#DIV/0!</v>
      </c>
      <c r="H986" s="88"/>
      <c r="I986" s="88"/>
      <c r="J986" s="88"/>
      <c r="K986" s="89"/>
      <c r="L986" s="89"/>
      <c r="M986" s="88"/>
      <c r="O986" s="88"/>
      <c r="P986" s="88"/>
    </row>
    <row r="987" spans="1:16" ht="12.75" hidden="1" customHeight="1">
      <c r="A987" s="187" t="s">
        <v>774</v>
      </c>
      <c r="B987" s="188"/>
      <c r="C987" s="188"/>
      <c r="D987" s="188"/>
      <c r="E987" s="189">
        <f t="shared" si="171"/>
        <v>0</v>
      </c>
      <c r="F987" s="190" t="e">
        <f t="shared" si="169"/>
        <v>#DIV/0!</v>
      </c>
      <c r="H987" s="88"/>
      <c r="I987" s="88"/>
      <c r="J987" s="88"/>
      <c r="K987" s="89"/>
      <c r="L987" s="89"/>
      <c r="M987" s="88"/>
      <c r="O987" s="88"/>
      <c r="P987" s="88"/>
    </row>
    <row r="988" spans="1:16" ht="12.75" hidden="1" customHeight="1">
      <c r="A988" s="187" t="s">
        <v>775</v>
      </c>
      <c r="B988" s="188"/>
      <c r="C988" s="188"/>
      <c r="D988" s="188"/>
      <c r="E988" s="189">
        <f t="shared" si="171"/>
        <v>0</v>
      </c>
      <c r="F988" s="190" t="e">
        <f t="shared" si="169"/>
        <v>#DIV/0!</v>
      </c>
      <c r="H988" s="88">
        <v>35600</v>
      </c>
      <c r="I988" s="88"/>
      <c r="J988" s="88"/>
      <c r="K988" s="89">
        <v>28359</v>
      </c>
      <c r="L988" s="89"/>
      <c r="M988" s="88"/>
      <c r="O988" s="88"/>
      <c r="P988" s="88"/>
    </row>
    <row r="989" spans="1:16" ht="12.75" hidden="1" customHeight="1">
      <c r="A989" s="187" t="s">
        <v>776</v>
      </c>
      <c r="B989" s="188"/>
      <c r="C989" s="188"/>
      <c r="D989" s="188"/>
      <c r="E989" s="189">
        <f t="shared" si="171"/>
        <v>0</v>
      </c>
      <c r="F989" s="190" t="e">
        <f t="shared" si="169"/>
        <v>#DIV/0!</v>
      </c>
      <c r="H989" s="88"/>
      <c r="I989" s="88">
        <v>8000</v>
      </c>
      <c r="J989" s="88"/>
      <c r="K989" s="89"/>
      <c r="L989" s="89">
        <v>-7962</v>
      </c>
      <c r="M989" s="88"/>
      <c r="O989" s="88"/>
      <c r="P989" s="88"/>
    </row>
    <row r="990" spans="1:16" ht="12.75" hidden="1" customHeight="1">
      <c r="A990" s="187" t="s">
        <v>777</v>
      </c>
      <c r="B990" s="188">
        <f>SUM(B991:B996)</f>
        <v>0</v>
      </c>
      <c r="C990" s="188">
        <f>SUM(C991:C996)</f>
        <v>0</v>
      </c>
      <c r="D990" s="188">
        <f>SUM(D991:D996)</f>
        <v>0</v>
      </c>
      <c r="E990" s="189">
        <f t="shared" si="171"/>
        <v>0</v>
      </c>
      <c r="F990" s="190" t="e">
        <f t="shared" si="169"/>
        <v>#DIV/0!</v>
      </c>
      <c r="H990" s="88">
        <f t="shared" ref="H990:M990" si="173">SUM(H991:H996)</f>
        <v>0</v>
      </c>
      <c r="I990" s="88">
        <f t="shared" si="173"/>
        <v>0</v>
      </c>
      <c r="J990" s="88">
        <f t="shared" si="173"/>
        <v>0</v>
      </c>
      <c r="K990" s="89">
        <f t="shared" si="173"/>
        <v>0</v>
      </c>
      <c r="L990" s="89">
        <f t="shared" si="173"/>
        <v>0</v>
      </c>
      <c r="M990" s="88">
        <f t="shared" si="173"/>
        <v>0</v>
      </c>
      <c r="O990" s="88">
        <f>SUM(O991:O996)</f>
        <v>0</v>
      </c>
      <c r="P990" s="88">
        <f>SUM(P991:P996)</f>
        <v>0</v>
      </c>
    </row>
    <row r="991" spans="1:16" ht="12.75" hidden="1" customHeight="1">
      <c r="A991" s="187" t="s">
        <v>778</v>
      </c>
      <c r="B991" s="188"/>
      <c r="C991" s="188"/>
      <c r="D991" s="188"/>
      <c r="E991" s="189">
        <f t="shared" si="171"/>
        <v>0</v>
      </c>
      <c r="F991" s="190" t="e">
        <f t="shared" si="169"/>
        <v>#DIV/0!</v>
      </c>
      <c r="H991" s="88"/>
      <c r="I991" s="88"/>
      <c r="J991" s="88"/>
      <c r="K991" s="89"/>
      <c r="L991" s="89"/>
      <c r="M991" s="88"/>
      <c r="O991" s="88"/>
      <c r="P991" s="88"/>
    </row>
    <row r="992" spans="1:16" ht="12.75" hidden="1" customHeight="1">
      <c r="A992" s="187" t="s">
        <v>779</v>
      </c>
      <c r="B992" s="188"/>
      <c r="C992" s="188"/>
      <c r="D992" s="188"/>
      <c r="E992" s="189">
        <f t="shared" si="171"/>
        <v>0</v>
      </c>
      <c r="F992" s="190" t="e">
        <f t="shared" si="169"/>
        <v>#DIV/0!</v>
      </c>
      <c r="H992" s="88"/>
      <c r="I992" s="88"/>
      <c r="J992" s="88"/>
      <c r="K992" s="89"/>
      <c r="L992" s="89"/>
      <c r="M992" s="88"/>
      <c r="O992" s="88"/>
      <c r="P992" s="88"/>
    </row>
    <row r="993" spans="1:16" ht="12.75" hidden="1" customHeight="1">
      <c r="A993" s="187" t="s">
        <v>780</v>
      </c>
      <c r="B993" s="188"/>
      <c r="C993" s="188"/>
      <c r="D993" s="188"/>
      <c r="E993" s="189">
        <f t="shared" si="171"/>
        <v>0</v>
      </c>
      <c r="F993" s="190" t="e">
        <f t="shared" si="169"/>
        <v>#DIV/0!</v>
      </c>
      <c r="H993" s="88"/>
      <c r="I993" s="88"/>
      <c r="J993" s="88"/>
      <c r="K993" s="89"/>
      <c r="L993" s="89"/>
      <c r="M993" s="88"/>
      <c r="O993" s="88"/>
      <c r="P993" s="88"/>
    </row>
    <row r="994" spans="1:16" ht="12.75" hidden="1" customHeight="1">
      <c r="A994" s="187" t="s">
        <v>781</v>
      </c>
      <c r="B994" s="188"/>
      <c r="C994" s="188"/>
      <c r="D994" s="188"/>
      <c r="E994" s="189">
        <f t="shared" si="171"/>
        <v>0</v>
      </c>
      <c r="F994" s="190" t="e">
        <f t="shared" si="169"/>
        <v>#DIV/0!</v>
      </c>
      <c r="H994" s="88"/>
      <c r="I994" s="88"/>
      <c r="J994" s="88"/>
      <c r="K994" s="89"/>
      <c r="L994" s="89"/>
      <c r="M994" s="88"/>
      <c r="O994" s="88"/>
      <c r="P994" s="88"/>
    </row>
    <row r="995" spans="1:16" ht="12.75" hidden="1" customHeight="1">
      <c r="A995" s="187" t="s">
        <v>782</v>
      </c>
      <c r="B995" s="188"/>
      <c r="C995" s="188"/>
      <c r="D995" s="188"/>
      <c r="E995" s="189">
        <f t="shared" si="171"/>
        <v>0</v>
      </c>
      <c r="F995" s="190" t="e">
        <f t="shared" si="169"/>
        <v>#DIV/0!</v>
      </c>
      <c r="H995" s="88"/>
      <c r="I995" s="88"/>
      <c r="J995" s="88"/>
      <c r="K995" s="89"/>
      <c r="L995" s="89"/>
      <c r="M995" s="88"/>
      <c r="O995" s="88"/>
      <c r="P995" s="88"/>
    </row>
    <row r="996" spans="1:16" ht="12.75" hidden="1" customHeight="1">
      <c r="A996" s="187" t="s">
        <v>783</v>
      </c>
      <c r="B996" s="188"/>
      <c r="C996" s="188"/>
      <c r="D996" s="188"/>
      <c r="E996" s="189">
        <f t="shared" si="171"/>
        <v>0</v>
      </c>
      <c r="F996" s="190" t="e">
        <f t="shared" si="169"/>
        <v>#DIV/0!</v>
      </c>
      <c r="H996" s="88"/>
      <c r="I996" s="88"/>
      <c r="J996" s="88"/>
      <c r="K996" s="89"/>
      <c r="L996" s="89"/>
      <c r="M996" s="88"/>
      <c r="O996" s="88"/>
      <c r="P996" s="88"/>
    </row>
    <row r="997" spans="1:16">
      <c r="A997" s="179" t="s">
        <v>784</v>
      </c>
      <c r="B997" s="182">
        <f>B998+B1008+B1015+B1021</f>
        <v>13447.05</v>
      </c>
      <c r="C997" s="182">
        <f>C998+C1008+C1015+C1021</f>
        <v>13447.05</v>
      </c>
      <c r="D997" s="182">
        <f>D998+D1008+D1015+D1021</f>
        <v>11157.609999999999</v>
      </c>
      <c r="E997" s="185">
        <f t="shared" si="171"/>
        <v>-2289.4400000000005</v>
      </c>
      <c r="F997" s="186">
        <f t="shared" si="169"/>
        <v>-17.025592973923654</v>
      </c>
      <c r="H997" s="88">
        <f t="shared" ref="H997:M997" si="174">H998+H1008+H1015+H1021</f>
        <v>26430</v>
      </c>
      <c r="I997" s="88">
        <f t="shared" si="174"/>
        <v>253</v>
      </c>
      <c r="J997" s="88">
        <f t="shared" si="174"/>
        <v>0</v>
      </c>
      <c r="K997" s="89">
        <f t="shared" si="174"/>
        <v>41287</v>
      </c>
      <c r="L997" s="89">
        <f t="shared" si="174"/>
        <v>0</v>
      </c>
      <c r="M997" s="88">
        <f t="shared" si="174"/>
        <v>0</v>
      </c>
      <c r="O997" s="88">
        <f>O998+O1008+O1015+O1021</f>
        <v>0</v>
      </c>
      <c r="P997" s="88">
        <f>P998+P1008+P1015+P1021</f>
        <v>40000</v>
      </c>
    </row>
    <row r="998" spans="1:16">
      <c r="A998" s="187" t="s">
        <v>785</v>
      </c>
      <c r="B998" s="188">
        <v>211.23</v>
      </c>
      <c r="C998" s="188">
        <v>211.23</v>
      </c>
      <c r="D998" s="188">
        <v>271.14999999999998</v>
      </c>
      <c r="E998" s="189">
        <f t="shared" si="171"/>
        <v>59.919999999999987</v>
      </c>
      <c r="F998" s="190">
        <f t="shared" si="169"/>
        <v>28.367182691852477</v>
      </c>
      <c r="H998" s="88">
        <f t="shared" ref="H998:M998" si="175">SUM(H999:H1007)</f>
        <v>0</v>
      </c>
      <c r="I998" s="88">
        <f t="shared" si="175"/>
        <v>171</v>
      </c>
      <c r="J998" s="88">
        <f t="shared" si="175"/>
        <v>0</v>
      </c>
      <c r="K998" s="89">
        <f t="shared" si="175"/>
        <v>0</v>
      </c>
      <c r="L998" s="89">
        <f t="shared" si="175"/>
        <v>0</v>
      </c>
      <c r="M998" s="88">
        <f t="shared" si="175"/>
        <v>0</v>
      </c>
      <c r="O998" s="88">
        <f>SUM(O999:O1007)</f>
        <v>0</v>
      </c>
      <c r="P998" s="88">
        <f>SUM(P999:P1007)</f>
        <v>0</v>
      </c>
    </row>
    <row r="999" spans="1:16" ht="12.75" hidden="1" customHeight="1">
      <c r="A999" s="187" t="s">
        <v>13</v>
      </c>
      <c r="B999" s="188"/>
      <c r="C999" s="188"/>
      <c r="D999" s="188"/>
      <c r="E999" s="189">
        <f t="shared" si="171"/>
        <v>0</v>
      </c>
      <c r="F999" s="190" t="e">
        <f t="shared" si="169"/>
        <v>#DIV/0!</v>
      </c>
      <c r="H999" s="88"/>
      <c r="I999" s="88">
        <v>156</v>
      </c>
      <c r="J999" s="88"/>
      <c r="K999" s="89"/>
      <c r="L999" s="89"/>
      <c r="M999" s="88"/>
      <c r="O999" s="88"/>
      <c r="P999" s="88"/>
    </row>
    <row r="1000" spans="1:16" ht="12.75" hidden="1" customHeight="1">
      <c r="A1000" s="187" t="s">
        <v>14</v>
      </c>
      <c r="B1000" s="188"/>
      <c r="C1000" s="188"/>
      <c r="D1000" s="188"/>
      <c r="E1000" s="189">
        <f t="shared" si="171"/>
        <v>0</v>
      </c>
      <c r="F1000" s="190" t="e">
        <f t="shared" si="169"/>
        <v>#DIV/0!</v>
      </c>
      <c r="H1000" s="88"/>
      <c r="I1000" s="88">
        <v>15</v>
      </c>
      <c r="J1000" s="88"/>
      <c r="K1000" s="89"/>
      <c r="L1000" s="89"/>
      <c r="M1000" s="88"/>
      <c r="O1000" s="88"/>
      <c r="P1000" s="88"/>
    </row>
    <row r="1001" spans="1:16" ht="12.75" hidden="1" customHeight="1">
      <c r="A1001" s="187" t="s">
        <v>15</v>
      </c>
      <c r="B1001" s="188"/>
      <c r="C1001" s="188"/>
      <c r="D1001" s="188"/>
      <c r="E1001" s="189">
        <f t="shared" si="171"/>
        <v>0</v>
      </c>
      <c r="F1001" s="190" t="e">
        <f t="shared" si="169"/>
        <v>#DIV/0!</v>
      </c>
      <c r="H1001" s="88"/>
      <c r="I1001" s="88"/>
      <c r="J1001" s="88"/>
      <c r="K1001" s="89"/>
      <c r="L1001" s="89"/>
      <c r="M1001" s="88"/>
      <c r="O1001" s="88"/>
      <c r="P1001" s="88"/>
    </row>
    <row r="1002" spans="1:16" ht="12.75" hidden="1" customHeight="1">
      <c r="A1002" s="187" t="s">
        <v>786</v>
      </c>
      <c r="B1002" s="188"/>
      <c r="C1002" s="188"/>
      <c r="D1002" s="188"/>
      <c r="E1002" s="189">
        <f t="shared" si="171"/>
        <v>0</v>
      </c>
      <c r="F1002" s="190" t="e">
        <f t="shared" si="169"/>
        <v>#DIV/0!</v>
      </c>
      <c r="H1002" s="88"/>
      <c r="I1002" s="88"/>
      <c r="J1002" s="88"/>
      <c r="K1002" s="89"/>
      <c r="L1002" s="89"/>
      <c r="M1002" s="88"/>
      <c r="O1002" s="88"/>
      <c r="P1002" s="88"/>
    </row>
    <row r="1003" spans="1:16" ht="12.75" hidden="1" customHeight="1">
      <c r="A1003" s="187" t="s">
        <v>787</v>
      </c>
      <c r="B1003" s="188"/>
      <c r="C1003" s="188"/>
      <c r="D1003" s="188"/>
      <c r="E1003" s="189">
        <f t="shared" si="171"/>
        <v>0</v>
      </c>
      <c r="F1003" s="190" t="e">
        <f t="shared" si="169"/>
        <v>#DIV/0!</v>
      </c>
      <c r="H1003" s="88"/>
      <c r="I1003" s="88"/>
      <c r="J1003" s="88"/>
      <c r="K1003" s="89"/>
      <c r="L1003" s="89"/>
      <c r="M1003" s="88"/>
      <c r="O1003" s="88"/>
      <c r="P1003" s="88"/>
    </row>
    <row r="1004" spans="1:16" ht="12.75" hidden="1" customHeight="1">
      <c r="A1004" s="187" t="s">
        <v>788</v>
      </c>
      <c r="B1004" s="188"/>
      <c r="C1004" s="188"/>
      <c r="D1004" s="188"/>
      <c r="E1004" s="189">
        <f t="shared" si="171"/>
        <v>0</v>
      </c>
      <c r="F1004" s="190" t="e">
        <f t="shared" si="169"/>
        <v>#DIV/0!</v>
      </c>
      <c r="H1004" s="88"/>
      <c r="I1004" s="88"/>
      <c r="J1004" s="88"/>
      <c r="K1004" s="89"/>
      <c r="L1004" s="89"/>
      <c r="M1004" s="88"/>
      <c r="O1004" s="88"/>
      <c r="P1004" s="88"/>
    </row>
    <row r="1005" spans="1:16" ht="12.75" hidden="1" customHeight="1">
      <c r="A1005" s="187" t="s">
        <v>789</v>
      </c>
      <c r="B1005" s="188"/>
      <c r="C1005" s="188"/>
      <c r="D1005" s="188"/>
      <c r="E1005" s="189">
        <f t="shared" si="171"/>
        <v>0</v>
      </c>
      <c r="F1005" s="190" t="e">
        <f t="shared" si="169"/>
        <v>#DIV/0!</v>
      </c>
      <c r="H1005" s="88"/>
      <c r="I1005" s="88"/>
      <c r="J1005" s="88"/>
      <c r="K1005" s="89"/>
      <c r="L1005" s="89"/>
      <c r="M1005" s="88"/>
      <c r="O1005" s="88"/>
      <c r="P1005" s="88"/>
    </row>
    <row r="1006" spans="1:16" ht="12.75" hidden="1" customHeight="1">
      <c r="A1006" s="187" t="s">
        <v>22</v>
      </c>
      <c r="B1006" s="188"/>
      <c r="C1006" s="188"/>
      <c r="D1006" s="188"/>
      <c r="E1006" s="189">
        <f t="shared" si="171"/>
        <v>0</v>
      </c>
      <c r="F1006" s="190" t="e">
        <f t="shared" si="169"/>
        <v>#DIV/0!</v>
      </c>
      <c r="H1006" s="88"/>
      <c r="I1006" s="88"/>
      <c r="J1006" s="88"/>
      <c r="K1006" s="89"/>
      <c r="L1006" s="89"/>
      <c r="M1006" s="88"/>
      <c r="O1006" s="88"/>
      <c r="P1006" s="88"/>
    </row>
    <row r="1007" spans="1:16" ht="12.75" hidden="1" customHeight="1">
      <c r="A1007" s="187" t="s">
        <v>790</v>
      </c>
      <c r="B1007" s="188"/>
      <c r="C1007" s="188"/>
      <c r="D1007" s="188"/>
      <c r="E1007" s="189">
        <f t="shared" si="171"/>
        <v>0</v>
      </c>
      <c r="F1007" s="190" t="e">
        <f t="shared" si="169"/>
        <v>#DIV/0!</v>
      </c>
      <c r="H1007" s="88"/>
      <c r="I1007" s="88"/>
      <c r="J1007" s="88"/>
      <c r="K1007" s="89"/>
      <c r="L1007" s="89"/>
      <c r="M1007" s="88"/>
      <c r="O1007" s="88"/>
      <c r="P1007" s="88"/>
    </row>
    <row r="1008" spans="1:16">
      <c r="A1008" s="187" t="s">
        <v>791</v>
      </c>
      <c r="B1008" s="188">
        <v>13235.82</v>
      </c>
      <c r="C1008" s="188">
        <v>13235.82</v>
      </c>
      <c r="D1008" s="188">
        <v>10886.46</v>
      </c>
      <c r="E1008" s="189">
        <f t="shared" si="171"/>
        <v>-2349.3600000000006</v>
      </c>
      <c r="F1008" s="190">
        <f t="shared" si="169"/>
        <v>-17.750014732747957</v>
      </c>
      <c r="H1008" s="88">
        <f t="shared" ref="H1008:M1008" si="176">SUM(H1009:H1014)</f>
        <v>300</v>
      </c>
      <c r="I1008" s="88">
        <f t="shared" si="176"/>
        <v>82</v>
      </c>
      <c r="J1008" s="88">
        <f t="shared" si="176"/>
        <v>0</v>
      </c>
      <c r="K1008" s="89">
        <f t="shared" si="176"/>
        <v>0</v>
      </c>
      <c r="L1008" s="89">
        <f t="shared" si="176"/>
        <v>0</v>
      </c>
      <c r="M1008" s="88">
        <f t="shared" si="176"/>
        <v>0</v>
      </c>
      <c r="O1008" s="88">
        <f>SUM(O1009:O1014)</f>
        <v>0</v>
      </c>
      <c r="P1008" s="88">
        <f>SUM(P1009:P1014)</f>
        <v>0</v>
      </c>
    </row>
    <row r="1009" spans="1:16" ht="12.75" hidden="1" customHeight="1">
      <c r="A1009" s="187" t="s">
        <v>13</v>
      </c>
      <c r="B1009" s="188"/>
      <c r="C1009" s="188"/>
      <c r="D1009" s="188"/>
      <c r="E1009" s="189">
        <f t="shared" si="171"/>
        <v>0</v>
      </c>
      <c r="F1009" s="190" t="e">
        <f t="shared" si="169"/>
        <v>#DIV/0!</v>
      </c>
      <c r="H1009" s="88"/>
      <c r="I1009" s="88">
        <v>82</v>
      </c>
      <c r="J1009" s="88"/>
      <c r="K1009" s="89"/>
      <c r="L1009" s="89"/>
      <c r="M1009" s="88"/>
      <c r="O1009" s="88"/>
      <c r="P1009" s="88"/>
    </row>
    <row r="1010" spans="1:16" ht="12.75" hidden="1" customHeight="1">
      <c r="A1010" s="187" t="s">
        <v>14</v>
      </c>
      <c r="B1010" s="188"/>
      <c r="C1010" s="188"/>
      <c r="D1010" s="188"/>
      <c r="E1010" s="189">
        <f t="shared" si="171"/>
        <v>0</v>
      </c>
      <c r="F1010" s="190" t="e">
        <f t="shared" si="169"/>
        <v>#DIV/0!</v>
      </c>
      <c r="H1010" s="88">
        <v>300</v>
      </c>
      <c r="I1010" s="88"/>
      <c r="J1010" s="88"/>
      <c r="K1010" s="89"/>
      <c r="L1010" s="89"/>
      <c r="M1010" s="88"/>
      <c r="O1010" s="88"/>
      <c r="P1010" s="88"/>
    </row>
    <row r="1011" spans="1:16" ht="12.75" hidden="1" customHeight="1">
      <c r="A1011" s="187" t="s">
        <v>15</v>
      </c>
      <c r="B1011" s="188"/>
      <c r="C1011" s="188"/>
      <c r="D1011" s="188"/>
      <c r="E1011" s="189">
        <f t="shared" si="171"/>
        <v>0</v>
      </c>
      <c r="F1011" s="190" t="e">
        <f t="shared" si="169"/>
        <v>#DIV/0!</v>
      </c>
      <c r="H1011" s="88"/>
      <c r="I1011" s="88"/>
      <c r="J1011" s="88"/>
      <c r="K1011" s="89"/>
      <c r="L1011" s="89"/>
      <c r="M1011" s="88"/>
      <c r="O1011" s="88"/>
      <c r="P1011" s="88"/>
    </row>
    <row r="1012" spans="1:16" ht="12.75" hidden="1" customHeight="1">
      <c r="A1012" s="187" t="s">
        <v>792</v>
      </c>
      <c r="B1012" s="188"/>
      <c r="C1012" s="188"/>
      <c r="D1012" s="188"/>
      <c r="E1012" s="189">
        <f t="shared" si="171"/>
        <v>0</v>
      </c>
      <c r="F1012" s="190" t="e">
        <f t="shared" si="169"/>
        <v>#DIV/0!</v>
      </c>
      <c r="H1012" s="88"/>
      <c r="I1012" s="88"/>
      <c r="J1012" s="88"/>
      <c r="K1012" s="89"/>
      <c r="L1012" s="89"/>
      <c r="M1012" s="88"/>
      <c r="O1012" s="88"/>
      <c r="P1012" s="88"/>
    </row>
    <row r="1013" spans="1:16" ht="12.75" hidden="1" customHeight="1">
      <c r="A1013" s="187" t="s">
        <v>793</v>
      </c>
      <c r="B1013" s="188"/>
      <c r="C1013" s="188"/>
      <c r="D1013" s="188"/>
      <c r="E1013" s="189">
        <f t="shared" si="171"/>
        <v>0</v>
      </c>
      <c r="F1013" s="190" t="e">
        <f t="shared" si="169"/>
        <v>#DIV/0!</v>
      </c>
      <c r="H1013" s="88"/>
      <c r="I1013" s="88"/>
      <c r="J1013" s="88"/>
      <c r="K1013" s="89"/>
      <c r="L1013" s="89"/>
      <c r="M1013" s="88"/>
      <c r="O1013" s="88"/>
      <c r="P1013" s="88"/>
    </row>
    <row r="1014" spans="1:16" ht="12.75" hidden="1" customHeight="1">
      <c r="A1014" s="187" t="s">
        <v>794</v>
      </c>
      <c r="B1014" s="188"/>
      <c r="C1014" s="188"/>
      <c r="D1014" s="188"/>
      <c r="E1014" s="189">
        <f t="shared" si="171"/>
        <v>0</v>
      </c>
      <c r="F1014" s="190" t="e">
        <f t="shared" si="169"/>
        <v>#DIV/0!</v>
      </c>
      <c r="H1014" s="88"/>
      <c r="I1014" s="88"/>
      <c r="J1014" s="88"/>
      <c r="K1014" s="89"/>
      <c r="L1014" s="89"/>
      <c r="M1014" s="88"/>
      <c r="O1014" s="88"/>
      <c r="P1014" s="88"/>
    </row>
    <row r="1015" spans="1:16">
      <c r="A1015" s="187" t="s">
        <v>795</v>
      </c>
      <c r="B1015" s="188"/>
      <c r="C1015" s="188"/>
      <c r="D1015" s="188"/>
      <c r="E1015" s="189"/>
      <c r="F1015" s="190"/>
      <c r="H1015" s="88">
        <f t="shared" ref="H1015:M1015" si="177">SUM(H1016:H1020)</f>
        <v>26130</v>
      </c>
      <c r="I1015" s="88">
        <f t="shared" si="177"/>
        <v>0</v>
      </c>
      <c r="J1015" s="88">
        <f t="shared" si="177"/>
        <v>0</v>
      </c>
      <c r="K1015" s="89">
        <f t="shared" si="177"/>
        <v>1287</v>
      </c>
      <c r="L1015" s="89">
        <f t="shared" si="177"/>
        <v>0</v>
      </c>
      <c r="M1015" s="88">
        <f t="shared" si="177"/>
        <v>0</v>
      </c>
      <c r="O1015" s="88">
        <f>SUM(O1016:O1020)</f>
        <v>0</v>
      </c>
      <c r="P1015" s="88">
        <f>SUM(P1016:P1020)</f>
        <v>0</v>
      </c>
    </row>
    <row r="1016" spans="1:16" ht="12.75" hidden="1" customHeight="1">
      <c r="A1016" s="187" t="s">
        <v>13</v>
      </c>
      <c r="B1016" s="188"/>
      <c r="C1016" s="188"/>
      <c r="D1016" s="188"/>
      <c r="E1016" s="189"/>
      <c r="F1016" s="190"/>
      <c r="H1016" s="88">
        <v>130</v>
      </c>
      <c r="I1016" s="88"/>
      <c r="J1016" s="88"/>
      <c r="K1016" s="89"/>
      <c r="L1016" s="89"/>
      <c r="M1016" s="88"/>
      <c r="O1016" s="88"/>
      <c r="P1016" s="88"/>
    </row>
    <row r="1017" spans="1:16" ht="12.75" hidden="1" customHeight="1">
      <c r="A1017" s="187" t="s">
        <v>14</v>
      </c>
      <c r="B1017" s="188"/>
      <c r="C1017" s="188"/>
      <c r="D1017" s="188"/>
      <c r="E1017" s="189"/>
      <c r="F1017" s="190"/>
      <c r="H1017" s="88"/>
      <c r="I1017" s="88"/>
      <c r="J1017" s="88"/>
      <c r="K1017" s="89"/>
      <c r="L1017" s="89"/>
      <c r="M1017" s="88"/>
      <c r="O1017" s="88"/>
      <c r="P1017" s="88"/>
    </row>
    <row r="1018" spans="1:16" ht="12.75" hidden="1" customHeight="1">
      <c r="A1018" s="187" t="s">
        <v>15</v>
      </c>
      <c r="B1018" s="188"/>
      <c r="C1018" s="188"/>
      <c r="D1018" s="188"/>
      <c r="E1018" s="189"/>
      <c r="F1018" s="190"/>
      <c r="H1018" s="88"/>
      <c r="I1018" s="88"/>
      <c r="J1018" s="88"/>
      <c r="K1018" s="89"/>
      <c r="L1018" s="89"/>
      <c r="M1018" s="88"/>
      <c r="O1018" s="88"/>
      <c r="P1018" s="88"/>
    </row>
    <row r="1019" spans="1:16" ht="12.75" hidden="1" customHeight="1">
      <c r="A1019" s="187" t="s">
        <v>796</v>
      </c>
      <c r="B1019" s="188"/>
      <c r="C1019" s="188"/>
      <c r="D1019" s="188"/>
      <c r="E1019" s="189"/>
      <c r="F1019" s="190"/>
      <c r="H1019" s="88"/>
      <c r="I1019" s="88"/>
      <c r="J1019" s="88"/>
      <c r="K1019" s="89"/>
      <c r="L1019" s="89"/>
      <c r="M1019" s="88"/>
      <c r="O1019" s="88"/>
      <c r="P1019" s="88"/>
    </row>
    <row r="1020" spans="1:16" ht="12.75" hidden="1" customHeight="1">
      <c r="A1020" s="187" t="s">
        <v>797</v>
      </c>
      <c r="B1020" s="188"/>
      <c r="C1020" s="188"/>
      <c r="D1020" s="188"/>
      <c r="E1020" s="189"/>
      <c r="F1020" s="190"/>
      <c r="H1020" s="88">
        <v>26000</v>
      </c>
      <c r="I1020" s="88"/>
      <c r="J1020" s="88"/>
      <c r="K1020" s="89">
        <v>1287</v>
      </c>
      <c r="L1020" s="89"/>
      <c r="M1020" s="88"/>
      <c r="O1020" s="88"/>
      <c r="P1020" s="88"/>
    </row>
    <row r="1021" spans="1:16">
      <c r="A1021" s="187" t="s">
        <v>798</v>
      </c>
      <c r="B1021" s="188"/>
      <c r="C1021" s="188"/>
      <c r="D1021" s="188"/>
      <c r="E1021" s="189"/>
      <c r="F1021" s="190"/>
      <c r="H1021" s="88">
        <f t="shared" ref="H1021:M1021" si="178">SUM(H1022:H1023)</f>
        <v>0</v>
      </c>
      <c r="I1021" s="88">
        <f t="shared" si="178"/>
        <v>0</v>
      </c>
      <c r="J1021" s="88">
        <f t="shared" si="178"/>
        <v>0</v>
      </c>
      <c r="K1021" s="89">
        <f t="shared" si="178"/>
        <v>40000</v>
      </c>
      <c r="L1021" s="89">
        <f t="shared" si="178"/>
        <v>0</v>
      </c>
      <c r="M1021" s="88">
        <f t="shared" si="178"/>
        <v>0</v>
      </c>
      <c r="O1021" s="88">
        <f>SUM(O1022:O1023)</f>
        <v>0</v>
      </c>
      <c r="P1021" s="88">
        <f>SUM(P1022:P1023)</f>
        <v>40000</v>
      </c>
    </row>
    <row r="1022" spans="1:16" ht="12.75" hidden="1" customHeight="1">
      <c r="A1022" s="187" t="s">
        <v>799</v>
      </c>
      <c r="B1022" s="188"/>
      <c r="C1022" s="188"/>
      <c r="D1022" s="188"/>
      <c r="E1022" s="189">
        <f t="shared" si="171"/>
        <v>0</v>
      </c>
      <c r="F1022" s="190" t="e">
        <f t="shared" si="169"/>
        <v>#DIV/0!</v>
      </c>
      <c r="H1022" s="88"/>
      <c r="I1022" s="88"/>
      <c r="J1022" s="88"/>
      <c r="K1022" s="89">
        <v>40000</v>
      </c>
      <c r="L1022" s="89"/>
      <c r="M1022" s="88"/>
      <c r="O1022" s="88"/>
      <c r="P1022" s="88">
        <v>40000</v>
      </c>
    </row>
    <row r="1023" spans="1:16" ht="12.75" hidden="1" customHeight="1">
      <c r="A1023" s="187" t="s">
        <v>800</v>
      </c>
      <c r="B1023" s="188"/>
      <c r="C1023" s="188"/>
      <c r="D1023" s="188"/>
      <c r="E1023" s="189">
        <f t="shared" si="171"/>
        <v>0</v>
      </c>
      <c r="F1023" s="190" t="e">
        <f t="shared" si="169"/>
        <v>#DIV/0!</v>
      </c>
      <c r="H1023" s="88"/>
      <c r="I1023" s="88"/>
      <c r="J1023" s="88"/>
      <c r="K1023" s="89"/>
      <c r="L1023" s="89"/>
      <c r="M1023" s="88"/>
      <c r="O1023" s="88"/>
      <c r="P1023" s="88"/>
    </row>
    <row r="1024" spans="1:16">
      <c r="A1024" s="179" t="s">
        <v>801</v>
      </c>
      <c r="B1024" s="182">
        <f>B1025+B1034</f>
        <v>250</v>
      </c>
      <c r="C1024" s="182">
        <f>C1025+C1034</f>
        <v>250</v>
      </c>
      <c r="D1024" s="182">
        <f>D1025+D1034</f>
        <v>230</v>
      </c>
      <c r="E1024" s="185">
        <f t="shared" si="171"/>
        <v>-20</v>
      </c>
      <c r="F1024" s="186">
        <f t="shared" si="169"/>
        <v>-8</v>
      </c>
      <c r="H1024" s="88">
        <f>H1025+H1032</f>
        <v>90</v>
      </c>
      <c r="I1024" s="88">
        <f t="shared" ref="I1024:P1024" si="179">I1025+I1032</f>
        <v>0</v>
      </c>
      <c r="J1024" s="88">
        <f t="shared" si="179"/>
        <v>0</v>
      </c>
      <c r="K1024" s="88">
        <f t="shared" si="179"/>
        <v>0</v>
      </c>
      <c r="L1024" s="88">
        <f t="shared" si="179"/>
        <v>0</v>
      </c>
      <c r="M1024" s="88">
        <f t="shared" si="179"/>
        <v>0</v>
      </c>
      <c r="O1024" s="88">
        <f t="shared" si="179"/>
        <v>0</v>
      </c>
      <c r="P1024" s="88">
        <f t="shared" si="179"/>
        <v>0</v>
      </c>
    </row>
    <row r="1025" spans="1:16">
      <c r="A1025" s="187" t="s">
        <v>802</v>
      </c>
      <c r="B1025" s="188">
        <v>200</v>
      </c>
      <c r="C1025" s="188">
        <v>200</v>
      </c>
      <c r="D1025" s="188">
        <v>180</v>
      </c>
      <c r="E1025" s="189">
        <f t="shared" si="171"/>
        <v>-20</v>
      </c>
      <c r="F1025" s="190">
        <f t="shared" si="169"/>
        <v>-10</v>
      </c>
      <c r="H1025" s="88">
        <f t="shared" ref="H1025:M1025" si="180">SUM(H1026:H1031)</f>
        <v>90</v>
      </c>
      <c r="I1025" s="88">
        <f t="shared" si="180"/>
        <v>0</v>
      </c>
      <c r="J1025" s="88">
        <f t="shared" si="180"/>
        <v>0</v>
      </c>
      <c r="K1025" s="89">
        <f t="shared" si="180"/>
        <v>0</v>
      </c>
      <c r="L1025" s="89">
        <f t="shared" si="180"/>
        <v>0</v>
      </c>
      <c r="M1025" s="88">
        <f t="shared" si="180"/>
        <v>0</v>
      </c>
      <c r="O1025" s="88">
        <f>SUM(O1026:O1031)</f>
        <v>0</v>
      </c>
      <c r="P1025" s="88">
        <f>SUM(P1026:P1031)</f>
        <v>0</v>
      </c>
    </row>
    <row r="1026" spans="1:16" ht="12.75" hidden="1" customHeight="1">
      <c r="A1026" s="187" t="s">
        <v>13</v>
      </c>
      <c r="B1026" s="188"/>
      <c r="C1026" s="188"/>
      <c r="D1026" s="188"/>
      <c r="E1026" s="189">
        <f t="shared" si="171"/>
        <v>0</v>
      </c>
      <c r="F1026" s="190" t="e">
        <f t="shared" si="169"/>
        <v>#DIV/0!</v>
      </c>
      <c r="H1026" s="88">
        <v>90</v>
      </c>
      <c r="I1026" s="88"/>
      <c r="J1026" s="88"/>
      <c r="K1026" s="89"/>
      <c r="L1026" s="89"/>
      <c r="M1026" s="88"/>
      <c r="O1026" s="88"/>
      <c r="P1026" s="88"/>
    </row>
    <row r="1027" spans="1:16" ht="12.75" hidden="1" customHeight="1">
      <c r="A1027" s="187" t="s">
        <v>14</v>
      </c>
      <c r="B1027" s="188"/>
      <c r="C1027" s="188"/>
      <c r="D1027" s="188"/>
      <c r="E1027" s="189">
        <f t="shared" si="171"/>
        <v>0</v>
      </c>
      <c r="F1027" s="190" t="e">
        <f t="shared" si="169"/>
        <v>#DIV/0!</v>
      </c>
      <c r="H1027" s="88"/>
      <c r="I1027" s="88"/>
      <c r="J1027" s="88"/>
      <c r="K1027" s="89"/>
      <c r="L1027" s="89"/>
      <c r="M1027" s="88"/>
      <c r="O1027" s="88"/>
      <c r="P1027" s="88"/>
    </row>
    <row r="1028" spans="1:16" ht="12.75" hidden="1" customHeight="1">
      <c r="A1028" s="187" t="s">
        <v>15</v>
      </c>
      <c r="B1028" s="188"/>
      <c r="C1028" s="188"/>
      <c r="D1028" s="188"/>
      <c r="E1028" s="189">
        <f t="shared" si="171"/>
        <v>0</v>
      </c>
      <c r="F1028" s="190" t="e">
        <f t="shared" si="169"/>
        <v>#DIV/0!</v>
      </c>
      <c r="H1028" s="88"/>
      <c r="I1028" s="88"/>
      <c r="J1028" s="88"/>
      <c r="K1028" s="89"/>
      <c r="L1028" s="89"/>
      <c r="M1028" s="88"/>
      <c r="O1028" s="88"/>
      <c r="P1028" s="88"/>
    </row>
    <row r="1029" spans="1:16" ht="12.75" hidden="1" customHeight="1">
      <c r="A1029" s="187" t="s">
        <v>803</v>
      </c>
      <c r="B1029" s="188"/>
      <c r="C1029" s="188"/>
      <c r="D1029" s="188"/>
      <c r="E1029" s="189">
        <f t="shared" si="171"/>
        <v>0</v>
      </c>
      <c r="F1029" s="190" t="e">
        <f t="shared" si="169"/>
        <v>#DIV/0!</v>
      </c>
      <c r="H1029" s="88"/>
      <c r="I1029" s="88"/>
      <c r="J1029" s="88"/>
      <c r="K1029" s="89"/>
      <c r="L1029" s="89"/>
      <c r="M1029" s="88"/>
      <c r="O1029" s="88"/>
      <c r="P1029" s="88"/>
    </row>
    <row r="1030" spans="1:16" ht="12.75" hidden="1" customHeight="1">
      <c r="A1030" s="187" t="s">
        <v>22</v>
      </c>
      <c r="B1030" s="188"/>
      <c r="C1030" s="188"/>
      <c r="D1030" s="188"/>
      <c r="E1030" s="189">
        <f t="shared" si="171"/>
        <v>0</v>
      </c>
      <c r="F1030" s="190" t="e">
        <f t="shared" si="169"/>
        <v>#DIV/0!</v>
      </c>
      <c r="H1030" s="88"/>
      <c r="I1030" s="88"/>
      <c r="J1030" s="88"/>
      <c r="K1030" s="89"/>
      <c r="L1030" s="89"/>
      <c r="M1030" s="88"/>
      <c r="O1030" s="88"/>
      <c r="P1030" s="88"/>
    </row>
    <row r="1031" spans="1:16" ht="12.75" hidden="1" customHeight="1">
      <c r="A1031" s="187" t="s">
        <v>804</v>
      </c>
      <c r="B1031" s="188"/>
      <c r="C1031" s="188"/>
      <c r="D1031" s="188"/>
      <c r="E1031" s="189">
        <f t="shared" si="171"/>
        <v>0</v>
      </c>
      <c r="F1031" s="190" t="e">
        <f t="shared" si="169"/>
        <v>#DIV/0!</v>
      </c>
      <c r="H1031" s="88"/>
      <c r="I1031" s="88"/>
      <c r="J1031" s="88"/>
      <c r="K1031" s="89"/>
      <c r="L1031" s="89"/>
      <c r="M1031" s="88"/>
      <c r="O1031" s="88"/>
      <c r="P1031" s="88"/>
    </row>
    <row r="1032" spans="1:16" ht="12.75" hidden="1" customHeight="1">
      <c r="A1032" s="179" t="s">
        <v>805</v>
      </c>
      <c r="B1032" s="188"/>
      <c r="C1032" s="188">
        <f>C1033</f>
        <v>0</v>
      </c>
      <c r="D1032" s="188"/>
      <c r="E1032" s="189">
        <f t="shared" si="171"/>
        <v>0</v>
      </c>
      <c r="F1032" s="190" t="e">
        <f t="shared" si="169"/>
        <v>#DIV/0!</v>
      </c>
      <c r="H1032" s="88">
        <f t="shared" ref="H1032:M1032" si="181">H1033</f>
        <v>0</v>
      </c>
      <c r="I1032" s="88">
        <f t="shared" si="181"/>
        <v>0</v>
      </c>
      <c r="J1032" s="88">
        <f t="shared" si="181"/>
        <v>0</v>
      </c>
      <c r="K1032" s="89">
        <f t="shared" si="181"/>
        <v>0</v>
      </c>
      <c r="L1032" s="89">
        <f t="shared" si="181"/>
        <v>0</v>
      </c>
      <c r="M1032" s="88">
        <f t="shared" si="181"/>
        <v>0</v>
      </c>
      <c r="O1032" s="88">
        <f>O1033</f>
        <v>0</v>
      </c>
      <c r="P1032" s="88">
        <f>P1033</f>
        <v>0</v>
      </c>
    </row>
    <row r="1033" spans="1:16" ht="12.75" hidden="1" customHeight="1">
      <c r="A1033" s="187" t="s">
        <v>806</v>
      </c>
      <c r="B1033" s="188"/>
      <c r="C1033" s="188"/>
      <c r="D1033" s="188"/>
      <c r="E1033" s="189">
        <f t="shared" si="171"/>
        <v>0</v>
      </c>
      <c r="F1033" s="190" t="e">
        <f t="shared" si="169"/>
        <v>#DIV/0!</v>
      </c>
      <c r="H1033" s="88"/>
      <c r="I1033" s="88"/>
      <c r="J1033" s="88"/>
      <c r="K1033" s="89"/>
      <c r="L1033" s="89"/>
      <c r="M1033" s="88"/>
      <c r="O1033" s="88"/>
      <c r="P1033" s="88"/>
    </row>
    <row r="1034" spans="1:16">
      <c r="A1034" s="187" t="s">
        <v>807</v>
      </c>
      <c r="B1034" s="188">
        <v>50</v>
      </c>
      <c r="C1034" s="188">
        <v>50</v>
      </c>
      <c r="D1034" s="188">
        <v>50</v>
      </c>
      <c r="E1034" s="189">
        <f t="shared" si="171"/>
        <v>0</v>
      </c>
      <c r="F1034" s="190">
        <f t="shared" si="169"/>
        <v>0</v>
      </c>
      <c r="H1034" s="88"/>
      <c r="I1034" s="88"/>
      <c r="J1034" s="88"/>
      <c r="K1034" s="89"/>
      <c r="L1034" s="89"/>
      <c r="M1034" s="88"/>
      <c r="O1034" s="88"/>
      <c r="P1034" s="88"/>
    </row>
    <row r="1035" spans="1:16">
      <c r="A1035" s="179" t="s">
        <v>808</v>
      </c>
      <c r="B1035" s="182">
        <f>SUM(B1036,B1057,B1078,B1091,B1107)</f>
        <v>8421.9599999999991</v>
      </c>
      <c r="C1035" s="182">
        <f>SUM(C1036,C1057,C1078,C1091,C1107)</f>
        <v>8421.9599999999991</v>
      </c>
      <c r="D1035" s="182">
        <f>SUM(D1036:D1091)</f>
        <v>10437.019999999999</v>
      </c>
      <c r="E1035" s="185">
        <f t="shared" si="171"/>
        <v>2015.0599999999995</v>
      </c>
      <c r="F1035" s="186">
        <f t="shared" si="169"/>
        <v>23.926259445544741</v>
      </c>
      <c r="H1035" s="88">
        <f t="shared" ref="H1035:M1035" si="182">SUM(H1036,H1057,H1078,H1091,H1107)</f>
        <v>521</v>
      </c>
      <c r="I1035" s="88">
        <f t="shared" si="182"/>
        <v>1580</v>
      </c>
      <c r="J1035" s="88">
        <f t="shared" si="182"/>
        <v>60</v>
      </c>
      <c r="K1035" s="88">
        <f t="shared" si="182"/>
        <v>40166</v>
      </c>
      <c r="L1035" s="88">
        <f t="shared" si="182"/>
        <v>0</v>
      </c>
      <c r="M1035" s="88">
        <f t="shared" si="182"/>
        <v>0</v>
      </c>
      <c r="O1035" s="88">
        <f>SUM(O1036,O1057,O1078,O1091,O1107)</f>
        <v>0</v>
      </c>
      <c r="P1035" s="88">
        <f>SUM(P1036,P1057,P1078,P1091,P1107)</f>
        <v>78000</v>
      </c>
    </row>
    <row r="1036" spans="1:16">
      <c r="A1036" s="187" t="s">
        <v>809</v>
      </c>
      <c r="B1036" s="188">
        <v>3120.78</v>
      </c>
      <c r="C1036" s="188">
        <v>3120.78</v>
      </c>
      <c r="D1036" s="188">
        <v>6107.9</v>
      </c>
      <c r="E1036" s="189">
        <f t="shared" si="171"/>
        <v>2987.1199999999994</v>
      </c>
      <c r="F1036" s="190">
        <f t="shared" si="169"/>
        <v>95.717096366933887</v>
      </c>
      <c r="H1036" s="88">
        <f t="shared" ref="H1036:M1036" si="183">SUM(H1037:H1056)</f>
        <v>388</v>
      </c>
      <c r="I1036" s="88">
        <f t="shared" si="183"/>
        <v>642</v>
      </c>
      <c r="J1036" s="88">
        <f t="shared" si="183"/>
        <v>0</v>
      </c>
      <c r="K1036" s="89">
        <f t="shared" si="183"/>
        <v>40066</v>
      </c>
      <c r="L1036" s="89">
        <f t="shared" si="183"/>
        <v>0</v>
      </c>
      <c r="M1036" s="88">
        <f t="shared" si="183"/>
        <v>0</v>
      </c>
      <c r="O1036" s="88">
        <f>SUM(O1037:O1056)</f>
        <v>0</v>
      </c>
      <c r="P1036" s="88">
        <f>SUM(P1037:P1056)</f>
        <v>78000</v>
      </c>
    </row>
    <row r="1037" spans="1:16" ht="12.75" hidden="1" customHeight="1">
      <c r="A1037" s="187" t="s">
        <v>13</v>
      </c>
      <c r="B1037" s="188"/>
      <c r="C1037" s="188"/>
      <c r="D1037" s="188"/>
      <c r="E1037" s="189">
        <f t="shared" si="171"/>
        <v>0</v>
      </c>
      <c r="F1037" s="190" t="e">
        <f t="shared" si="169"/>
        <v>#DIV/0!</v>
      </c>
      <c r="H1037" s="88">
        <v>388</v>
      </c>
      <c r="I1037" s="88">
        <v>630</v>
      </c>
      <c r="J1037" s="88"/>
      <c r="K1037" s="89">
        <v>66</v>
      </c>
      <c r="L1037" s="89"/>
      <c r="M1037" s="88"/>
      <c r="O1037" s="88"/>
      <c r="P1037" s="88"/>
    </row>
    <row r="1038" spans="1:16" ht="12.75" hidden="1" customHeight="1">
      <c r="A1038" s="187" t="s">
        <v>14</v>
      </c>
      <c r="B1038" s="188"/>
      <c r="C1038" s="188"/>
      <c r="D1038" s="188"/>
      <c r="E1038" s="189">
        <f t="shared" si="171"/>
        <v>0</v>
      </c>
      <c r="F1038" s="190" t="e">
        <f t="shared" ref="F1038:F1102" si="184">E1038/C1038*100</f>
        <v>#DIV/0!</v>
      </c>
      <c r="H1038" s="88"/>
      <c r="I1038" s="88"/>
      <c r="J1038" s="88"/>
      <c r="K1038" s="89"/>
      <c r="L1038" s="89"/>
      <c r="M1038" s="88"/>
      <c r="O1038" s="88"/>
      <c r="P1038" s="88"/>
    </row>
    <row r="1039" spans="1:16" ht="12.75" hidden="1" customHeight="1">
      <c r="A1039" s="187" t="s">
        <v>15</v>
      </c>
      <c r="B1039" s="188"/>
      <c r="C1039" s="188"/>
      <c r="D1039" s="188"/>
      <c r="E1039" s="189">
        <f t="shared" si="171"/>
        <v>0</v>
      </c>
      <c r="F1039" s="190" t="e">
        <f t="shared" si="184"/>
        <v>#DIV/0!</v>
      </c>
      <c r="H1039" s="88"/>
      <c r="I1039" s="88"/>
      <c r="J1039" s="88"/>
      <c r="K1039" s="89"/>
      <c r="L1039" s="89"/>
      <c r="M1039" s="88"/>
      <c r="O1039" s="88"/>
      <c r="P1039" s="88"/>
    </row>
    <row r="1040" spans="1:16" ht="12.75" hidden="1" customHeight="1">
      <c r="A1040" s="187" t="s">
        <v>810</v>
      </c>
      <c r="B1040" s="188"/>
      <c r="C1040" s="188"/>
      <c r="D1040" s="188"/>
      <c r="E1040" s="189">
        <f t="shared" si="171"/>
        <v>0</v>
      </c>
      <c r="F1040" s="190" t="e">
        <f t="shared" si="184"/>
        <v>#DIV/0!</v>
      </c>
      <c r="H1040" s="88"/>
      <c r="I1040" s="88"/>
      <c r="J1040" s="88"/>
      <c r="K1040" s="89"/>
      <c r="L1040" s="89"/>
      <c r="M1040" s="88"/>
      <c r="O1040" s="88"/>
      <c r="P1040" s="88"/>
    </row>
    <row r="1041" spans="1:16" ht="12.75" hidden="1" customHeight="1">
      <c r="A1041" s="187" t="s">
        <v>811</v>
      </c>
      <c r="B1041" s="188"/>
      <c r="C1041" s="188"/>
      <c r="D1041" s="188"/>
      <c r="E1041" s="189">
        <f t="shared" si="171"/>
        <v>0</v>
      </c>
      <c r="F1041" s="190" t="e">
        <f t="shared" si="184"/>
        <v>#DIV/0!</v>
      </c>
      <c r="H1041" s="88"/>
      <c r="I1041" s="88"/>
      <c r="J1041" s="88"/>
      <c r="K1041" s="89"/>
      <c r="L1041" s="89"/>
      <c r="M1041" s="88"/>
      <c r="O1041" s="88"/>
      <c r="P1041" s="88"/>
    </row>
    <row r="1042" spans="1:16" ht="12.75" hidden="1" customHeight="1">
      <c r="A1042" s="187" t="s">
        <v>812</v>
      </c>
      <c r="B1042" s="188"/>
      <c r="C1042" s="188"/>
      <c r="D1042" s="188"/>
      <c r="E1042" s="189">
        <f t="shared" si="171"/>
        <v>0</v>
      </c>
      <c r="F1042" s="190" t="e">
        <f t="shared" si="184"/>
        <v>#DIV/0!</v>
      </c>
      <c r="H1042" s="88"/>
      <c r="I1042" s="88"/>
      <c r="J1042" s="88"/>
      <c r="K1042" s="89"/>
      <c r="L1042" s="89"/>
      <c r="M1042" s="88"/>
      <c r="O1042" s="88"/>
      <c r="P1042" s="88"/>
    </row>
    <row r="1043" spans="1:16" ht="12.75" hidden="1" customHeight="1">
      <c r="A1043" s="187" t="s">
        <v>813</v>
      </c>
      <c r="B1043" s="188"/>
      <c r="C1043" s="188"/>
      <c r="D1043" s="188"/>
      <c r="E1043" s="189">
        <f t="shared" si="171"/>
        <v>0</v>
      </c>
      <c r="F1043" s="190" t="e">
        <f t="shared" si="184"/>
        <v>#DIV/0!</v>
      </c>
      <c r="H1043" s="88"/>
      <c r="I1043" s="88"/>
      <c r="J1043" s="88"/>
      <c r="K1043" s="89"/>
      <c r="L1043" s="89"/>
      <c r="M1043" s="88"/>
      <c r="O1043" s="88"/>
      <c r="P1043" s="88"/>
    </row>
    <row r="1044" spans="1:16" ht="12.75" hidden="1" customHeight="1">
      <c r="A1044" s="187" t="s">
        <v>814</v>
      </c>
      <c r="B1044" s="188"/>
      <c r="C1044" s="188"/>
      <c r="D1044" s="188"/>
      <c r="E1044" s="189">
        <f t="shared" ref="E1044:E1107" si="185">D1044-C1044</f>
        <v>0</v>
      </c>
      <c r="F1044" s="190" t="e">
        <f t="shared" si="184"/>
        <v>#DIV/0!</v>
      </c>
      <c r="H1044" s="88"/>
      <c r="I1044" s="88"/>
      <c r="J1044" s="88"/>
      <c r="K1044" s="89"/>
      <c r="L1044" s="89"/>
      <c r="M1044" s="88"/>
      <c r="O1044" s="88"/>
      <c r="P1044" s="88"/>
    </row>
    <row r="1045" spans="1:16" ht="12.75" hidden="1" customHeight="1">
      <c r="A1045" s="187" t="s">
        <v>815</v>
      </c>
      <c r="B1045" s="188"/>
      <c r="C1045" s="188"/>
      <c r="D1045" s="188"/>
      <c r="E1045" s="189">
        <f t="shared" si="185"/>
        <v>0</v>
      </c>
      <c r="F1045" s="190" t="e">
        <f t="shared" si="184"/>
        <v>#DIV/0!</v>
      </c>
      <c r="H1045" s="88"/>
      <c r="I1045" s="88"/>
      <c r="J1045" s="88"/>
      <c r="K1045" s="89"/>
      <c r="L1045" s="89"/>
      <c r="M1045" s="88"/>
      <c r="O1045" s="88"/>
      <c r="P1045" s="88"/>
    </row>
    <row r="1046" spans="1:16" ht="12.75" hidden="1" customHeight="1">
      <c r="A1046" s="187" t="s">
        <v>816</v>
      </c>
      <c r="B1046" s="188"/>
      <c r="C1046" s="188"/>
      <c r="D1046" s="188"/>
      <c r="E1046" s="189">
        <f t="shared" si="185"/>
        <v>0</v>
      </c>
      <c r="F1046" s="190" t="e">
        <f t="shared" si="184"/>
        <v>#DIV/0!</v>
      </c>
      <c r="H1046" s="88"/>
      <c r="I1046" s="88"/>
      <c r="J1046" s="88"/>
      <c r="K1046" s="89"/>
      <c r="L1046" s="89"/>
      <c r="M1046" s="88"/>
      <c r="O1046" s="88"/>
      <c r="P1046" s="88"/>
    </row>
    <row r="1047" spans="1:16" ht="12.75" hidden="1" customHeight="1">
      <c r="A1047" s="187" t="s">
        <v>817</v>
      </c>
      <c r="B1047" s="188"/>
      <c r="C1047" s="188"/>
      <c r="D1047" s="188"/>
      <c r="E1047" s="189">
        <f t="shared" si="185"/>
        <v>0</v>
      </c>
      <c r="F1047" s="190" t="e">
        <f t="shared" si="184"/>
        <v>#DIV/0!</v>
      </c>
      <c r="H1047" s="88"/>
      <c r="I1047" s="88"/>
      <c r="J1047" s="88"/>
      <c r="K1047" s="89"/>
      <c r="L1047" s="89"/>
      <c r="M1047" s="88"/>
      <c r="O1047" s="88"/>
      <c r="P1047" s="88"/>
    </row>
    <row r="1048" spans="1:16" ht="12.75" hidden="1" customHeight="1">
      <c r="A1048" s="187" t="s">
        <v>818</v>
      </c>
      <c r="B1048" s="188"/>
      <c r="C1048" s="188"/>
      <c r="D1048" s="188"/>
      <c r="E1048" s="189">
        <f t="shared" si="185"/>
        <v>0</v>
      </c>
      <c r="F1048" s="190" t="e">
        <f t="shared" si="184"/>
        <v>#DIV/0!</v>
      </c>
      <c r="H1048" s="88"/>
      <c r="I1048" s="88">
        <v>12</v>
      </c>
      <c r="J1048" s="88"/>
      <c r="K1048" s="89">
        <v>40000</v>
      </c>
      <c r="L1048" s="89"/>
      <c r="M1048" s="88"/>
      <c r="O1048" s="88"/>
      <c r="P1048" s="88">
        <v>78000</v>
      </c>
    </row>
    <row r="1049" spans="1:16" ht="12.75" hidden="1" customHeight="1">
      <c r="A1049" s="187" t="s">
        <v>819</v>
      </c>
      <c r="B1049" s="188"/>
      <c r="C1049" s="188"/>
      <c r="D1049" s="188"/>
      <c r="E1049" s="189">
        <f t="shared" si="185"/>
        <v>0</v>
      </c>
      <c r="F1049" s="190" t="e">
        <f t="shared" si="184"/>
        <v>#DIV/0!</v>
      </c>
      <c r="H1049" s="90"/>
      <c r="I1049" s="90"/>
      <c r="J1049" s="90"/>
      <c r="K1049" s="91"/>
      <c r="L1049" s="91"/>
      <c r="M1049" s="90"/>
      <c r="O1049" s="90"/>
      <c r="P1049" s="90"/>
    </row>
    <row r="1050" spans="1:16" ht="12.75" hidden="1" customHeight="1">
      <c r="A1050" s="187" t="s">
        <v>820</v>
      </c>
      <c r="B1050" s="188"/>
      <c r="C1050" s="188"/>
      <c r="D1050" s="188"/>
      <c r="E1050" s="189">
        <f t="shared" si="185"/>
        <v>0</v>
      </c>
      <c r="F1050" s="190" t="e">
        <f t="shared" si="184"/>
        <v>#DIV/0!</v>
      </c>
      <c r="H1050" s="88"/>
      <c r="I1050" s="88"/>
      <c r="J1050" s="88"/>
      <c r="K1050" s="89"/>
      <c r="L1050" s="89"/>
      <c r="M1050" s="88"/>
      <c r="O1050" s="88"/>
      <c r="P1050" s="88"/>
    </row>
    <row r="1051" spans="1:16" ht="12.75" hidden="1" customHeight="1">
      <c r="A1051" s="187" t="s">
        <v>821</v>
      </c>
      <c r="B1051" s="188"/>
      <c r="C1051" s="188"/>
      <c r="D1051" s="188"/>
      <c r="E1051" s="189">
        <f t="shared" si="185"/>
        <v>0</v>
      </c>
      <c r="F1051" s="190" t="e">
        <f t="shared" si="184"/>
        <v>#DIV/0!</v>
      </c>
      <c r="H1051" s="88"/>
      <c r="I1051" s="88"/>
      <c r="J1051" s="88"/>
      <c r="K1051" s="89"/>
      <c r="L1051" s="89"/>
      <c r="M1051" s="88"/>
      <c r="O1051" s="88"/>
      <c r="P1051" s="88"/>
    </row>
    <row r="1052" spans="1:16" ht="12.75" hidden="1" customHeight="1">
      <c r="A1052" s="187" t="s">
        <v>822</v>
      </c>
      <c r="B1052" s="188"/>
      <c r="C1052" s="188"/>
      <c r="D1052" s="188"/>
      <c r="E1052" s="189">
        <f t="shared" si="185"/>
        <v>0</v>
      </c>
      <c r="F1052" s="190" t="e">
        <f t="shared" si="184"/>
        <v>#DIV/0!</v>
      </c>
      <c r="H1052" s="88"/>
      <c r="I1052" s="88"/>
      <c r="J1052" s="88"/>
      <c r="K1052" s="89"/>
      <c r="L1052" s="89"/>
      <c r="M1052" s="88"/>
      <c r="O1052" s="88"/>
      <c r="P1052" s="88"/>
    </row>
    <row r="1053" spans="1:16" ht="12.75" hidden="1" customHeight="1">
      <c r="A1053" s="187" t="s">
        <v>823</v>
      </c>
      <c r="B1053" s="188"/>
      <c r="C1053" s="188"/>
      <c r="D1053" s="188"/>
      <c r="E1053" s="189">
        <f t="shared" si="185"/>
        <v>0</v>
      </c>
      <c r="F1053" s="190" t="e">
        <f t="shared" si="184"/>
        <v>#DIV/0!</v>
      </c>
      <c r="H1053" s="88"/>
      <c r="I1053" s="88"/>
      <c r="J1053" s="88"/>
      <c r="K1053" s="89"/>
      <c r="L1053" s="89"/>
      <c r="M1053" s="88"/>
      <c r="O1053" s="88"/>
      <c r="P1053" s="88"/>
    </row>
    <row r="1054" spans="1:16" ht="12.75" hidden="1" customHeight="1">
      <c r="A1054" s="187" t="s">
        <v>824</v>
      </c>
      <c r="B1054" s="188"/>
      <c r="C1054" s="188"/>
      <c r="D1054" s="188"/>
      <c r="E1054" s="189">
        <f t="shared" si="185"/>
        <v>0</v>
      </c>
      <c r="F1054" s="190" t="e">
        <f t="shared" si="184"/>
        <v>#DIV/0!</v>
      </c>
      <c r="H1054" s="88"/>
      <c r="I1054" s="88"/>
      <c r="J1054" s="88"/>
      <c r="K1054" s="89"/>
      <c r="L1054" s="89"/>
      <c r="M1054" s="88"/>
      <c r="O1054" s="88"/>
      <c r="P1054" s="88"/>
    </row>
    <row r="1055" spans="1:16" ht="12.75" hidden="1" customHeight="1">
      <c r="A1055" s="187" t="s">
        <v>22</v>
      </c>
      <c r="B1055" s="188"/>
      <c r="C1055" s="188"/>
      <c r="D1055" s="188"/>
      <c r="E1055" s="189">
        <f t="shared" si="185"/>
        <v>0</v>
      </c>
      <c r="F1055" s="190" t="e">
        <f t="shared" si="184"/>
        <v>#DIV/0!</v>
      </c>
      <c r="H1055" s="88"/>
      <c r="I1055" s="88"/>
      <c r="J1055" s="88"/>
      <c r="K1055" s="89"/>
      <c r="L1055" s="89"/>
      <c r="M1055" s="88"/>
      <c r="O1055" s="88"/>
      <c r="P1055" s="88"/>
    </row>
    <row r="1056" spans="1:16" ht="12.75" hidden="1" customHeight="1">
      <c r="A1056" s="187" t="s">
        <v>825</v>
      </c>
      <c r="B1056" s="188"/>
      <c r="C1056" s="188"/>
      <c r="D1056" s="188"/>
      <c r="E1056" s="189">
        <f t="shared" si="185"/>
        <v>0</v>
      </c>
      <c r="F1056" s="190" t="e">
        <f t="shared" si="184"/>
        <v>#DIV/0!</v>
      </c>
      <c r="H1056" s="88"/>
      <c r="I1056" s="88"/>
      <c r="J1056" s="88"/>
      <c r="K1056" s="89"/>
      <c r="L1056" s="89"/>
      <c r="M1056" s="88"/>
      <c r="O1056" s="88"/>
      <c r="P1056" s="88"/>
    </row>
    <row r="1057" spans="1:16">
      <c r="A1057" s="187" t="s">
        <v>826</v>
      </c>
      <c r="B1057" s="188">
        <v>4633.13</v>
      </c>
      <c r="C1057" s="188">
        <v>4633.13</v>
      </c>
      <c r="D1057" s="188">
        <v>3417.1</v>
      </c>
      <c r="E1057" s="189">
        <f t="shared" si="185"/>
        <v>-1216.0300000000002</v>
      </c>
      <c r="F1057" s="190">
        <f t="shared" si="184"/>
        <v>-26.246403619151636</v>
      </c>
      <c r="H1057" s="88">
        <f t="shared" ref="H1057:M1057" si="186">SUM(H1058:H1076)</f>
        <v>133</v>
      </c>
      <c r="I1057" s="88">
        <f t="shared" si="186"/>
        <v>757</v>
      </c>
      <c r="J1057" s="88">
        <f t="shared" si="186"/>
        <v>60</v>
      </c>
      <c r="K1057" s="89">
        <f t="shared" si="186"/>
        <v>0</v>
      </c>
      <c r="L1057" s="89">
        <f t="shared" si="186"/>
        <v>0</v>
      </c>
      <c r="M1057" s="88">
        <f t="shared" si="186"/>
        <v>0</v>
      </c>
      <c r="O1057" s="88">
        <f>SUM(O1058:O1076)</f>
        <v>0</v>
      </c>
      <c r="P1057" s="88">
        <f>SUM(P1058:P1076)</f>
        <v>0</v>
      </c>
    </row>
    <row r="1058" spans="1:16" ht="12.75" hidden="1" customHeight="1">
      <c r="A1058" s="187" t="s">
        <v>13</v>
      </c>
      <c r="B1058" s="188"/>
      <c r="C1058" s="188"/>
      <c r="D1058" s="188"/>
      <c r="E1058" s="189">
        <f t="shared" si="185"/>
        <v>0</v>
      </c>
      <c r="F1058" s="190" t="e">
        <f t="shared" si="184"/>
        <v>#DIV/0!</v>
      </c>
      <c r="H1058" s="88"/>
      <c r="I1058" s="88">
        <v>63</v>
      </c>
      <c r="J1058" s="88">
        <v>60</v>
      </c>
      <c r="K1058" s="89"/>
      <c r="L1058" s="89"/>
      <c r="M1058" s="88"/>
      <c r="O1058" s="88"/>
      <c r="P1058" s="88"/>
    </row>
    <row r="1059" spans="1:16" ht="12.75" hidden="1" customHeight="1">
      <c r="A1059" s="187" t="s">
        <v>14</v>
      </c>
      <c r="B1059" s="188"/>
      <c r="C1059" s="188"/>
      <c r="D1059" s="188"/>
      <c r="E1059" s="189">
        <f t="shared" si="185"/>
        <v>0</v>
      </c>
      <c r="F1059" s="190" t="e">
        <f t="shared" si="184"/>
        <v>#DIV/0!</v>
      </c>
      <c r="H1059" s="88"/>
      <c r="I1059" s="88"/>
      <c r="J1059" s="88"/>
      <c r="K1059" s="89"/>
      <c r="L1059" s="89"/>
      <c r="M1059" s="88"/>
      <c r="O1059" s="88"/>
      <c r="P1059" s="88"/>
    </row>
    <row r="1060" spans="1:16" ht="12.75" hidden="1" customHeight="1">
      <c r="A1060" s="187" t="s">
        <v>15</v>
      </c>
      <c r="B1060" s="188"/>
      <c r="C1060" s="188"/>
      <c r="D1060" s="188"/>
      <c r="E1060" s="189">
        <f t="shared" si="185"/>
        <v>0</v>
      </c>
      <c r="F1060" s="190" t="e">
        <f t="shared" si="184"/>
        <v>#DIV/0!</v>
      </c>
      <c r="H1060" s="88"/>
      <c r="I1060" s="88">
        <v>96</v>
      </c>
      <c r="J1060" s="88"/>
      <c r="K1060" s="89"/>
      <c r="L1060" s="89"/>
      <c r="M1060" s="88"/>
      <c r="O1060" s="88"/>
      <c r="P1060" s="88"/>
    </row>
    <row r="1061" spans="1:16" ht="12.75" hidden="1" customHeight="1">
      <c r="A1061" s="187" t="s">
        <v>827</v>
      </c>
      <c r="B1061" s="188"/>
      <c r="C1061" s="188"/>
      <c r="D1061" s="188"/>
      <c r="E1061" s="189">
        <f t="shared" si="185"/>
        <v>0</v>
      </c>
      <c r="F1061" s="190" t="e">
        <f t="shared" si="184"/>
        <v>#DIV/0!</v>
      </c>
      <c r="H1061" s="88"/>
      <c r="I1061" s="88"/>
      <c r="J1061" s="88"/>
      <c r="K1061" s="89"/>
      <c r="L1061" s="89"/>
      <c r="M1061" s="88"/>
      <c r="O1061" s="88"/>
      <c r="P1061" s="88"/>
    </row>
    <row r="1062" spans="1:16" ht="12.75" hidden="1" customHeight="1">
      <c r="A1062" s="187" t="s">
        <v>828</v>
      </c>
      <c r="B1062" s="188"/>
      <c r="C1062" s="188"/>
      <c r="D1062" s="188"/>
      <c r="E1062" s="189">
        <f t="shared" si="185"/>
        <v>0</v>
      </c>
      <c r="F1062" s="190" t="e">
        <f t="shared" si="184"/>
        <v>#DIV/0!</v>
      </c>
      <c r="H1062" s="88"/>
      <c r="I1062" s="88">
        <v>4</v>
      </c>
      <c r="J1062" s="88"/>
      <c r="K1062" s="89"/>
      <c r="L1062" s="89"/>
      <c r="M1062" s="88"/>
      <c r="O1062" s="88"/>
      <c r="P1062" s="88"/>
    </row>
    <row r="1063" spans="1:16" ht="12.75" hidden="1" customHeight="1">
      <c r="A1063" s="187" t="s">
        <v>829</v>
      </c>
      <c r="B1063" s="188"/>
      <c r="C1063" s="188"/>
      <c r="D1063" s="188"/>
      <c r="E1063" s="189">
        <f t="shared" si="185"/>
        <v>0</v>
      </c>
      <c r="F1063" s="190" t="e">
        <f t="shared" si="184"/>
        <v>#DIV/0!</v>
      </c>
      <c r="H1063" s="88"/>
      <c r="I1063" s="88"/>
      <c r="J1063" s="88"/>
      <c r="K1063" s="89"/>
      <c r="L1063" s="89"/>
      <c r="M1063" s="88"/>
      <c r="O1063" s="88"/>
      <c r="P1063" s="88"/>
    </row>
    <row r="1064" spans="1:16" ht="12.75" hidden="1" customHeight="1">
      <c r="A1064" s="187" t="s">
        <v>830</v>
      </c>
      <c r="B1064" s="188"/>
      <c r="C1064" s="188"/>
      <c r="D1064" s="188"/>
      <c r="E1064" s="189">
        <f t="shared" si="185"/>
        <v>0</v>
      </c>
      <c r="F1064" s="190" t="e">
        <f t="shared" si="184"/>
        <v>#DIV/0!</v>
      </c>
      <c r="H1064" s="88"/>
      <c r="I1064" s="88"/>
      <c r="J1064" s="88"/>
      <c r="K1064" s="89"/>
      <c r="L1064" s="89"/>
      <c r="M1064" s="88"/>
      <c r="O1064" s="88"/>
      <c r="P1064" s="88"/>
    </row>
    <row r="1065" spans="1:16" ht="12.75" hidden="1" customHeight="1">
      <c r="A1065" s="187" t="s">
        <v>831</v>
      </c>
      <c r="B1065" s="188"/>
      <c r="C1065" s="188"/>
      <c r="D1065" s="188"/>
      <c r="E1065" s="189">
        <f t="shared" si="185"/>
        <v>0</v>
      </c>
      <c r="F1065" s="190" t="e">
        <f t="shared" si="184"/>
        <v>#DIV/0!</v>
      </c>
      <c r="H1065" s="88">
        <v>95</v>
      </c>
      <c r="I1065" s="88">
        <v>530</v>
      </c>
      <c r="J1065" s="88"/>
      <c r="K1065" s="89"/>
      <c r="L1065" s="89"/>
      <c r="M1065" s="88"/>
      <c r="O1065" s="88"/>
      <c r="P1065" s="88"/>
    </row>
    <row r="1066" spans="1:16" ht="12.75" hidden="1" customHeight="1">
      <c r="A1066" s="187" t="s">
        <v>832</v>
      </c>
      <c r="B1066" s="188"/>
      <c r="C1066" s="188"/>
      <c r="D1066" s="188"/>
      <c r="E1066" s="189">
        <f t="shared" si="185"/>
        <v>0</v>
      </c>
      <c r="F1066" s="190" t="e">
        <f t="shared" si="184"/>
        <v>#DIV/0!</v>
      </c>
      <c r="H1066" s="88"/>
      <c r="I1066" s="88">
        <v>48</v>
      </c>
      <c r="J1066" s="88"/>
      <c r="K1066" s="89"/>
      <c r="L1066" s="89"/>
      <c r="M1066" s="88"/>
      <c r="O1066" s="88"/>
      <c r="P1066" s="88"/>
    </row>
    <row r="1067" spans="1:16" ht="12.75" hidden="1" customHeight="1">
      <c r="A1067" s="187" t="s">
        <v>833</v>
      </c>
      <c r="B1067" s="188"/>
      <c r="C1067" s="188"/>
      <c r="D1067" s="188"/>
      <c r="E1067" s="189">
        <f t="shared" si="185"/>
        <v>0</v>
      </c>
      <c r="F1067" s="190" t="e">
        <f t="shared" si="184"/>
        <v>#DIV/0!</v>
      </c>
      <c r="H1067" s="88"/>
      <c r="I1067" s="88"/>
      <c r="J1067" s="88"/>
      <c r="K1067" s="89"/>
      <c r="L1067" s="89"/>
      <c r="M1067" s="88"/>
      <c r="O1067" s="88"/>
      <c r="P1067" s="88"/>
    </row>
    <row r="1068" spans="1:16" ht="12.75" hidden="1" customHeight="1">
      <c r="A1068" s="187" t="s">
        <v>834</v>
      </c>
      <c r="B1068" s="188"/>
      <c r="C1068" s="188"/>
      <c r="D1068" s="188"/>
      <c r="E1068" s="189">
        <f t="shared" si="185"/>
        <v>0</v>
      </c>
      <c r="F1068" s="190" t="e">
        <f t="shared" si="184"/>
        <v>#DIV/0!</v>
      </c>
      <c r="H1068" s="88"/>
      <c r="I1068" s="88"/>
      <c r="J1068" s="88"/>
      <c r="K1068" s="89"/>
      <c r="L1068" s="89"/>
      <c r="M1068" s="88"/>
      <c r="O1068" s="88"/>
      <c r="P1068" s="88"/>
    </row>
    <row r="1069" spans="1:16" ht="12.75" hidden="1" customHeight="1">
      <c r="A1069" s="187" t="s">
        <v>835</v>
      </c>
      <c r="B1069" s="188"/>
      <c r="C1069" s="188"/>
      <c r="D1069" s="188"/>
      <c r="E1069" s="189">
        <f t="shared" si="185"/>
        <v>0</v>
      </c>
      <c r="F1069" s="190" t="e">
        <f t="shared" si="184"/>
        <v>#DIV/0!</v>
      </c>
      <c r="H1069" s="88"/>
      <c r="I1069" s="88"/>
      <c r="J1069" s="88"/>
      <c r="K1069" s="89"/>
      <c r="L1069" s="89"/>
      <c r="M1069" s="88"/>
      <c r="O1069" s="88"/>
      <c r="P1069" s="88"/>
    </row>
    <row r="1070" spans="1:16" ht="12.75" hidden="1" customHeight="1">
      <c r="A1070" s="187" t="s">
        <v>836</v>
      </c>
      <c r="B1070" s="188"/>
      <c r="C1070" s="188"/>
      <c r="D1070" s="188"/>
      <c r="E1070" s="189">
        <f t="shared" si="185"/>
        <v>0</v>
      </c>
      <c r="F1070" s="190" t="e">
        <f t="shared" si="184"/>
        <v>#DIV/0!</v>
      </c>
      <c r="H1070" s="88"/>
      <c r="I1070" s="88"/>
      <c r="J1070" s="88"/>
      <c r="K1070" s="89"/>
      <c r="L1070" s="89"/>
      <c r="M1070" s="88"/>
      <c r="O1070" s="88"/>
      <c r="P1070" s="88"/>
    </row>
    <row r="1071" spans="1:16" ht="12.75" hidden="1" customHeight="1">
      <c r="A1071" s="187" t="s">
        <v>837</v>
      </c>
      <c r="B1071" s="188"/>
      <c r="C1071" s="188"/>
      <c r="D1071" s="188"/>
      <c r="E1071" s="189">
        <f t="shared" si="185"/>
        <v>0</v>
      </c>
      <c r="F1071" s="190" t="e">
        <f t="shared" si="184"/>
        <v>#DIV/0!</v>
      </c>
      <c r="H1071" s="88"/>
      <c r="I1071" s="88"/>
      <c r="J1071" s="88"/>
      <c r="K1071" s="89"/>
      <c r="L1071" s="89"/>
      <c r="M1071" s="88"/>
      <c r="O1071" s="88"/>
      <c r="P1071" s="88"/>
    </row>
    <row r="1072" spans="1:16" ht="12.75" hidden="1" customHeight="1">
      <c r="A1072" s="187" t="s">
        <v>838</v>
      </c>
      <c r="B1072" s="188"/>
      <c r="C1072" s="188"/>
      <c r="D1072" s="188"/>
      <c r="E1072" s="189">
        <f t="shared" si="185"/>
        <v>0</v>
      </c>
      <c r="F1072" s="190" t="e">
        <f t="shared" si="184"/>
        <v>#DIV/0!</v>
      </c>
      <c r="H1072" s="88">
        <v>38</v>
      </c>
      <c r="I1072" s="88"/>
      <c r="J1072" s="88"/>
      <c r="K1072" s="89"/>
      <c r="L1072" s="89"/>
      <c r="M1072" s="88"/>
      <c r="O1072" s="88"/>
      <c r="P1072" s="88"/>
    </row>
    <row r="1073" spans="1:16" ht="12.75" hidden="1" customHeight="1">
      <c r="A1073" s="187" t="s">
        <v>839</v>
      </c>
      <c r="B1073" s="188"/>
      <c r="C1073" s="188"/>
      <c r="D1073" s="188"/>
      <c r="E1073" s="189">
        <f t="shared" si="185"/>
        <v>0</v>
      </c>
      <c r="F1073" s="190" t="e">
        <f t="shared" si="184"/>
        <v>#DIV/0!</v>
      </c>
      <c r="H1073" s="88"/>
      <c r="I1073" s="88"/>
      <c r="J1073" s="88"/>
      <c r="K1073" s="89"/>
      <c r="L1073" s="89"/>
      <c r="M1073" s="88"/>
      <c r="O1073" s="88"/>
      <c r="P1073" s="88"/>
    </row>
    <row r="1074" spans="1:16" ht="12.75" hidden="1" customHeight="1">
      <c r="A1074" s="187" t="s">
        <v>840</v>
      </c>
      <c r="B1074" s="188"/>
      <c r="C1074" s="188"/>
      <c r="D1074" s="188"/>
      <c r="E1074" s="189">
        <f t="shared" si="185"/>
        <v>0</v>
      </c>
      <c r="F1074" s="190" t="e">
        <f t="shared" si="184"/>
        <v>#DIV/0!</v>
      </c>
      <c r="H1074" s="88"/>
      <c r="I1074" s="88"/>
      <c r="J1074" s="88"/>
      <c r="K1074" s="89"/>
      <c r="L1074" s="89"/>
      <c r="M1074" s="88"/>
      <c r="O1074" s="88"/>
      <c r="P1074" s="88"/>
    </row>
    <row r="1075" spans="1:16" ht="12.75" hidden="1" customHeight="1">
      <c r="A1075" s="187" t="s">
        <v>22</v>
      </c>
      <c r="B1075" s="188"/>
      <c r="C1075" s="188"/>
      <c r="D1075" s="188"/>
      <c r="E1075" s="189">
        <f t="shared" si="185"/>
        <v>0</v>
      </c>
      <c r="F1075" s="190" t="e">
        <f t="shared" si="184"/>
        <v>#DIV/0!</v>
      </c>
      <c r="H1075" s="88"/>
      <c r="I1075" s="88"/>
      <c r="J1075" s="88"/>
      <c r="K1075" s="89"/>
      <c r="L1075" s="89"/>
      <c r="M1075" s="88"/>
      <c r="O1075" s="88"/>
      <c r="P1075" s="88"/>
    </row>
    <row r="1076" spans="1:16" ht="12.75" hidden="1" customHeight="1">
      <c r="A1076" s="187" t="s">
        <v>841</v>
      </c>
      <c r="B1076" s="188"/>
      <c r="C1076" s="188"/>
      <c r="D1076" s="188"/>
      <c r="E1076" s="189">
        <f t="shared" si="185"/>
        <v>0</v>
      </c>
      <c r="F1076" s="190" t="e">
        <f t="shared" si="184"/>
        <v>#DIV/0!</v>
      </c>
      <c r="H1076" s="88"/>
      <c r="I1076" s="88">
        <v>16</v>
      </c>
      <c r="J1076" s="88"/>
      <c r="K1076" s="89"/>
      <c r="L1076" s="89"/>
      <c r="M1076" s="88"/>
      <c r="O1076" s="88"/>
      <c r="P1076" s="88"/>
    </row>
    <row r="1077" spans="1:16" ht="12.75" customHeight="1">
      <c r="A1077" s="187" t="s">
        <v>1030</v>
      </c>
      <c r="B1077" s="188"/>
      <c r="C1077" s="188"/>
      <c r="D1077" s="188">
        <v>50</v>
      </c>
      <c r="E1077" s="189"/>
      <c r="F1077" s="190"/>
      <c r="H1077" s="88"/>
      <c r="I1077" s="88"/>
      <c r="J1077" s="88"/>
      <c r="K1077" s="89"/>
      <c r="L1077" s="89"/>
      <c r="M1077" s="88"/>
      <c r="O1077" s="88"/>
      <c r="P1077" s="88"/>
    </row>
    <row r="1078" spans="1:16">
      <c r="A1078" s="187" t="s">
        <v>842</v>
      </c>
      <c r="B1078" s="188">
        <v>90.38</v>
      </c>
      <c r="C1078" s="188">
        <v>90.38</v>
      </c>
      <c r="D1078" s="188">
        <v>103.39</v>
      </c>
      <c r="E1078" s="189">
        <f t="shared" si="185"/>
        <v>13.010000000000005</v>
      </c>
      <c r="F1078" s="190">
        <f t="shared" si="184"/>
        <v>14.394777605664977</v>
      </c>
      <c r="H1078" s="88">
        <f t="shared" ref="H1078:M1078" si="187">SUM(H1079:H1090)</f>
        <v>0</v>
      </c>
      <c r="I1078" s="88">
        <f t="shared" si="187"/>
        <v>39</v>
      </c>
      <c r="J1078" s="88">
        <f t="shared" si="187"/>
        <v>0</v>
      </c>
      <c r="K1078" s="89">
        <f t="shared" si="187"/>
        <v>100</v>
      </c>
      <c r="L1078" s="89">
        <f t="shared" si="187"/>
        <v>0</v>
      </c>
      <c r="M1078" s="88">
        <f t="shared" si="187"/>
        <v>0</v>
      </c>
      <c r="O1078" s="88">
        <f>SUM(O1079:O1090)</f>
        <v>0</v>
      </c>
      <c r="P1078" s="88">
        <f>SUM(P1079:P1090)</f>
        <v>0</v>
      </c>
    </row>
    <row r="1079" spans="1:16" ht="12.75" hidden="1" customHeight="1">
      <c r="A1079" s="187" t="s">
        <v>13</v>
      </c>
      <c r="B1079" s="188"/>
      <c r="C1079" s="188"/>
      <c r="D1079" s="188"/>
      <c r="E1079" s="189">
        <f t="shared" si="185"/>
        <v>0</v>
      </c>
      <c r="F1079" s="190" t="e">
        <f t="shared" si="184"/>
        <v>#DIV/0!</v>
      </c>
      <c r="H1079" s="88"/>
      <c r="I1079" s="88">
        <v>39</v>
      </c>
      <c r="J1079" s="88"/>
      <c r="K1079" s="89"/>
      <c r="L1079" s="89"/>
      <c r="M1079" s="88"/>
      <c r="O1079" s="88"/>
      <c r="P1079" s="88"/>
    </row>
    <row r="1080" spans="1:16" ht="12.75" hidden="1" customHeight="1">
      <c r="A1080" s="187" t="s">
        <v>14</v>
      </c>
      <c r="B1080" s="188"/>
      <c r="C1080" s="188"/>
      <c r="D1080" s="188"/>
      <c r="E1080" s="189">
        <f t="shared" si="185"/>
        <v>0</v>
      </c>
      <c r="F1080" s="190" t="e">
        <f t="shared" si="184"/>
        <v>#DIV/0!</v>
      </c>
      <c r="H1080" s="88"/>
      <c r="I1080" s="88"/>
      <c r="J1080" s="88"/>
      <c r="K1080" s="89"/>
      <c r="L1080" s="89"/>
      <c r="M1080" s="88"/>
      <c r="O1080" s="88"/>
      <c r="P1080" s="88"/>
    </row>
    <row r="1081" spans="1:16" ht="12.75" hidden="1" customHeight="1">
      <c r="A1081" s="187" t="s">
        <v>15</v>
      </c>
      <c r="B1081" s="188"/>
      <c r="C1081" s="188"/>
      <c r="D1081" s="188"/>
      <c r="E1081" s="189">
        <f t="shared" si="185"/>
        <v>0</v>
      </c>
      <c r="F1081" s="190" t="e">
        <f t="shared" si="184"/>
        <v>#DIV/0!</v>
      </c>
      <c r="H1081" s="88"/>
      <c r="I1081" s="88"/>
      <c r="J1081" s="88"/>
      <c r="K1081" s="89"/>
      <c r="L1081" s="89"/>
      <c r="M1081" s="88"/>
      <c r="O1081" s="88"/>
      <c r="P1081" s="88"/>
    </row>
    <row r="1082" spans="1:16" ht="12.75" hidden="1" customHeight="1">
      <c r="A1082" s="187" t="s">
        <v>843</v>
      </c>
      <c r="B1082" s="188"/>
      <c r="C1082" s="188"/>
      <c r="D1082" s="188"/>
      <c r="E1082" s="189">
        <f t="shared" si="185"/>
        <v>0</v>
      </c>
      <c r="F1082" s="190" t="e">
        <f t="shared" si="184"/>
        <v>#DIV/0!</v>
      </c>
      <c r="H1082" s="88"/>
      <c r="I1082" s="88"/>
      <c r="J1082" s="88"/>
      <c r="K1082" s="89"/>
      <c r="L1082" s="89"/>
      <c r="M1082" s="88"/>
      <c r="O1082" s="88"/>
      <c r="P1082" s="88"/>
    </row>
    <row r="1083" spans="1:16" ht="12.75" hidden="1" customHeight="1">
      <c r="A1083" s="187" t="s">
        <v>844</v>
      </c>
      <c r="B1083" s="188"/>
      <c r="C1083" s="188"/>
      <c r="D1083" s="188"/>
      <c r="E1083" s="189">
        <f t="shared" si="185"/>
        <v>0</v>
      </c>
      <c r="F1083" s="190" t="e">
        <f t="shared" si="184"/>
        <v>#DIV/0!</v>
      </c>
      <c r="H1083" s="88"/>
      <c r="I1083" s="88"/>
      <c r="J1083" s="88"/>
      <c r="K1083" s="89"/>
      <c r="L1083" s="89"/>
      <c r="M1083" s="88"/>
      <c r="O1083" s="88"/>
      <c r="P1083" s="88"/>
    </row>
    <row r="1084" spans="1:16" ht="12.75" hidden="1" customHeight="1">
      <c r="A1084" s="187" t="s">
        <v>845</v>
      </c>
      <c r="B1084" s="188"/>
      <c r="C1084" s="188"/>
      <c r="D1084" s="188"/>
      <c r="E1084" s="189">
        <f t="shared" si="185"/>
        <v>0</v>
      </c>
      <c r="F1084" s="190" t="e">
        <f t="shared" si="184"/>
        <v>#DIV/0!</v>
      </c>
      <c r="H1084" s="88"/>
      <c r="I1084" s="88"/>
      <c r="J1084" s="88"/>
      <c r="K1084" s="89"/>
      <c r="L1084" s="89"/>
      <c r="M1084" s="88"/>
      <c r="O1084" s="88"/>
      <c r="P1084" s="88"/>
    </row>
    <row r="1085" spans="1:16" ht="12.75" hidden="1" customHeight="1">
      <c r="A1085" s="187" t="s">
        <v>846</v>
      </c>
      <c r="B1085" s="188"/>
      <c r="C1085" s="188"/>
      <c r="D1085" s="188"/>
      <c r="E1085" s="189">
        <f t="shared" si="185"/>
        <v>0</v>
      </c>
      <c r="F1085" s="190" t="e">
        <f t="shared" si="184"/>
        <v>#DIV/0!</v>
      </c>
      <c r="H1085" s="88"/>
      <c r="I1085" s="88"/>
      <c r="J1085" s="88"/>
      <c r="K1085" s="89">
        <v>100</v>
      </c>
      <c r="L1085" s="89"/>
      <c r="M1085" s="88"/>
      <c r="O1085" s="88"/>
      <c r="P1085" s="88"/>
    </row>
    <row r="1086" spans="1:16" ht="12.75" hidden="1" customHeight="1">
      <c r="A1086" s="187" t="s">
        <v>847</v>
      </c>
      <c r="B1086" s="188"/>
      <c r="C1086" s="188"/>
      <c r="D1086" s="188"/>
      <c r="E1086" s="189">
        <f t="shared" si="185"/>
        <v>0</v>
      </c>
      <c r="F1086" s="190" t="e">
        <f t="shared" si="184"/>
        <v>#DIV/0!</v>
      </c>
      <c r="H1086" s="88"/>
      <c r="I1086" s="88"/>
      <c r="J1086" s="88"/>
      <c r="K1086" s="89"/>
      <c r="L1086" s="89"/>
      <c r="M1086" s="88"/>
      <c r="O1086" s="88"/>
      <c r="P1086" s="88"/>
    </row>
    <row r="1087" spans="1:16" ht="12.75" hidden="1" customHeight="1">
      <c r="A1087" s="187" t="s">
        <v>848</v>
      </c>
      <c r="B1087" s="188"/>
      <c r="C1087" s="188"/>
      <c r="D1087" s="188"/>
      <c r="E1087" s="189">
        <f t="shared" si="185"/>
        <v>0</v>
      </c>
      <c r="F1087" s="190" t="e">
        <f t="shared" si="184"/>
        <v>#DIV/0!</v>
      </c>
      <c r="H1087" s="88"/>
      <c r="I1087" s="88"/>
      <c r="J1087" s="88"/>
      <c r="K1087" s="89"/>
      <c r="L1087" s="89"/>
      <c r="M1087" s="88"/>
      <c r="O1087" s="88"/>
      <c r="P1087" s="88"/>
    </row>
    <row r="1088" spans="1:16" ht="12.75" hidden="1" customHeight="1">
      <c r="A1088" s="187" t="s">
        <v>849</v>
      </c>
      <c r="B1088" s="188"/>
      <c r="C1088" s="188"/>
      <c r="D1088" s="188"/>
      <c r="E1088" s="189">
        <f t="shared" si="185"/>
        <v>0</v>
      </c>
      <c r="F1088" s="190" t="e">
        <f t="shared" si="184"/>
        <v>#DIV/0!</v>
      </c>
      <c r="H1088" s="88"/>
      <c r="I1088" s="88"/>
      <c r="J1088" s="88"/>
      <c r="K1088" s="89"/>
      <c r="L1088" s="89"/>
      <c r="M1088" s="88"/>
      <c r="O1088" s="88"/>
      <c r="P1088" s="88"/>
    </row>
    <row r="1089" spans="1:16" ht="12.75" hidden="1" customHeight="1">
      <c r="A1089" s="187" t="s">
        <v>850</v>
      </c>
      <c r="B1089" s="188"/>
      <c r="C1089" s="188"/>
      <c r="D1089" s="188"/>
      <c r="E1089" s="189">
        <f t="shared" si="185"/>
        <v>0</v>
      </c>
      <c r="F1089" s="190" t="e">
        <f t="shared" si="184"/>
        <v>#DIV/0!</v>
      </c>
      <c r="H1089" s="88"/>
      <c r="I1089" s="88"/>
      <c r="J1089" s="88"/>
      <c r="K1089" s="89"/>
      <c r="L1089" s="89"/>
      <c r="M1089" s="88"/>
      <c r="O1089" s="88"/>
      <c r="P1089" s="88"/>
    </row>
    <row r="1090" spans="1:16" ht="12.75" hidden="1" customHeight="1">
      <c r="A1090" s="187" t="s">
        <v>851</v>
      </c>
      <c r="B1090" s="188"/>
      <c r="C1090" s="188"/>
      <c r="D1090" s="188"/>
      <c r="E1090" s="189">
        <f t="shared" si="185"/>
        <v>0</v>
      </c>
      <c r="F1090" s="190" t="e">
        <f t="shared" si="184"/>
        <v>#DIV/0!</v>
      </c>
      <c r="H1090" s="88"/>
      <c r="I1090" s="88"/>
      <c r="J1090" s="88"/>
      <c r="K1090" s="89"/>
      <c r="L1090" s="89"/>
      <c r="M1090" s="88"/>
      <c r="O1090" s="88"/>
      <c r="P1090" s="88"/>
    </row>
    <row r="1091" spans="1:16" ht="11.25" customHeight="1">
      <c r="A1091" s="187" t="s">
        <v>852</v>
      </c>
      <c r="B1091" s="188">
        <v>577.66999999999996</v>
      </c>
      <c r="C1091" s="188">
        <v>577.66999999999996</v>
      </c>
      <c r="D1091" s="188">
        <v>758.63</v>
      </c>
      <c r="E1091" s="189">
        <f t="shared" si="185"/>
        <v>180.96000000000004</v>
      </c>
      <c r="F1091" s="190">
        <f t="shared" si="184"/>
        <v>31.325843474648163</v>
      </c>
      <c r="H1091" s="88">
        <f t="shared" ref="H1091:M1091" si="188">SUM(H1092:H1106)</f>
        <v>0</v>
      </c>
      <c r="I1091" s="88">
        <f t="shared" si="188"/>
        <v>142</v>
      </c>
      <c r="J1091" s="88">
        <f t="shared" si="188"/>
        <v>0</v>
      </c>
      <c r="K1091" s="89">
        <f t="shared" si="188"/>
        <v>0</v>
      </c>
      <c r="L1091" s="89">
        <f t="shared" si="188"/>
        <v>0</v>
      </c>
      <c r="M1091" s="88">
        <f t="shared" si="188"/>
        <v>0</v>
      </c>
      <c r="O1091" s="88">
        <f>SUM(O1092:O1106)</f>
        <v>0</v>
      </c>
      <c r="P1091" s="88">
        <f>SUM(P1092:P1106)</f>
        <v>0</v>
      </c>
    </row>
    <row r="1092" spans="1:16" ht="12.75" hidden="1" customHeight="1">
      <c r="A1092" s="187" t="s">
        <v>13</v>
      </c>
      <c r="B1092" s="188"/>
      <c r="C1092" s="188"/>
      <c r="D1092" s="188"/>
      <c r="E1092" s="189">
        <f t="shared" si="185"/>
        <v>0</v>
      </c>
      <c r="F1092" s="190" t="e">
        <f t="shared" si="184"/>
        <v>#DIV/0!</v>
      </c>
      <c r="H1092" s="88"/>
      <c r="I1092" s="88">
        <v>103</v>
      </c>
      <c r="J1092" s="88"/>
      <c r="K1092" s="89"/>
      <c r="L1092" s="89"/>
      <c r="M1092" s="88"/>
      <c r="O1092" s="88"/>
      <c r="P1092" s="88"/>
    </row>
    <row r="1093" spans="1:16" ht="12.75" hidden="1" customHeight="1">
      <c r="A1093" s="187" t="s">
        <v>14</v>
      </c>
      <c r="B1093" s="188"/>
      <c r="C1093" s="188"/>
      <c r="D1093" s="188"/>
      <c r="E1093" s="189">
        <f t="shared" si="185"/>
        <v>0</v>
      </c>
      <c r="F1093" s="190" t="e">
        <f t="shared" si="184"/>
        <v>#DIV/0!</v>
      </c>
      <c r="H1093" s="88"/>
      <c r="I1093" s="88"/>
      <c r="J1093" s="88"/>
      <c r="K1093" s="89"/>
      <c r="L1093" s="89"/>
      <c r="M1093" s="88"/>
      <c r="O1093" s="88"/>
      <c r="P1093" s="88"/>
    </row>
    <row r="1094" spans="1:16" ht="12.75" hidden="1" customHeight="1">
      <c r="A1094" s="187" t="s">
        <v>15</v>
      </c>
      <c r="B1094" s="188"/>
      <c r="C1094" s="188"/>
      <c r="D1094" s="188"/>
      <c r="E1094" s="189">
        <f t="shared" si="185"/>
        <v>0</v>
      </c>
      <c r="F1094" s="190" t="e">
        <f t="shared" si="184"/>
        <v>#DIV/0!</v>
      </c>
      <c r="H1094" s="88"/>
      <c r="I1094" s="88"/>
      <c r="J1094" s="88"/>
      <c r="K1094" s="89"/>
      <c r="L1094" s="89"/>
      <c r="M1094" s="88"/>
      <c r="O1094" s="88"/>
      <c r="P1094" s="88"/>
    </row>
    <row r="1095" spans="1:16" ht="12.75" hidden="1" customHeight="1">
      <c r="A1095" s="187" t="s">
        <v>853</v>
      </c>
      <c r="B1095" s="188"/>
      <c r="C1095" s="188"/>
      <c r="D1095" s="188"/>
      <c r="E1095" s="189">
        <f t="shared" si="185"/>
        <v>0</v>
      </c>
      <c r="F1095" s="190" t="e">
        <f t="shared" si="184"/>
        <v>#DIV/0!</v>
      </c>
      <c r="H1095" s="88"/>
      <c r="I1095" s="88"/>
      <c r="J1095" s="88"/>
      <c r="K1095" s="89"/>
      <c r="L1095" s="89"/>
      <c r="M1095" s="88"/>
      <c r="O1095" s="88"/>
      <c r="P1095" s="88"/>
    </row>
    <row r="1096" spans="1:16" ht="12.75" hidden="1" customHeight="1">
      <c r="A1096" s="187" t="s">
        <v>854</v>
      </c>
      <c r="B1096" s="188"/>
      <c r="C1096" s="188"/>
      <c r="D1096" s="188"/>
      <c r="E1096" s="189">
        <f t="shared" si="185"/>
        <v>0</v>
      </c>
      <c r="F1096" s="190" t="e">
        <f t="shared" si="184"/>
        <v>#DIV/0!</v>
      </c>
      <c r="H1096" s="88"/>
      <c r="I1096" s="88"/>
      <c r="J1096" s="88"/>
      <c r="K1096" s="89"/>
      <c r="L1096" s="89"/>
      <c r="M1096" s="88"/>
      <c r="O1096" s="88"/>
      <c r="P1096" s="88"/>
    </row>
    <row r="1097" spans="1:16" ht="12.75" hidden="1" customHeight="1">
      <c r="A1097" s="187" t="s">
        <v>855</v>
      </c>
      <c r="B1097" s="188"/>
      <c r="C1097" s="188"/>
      <c r="D1097" s="188"/>
      <c r="E1097" s="189">
        <f t="shared" si="185"/>
        <v>0</v>
      </c>
      <c r="F1097" s="190" t="e">
        <f t="shared" si="184"/>
        <v>#DIV/0!</v>
      </c>
      <c r="H1097" s="88"/>
      <c r="I1097" s="88"/>
      <c r="J1097" s="88"/>
      <c r="K1097" s="89"/>
      <c r="L1097" s="89"/>
      <c r="M1097" s="88"/>
      <c r="O1097" s="88"/>
      <c r="P1097" s="88"/>
    </row>
    <row r="1098" spans="1:16" ht="12.75" hidden="1" customHeight="1">
      <c r="A1098" s="187" t="s">
        <v>856</v>
      </c>
      <c r="B1098" s="188"/>
      <c r="C1098" s="188"/>
      <c r="D1098" s="188"/>
      <c r="E1098" s="189">
        <f t="shared" si="185"/>
        <v>0</v>
      </c>
      <c r="F1098" s="190" t="e">
        <f t="shared" si="184"/>
        <v>#DIV/0!</v>
      </c>
      <c r="H1098" s="88"/>
      <c r="I1098" s="88"/>
      <c r="J1098" s="88"/>
      <c r="K1098" s="89"/>
      <c r="L1098" s="89"/>
      <c r="M1098" s="88"/>
      <c r="O1098" s="88"/>
      <c r="P1098" s="88"/>
    </row>
    <row r="1099" spans="1:16" ht="12.75" hidden="1" customHeight="1">
      <c r="A1099" s="187" t="s">
        <v>857</v>
      </c>
      <c r="B1099" s="188"/>
      <c r="C1099" s="188"/>
      <c r="D1099" s="188"/>
      <c r="E1099" s="189">
        <f t="shared" si="185"/>
        <v>0</v>
      </c>
      <c r="F1099" s="190" t="e">
        <f t="shared" si="184"/>
        <v>#DIV/0!</v>
      </c>
      <c r="H1099" s="88"/>
      <c r="I1099" s="88">
        <v>39</v>
      </c>
      <c r="J1099" s="88"/>
      <c r="K1099" s="89"/>
      <c r="L1099" s="89"/>
      <c r="M1099" s="88"/>
      <c r="O1099" s="88"/>
      <c r="P1099" s="88"/>
    </row>
    <row r="1100" spans="1:16" ht="12.75" hidden="1" customHeight="1">
      <c r="A1100" s="187" t="s">
        <v>858</v>
      </c>
      <c r="B1100" s="188"/>
      <c r="C1100" s="188"/>
      <c r="D1100" s="188"/>
      <c r="E1100" s="189">
        <f t="shared" si="185"/>
        <v>0</v>
      </c>
      <c r="F1100" s="190" t="e">
        <f t="shared" si="184"/>
        <v>#DIV/0!</v>
      </c>
      <c r="H1100" s="88"/>
      <c r="I1100" s="88"/>
      <c r="J1100" s="88"/>
      <c r="K1100" s="89"/>
      <c r="L1100" s="89"/>
      <c r="M1100" s="88"/>
      <c r="O1100" s="88"/>
      <c r="P1100" s="88"/>
    </row>
    <row r="1101" spans="1:16" ht="12.75" hidden="1" customHeight="1">
      <c r="A1101" s="187" t="s">
        <v>859</v>
      </c>
      <c r="B1101" s="188"/>
      <c r="C1101" s="188"/>
      <c r="D1101" s="188"/>
      <c r="E1101" s="189">
        <f t="shared" si="185"/>
        <v>0</v>
      </c>
      <c r="F1101" s="190" t="e">
        <f t="shared" si="184"/>
        <v>#DIV/0!</v>
      </c>
      <c r="H1101" s="88"/>
      <c r="I1101" s="88"/>
      <c r="J1101" s="88"/>
      <c r="K1101" s="89"/>
      <c r="L1101" s="89"/>
      <c r="M1101" s="88"/>
      <c r="O1101" s="88"/>
      <c r="P1101" s="88"/>
    </row>
    <row r="1102" spans="1:16" ht="12.75" hidden="1" customHeight="1">
      <c r="A1102" s="187" t="s">
        <v>860</v>
      </c>
      <c r="B1102" s="188"/>
      <c r="C1102" s="188"/>
      <c r="D1102" s="188"/>
      <c r="E1102" s="189">
        <f t="shared" si="185"/>
        <v>0</v>
      </c>
      <c r="F1102" s="190" t="e">
        <f t="shared" si="184"/>
        <v>#DIV/0!</v>
      </c>
      <c r="H1102" s="88"/>
      <c r="I1102" s="88"/>
      <c r="J1102" s="88"/>
      <c r="K1102" s="89"/>
      <c r="L1102" s="89"/>
      <c r="M1102" s="88"/>
      <c r="O1102" s="88"/>
      <c r="P1102" s="88"/>
    </row>
    <row r="1103" spans="1:16" ht="12.75" hidden="1" customHeight="1">
      <c r="A1103" s="187" t="s">
        <v>861</v>
      </c>
      <c r="B1103" s="188"/>
      <c r="C1103" s="188"/>
      <c r="D1103" s="188"/>
      <c r="E1103" s="189">
        <f t="shared" si="185"/>
        <v>0</v>
      </c>
      <c r="F1103" s="190" t="e">
        <f t="shared" ref="F1103:F1164" si="189">E1103/C1103*100</f>
        <v>#DIV/0!</v>
      </c>
      <c r="H1103" s="88"/>
      <c r="I1103" s="88"/>
      <c r="J1103" s="88"/>
      <c r="K1103" s="89"/>
      <c r="L1103" s="89"/>
      <c r="M1103" s="88"/>
      <c r="O1103" s="88"/>
      <c r="P1103" s="88"/>
    </row>
    <row r="1104" spans="1:16" ht="12.75" hidden="1" customHeight="1">
      <c r="A1104" s="187" t="s">
        <v>862</v>
      </c>
      <c r="B1104" s="188"/>
      <c r="C1104" s="188"/>
      <c r="D1104" s="188"/>
      <c r="E1104" s="189">
        <f t="shared" si="185"/>
        <v>0</v>
      </c>
      <c r="F1104" s="190" t="e">
        <f t="shared" si="189"/>
        <v>#DIV/0!</v>
      </c>
      <c r="H1104" s="88"/>
      <c r="I1104" s="88"/>
      <c r="J1104" s="88"/>
      <c r="K1104" s="89"/>
      <c r="L1104" s="89"/>
      <c r="M1104" s="88"/>
      <c r="O1104" s="88"/>
      <c r="P1104" s="88"/>
    </row>
    <row r="1105" spans="1:16" ht="12.75" hidden="1" customHeight="1">
      <c r="A1105" s="187" t="s">
        <v>863</v>
      </c>
      <c r="B1105" s="188"/>
      <c r="C1105" s="188"/>
      <c r="D1105" s="188"/>
      <c r="E1105" s="189">
        <f t="shared" si="185"/>
        <v>0</v>
      </c>
      <c r="F1105" s="190" t="e">
        <f t="shared" si="189"/>
        <v>#DIV/0!</v>
      </c>
      <c r="H1105" s="88"/>
      <c r="I1105" s="88"/>
      <c r="J1105" s="88"/>
      <c r="K1105" s="89"/>
      <c r="L1105" s="89"/>
      <c r="M1105" s="88"/>
      <c r="O1105" s="88"/>
      <c r="P1105" s="88"/>
    </row>
    <row r="1106" spans="1:16" ht="12.75" hidden="1" customHeight="1">
      <c r="A1106" s="187" t="s">
        <v>864</v>
      </c>
      <c r="B1106" s="188"/>
      <c r="C1106" s="188"/>
      <c r="D1106" s="188"/>
      <c r="E1106" s="189">
        <f t="shared" si="185"/>
        <v>0</v>
      </c>
      <c r="F1106" s="190" t="e">
        <f t="shared" si="189"/>
        <v>#DIV/0!</v>
      </c>
      <c r="H1106" s="88"/>
      <c r="I1106" s="88"/>
      <c r="J1106" s="88"/>
      <c r="K1106" s="89"/>
      <c r="L1106" s="89"/>
      <c r="M1106" s="88"/>
      <c r="O1106" s="88"/>
      <c r="P1106" s="88"/>
    </row>
    <row r="1107" spans="1:16" ht="12.75" hidden="1" customHeight="1">
      <c r="A1107" s="187" t="s">
        <v>865</v>
      </c>
      <c r="B1107" s="188">
        <v>0</v>
      </c>
      <c r="C1107" s="188">
        <v>0</v>
      </c>
      <c r="D1107" s="188">
        <v>0</v>
      </c>
      <c r="E1107" s="189">
        <f t="shared" si="185"/>
        <v>0</v>
      </c>
      <c r="F1107" s="190" t="e">
        <f t="shared" si="189"/>
        <v>#DIV/0!</v>
      </c>
      <c r="H1107" s="88"/>
      <c r="I1107" s="88"/>
      <c r="J1107" s="88"/>
      <c r="K1107" s="89"/>
      <c r="L1107" s="89"/>
      <c r="M1107" s="88"/>
      <c r="O1107" s="88"/>
      <c r="P1107" s="88"/>
    </row>
    <row r="1108" spans="1:16">
      <c r="A1108" s="179" t="s">
        <v>866</v>
      </c>
      <c r="B1108" s="184">
        <f>B1109+B1118</f>
        <v>17628.7</v>
      </c>
      <c r="C1108" s="184">
        <f>C1109+C1118</f>
        <v>14628.7</v>
      </c>
      <c r="D1108" s="184">
        <f>D1109+D1118</f>
        <v>19056.68</v>
      </c>
      <c r="E1108" s="184">
        <f>E1109+E1118</f>
        <v>4427.9799999999996</v>
      </c>
      <c r="F1108" s="186">
        <f t="shared" si="189"/>
        <v>30.269128493987839</v>
      </c>
      <c r="H1108" s="88">
        <f t="shared" ref="H1108:M1108" si="190">SUM(H1109,H1118,H1122)</f>
        <v>18500</v>
      </c>
      <c r="I1108" s="88">
        <f t="shared" si="190"/>
        <v>8650</v>
      </c>
      <c r="J1108" s="88">
        <f t="shared" si="190"/>
        <v>831</v>
      </c>
      <c r="K1108" s="89">
        <f t="shared" si="190"/>
        <v>33800</v>
      </c>
      <c r="L1108" s="89">
        <f t="shared" si="190"/>
        <v>0</v>
      </c>
      <c r="M1108" s="88">
        <f t="shared" si="190"/>
        <v>0</v>
      </c>
      <c r="O1108" s="88">
        <f>SUM(O1109,O1118,O1122)</f>
        <v>0</v>
      </c>
      <c r="P1108" s="88">
        <f>SUM(P1109,P1118,P1122)</f>
        <v>43400</v>
      </c>
    </row>
    <row r="1109" spans="1:16">
      <c r="A1109" s="187" t="s">
        <v>867</v>
      </c>
      <c r="B1109" s="188">
        <v>8000</v>
      </c>
      <c r="C1109" s="188">
        <v>5000</v>
      </c>
      <c r="D1109" s="188">
        <v>5500</v>
      </c>
      <c r="E1109" s="189">
        <f t="shared" ref="E1109:E1189" si="191">D1109-C1109</f>
        <v>500</v>
      </c>
      <c r="F1109" s="190"/>
      <c r="H1109" s="88">
        <f t="shared" ref="H1109:M1109" si="192">SUM(H1110:H1117)</f>
        <v>18500</v>
      </c>
      <c r="I1109" s="88">
        <f t="shared" si="192"/>
        <v>0</v>
      </c>
      <c r="J1109" s="88">
        <f t="shared" si="192"/>
        <v>0</v>
      </c>
      <c r="K1109" s="89">
        <f t="shared" si="192"/>
        <v>33800</v>
      </c>
      <c r="L1109" s="89">
        <f t="shared" si="192"/>
        <v>0</v>
      </c>
      <c r="M1109" s="88">
        <f t="shared" si="192"/>
        <v>0</v>
      </c>
      <c r="O1109" s="88">
        <f>SUM(O1110:O1117)</f>
        <v>0</v>
      </c>
      <c r="P1109" s="88">
        <f>SUM(P1110:P1117)</f>
        <v>43400</v>
      </c>
    </row>
    <row r="1110" spans="1:16" ht="12.75" hidden="1" customHeight="1">
      <c r="A1110" s="187" t="s">
        <v>868</v>
      </c>
      <c r="B1110" s="188"/>
      <c r="C1110" s="188"/>
      <c r="D1110" s="188"/>
      <c r="E1110" s="189">
        <f t="shared" si="191"/>
        <v>0</v>
      </c>
      <c r="F1110" s="190" t="e">
        <f t="shared" si="189"/>
        <v>#DIV/0!</v>
      </c>
      <c r="H1110" s="88"/>
      <c r="I1110" s="88"/>
      <c r="J1110" s="88"/>
      <c r="K1110" s="89"/>
      <c r="L1110" s="89"/>
      <c r="M1110" s="88"/>
      <c r="O1110" s="88"/>
      <c r="P1110" s="88">
        <v>3400</v>
      </c>
    </row>
    <row r="1111" spans="1:16" ht="12.75" hidden="1" customHeight="1">
      <c r="A1111" s="187" t="s">
        <v>869</v>
      </c>
      <c r="B1111" s="188"/>
      <c r="C1111" s="188"/>
      <c r="D1111" s="188"/>
      <c r="E1111" s="189">
        <f t="shared" si="191"/>
        <v>0</v>
      </c>
      <c r="F1111" s="190" t="e">
        <f t="shared" si="189"/>
        <v>#DIV/0!</v>
      </c>
      <c r="H1111" s="88"/>
      <c r="I1111" s="88"/>
      <c r="J1111" s="88"/>
      <c r="K1111" s="89"/>
      <c r="L1111" s="89"/>
      <c r="M1111" s="88"/>
      <c r="O1111" s="88"/>
      <c r="P1111" s="88"/>
    </row>
    <row r="1112" spans="1:16" ht="12.75" hidden="1" customHeight="1">
      <c r="A1112" s="187" t="s">
        <v>870</v>
      </c>
      <c r="B1112" s="188"/>
      <c r="C1112" s="188"/>
      <c r="D1112" s="188"/>
      <c r="E1112" s="189">
        <f t="shared" si="191"/>
        <v>0</v>
      </c>
      <c r="F1112" s="190" t="e">
        <f t="shared" si="189"/>
        <v>#DIV/0!</v>
      </c>
      <c r="H1112" s="88"/>
      <c r="I1112" s="88"/>
      <c r="J1112" s="88"/>
      <c r="K1112" s="89"/>
      <c r="L1112" s="89"/>
      <c r="M1112" s="88"/>
      <c r="O1112" s="88"/>
      <c r="P1112" s="88"/>
    </row>
    <row r="1113" spans="1:16" ht="12.75" hidden="1" customHeight="1">
      <c r="A1113" s="187" t="s">
        <v>871</v>
      </c>
      <c r="B1113" s="188"/>
      <c r="C1113" s="188"/>
      <c r="D1113" s="188"/>
      <c r="E1113" s="189">
        <f t="shared" si="191"/>
        <v>0</v>
      </c>
      <c r="F1113" s="190" t="e">
        <f t="shared" si="189"/>
        <v>#DIV/0!</v>
      </c>
      <c r="H1113" s="88"/>
      <c r="I1113" s="88"/>
      <c r="J1113" s="88"/>
      <c r="K1113" s="89"/>
      <c r="L1113" s="89"/>
      <c r="M1113" s="88"/>
      <c r="O1113" s="88"/>
      <c r="P1113" s="88"/>
    </row>
    <row r="1114" spans="1:16" ht="12.75" hidden="1" customHeight="1">
      <c r="A1114" s="187" t="s">
        <v>872</v>
      </c>
      <c r="B1114" s="188"/>
      <c r="C1114" s="188"/>
      <c r="D1114" s="188"/>
      <c r="E1114" s="189">
        <f t="shared" si="191"/>
        <v>0</v>
      </c>
      <c r="F1114" s="190" t="e">
        <f t="shared" si="189"/>
        <v>#DIV/0!</v>
      </c>
      <c r="H1114" s="88"/>
      <c r="I1114" s="88"/>
      <c r="J1114" s="88"/>
      <c r="K1114" s="89"/>
      <c r="L1114" s="89"/>
      <c r="M1114" s="88"/>
      <c r="O1114" s="88"/>
      <c r="P1114" s="88"/>
    </row>
    <row r="1115" spans="1:16" ht="12.75" hidden="1" customHeight="1">
      <c r="A1115" s="187" t="s">
        <v>873</v>
      </c>
      <c r="B1115" s="188"/>
      <c r="C1115" s="188"/>
      <c r="D1115" s="188"/>
      <c r="E1115" s="189">
        <f t="shared" si="191"/>
        <v>0</v>
      </c>
      <c r="F1115" s="190" t="e">
        <f t="shared" si="189"/>
        <v>#DIV/0!</v>
      </c>
      <c r="H1115" s="88"/>
      <c r="I1115" s="88"/>
      <c r="J1115" s="88"/>
      <c r="K1115" s="89"/>
      <c r="L1115" s="89"/>
      <c r="M1115" s="88"/>
      <c r="O1115" s="88"/>
      <c r="P1115" s="88"/>
    </row>
    <row r="1116" spans="1:16" ht="12.75" hidden="1" customHeight="1">
      <c r="A1116" s="187" t="s">
        <v>874</v>
      </c>
      <c r="B1116" s="188"/>
      <c r="C1116" s="188"/>
      <c r="D1116" s="188"/>
      <c r="E1116" s="189">
        <f t="shared" si="191"/>
        <v>0</v>
      </c>
      <c r="F1116" s="190" t="e">
        <f t="shared" si="189"/>
        <v>#DIV/0!</v>
      </c>
      <c r="H1116" s="88"/>
      <c r="I1116" s="88"/>
      <c r="J1116" s="88"/>
      <c r="K1116" s="89"/>
      <c r="L1116" s="89"/>
      <c r="M1116" s="88"/>
      <c r="O1116" s="88"/>
      <c r="P1116" s="88"/>
    </row>
    <row r="1117" spans="1:16" ht="12.75" hidden="1" customHeight="1">
      <c r="A1117" s="187" t="s">
        <v>875</v>
      </c>
      <c r="B1117" s="188"/>
      <c r="C1117" s="188"/>
      <c r="D1117" s="188"/>
      <c r="E1117" s="189">
        <f t="shared" si="191"/>
        <v>0</v>
      </c>
      <c r="F1117" s="190" t="e">
        <f t="shared" si="189"/>
        <v>#DIV/0!</v>
      </c>
      <c r="H1117" s="88">
        <v>18500</v>
      </c>
      <c r="I1117" s="88"/>
      <c r="J1117" s="88"/>
      <c r="K1117" s="89">
        <v>33800</v>
      </c>
      <c r="L1117" s="89"/>
      <c r="M1117" s="88"/>
      <c r="O1117" s="88"/>
      <c r="P1117" s="88">
        <v>40000</v>
      </c>
    </row>
    <row r="1118" spans="1:16">
      <c r="A1118" s="187" t="s">
        <v>876</v>
      </c>
      <c r="B1118" s="188">
        <v>9628.7000000000007</v>
      </c>
      <c r="C1118" s="193">
        <v>9628.7000000000007</v>
      </c>
      <c r="D1118" s="188">
        <v>13556.68</v>
      </c>
      <c r="E1118" s="189">
        <f t="shared" si="191"/>
        <v>3927.9799999999996</v>
      </c>
      <c r="F1118" s="190">
        <f t="shared" si="189"/>
        <v>40.794499776709202</v>
      </c>
      <c r="H1118" s="88">
        <f t="shared" ref="H1118:M1118" si="193">SUM(H1119:H1121)</f>
        <v>0</v>
      </c>
      <c r="I1118" s="88">
        <f t="shared" si="193"/>
        <v>8650</v>
      </c>
      <c r="J1118" s="88">
        <f t="shared" si="193"/>
        <v>831</v>
      </c>
      <c r="K1118" s="89">
        <f t="shared" si="193"/>
        <v>0</v>
      </c>
      <c r="L1118" s="89">
        <f t="shared" si="193"/>
        <v>0</v>
      </c>
      <c r="M1118" s="88">
        <f t="shared" si="193"/>
        <v>0</v>
      </c>
      <c r="O1118" s="88">
        <f>SUM(O1119:O1121)</f>
        <v>0</v>
      </c>
      <c r="P1118" s="88">
        <f>SUM(P1119:P1121)</f>
        <v>0</v>
      </c>
    </row>
    <row r="1119" spans="1:16" ht="12.75" hidden="1" customHeight="1">
      <c r="A1119" s="187" t="s">
        <v>877</v>
      </c>
      <c r="B1119" s="188"/>
      <c r="C1119" s="188"/>
      <c r="D1119" s="188"/>
      <c r="E1119" s="189">
        <f t="shared" si="191"/>
        <v>0</v>
      </c>
      <c r="F1119" s="190" t="e">
        <f t="shared" si="189"/>
        <v>#DIV/0!</v>
      </c>
      <c r="H1119" s="88"/>
      <c r="I1119" s="88">
        <v>6909</v>
      </c>
      <c r="J1119" s="88">
        <v>641</v>
      </c>
      <c r="K1119" s="89"/>
      <c r="L1119" s="89"/>
      <c r="M1119" s="88"/>
      <c r="O1119" s="88"/>
      <c r="P1119" s="88"/>
    </row>
    <row r="1120" spans="1:16" ht="12.75" hidden="1" customHeight="1">
      <c r="A1120" s="187" t="s">
        <v>878</v>
      </c>
      <c r="B1120" s="188"/>
      <c r="C1120" s="188"/>
      <c r="D1120" s="188"/>
      <c r="E1120" s="189">
        <f t="shared" si="191"/>
        <v>0</v>
      </c>
      <c r="F1120" s="190" t="e">
        <f t="shared" si="189"/>
        <v>#DIV/0!</v>
      </c>
      <c r="H1120" s="88"/>
      <c r="I1120" s="88">
        <v>1741</v>
      </c>
      <c r="J1120" s="88">
        <v>190</v>
      </c>
      <c r="K1120" s="89"/>
      <c r="L1120" s="89"/>
      <c r="M1120" s="88"/>
      <c r="O1120" s="88"/>
      <c r="P1120" s="88"/>
    </row>
    <row r="1121" spans="1:16" ht="12.75" hidden="1" customHeight="1">
      <c r="A1121" s="187" t="s">
        <v>879</v>
      </c>
      <c r="B1121" s="188"/>
      <c r="C1121" s="188"/>
      <c r="D1121" s="188"/>
      <c r="E1121" s="189">
        <f t="shared" si="191"/>
        <v>0</v>
      </c>
      <c r="F1121" s="190" t="e">
        <f t="shared" si="189"/>
        <v>#DIV/0!</v>
      </c>
      <c r="H1121" s="88"/>
      <c r="I1121" s="88"/>
      <c r="J1121" s="88"/>
      <c r="K1121" s="89"/>
      <c r="L1121" s="89"/>
      <c r="M1121" s="88"/>
      <c r="O1121" s="88"/>
      <c r="P1121" s="88"/>
    </row>
    <row r="1122" spans="1:16" ht="12.75" hidden="1" customHeight="1">
      <c r="A1122" s="187" t="s">
        <v>880</v>
      </c>
      <c r="B1122" s="188">
        <v>0</v>
      </c>
      <c r="C1122" s="188">
        <v>572.23</v>
      </c>
      <c r="D1122" s="188">
        <v>0</v>
      </c>
      <c r="E1122" s="189">
        <f t="shared" si="191"/>
        <v>-572.23</v>
      </c>
      <c r="F1122" s="190">
        <f t="shared" si="189"/>
        <v>-100</v>
      </c>
      <c r="H1122" s="88">
        <f t="shared" ref="H1122:M1122" si="194">SUM(H1123:H1124)</f>
        <v>0</v>
      </c>
      <c r="I1122" s="88">
        <f t="shared" si="194"/>
        <v>0</v>
      </c>
      <c r="J1122" s="88">
        <f t="shared" si="194"/>
        <v>0</v>
      </c>
      <c r="K1122" s="89">
        <f t="shared" si="194"/>
        <v>0</v>
      </c>
      <c r="L1122" s="89">
        <f t="shared" si="194"/>
        <v>0</v>
      </c>
      <c r="M1122" s="88">
        <f t="shared" si="194"/>
        <v>0</v>
      </c>
      <c r="O1122" s="88">
        <f>SUM(O1123:O1124)</f>
        <v>0</v>
      </c>
      <c r="P1122" s="88">
        <f>SUM(P1123:P1124)</f>
        <v>0</v>
      </c>
    </row>
    <row r="1123" spans="1:16" ht="12.75" hidden="1" customHeight="1">
      <c r="A1123" s="187" t="s">
        <v>881</v>
      </c>
      <c r="B1123" s="188"/>
      <c r="C1123" s="188"/>
      <c r="D1123" s="188"/>
      <c r="E1123" s="189">
        <f t="shared" si="191"/>
        <v>0</v>
      </c>
      <c r="F1123" s="190" t="e">
        <f t="shared" si="189"/>
        <v>#DIV/0!</v>
      </c>
      <c r="H1123" s="88"/>
      <c r="I1123" s="88"/>
      <c r="J1123" s="88"/>
      <c r="K1123" s="89"/>
      <c r="L1123" s="89"/>
      <c r="M1123" s="88"/>
      <c r="O1123" s="88"/>
      <c r="P1123" s="88"/>
    </row>
    <row r="1124" spans="1:16" ht="12.75" hidden="1" customHeight="1">
      <c r="A1124" s="187" t="s">
        <v>882</v>
      </c>
      <c r="B1124" s="188"/>
      <c r="C1124" s="188"/>
      <c r="D1124" s="188"/>
      <c r="E1124" s="189">
        <f t="shared" si="191"/>
        <v>0</v>
      </c>
      <c r="F1124" s="190" t="e">
        <f t="shared" si="189"/>
        <v>#DIV/0!</v>
      </c>
      <c r="H1124" s="88"/>
      <c r="I1124" s="88"/>
      <c r="J1124" s="88"/>
      <c r="K1124" s="89"/>
      <c r="L1124" s="89"/>
      <c r="M1124" s="88"/>
      <c r="O1124" s="88"/>
      <c r="P1124" s="88"/>
    </row>
    <row r="1125" spans="1:16">
      <c r="A1125" s="179" t="s">
        <v>883</v>
      </c>
      <c r="B1125" s="182">
        <f>SUM(B1126,B1141)</f>
        <v>1683.3</v>
      </c>
      <c r="C1125" s="182">
        <f>SUM(C1126,C1141)</f>
        <v>1683.3</v>
      </c>
      <c r="D1125" s="182">
        <f>SUM(D1126,D1141)</f>
        <v>3140.64</v>
      </c>
      <c r="E1125" s="185">
        <f t="shared" si="191"/>
        <v>1457.34</v>
      </c>
      <c r="F1125" s="186">
        <f t="shared" si="189"/>
        <v>86.576367848868301</v>
      </c>
      <c r="H1125" s="88">
        <f>SUM(H1126,H1141)</f>
        <v>0</v>
      </c>
      <c r="I1125" s="88">
        <f t="shared" ref="I1125:P1125" si="195">SUM(I1126,I1141)</f>
        <v>1069</v>
      </c>
      <c r="J1125" s="88">
        <f t="shared" si="195"/>
        <v>0</v>
      </c>
      <c r="K1125" s="88">
        <f t="shared" si="195"/>
        <v>0</v>
      </c>
      <c r="L1125" s="88">
        <f t="shared" si="195"/>
        <v>0</v>
      </c>
      <c r="M1125" s="88">
        <f t="shared" si="195"/>
        <v>0</v>
      </c>
      <c r="O1125" s="88">
        <f t="shared" si="195"/>
        <v>0</v>
      </c>
      <c r="P1125" s="88">
        <f t="shared" si="195"/>
        <v>0</v>
      </c>
    </row>
    <row r="1126" spans="1:16">
      <c r="A1126" s="187" t="s">
        <v>884</v>
      </c>
      <c r="B1126" s="188">
        <v>1683.3</v>
      </c>
      <c r="C1126" s="188">
        <v>1683.3</v>
      </c>
      <c r="D1126" s="188">
        <v>3140.64</v>
      </c>
      <c r="E1126" s="189">
        <f t="shared" si="191"/>
        <v>1457.34</v>
      </c>
      <c r="F1126" s="190">
        <f t="shared" si="189"/>
        <v>86.576367848868301</v>
      </c>
      <c r="H1126" s="88">
        <f t="shared" ref="H1126:M1126" si="196">SUM(H1127:H1140)</f>
        <v>0</v>
      </c>
      <c r="I1126" s="88">
        <f t="shared" si="196"/>
        <v>1069</v>
      </c>
      <c r="J1126" s="88">
        <f t="shared" si="196"/>
        <v>0</v>
      </c>
      <c r="K1126" s="89">
        <f t="shared" si="196"/>
        <v>0</v>
      </c>
      <c r="L1126" s="89">
        <f t="shared" si="196"/>
        <v>0</v>
      </c>
      <c r="M1126" s="88">
        <f t="shared" si="196"/>
        <v>0</v>
      </c>
      <c r="O1126" s="88">
        <f>SUM(O1127:O1140)</f>
        <v>0</v>
      </c>
      <c r="P1126" s="88">
        <f>SUM(P1127:P1140)</f>
        <v>0</v>
      </c>
    </row>
    <row r="1127" spans="1:16" ht="12.75" hidden="1" customHeight="1">
      <c r="A1127" s="187" t="s">
        <v>13</v>
      </c>
      <c r="B1127" s="188"/>
      <c r="C1127" s="188"/>
      <c r="D1127" s="188"/>
      <c r="E1127" s="189">
        <f t="shared" si="191"/>
        <v>0</v>
      </c>
      <c r="F1127" s="190" t="e">
        <f t="shared" si="189"/>
        <v>#DIV/0!</v>
      </c>
      <c r="H1127" s="88"/>
      <c r="I1127" s="88">
        <v>257</v>
      </c>
      <c r="J1127" s="88"/>
      <c r="K1127" s="89"/>
      <c r="L1127" s="89"/>
      <c r="M1127" s="88"/>
      <c r="O1127" s="88"/>
      <c r="P1127" s="88"/>
    </row>
    <row r="1128" spans="1:16" ht="12.75" hidden="1" customHeight="1">
      <c r="A1128" s="187" t="s">
        <v>14</v>
      </c>
      <c r="B1128" s="188"/>
      <c r="C1128" s="188"/>
      <c r="D1128" s="188"/>
      <c r="E1128" s="189">
        <f t="shared" si="191"/>
        <v>0</v>
      </c>
      <c r="F1128" s="190" t="e">
        <f t="shared" si="189"/>
        <v>#DIV/0!</v>
      </c>
      <c r="H1128" s="88"/>
      <c r="I1128" s="88">
        <v>10</v>
      </c>
      <c r="J1128" s="88"/>
      <c r="K1128" s="89"/>
      <c r="L1128" s="89"/>
      <c r="M1128" s="88"/>
      <c r="O1128" s="88"/>
      <c r="P1128" s="88"/>
    </row>
    <row r="1129" spans="1:16" ht="12.75" hidden="1" customHeight="1">
      <c r="A1129" s="187" t="s">
        <v>15</v>
      </c>
      <c r="B1129" s="188"/>
      <c r="C1129" s="188"/>
      <c r="D1129" s="188"/>
      <c r="E1129" s="189">
        <f t="shared" si="191"/>
        <v>0</v>
      </c>
      <c r="F1129" s="190" t="e">
        <f t="shared" si="189"/>
        <v>#DIV/0!</v>
      </c>
      <c r="H1129" s="88"/>
      <c r="I1129" s="88">
        <v>89</v>
      </c>
      <c r="J1129" s="88"/>
      <c r="K1129" s="89"/>
      <c r="L1129" s="89"/>
      <c r="M1129" s="88"/>
      <c r="O1129" s="88"/>
      <c r="P1129" s="88"/>
    </row>
    <row r="1130" spans="1:16" ht="12.75" hidden="1" customHeight="1">
      <c r="A1130" s="187" t="s">
        <v>885</v>
      </c>
      <c r="B1130" s="188"/>
      <c r="C1130" s="188"/>
      <c r="D1130" s="188"/>
      <c r="E1130" s="189">
        <f t="shared" si="191"/>
        <v>0</v>
      </c>
      <c r="F1130" s="190" t="e">
        <f t="shared" si="189"/>
        <v>#DIV/0!</v>
      </c>
      <c r="H1130" s="88"/>
      <c r="I1130" s="88"/>
      <c r="J1130" s="88"/>
      <c r="K1130" s="89"/>
      <c r="L1130" s="89"/>
      <c r="M1130" s="88"/>
      <c r="O1130" s="88"/>
      <c r="P1130" s="88"/>
    </row>
    <row r="1131" spans="1:16" ht="12.75" hidden="1" customHeight="1">
      <c r="A1131" s="187" t="s">
        <v>886</v>
      </c>
      <c r="B1131" s="188"/>
      <c r="C1131" s="188"/>
      <c r="D1131" s="188"/>
      <c r="E1131" s="189">
        <f t="shared" si="191"/>
        <v>0</v>
      </c>
      <c r="F1131" s="190" t="e">
        <f t="shared" si="189"/>
        <v>#DIV/0!</v>
      </c>
      <c r="H1131" s="88"/>
      <c r="I1131" s="88"/>
      <c r="J1131" s="88"/>
      <c r="K1131" s="89"/>
      <c r="L1131" s="89"/>
      <c r="M1131" s="88"/>
      <c r="O1131" s="88"/>
      <c r="P1131" s="88"/>
    </row>
    <row r="1132" spans="1:16" ht="12.75" hidden="1" customHeight="1">
      <c r="A1132" s="187" t="s">
        <v>887</v>
      </c>
      <c r="B1132" s="188"/>
      <c r="C1132" s="188"/>
      <c r="D1132" s="188"/>
      <c r="E1132" s="189">
        <f t="shared" si="191"/>
        <v>0</v>
      </c>
      <c r="F1132" s="190" t="e">
        <f t="shared" si="189"/>
        <v>#DIV/0!</v>
      </c>
      <c r="H1132" s="88"/>
      <c r="I1132" s="88"/>
      <c r="J1132" s="88"/>
      <c r="K1132" s="89"/>
      <c r="L1132" s="89"/>
      <c r="M1132" s="88"/>
      <c r="O1132" s="88"/>
      <c r="P1132" s="88"/>
    </row>
    <row r="1133" spans="1:16" ht="12.75" hidden="1" customHeight="1">
      <c r="A1133" s="187" t="s">
        <v>888</v>
      </c>
      <c r="B1133" s="188"/>
      <c r="C1133" s="188"/>
      <c r="D1133" s="188"/>
      <c r="E1133" s="189">
        <f t="shared" si="191"/>
        <v>0</v>
      </c>
      <c r="F1133" s="190" t="e">
        <f t="shared" si="189"/>
        <v>#DIV/0!</v>
      </c>
      <c r="H1133" s="88"/>
      <c r="I1133" s="88"/>
      <c r="J1133" s="88"/>
      <c r="K1133" s="89"/>
      <c r="L1133" s="89"/>
      <c r="M1133" s="88"/>
      <c r="O1133" s="88"/>
      <c r="P1133" s="88"/>
    </row>
    <row r="1134" spans="1:16" ht="12.75" hidden="1" customHeight="1">
      <c r="A1134" s="187" t="s">
        <v>889</v>
      </c>
      <c r="B1134" s="188"/>
      <c r="C1134" s="188"/>
      <c r="D1134" s="188"/>
      <c r="E1134" s="189">
        <f t="shared" si="191"/>
        <v>0</v>
      </c>
      <c r="F1134" s="190" t="e">
        <f t="shared" si="189"/>
        <v>#DIV/0!</v>
      </c>
      <c r="H1134" s="88"/>
      <c r="I1134" s="88">
        <v>16</v>
      </c>
      <c r="J1134" s="88"/>
      <c r="K1134" s="89"/>
      <c r="L1134" s="89"/>
      <c r="M1134" s="88"/>
      <c r="O1134" s="88"/>
      <c r="P1134" s="88"/>
    </row>
    <row r="1135" spans="1:16" ht="12.75" hidden="1" customHeight="1">
      <c r="A1135" s="187" t="s">
        <v>890</v>
      </c>
      <c r="B1135" s="188"/>
      <c r="C1135" s="188"/>
      <c r="D1135" s="188"/>
      <c r="E1135" s="189">
        <f t="shared" si="191"/>
        <v>0</v>
      </c>
      <c r="F1135" s="190" t="e">
        <f t="shared" si="189"/>
        <v>#DIV/0!</v>
      </c>
      <c r="H1135" s="88"/>
      <c r="I1135" s="88"/>
      <c r="J1135" s="88"/>
      <c r="K1135" s="89"/>
      <c r="L1135" s="89"/>
      <c r="M1135" s="88"/>
      <c r="O1135" s="88"/>
      <c r="P1135" s="88"/>
    </row>
    <row r="1136" spans="1:16" ht="12.75" hidden="1" customHeight="1">
      <c r="A1136" s="187" t="s">
        <v>891</v>
      </c>
      <c r="B1136" s="188"/>
      <c r="C1136" s="188"/>
      <c r="D1136" s="188"/>
      <c r="E1136" s="189">
        <f t="shared" si="191"/>
        <v>0</v>
      </c>
      <c r="F1136" s="190" t="e">
        <f t="shared" si="189"/>
        <v>#DIV/0!</v>
      </c>
      <c r="H1136" s="88"/>
      <c r="I1136" s="88">
        <v>170</v>
      </c>
      <c r="J1136" s="88"/>
      <c r="K1136" s="89"/>
      <c r="L1136" s="89"/>
      <c r="M1136" s="88"/>
      <c r="O1136" s="88"/>
      <c r="P1136" s="88"/>
    </row>
    <row r="1137" spans="1:16" ht="12.75" hidden="1" customHeight="1">
      <c r="A1137" s="187" t="s">
        <v>892</v>
      </c>
      <c r="B1137" s="188"/>
      <c r="C1137" s="188"/>
      <c r="D1137" s="188"/>
      <c r="E1137" s="189">
        <f t="shared" si="191"/>
        <v>0</v>
      </c>
      <c r="F1137" s="190" t="e">
        <f t="shared" si="189"/>
        <v>#DIV/0!</v>
      </c>
      <c r="H1137" s="88"/>
      <c r="I1137" s="88">
        <v>527</v>
      </c>
      <c r="J1137" s="88"/>
      <c r="K1137" s="89"/>
      <c r="L1137" s="89"/>
      <c r="M1137" s="88"/>
      <c r="O1137" s="88"/>
      <c r="P1137" s="88"/>
    </row>
    <row r="1138" spans="1:16" ht="12.75" hidden="1" customHeight="1">
      <c r="A1138" s="187" t="s">
        <v>893</v>
      </c>
      <c r="B1138" s="188"/>
      <c r="C1138" s="188"/>
      <c r="D1138" s="188"/>
      <c r="E1138" s="189">
        <f t="shared" si="191"/>
        <v>0</v>
      </c>
      <c r="F1138" s="190" t="e">
        <f t="shared" si="189"/>
        <v>#DIV/0!</v>
      </c>
      <c r="H1138" s="88"/>
      <c r="I1138" s="88"/>
      <c r="J1138" s="88"/>
      <c r="K1138" s="89"/>
      <c r="L1138" s="89"/>
      <c r="M1138" s="88"/>
      <c r="O1138" s="88"/>
      <c r="P1138" s="88"/>
    </row>
    <row r="1139" spans="1:16" ht="12.75" hidden="1" customHeight="1">
      <c r="A1139" s="187" t="s">
        <v>22</v>
      </c>
      <c r="B1139" s="188"/>
      <c r="C1139" s="188"/>
      <c r="D1139" s="188"/>
      <c r="E1139" s="189">
        <f t="shared" si="191"/>
        <v>0</v>
      </c>
      <c r="F1139" s="190" t="e">
        <f t="shared" si="189"/>
        <v>#DIV/0!</v>
      </c>
      <c r="H1139" s="88"/>
      <c r="I1139" s="88"/>
      <c r="J1139" s="88"/>
      <c r="K1139" s="89"/>
      <c r="L1139" s="89"/>
      <c r="M1139" s="88"/>
      <c r="O1139" s="88"/>
      <c r="P1139" s="88"/>
    </row>
    <row r="1140" spans="1:16" ht="12.75" hidden="1" customHeight="1">
      <c r="A1140" s="187" t="s">
        <v>894</v>
      </c>
      <c r="B1140" s="188"/>
      <c r="C1140" s="188"/>
      <c r="D1140" s="188"/>
      <c r="E1140" s="189">
        <f t="shared" si="191"/>
        <v>0</v>
      </c>
      <c r="F1140" s="190" t="e">
        <f t="shared" si="189"/>
        <v>#DIV/0!</v>
      </c>
      <c r="H1140" s="88"/>
      <c r="I1140" s="88"/>
      <c r="J1140" s="88"/>
      <c r="K1140" s="89"/>
      <c r="L1140" s="89"/>
      <c r="M1140" s="88"/>
      <c r="O1140" s="88"/>
      <c r="P1140" s="88"/>
    </row>
    <row r="1141" spans="1:16">
      <c r="A1141" s="187" t="s">
        <v>895</v>
      </c>
      <c r="B1141" s="188"/>
      <c r="C1141" s="188">
        <v>0</v>
      </c>
      <c r="D1141" s="188"/>
      <c r="E1141" s="189">
        <f t="shared" si="191"/>
        <v>0</v>
      </c>
      <c r="F1141" s="190"/>
      <c r="H1141" s="88">
        <f t="shared" ref="H1141:M1141" si="197">SUM(H1142:H1146)</f>
        <v>0</v>
      </c>
      <c r="I1141" s="88">
        <f t="shared" si="197"/>
        <v>0</v>
      </c>
      <c r="J1141" s="88">
        <f t="shared" si="197"/>
        <v>0</v>
      </c>
      <c r="K1141" s="89">
        <f t="shared" si="197"/>
        <v>0</v>
      </c>
      <c r="L1141" s="89">
        <f t="shared" si="197"/>
        <v>0</v>
      </c>
      <c r="M1141" s="88">
        <f t="shared" si="197"/>
        <v>0</v>
      </c>
      <c r="O1141" s="88">
        <f>SUM(O1142:O1146)</f>
        <v>0</v>
      </c>
      <c r="P1141" s="88">
        <f>SUM(P1142:P1146)</f>
        <v>0</v>
      </c>
    </row>
    <row r="1142" spans="1:16" ht="12.75" hidden="1" customHeight="1">
      <c r="A1142" s="187" t="s">
        <v>896</v>
      </c>
      <c r="B1142" s="182"/>
      <c r="C1142" s="182"/>
      <c r="D1142" s="182"/>
      <c r="E1142" s="189">
        <f t="shared" si="191"/>
        <v>0</v>
      </c>
      <c r="F1142" s="190" t="e">
        <f t="shared" si="189"/>
        <v>#DIV/0!</v>
      </c>
      <c r="H1142" s="88"/>
      <c r="I1142" s="88"/>
      <c r="J1142" s="88"/>
      <c r="K1142" s="89"/>
      <c r="L1142" s="89"/>
      <c r="M1142" s="88"/>
      <c r="O1142" s="88"/>
      <c r="P1142" s="88"/>
    </row>
    <row r="1143" spans="1:16" ht="12.75" hidden="1" customHeight="1">
      <c r="A1143" s="187" t="s">
        <v>897</v>
      </c>
      <c r="B1143" s="182"/>
      <c r="C1143" s="182"/>
      <c r="D1143" s="182"/>
      <c r="E1143" s="189">
        <f t="shared" si="191"/>
        <v>0</v>
      </c>
      <c r="F1143" s="190" t="e">
        <f t="shared" si="189"/>
        <v>#DIV/0!</v>
      </c>
      <c r="H1143" s="90"/>
      <c r="I1143" s="90"/>
      <c r="J1143" s="90"/>
      <c r="K1143" s="91"/>
      <c r="L1143" s="91"/>
      <c r="M1143" s="90"/>
      <c r="O1143" s="90"/>
      <c r="P1143" s="90"/>
    </row>
    <row r="1144" spans="1:16" ht="12.75" hidden="1" customHeight="1">
      <c r="A1144" s="187" t="s">
        <v>898</v>
      </c>
      <c r="B1144" s="182"/>
      <c r="C1144" s="182"/>
      <c r="D1144" s="182"/>
      <c r="E1144" s="189">
        <f t="shared" si="191"/>
        <v>0</v>
      </c>
      <c r="F1144" s="190" t="e">
        <f t="shared" si="189"/>
        <v>#DIV/0!</v>
      </c>
      <c r="H1144" s="88"/>
      <c r="I1144" s="88"/>
      <c r="J1144" s="88"/>
      <c r="K1144" s="89"/>
      <c r="L1144" s="89"/>
      <c r="M1144" s="88"/>
      <c r="O1144" s="88"/>
      <c r="P1144" s="88"/>
    </row>
    <row r="1145" spans="1:16" ht="12.75" hidden="1" customHeight="1">
      <c r="A1145" s="187" t="s">
        <v>899</v>
      </c>
      <c r="B1145" s="182"/>
      <c r="C1145" s="182"/>
      <c r="D1145" s="182"/>
      <c r="E1145" s="189">
        <f t="shared" si="191"/>
        <v>0</v>
      </c>
      <c r="F1145" s="190" t="e">
        <f t="shared" si="189"/>
        <v>#DIV/0!</v>
      </c>
      <c r="H1145" s="88"/>
      <c r="I1145" s="88"/>
      <c r="J1145" s="88"/>
      <c r="K1145" s="89"/>
      <c r="L1145" s="89"/>
      <c r="M1145" s="88"/>
      <c r="O1145" s="88"/>
      <c r="P1145" s="88"/>
    </row>
    <row r="1146" spans="1:16" ht="12.75" hidden="1" customHeight="1">
      <c r="A1146" s="187" t="s">
        <v>900</v>
      </c>
      <c r="B1146" s="182"/>
      <c r="C1146" s="182"/>
      <c r="D1146" s="182"/>
      <c r="E1146" s="189">
        <f t="shared" si="191"/>
        <v>0</v>
      </c>
      <c r="F1146" s="190" t="e">
        <f t="shared" si="189"/>
        <v>#DIV/0!</v>
      </c>
      <c r="H1146" s="88"/>
      <c r="I1146" s="88"/>
      <c r="J1146" s="88"/>
      <c r="K1146" s="89"/>
      <c r="L1146" s="89"/>
      <c r="M1146" s="88"/>
      <c r="O1146" s="88"/>
      <c r="P1146" s="88"/>
    </row>
    <row r="1147" spans="1:16">
      <c r="A1147" s="179" t="s">
        <v>901</v>
      </c>
      <c r="B1147" s="182">
        <v>3000</v>
      </c>
      <c r="C1147" s="182">
        <v>3000</v>
      </c>
      <c r="D1147" s="182">
        <v>6950</v>
      </c>
      <c r="E1147" s="185">
        <f t="shared" si="191"/>
        <v>3950</v>
      </c>
      <c r="F1147" s="186">
        <f t="shared" si="189"/>
        <v>131.66666666666666</v>
      </c>
      <c r="H1147" s="90">
        <v>1000</v>
      </c>
      <c r="I1147" s="90">
        <v>1500</v>
      </c>
      <c r="J1147" s="90"/>
      <c r="K1147" s="91"/>
      <c r="L1147" s="91"/>
      <c r="M1147" s="90"/>
      <c r="O1147" s="90"/>
      <c r="P1147" s="90"/>
    </row>
    <row r="1148" spans="1:16">
      <c r="A1148" s="179" t="s">
        <v>902</v>
      </c>
      <c r="B1148" s="182">
        <f>SUM(B1149:B1150,B1157,B1160,B1161)</f>
        <v>65000</v>
      </c>
      <c r="C1148" s="182">
        <f>SUM(C1149:C1150,C1157,C1160,C1161)</f>
        <v>65000</v>
      </c>
      <c r="D1148" s="182">
        <v>123525</v>
      </c>
      <c r="E1148" s="185">
        <f t="shared" si="191"/>
        <v>58525</v>
      </c>
      <c r="F1148" s="186">
        <f t="shared" si="189"/>
        <v>90.038461538461533</v>
      </c>
      <c r="H1148" s="90">
        <f t="shared" ref="H1148:M1148" si="198">SUM(H1149:H1150,H1157,H1160,H1161)</f>
        <v>0</v>
      </c>
      <c r="I1148" s="90">
        <f t="shared" si="198"/>
        <v>0</v>
      </c>
      <c r="J1148" s="90">
        <f t="shared" si="198"/>
        <v>0</v>
      </c>
      <c r="K1148" s="91">
        <f t="shared" si="198"/>
        <v>20000</v>
      </c>
      <c r="L1148" s="91">
        <f t="shared" si="198"/>
        <v>0</v>
      </c>
      <c r="M1148" s="90">
        <f t="shared" si="198"/>
        <v>0</v>
      </c>
      <c r="O1148" s="90">
        <f>SUM(O1149:O1150,O1157,O1160,O1161)</f>
        <v>0</v>
      </c>
      <c r="P1148" s="90">
        <f>SUM(P1149:P1150,P1157,P1160,P1161)</f>
        <v>0</v>
      </c>
    </row>
    <row r="1149" spans="1:16" ht="12.75" hidden="1" customHeight="1">
      <c r="A1149" s="179" t="s">
        <v>903</v>
      </c>
      <c r="B1149" s="188"/>
      <c r="C1149" s="188"/>
      <c r="D1149" s="188"/>
      <c r="E1149" s="189">
        <f t="shared" si="191"/>
        <v>0</v>
      </c>
      <c r="F1149" s="190" t="e">
        <f t="shared" si="189"/>
        <v>#DIV/0!</v>
      </c>
      <c r="H1149" s="88"/>
      <c r="I1149" s="88"/>
      <c r="J1149" s="88"/>
      <c r="K1149" s="89"/>
      <c r="L1149" s="89"/>
      <c r="M1149" s="88"/>
      <c r="O1149" s="88"/>
      <c r="P1149" s="88"/>
    </row>
    <row r="1150" spans="1:16" ht="12.75" hidden="1" customHeight="1">
      <c r="A1150" s="179" t="s">
        <v>904</v>
      </c>
      <c r="B1150" s="188">
        <f>SUM(B1151:B1156)</f>
        <v>0</v>
      </c>
      <c r="C1150" s="188">
        <f>SUM(C1151:C1156)</f>
        <v>0</v>
      </c>
      <c r="D1150" s="188">
        <f>SUM(D1151:D1156)</f>
        <v>0</v>
      </c>
      <c r="E1150" s="189">
        <f t="shared" si="191"/>
        <v>0</v>
      </c>
      <c r="F1150" s="190" t="e">
        <f t="shared" si="189"/>
        <v>#DIV/0!</v>
      </c>
      <c r="H1150" s="95">
        <f t="shared" ref="H1150:M1150" si="199">SUM(H1151:H1156)</f>
        <v>0</v>
      </c>
      <c r="I1150" s="95">
        <f t="shared" si="199"/>
        <v>0</v>
      </c>
      <c r="J1150" s="95">
        <f t="shared" si="199"/>
        <v>0</v>
      </c>
      <c r="K1150" s="96">
        <f t="shared" si="199"/>
        <v>0</v>
      </c>
      <c r="L1150" s="96">
        <f t="shared" si="199"/>
        <v>0</v>
      </c>
      <c r="M1150" s="95">
        <f t="shared" si="199"/>
        <v>0</v>
      </c>
      <c r="O1150" s="95">
        <f>SUM(O1151:O1156)</f>
        <v>0</v>
      </c>
      <c r="P1150" s="95">
        <f>SUM(P1151:P1156)</f>
        <v>0</v>
      </c>
    </row>
    <row r="1151" spans="1:16" ht="12.75" hidden="1" customHeight="1">
      <c r="A1151" s="187" t="s">
        <v>905</v>
      </c>
      <c r="B1151" s="188"/>
      <c r="C1151" s="188"/>
      <c r="D1151" s="188"/>
      <c r="E1151" s="189">
        <f t="shared" si="191"/>
        <v>0</v>
      </c>
      <c r="F1151" s="190" t="e">
        <f t="shared" si="189"/>
        <v>#DIV/0!</v>
      </c>
      <c r="H1151" s="88"/>
      <c r="I1151" s="88"/>
      <c r="J1151" s="88"/>
      <c r="K1151" s="89"/>
      <c r="L1151" s="89"/>
      <c r="M1151" s="88"/>
      <c r="O1151" s="88"/>
      <c r="P1151" s="88"/>
    </row>
    <row r="1152" spans="1:16" ht="12.75" hidden="1" customHeight="1">
      <c r="A1152" s="187" t="s">
        <v>906</v>
      </c>
      <c r="B1152" s="188"/>
      <c r="C1152" s="188"/>
      <c r="D1152" s="188"/>
      <c r="E1152" s="189">
        <f t="shared" si="191"/>
        <v>0</v>
      </c>
      <c r="F1152" s="190" t="e">
        <f t="shared" si="189"/>
        <v>#DIV/0!</v>
      </c>
      <c r="H1152" s="88"/>
      <c r="I1152" s="88"/>
      <c r="J1152" s="88"/>
      <c r="K1152" s="89"/>
      <c r="L1152" s="89"/>
      <c r="M1152" s="88"/>
      <c r="O1152" s="88"/>
      <c r="P1152" s="88"/>
    </row>
    <row r="1153" spans="1:16" ht="12.75" hidden="1" customHeight="1">
      <c r="A1153" s="187" t="s">
        <v>907</v>
      </c>
      <c r="B1153" s="188"/>
      <c r="C1153" s="188"/>
      <c r="D1153" s="188"/>
      <c r="E1153" s="189">
        <f t="shared" si="191"/>
        <v>0</v>
      </c>
      <c r="F1153" s="190" t="e">
        <f t="shared" si="189"/>
        <v>#DIV/0!</v>
      </c>
      <c r="H1153" s="88"/>
      <c r="I1153" s="88"/>
      <c r="J1153" s="88"/>
      <c r="K1153" s="89"/>
      <c r="L1153" s="89"/>
      <c r="M1153" s="88"/>
      <c r="O1153" s="88"/>
      <c r="P1153" s="88"/>
    </row>
    <row r="1154" spans="1:16" ht="12.75" hidden="1" customHeight="1">
      <c r="A1154" s="187" t="s">
        <v>908</v>
      </c>
      <c r="B1154" s="188"/>
      <c r="C1154" s="188"/>
      <c r="D1154" s="188"/>
      <c r="E1154" s="189">
        <f t="shared" si="191"/>
        <v>0</v>
      </c>
      <c r="F1154" s="190" t="e">
        <f t="shared" si="189"/>
        <v>#DIV/0!</v>
      </c>
      <c r="H1154" s="88"/>
      <c r="I1154" s="88"/>
      <c r="J1154" s="88"/>
      <c r="K1154" s="89"/>
      <c r="L1154" s="89"/>
      <c r="M1154" s="88"/>
      <c r="O1154" s="88"/>
      <c r="P1154" s="88"/>
    </row>
    <row r="1155" spans="1:16" ht="12.75" hidden="1" customHeight="1">
      <c r="A1155" s="187" t="s">
        <v>909</v>
      </c>
      <c r="B1155" s="188"/>
      <c r="C1155" s="188"/>
      <c r="D1155" s="188"/>
      <c r="E1155" s="189">
        <f t="shared" si="191"/>
        <v>0</v>
      </c>
      <c r="F1155" s="190" t="e">
        <f t="shared" si="189"/>
        <v>#DIV/0!</v>
      </c>
      <c r="H1155" s="88"/>
      <c r="I1155" s="88"/>
      <c r="J1155" s="88"/>
      <c r="K1155" s="89"/>
      <c r="L1155" s="89"/>
      <c r="M1155" s="88"/>
      <c r="O1155" s="88"/>
      <c r="P1155" s="88"/>
    </row>
    <row r="1156" spans="1:16" ht="12.75" hidden="1" customHeight="1">
      <c r="A1156" s="187" t="s">
        <v>910</v>
      </c>
      <c r="B1156" s="188"/>
      <c r="C1156" s="188"/>
      <c r="D1156" s="188"/>
      <c r="E1156" s="189">
        <f t="shared" si="191"/>
        <v>0</v>
      </c>
      <c r="F1156" s="190" t="e">
        <f t="shared" si="189"/>
        <v>#DIV/0!</v>
      </c>
      <c r="H1156" s="88"/>
      <c r="I1156" s="88"/>
      <c r="J1156" s="88"/>
      <c r="K1156" s="89"/>
      <c r="L1156" s="89"/>
      <c r="M1156" s="88"/>
      <c r="O1156" s="88"/>
      <c r="P1156" s="88"/>
    </row>
    <row r="1157" spans="1:16" ht="12.75" hidden="1" customHeight="1">
      <c r="A1157" s="179" t="s">
        <v>911</v>
      </c>
      <c r="B1157" s="188">
        <f>SUM(B1158:B1159)</f>
        <v>0</v>
      </c>
      <c r="C1157" s="188">
        <f>SUM(C1158:C1159)</f>
        <v>0</v>
      </c>
      <c r="D1157" s="188">
        <f>SUM(D1158:D1159)</f>
        <v>0</v>
      </c>
      <c r="E1157" s="189">
        <f t="shared" si="191"/>
        <v>0</v>
      </c>
      <c r="F1157" s="190" t="e">
        <f t="shared" si="189"/>
        <v>#DIV/0!</v>
      </c>
      <c r="H1157" s="95">
        <f t="shared" ref="H1157:M1157" si="200">SUM(H1158:H1159)</f>
        <v>0</v>
      </c>
      <c r="I1157" s="95">
        <f t="shared" si="200"/>
        <v>0</v>
      </c>
      <c r="J1157" s="95">
        <f t="shared" si="200"/>
        <v>0</v>
      </c>
      <c r="K1157" s="96">
        <f t="shared" si="200"/>
        <v>0</v>
      </c>
      <c r="L1157" s="96">
        <f t="shared" si="200"/>
        <v>0</v>
      </c>
      <c r="M1157" s="95">
        <f t="shared" si="200"/>
        <v>0</v>
      </c>
      <c r="O1157" s="95">
        <f>SUM(O1158:O1159)</f>
        <v>0</v>
      </c>
      <c r="P1157" s="95">
        <f>SUM(P1158:P1159)</f>
        <v>0</v>
      </c>
    </row>
    <row r="1158" spans="1:16" ht="12.75" hidden="1" customHeight="1">
      <c r="A1158" s="187" t="s">
        <v>912</v>
      </c>
      <c r="B1158" s="188"/>
      <c r="C1158" s="188"/>
      <c r="D1158" s="188"/>
      <c r="E1158" s="189">
        <f t="shared" si="191"/>
        <v>0</v>
      </c>
      <c r="F1158" s="190" t="e">
        <f t="shared" si="189"/>
        <v>#DIV/0!</v>
      </c>
      <c r="H1158" s="90"/>
      <c r="I1158" s="90"/>
      <c r="J1158" s="90"/>
      <c r="K1158" s="91"/>
      <c r="L1158" s="91"/>
      <c r="M1158" s="90"/>
      <c r="O1158" s="90"/>
      <c r="P1158" s="90"/>
    </row>
    <row r="1159" spans="1:16" ht="12.75" hidden="1" customHeight="1">
      <c r="A1159" s="187" t="s">
        <v>913</v>
      </c>
      <c r="B1159" s="188"/>
      <c r="C1159" s="188"/>
      <c r="D1159" s="188"/>
      <c r="E1159" s="189">
        <f t="shared" si="191"/>
        <v>0</v>
      </c>
      <c r="F1159" s="190" t="e">
        <f t="shared" si="189"/>
        <v>#DIV/0!</v>
      </c>
      <c r="H1159" s="88"/>
      <c r="I1159" s="88"/>
      <c r="J1159" s="88"/>
      <c r="K1159" s="89"/>
      <c r="L1159" s="89"/>
      <c r="M1159" s="88"/>
      <c r="O1159" s="88"/>
      <c r="P1159" s="88"/>
    </row>
    <row r="1160" spans="1:16">
      <c r="A1160" s="187" t="s">
        <v>914</v>
      </c>
      <c r="B1160" s="188">
        <v>65000</v>
      </c>
      <c r="C1160" s="188">
        <v>65000</v>
      </c>
      <c r="D1160" s="188">
        <v>123525</v>
      </c>
      <c r="E1160" s="189">
        <f t="shared" si="191"/>
        <v>58525</v>
      </c>
      <c r="F1160" s="190">
        <f t="shared" si="189"/>
        <v>90.038461538461533</v>
      </c>
      <c r="H1160" s="93"/>
      <c r="I1160" s="93"/>
      <c r="J1160" s="93"/>
      <c r="K1160" s="94">
        <v>20000</v>
      </c>
      <c r="L1160" s="94"/>
      <c r="M1160" s="93"/>
      <c r="O1160" s="93"/>
      <c r="P1160" s="93"/>
    </row>
    <row r="1161" spans="1:16" ht="12.75" hidden="1" customHeight="1">
      <c r="A1161" s="187" t="s">
        <v>915</v>
      </c>
      <c r="B1161" s="188">
        <v>0</v>
      </c>
      <c r="C1161" s="188">
        <v>0</v>
      </c>
      <c r="D1161" s="188">
        <v>0</v>
      </c>
      <c r="E1161" s="189">
        <f t="shared" si="191"/>
        <v>0</v>
      </c>
      <c r="F1161" s="190" t="e">
        <f t="shared" si="189"/>
        <v>#DIV/0!</v>
      </c>
      <c r="H1161" s="88"/>
      <c r="I1161" s="88"/>
      <c r="J1161" s="88"/>
      <c r="K1161" s="89"/>
      <c r="L1161" s="89"/>
      <c r="M1161" s="88"/>
      <c r="O1161" s="88"/>
      <c r="P1161" s="88"/>
    </row>
    <row r="1162" spans="1:16">
      <c r="A1162" s="179" t="s">
        <v>916</v>
      </c>
      <c r="B1162" s="182">
        <f>B1163+B1165</f>
        <v>73564.789999999994</v>
      </c>
      <c r="C1162" s="182">
        <f>C1163+C1165</f>
        <v>73564.789999999994</v>
      </c>
      <c r="D1162" s="182">
        <f>D1163+D1165</f>
        <v>59552.17</v>
      </c>
      <c r="E1162" s="185">
        <f t="shared" si="191"/>
        <v>-14012.619999999995</v>
      </c>
      <c r="F1162" s="186">
        <f t="shared" si="189"/>
        <v>-19.047998369872321</v>
      </c>
      <c r="H1162" s="88">
        <f>H1163</f>
        <v>17669</v>
      </c>
      <c r="I1162" s="88">
        <f t="shared" ref="I1162:M1163" si="201">I1163</f>
        <v>25484</v>
      </c>
      <c r="J1162" s="88">
        <f t="shared" si="201"/>
        <v>0</v>
      </c>
      <c r="K1162" s="89">
        <f t="shared" si="201"/>
        <v>-11879</v>
      </c>
      <c r="L1162" s="89">
        <f t="shared" si="201"/>
        <v>4441</v>
      </c>
      <c r="M1162" s="88">
        <f t="shared" si="201"/>
        <v>0</v>
      </c>
      <c r="O1162" s="88">
        <f>O1163</f>
        <v>0</v>
      </c>
      <c r="P1162" s="88">
        <f>P1163</f>
        <v>0</v>
      </c>
    </row>
    <row r="1163" spans="1:16">
      <c r="A1163" s="187" t="s">
        <v>917</v>
      </c>
      <c r="B1163" s="188">
        <v>73564.789999999994</v>
      </c>
      <c r="C1163" s="188">
        <v>73564.789999999994</v>
      </c>
      <c r="D1163" s="188">
        <v>59552.17</v>
      </c>
      <c r="E1163" s="189">
        <f t="shared" si="191"/>
        <v>-14012.619999999995</v>
      </c>
      <c r="F1163" s="190">
        <f t="shared" si="189"/>
        <v>-19.047998369872321</v>
      </c>
      <c r="H1163" s="88">
        <f>H1164</f>
        <v>17669</v>
      </c>
      <c r="I1163" s="88">
        <f t="shared" si="201"/>
        <v>25484</v>
      </c>
      <c r="J1163" s="88">
        <f t="shared" si="201"/>
        <v>0</v>
      </c>
      <c r="K1163" s="89">
        <f t="shared" si="201"/>
        <v>-11879</v>
      </c>
      <c r="L1163" s="89">
        <f t="shared" si="201"/>
        <v>4441</v>
      </c>
      <c r="M1163" s="88">
        <f t="shared" si="201"/>
        <v>0</v>
      </c>
      <c r="O1163" s="88">
        <f>O1164</f>
        <v>0</v>
      </c>
      <c r="P1163" s="88">
        <f>P1164</f>
        <v>0</v>
      </c>
    </row>
    <row r="1164" spans="1:16" ht="12.75" hidden="1" customHeight="1">
      <c r="A1164" s="187" t="s">
        <v>918</v>
      </c>
      <c r="B1164" s="188"/>
      <c r="C1164" s="188"/>
      <c r="D1164" s="188"/>
      <c r="E1164" s="189">
        <f t="shared" si="191"/>
        <v>0</v>
      </c>
      <c r="F1164" s="190" t="e">
        <f t="shared" si="189"/>
        <v>#DIV/0!</v>
      </c>
      <c r="H1164" s="88">
        <f>18329-660</f>
        <v>17669</v>
      </c>
      <c r="I1164" s="88">
        <v>25484</v>
      </c>
      <c r="J1164" s="88"/>
      <c r="K1164" s="89">
        <v>-11879</v>
      </c>
      <c r="L1164" s="89">
        <v>4441</v>
      </c>
      <c r="M1164" s="88"/>
      <c r="O1164" s="88"/>
      <c r="P1164" s="88"/>
    </row>
    <row r="1165" spans="1:16">
      <c r="A1165" s="187" t="s">
        <v>919</v>
      </c>
      <c r="B1165" s="188"/>
      <c r="C1165" s="188">
        <v>0</v>
      </c>
      <c r="D1165" s="188"/>
      <c r="E1165" s="189">
        <f t="shared" si="191"/>
        <v>0</v>
      </c>
      <c r="F1165" s="190"/>
      <c r="H1165" s="95"/>
      <c r="I1165" s="95"/>
      <c r="J1165" s="95"/>
      <c r="K1165" s="96"/>
      <c r="L1165" s="96"/>
      <c r="M1165" s="95"/>
      <c r="O1165" s="95"/>
      <c r="P1165" s="95"/>
    </row>
    <row r="1166" spans="1:16" ht="12.75" hidden="1" customHeight="1">
      <c r="A1166" s="187"/>
      <c r="B1166" s="194"/>
      <c r="C1166" s="194"/>
      <c r="D1166" s="194"/>
      <c r="E1166" s="189">
        <f t="shared" si="191"/>
        <v>0</v>
      </c>
      <c r="F1166" s="190" t="e">
        <f t="shared" ref="F1166:F1185" si="202">E1166/C1166*100</f>
        <v>#DIV/0!</v>
      </c>
      <c r="H1166" s="97"/>
      <c r="I1166" s="97"/>
      <c r="J1166" s="97"/>
      <c r="K1166" s="98"/>
      <c r="L1166" s="98"/>
      <c r="M1166" s="97"/>
      <c r="O1166" s="97"/>
      <c r="P1166" s="97"/>
    </row>
    <row r="1167" spans="1:16" s="85" customFormat="1" ht="12.75" customHeight="1">
      <c r="A1167" s="179" t="s">
        <v>920</v>
      </c>
      <c r="B1167" s="195">
        <f>B1168+B1171+B1175+B1177+B1181+B1183</f>
        <v>12344.69</v>
      </c>
      <c r="C1167" s="195">
        <f>C1168+C1171+C1175+C1177+C1181+C1183</f>
        <v>12344.69</v>
      </c>
      <c r="D1167" s="195">
        <f>D1168+D1171+D1175+D1177+D1181+D1183+D1173</f>
        <v>17465.79</v>
      </c>
      <c r="E1167" s="195">
        <f t="shared" si="191"/>
        <v>5121.1000000000004</v>
      </c>
      <c r="F1167" s="196">
        <f t="shared" si="202"/>
        <v>41.48423330192982</v>
      </c>
      <c r="H1167" s="99"/>
      <c r="I1167" s="99"/>
      <c r="J1167" s="99"/>
      <c r="K1167" s="100"/>
      <c r="L1167" s="100"/>
      <c r="M1167" s="99"/>
      <c r="O1167" s="99"/>
      <c r="P1167" s="99"/>
    </row>
    <row r="1168" spans="1:16" s="85" customFormat="1" ht="12.75" customHeight="1">
      <c r="A1168" s="179" t="s">
        <v>1207</v>
      </c>
      <c r="B1168" s="195">
        <f>B1169+B1170</f>
        <v>6294.2</v>
      </c>
      <c r="C1168" s="195">
        <f>C1169+C1170</f>
        <v>6294.2</v>
      </c>
      <c r="D1168" s="195">
        <f>D1169+D1170</f>
        <v>9655.56</v>
      </c>
      <c r="E1168" s="185">
        <f t="shared" si="191"/>
        <v>3361.3599999999997</v>
      </c>
      <c r="F1168" s="186">
        <f t="shared" si="202"/>
        <v>53.40408630167456</v>
      </c>
      <c r="H1168" s="99"/>
      <c r="I1168" s="99"/>
      <c r="J1168" s="99"/>
      <c r="K1168" s="100"/>
      <c r="L1168" s="100"/>
      <c r="M1168" s="99"/>
      <c r="O1168" s="99"/>
      <c r="P1168" s="99"/>
    </row>
    <row r="1169" spans="1:16" ht="12.75" customHeight="1">
      <c r="A1169" s="187" t="s">
        <v>29</v>
      </c>
      <c r="B1169" s="194">
        <v>5704.82</v>
      </c>
      <c r="C1169" s="194">
        <v>5704.82</v>
      </c>
      <c r="D1169" s="194">
        <v>9203.92</v>
      </c>
      <c r="E1169" s="189">
        <f t="shared" si="191"/>
        <v>3499.1000000000004</v>
      </c>
      <c r="F1169" s="190">
        <f t="shared" si="202"/>
        <v>61.335852840229855</v>
      </c>
      <c r="H1169" s="97"/>
      <c r="I1169" s="97"/>
      <c r="J1169" s="97"/>
      <c r="K1169" s="98"/>
      <c r="L1169" s="98"/>
      <c r="M1169" s="97"/>
      <c r="O1169" s="97"/>
      <c r="P1169" s="97"/>
    </row>
    <row r="1170" spans="1:16" ht="12.75" customHeight="1">
      <c r="A1170" s="187" t="s">
        <v>1208</v>
      </c>
      <c r="B1170" s="194">
        <v>589.38</v>
      </c>
      <c r="C1170" s="194">
        <v>589.38</v>
      </c>
      <c r="D1170" s="194">
        <v>451.64</v>
      </c>
      <c r="E1170" s="189">
        <f t="shared" si="191"/>
        <v>-137.74</v>
      </c>
      <c r="F1170" s="190">
        <f t="shared" si="202"/>
        <v>-23.370321354643863</v>
      </c>
      <c r="H1170" s="97"/>
      <c r="I1170" s="97"/>
      <c r="J1170" s="97"/>
      <c r="K1170" s="98"/>
      <c r="L1170" s="98"/>
      <c r="M1170" s="97"/>
      <c r="O1170" s="97"/>
      <c r="P1170" s="97"/>
    </row>
    <row r="1171" spans="1:16" s="85" customFormat="1" ht="12.75" customHeight="1">
      <c r="A1171" s="179" t="s">
        <v>1209</v>
      </c>
      <c r="B1171" s="195">
        <f>B1172</f>
        <v>156.66</v>
      </c>
      <c r="C1171" s="195">
        <f>C1172</f>
        <v>156.66</v>
      </c>
      <c r="D1171" s="195">
        <f>D1172</f>
        <v>111.28</v>
      </c>
      <c r="E1171" s="185">
        <f t="shared" si="191"/>
        <v>-45.379999999999995</v>
      </c>
      <c r="F1171" s="186">
        <f t="shared" si="202"/>
        <v>-28.967190093195455</v>
      </c>
      <c r="H1171" s="99"/>
      <c r="I1171" s="99"/>
      <c r="J1171" s="99"/>
      <c r="K1171" s="100"/>
      <c r="L1171" s="100"/>
      <c r="M1171" s="99"/>
      <c r="O1171" s="99"/>
      <c r="P1171" s="99"/>
    </row>
    <row r="1172" spans="1:16" ht="12.75" customHeight="1">
      <c r="A1172" s="187" t="s">
        <v>1210</v>
      </c>
      <c r="B1172" s="194">
        <v>156.66</v>
      </c>
      <c r="C1172" s="194">
        <v>156.66</v>
      </c>
      <c r="D1172" s="194">
        <v>111.28</v>
      </c>
      <c r="E1172" s="189">
        <f t="shared" si="191"/>
        <v>-45.379999999999995</v>
      </c>
      <c r="F1172" s="190">
        <f t="shared" si="202"/>
        <v>-28.967190093195455</v>
      </c>
      <c r="H1172" s="97"/>
      <c r="I1172" s="97"/>
      <c r="J1172" s="97"/>
      <c r="K1172" s="98"/>
      <c r="L1172" s="98"/>
      <c r="M1172" s="97"/>
      <c r="O1172" s="97"/>
      <c r="P1172" s="97"/>
    </row>
    <row r="1173" spans="1:16" ht="12.75" customHeight="1">
      <c r="A1173" s="179" t="s">
        <v>1211</v>
      </c>
      <c r="B1173" s="194"/>
      <c r="C1173" s="194"/>
      <c r="D1173" s="195">
        <v>48</v>
      </c>
      <c r="E1173" s="189"/>
      <c r="F1173" s="190"/>
      <c r="H1173" s="97"/>
      <c r="I1173" s="97"/>
      <c r="J1173" s="97"/>
      <c r="K1173" s="98"/>
      <c r="L1173" s="98"/>
      <c r="M1173" s="97"/>
      <c r="O1173" s="97"/>
      <c r="P1173" s="97"/>
    </row>
    <row r="1174" spans="1:16" ht="12.75" customHeight="1">
      <c r="A1174" s="187" t="s">
        <v>1212</v>
      </c>
      <c r="B1174" s="194"/>
      <c r="C1174" s="194"/>
      <c r="D1174" s="194">
        <v>48</v>
      </c>
      <c r="E1174" s="189"/>
      <c r="F1174" s="190"/>
      <c r="H1174" s="97"/>
      <c r="I1174" s="97"/>
      <c r="J1174" s="97"/>
      <c r="K1174" s="98"/>
      <c r="L1174" s="98"/>
      <c r="M1174" s="97"/>
      <c r="O1174" s="97"/>
      <c r="P1174" s="97"/>
    </row>
    <row r="1175" spans="1:16" s="85" customFormat="1" ht="12.75" customHeight="1">
      <c r="A1175" s="179" t="s">
        <v>460</v>
      </c>
      <c r="B1175" s="195">
        <f>B1176</f>
        <v>1145.5999999999999</v>
      </c>
      <c r="C1175" s="195">
        <f>C1176</f>
        <v>1145.5999999999999</v>
      </c>
      <c r="D1175" s="195">
        <f>D1176</f>
        <v>725</v>
      </c>
      <c r="E1175" s="185">
        <f t="shared" si="191"/>
        <v>-420.59999999999991</v>
      </c>
      <c r="F1175" s="186">
        <f t="shared" si="202"/>
        <v>-36.714385474860329</v>
      </c>
      <c r="H1175" s="99"/>
      <c r="I1175" s="99"/>
      <c r="J1175" s="99"/>
      <c r="K1175" s="100"/>
      <c r="L1175" s="100"/>
      <c r="M1175" s="99"/>
      <c r="O1175" s="99"/>
      <c r="P1175" s="99"/>
    </row>
    <row r="1176" spans="1:16" ht="12.75" customHeight="1">
      <c r="A1176" s="187" t="s">
        <v>505</v>
      </c>
      <c r="B1176" s="194">
        <v>1145.5999999999999</v>
      </c>
      <c r="C1176" s="194">
        <v>1145.5999999999999</v>
      </c>
      <c r="D1176" s="194">
        <v>725</v>
      </c>
      <c r="E1176" s="189">
        <f t="shared" si="191"/>
        <v>-420.59999999999991</v>
      </c>
      <c r="F1176" s="190">
        <f t="shared" si="202"/>
        <v>-36.714385474860329</v>
      </c>
      <c r="H1176" s="97"/>
      <c r="I1176" s="97"/>
      <c r="J1176" s="97"/>
      <c r="K1176" s="98"/>
      <c r="L1176" s="98"/>
      <c r="M1176" s="97"/>
      <c r="O1176" s="97"/>
      <c r="P1176" s="97"/>
    </row>
    <row r="1177" spans="1:16" s="85" customFormat="1" ht="12.75" customHeight="1">
      <c r="A1177" s="179" t="s">
        <v>1213</v>
      </c>
      <c r="B1177" s="195">
        <f>B1178+B1179+B1180</f>
        <v>3558.2</v>
      </c>
      <c r="C1177" s="195">
        <f>C1178+C1179+C1180</f>
        <v>3558.2</v>
      </c>
      <c r="D1177" s="195">
        <f>D1178+D1179+D1180</f>
        <v>5645.09</v>
      </c>
      <c r="E1177" s="185">
        <f t="shared" si="191"/>
        <v>2086.8900000000003</v>
      </c>
      <c r="F1177" s="186">
        <f t="shared" si="202"/>
        <v>58.650160193356207</v>
      </c>
      <c r="H1177" s="99"/>
      <c r="I1177" s="99"/>
      <c r="J1177" s="99"/>
      <c r="K1177" s="100"/>
      <c r="L1177" s="100"/>
      <c r="M1177" s="99"/>
      <c r="O1177" s="99"/>
      <c r="P1177" s="99"/>
    </row>
    <row r="1178" spans="1:16" ht="12.75" customHeight="1">
      <c r="A1178" s="187" t="s">
        <v>1214</v>
      </c>
      <c r="B1178" s="194">
        <v>1167.01</v>
      </c>
      <c r="C1178" s="194">
        <v>1167.01</v>
      </c>
      <c r="D1178" s="194">
        <v>925.72</v>
      </c>
      <c r="E1178" s="189">
        <f t="shared" si="191"/>
        <v>-241.28999999999996</v>
      </c>
      <c r="F1178" s="190">
        <f t="shared" si="202"/>
        <v>-20.675915373475803</v>
      </c>
      <c r="H1178" s="97"/>
      <c r="I1178" s="97"/>
      <c r="J1178" s="97"/>
      <c r="K1178" s="98"/>
      <c r="L1178" s="98"/>
      <c r="M1178" s="97"/>
      <c r="O1178" s="97"/>
      <c r="P1178" s="97"/>
    </row>
    <row r="1179" spans="1:16" ht="12.75" customHeight="1">
      <c r="A1179" s="187" t="s">
        <v>1215</v>
      </c>
      <c r="B1179" s="194">
        <v>156.51</v>
      </c>
      <c r="C1179" s="194">
        <v>156.51</v>
      </c>
      <c r="D1179" s="194">
        <v>145.21</v>
      </c>
      <c r="E1179" s="189">
        <f t="shared" si="191"/>
        <v>-11.299999999999983</v>
      </c>
      <c r="F1179" s="190">
        <f t="shared" si="202"/>
        <v>-7.2199859433901876</v>
      </c>
      <c r="H1179" s="97"/>
      <c r="I1179" s="97"/>
      <c r="J1179" s="97"/>
      <c r="K1179" s="98"/>
      <c r="L1179" s="98"/>
      <c r="M1179" s="97"/>
      <c r="O1179" s="97"/>
      <c r="P1179" s="97"/>
    </row>
    <row r="1180" spans="1:16" ht="12.75" customHeight="1">
      <c r="A1180" s="187" t="s">
        <v>1216</v>
      </c>
      <c r="B1180" s="194">
        <v>2234.6799999999998</v>
      </c>
      <c r="C1180" s="194">
        <v>2234.6799999999998</v>
      </c>
      <c r="D1180" s="194">
        <v>4574.16</v>
      </c>
      <c r="E1180" s="189">
        <f t="shared" si="191"/>
        <v>2339.48</v>
      </c>
      <c r="F1180" s="190">
        <f t="shared" si="202"/>
        <v>104.68970948860688</v>
      </c>
      <c r="H1180" s="97"/>
      <c r="I1180" s="97"/>
      <c r="J1180" s="97"/>
      <c r="K1180" s="98"/>
      <c r="L1180" s="98"/>
      <c r="M1180" s="97"/>
      <c r="O1180" s="97"/>
      <c r="P1180" s="97"/>
    </row>
    <row r="1181" spans="1:16" s="85" customFormat="1" ht="12.75" customHeight="1">
      <c r="A1181" s="179" t="s">
        <v>1217</v>
      </c>
      <c r="B1181" s="195">
        <f>B1182</f>
        <v>76.7</v>
      </c>
      <c r="C1181" s="195">
        <f>C1182</f>
        <v>76.7</v>
      </c>
      <c r="D1181" s="195">
        <f>D1182</f>
        <v>65.59</v>
      </c>
      <c r="E1181" s="185">
        <f t="shared" si="191"/>
        <v>-11.11</v>
      </c>
      <c r="F1181" s="186">
        <f t="shared" si="202"/>
        <v>-14.485006518904822</v>
      </c>
      <c r="H1181" s="99"/>
      <c r="I1181" s="99"/>
      <c r="J1181" s="99"/>
      <c r="K1181" s="100"/>
      <c r="L1181" s="100"/>
      <c r="M1181" s="99"/>
      <c r="O1181" s="99"/>
      <c r="P1181" s="99"/>
    </row>
    <row r="1182" spans="1:16" ht="12.75" customHeight="1">
      <c r="A1182" s="187" t="s">
        <v>1218</v>
      </c>
      <c r="B1182" s="194">
        <v>76.7</v>
      </c>
      <c r="C1182" s="194">
        <v>76.7</v>
      </c>
      <c r="D1182" s="194">
        <v>65.59</v>
      </c>
      <c r="E1182" s="189">
        <f t="shared" si="191"/>
        <v>-11.11</v>
      </c>
      <c r="F1182" s="190">
        <f t="shared" si="202"/>
        <v>-14.485006518904822</v>
      </c>
      <c r="H1182" s="97"/>
      <c r="I1182" s="97"/>
      <c r="J1182" s="97"/>
      <c r="K1182" s="98"/>
      <c r="L1182" s="98"/>
      <c r="M1182" s="97"/>
      <c r="O1182" s="97"/>
      <c r="P1182" s="97"/>
    </row>
    <row r="1183" spans="1:16" s="85" customFormat="1" ht="12.75" customHeight="1">
      <c r="A1183" s="179" t="s">
        <v>1219</v>
      </c>
      <c r="B1183" s="195">
        <f>B1184</f>
        <v>1113.33</v>
      </c>
      <c r="C1183" s="195">
        <f>C1184</f>
        <v>1113.33</v>
      </c>
      <c r="D1183" s="195">
        <f>D1184</f>
        <v>1215.27</v>
      </c>
      <c r="E1183" s="185">
        <f t="shared" si="191"/>
        <v>101.94000000000005</v>
      </c>
      <c r="F1183" s="186">
        <f t="shared" si="202"/>
        <v>9.1563148392659919</v>
      </c>
      <c r="H1183" s="99"/>
      <c r="I1183" s="99"/>
      <c r="J1183" s="99"/>
      <c r="K1183" s="100"/>
      <c r="L1183" s="100"/>
      <c r="M1183" s="99"/>
      <c r="O1183" s="99"/>
      <c r="P1183" s="99"/>
    </row>
    <row r="1184" spans="1:16" ht="12.75" customHeight="1">
      <c r="A1184" s="187" t="s">
        <v>1220</v>
      </c>
      <c r="B1184" s="194">
        <v>1113.33</v>
      </c>
      <c r="C1184" s="194">
        <v>1113.33</v>
      </c>
      <c r="D1184" s="194">
        <v>1215.27</v>
      </c>
      <c r="E1184" s="189">
        <f t="shared" si="191"/>
        <v>101.94000000000005</v>
      </c>
      <c r="F1184" s="190">
        <f t="shared" si="202"/>
        <v>9.1563148392659919</v>
      </c>
      <c r="H1184" s="97"/>
      <c r="I1184" s="97"/>
      <c r="J1184" s="97"/>
      <c r="K1184" s="98"/>
      <c r="L1184" s="98"/>
      <c r="M1184" s="97"/>
      <c r="O1184" s="97"/>
      <c r="P1184" s="97"/>
    </row>
    <row r="1185" spans="1:16">
      <c r="A1185" s="179" t="s">
        <v>921</v>
      </c>
      <c r="B1185" s="182">
        <f>+B1195+B1259+B1261+B1209+B1215+B1225+B1219+B1274+B1187+B1220+B1243+B1246+B1260</f>
        <v>302600</v>
      </c>
      <c r="C1185" s="182">
        <f>C1188+C1195+C1259+C1261+C1209+C1215+C1225+C1219+C1274+C1187+C1220+C1243+C1246+C1247+C1260</f>
        <v>304600</v>
      </c>
      <c r="D1185" s="182">
        <f>D1195+D1225+D1246+D1261</f>
        <v>588200</v>
      </c>
      <c r="E1185" s="185">
        <f t="shared" si="191"/>
        <v>283600</v>
      </c>
      <c r="F1185" s="186">
        <f t="shared" si="202"/>
        <v>93.105712409717668</v>
      </c>
      <c r="H1185" s="88" t="e">
        <f>SUM(#REF!,#REF!,H1227,H1242,H1249,H1252)</f>
        <v>#REF!</v>
      </c>
      <c r="I1185" s="88" t="e">
        <f>SUM(#REF!,#REF!,I1227,I1242,I1249,I1252)</f>
        <v>#REF!</v>
      </c>
      <c r="J1185" s="88" t="e">
        <f>SUM(#REF!,#REF!,J1227,J1242,J1249,J1252)</f>
        <v>#REF!</v>
      </c>
      <c r="K1185" s="89" t="e">
        <f>SUM(#REF!,#REF!,K1227,K1242,K1249,K1252)</f>
        <v>#REF!</v>
      </c>
      <c r="L1185" s="89" t="e">
        <f>SUM(#REF!,#REF!,L1227,L1242,L1249,L1252)</f>
        <v>#REF!</v>
      </c>
      <c r="M1185" s="88" t="e">
        <f>SUM(#REF!,#REF!,M1227,M1242,M1249,M1252)</f>
        <v>#REF!</v>
      </c>
      <c r="O1185" s="88" t="e">
        <f>SUM(#REF!,#REF!,O1227,O1242,O1249,O1252)</f>
        <v>#REF!</v>
      </c>
      <c r="P1185" s="88" t="e">
        <f>SUM(#REF!,#REF!,P1227,P1242,P1249,P1252)</f>
        <v>#REF!</v>
      </c>
    </row>
    <row r="1186" spans="1:16" ht="12.75" hidden="1" customHeight="1">
      <c r="A1186" s="179" t="s">
        <v>593</v>
      </c>
      <c r="B1186" s="188">
        <f>B1187+B1195+B1209+B1215+B1219+B1220+B1225</f>
        <v>300600</v>
      </c>
      <c r="C1186" s="188">
        <f>C1188+C1195+C1209+C1215+C1219+C1220+C1225</f>
        <v>300765</v>
      </c>
      <c r="D1186" s="188">
        <f>D1187+D1195+D1209+D1215+D1219+D1220+D1225</f>
        <v>586000</v>
      </c>
      <c r="E1186" s="189">
        <f t="shared" si="191"/>
        <v>285235</v>
      </c>
      <c r="F1186" s="190"/>
      <c r="H1186" s="88">
        <f t="shared" ref="H1186:M1186" si="203">H1187+H1195+H1209+H1215+H1219+H1220+H1225</f>
        <v>600000</v>
      </c>
      <c r="I1186" s="88">
        <f t="shared" si="203"/>
        <v>570</v>
      </c>
      <c r="J1186" s="88">
        <f t="shared" si="203"/>
        <v>0</v>
      </c>
      <c r="K1186" s="89">
        <f t="shared" si="203"/>
        <v>0</v>
      </c>
      <c r="L1186" s="89">
        <f t="shared" si="203"/>
        <v>228</v>
      </c>
      <c r="M1186" s="88">
        <f t="shared" si="203"/>
        <v>0</v>
      </c>
      <c r="O1186" s="88">
        <f>O1187+O1195+O1209+O1215+O1219+O1220+O1225</f>
        <v>0</v>
      </c>
      <c r="P1186" s="88">
        <f>P1187+P1195+P1209+P1215+P1219+P1220+P1225</f>
        <v>0</v>
      </c>
    </row>
    <row r="1187" spans="1:16" hidden="1">
      <c r="A1187" s="179" t="s">
        <v>922</v>
      </c>
      <c r="B1187" s="188">
        <v>0</v>
      </c>
      <c r="C1187" s="188"/>
      <c r="D1187" s="188">
        <v>0</v>
      </c>
      <c r="E1187" s="189">
        <f t="shared" si="191"/>
        <v>0</v>
      </c>
      <c r="F1187" s="190"/>
      <c r="H1187" s="88">
        <f t="shared" ref="H1187:M1187" si="204">SUM(H1188:H1193)</f>
        <v>0</v>
      </c>
      <c r="I1187" s="88">
        <f t="shared" si="204"/>
        <v>120</v>
      </c>
      <c r="J1187" s="88">
        <f t="shared" si="204"/>
        <v>0</v>
      </c>
      <c r="K1187" s="89">
        <f t="shared" si="204"/>
        <v>0</v>
      </c>
      <c r="L1187" s="89">
        <f t="shared" si="204"/>
        <v>68</v>
      </c>
      <c r="M1187" s="88">
        <f t="shared" si="204"/>
        <v>0</v>
      </c>
      <c r="O1187" s="88">
        <f>SUM(O1188:O1193)</f>
        <v>0</v>
      </c>
      <c r="P1187" s="88">
        <f>SUM(P1188:P1193)</f>
        <v>0</v>
      </c>
    </row>
    <row r="1188" spans="1:16">
      <c r="A1188" s="187" t="s">
        <v>923</v>
      </c>
      <c r="B1188" s="188"/>
      <c r="C1188" s="188"/>
      <c r="D1188" s="188"/>
      <c r="E1188" s="189"/>
      <c r="F1188" s="226" t="s">
        <v>1372</v>
      </c>
      <c r="H1188" s="88"/>
      <c r="I1188" s="88"/>
      <c r="J1188" s="88"/>
      <c r="K1188" s="89"/>
      <c r="L1188" s="89"/>
      <c r="M1188" s="88"/>
      <c r="O1188" s="88"/>
      <c r="P1188" s="88"/>
    </row>
    <row r="1189" spans="1:16" ht="12.75" hidden="1" customHeight="1">
      <c r="A1189" s="187" t="s">
        <v>924</v>
      </c>
      <c r="B1189" s="188"/>
      <c r="C1189" s="188"/>
      <c r="D1189" s="188"/>
      <c r="E1189" s="189">
        <f t="shared" si="191"/>
        <v>0</v>
      </c>
      <c r="F1189" s="190"/>
      <c r="H1189" s="88"/>
      <c r="I1189" s="88"/>
      <c r="J1189" s="88"/>
      <c r="K1189" s="89"/>
      <c r="L1189" s="89"/>
      <c r="M1189" s="88"/>
      <c r="O1189" s="88"/>
      <c r="P1189" s="88"/>
    </row>
    <row r="1190" spans="1:16" ht="12.75" hidden="1" customHeight="1">
      <c r="A1190" s="187" t="s">
        <v>925</v>
      </c>
      <c r="B1190" s="188"/>
      <c r="C1190" s="188"/>
      <c r="D1190" s="188"/>
      <c r="E1190" s="189">
        <f t="shared" ref="E1190:E1254" si="205">D1190-C1190</f>
        <v>0</v>
      </c>
      <c r="F1190" s="190"/>
      <c r="H1190" s="88"/>
      <c r="I1190" s="88"/>
      <c r="J1190" s="88"/>
      <c r="K1190" s="89"/>
      <c r="L1190" s="89"/>
      <c r="M1190" s="88"/>
      <c r="O1190" s="88"/>
      <c r="P1190" s="88"/>
    </row>
    <row r="1191" spans="1:16" ht="12.75" hidden="1" customHeight="1">
      <c r="A1191" s="187" t="s">
        <v>926</v>
      </c>
      <c r="B1191" s="188"/>
      <c r="C1191" s="188"/>
      <c r="D1191" s="188"/>
      <c r="E1191" s="189">
        <f t="shared" si="205"/>
        <v>0</v>
      </c>
      <c r="F1191" s="190"/>
      <c r="H1191" s="88"/>
      <c r="I1191" s="88"/>
      <c r="J1191" s="88"/>
      <c r="K1191" s="89"/>
      <c r="L1191" s="89"/>
      <c r="M1191" s="88"/>
      <c r="O1191" s="88"/>
      <c r="P1191" s="88"/>
    </row>
    <row r="1192" spans="1:16" ht="12.75" hidden="1" customHeight="1">
      <c r="A1192" s="187" t="s">
        <v>927</v>
      </c>
      <c r="B1192" s="188"/>
      <c r="C1192" s="188"/>
      <c r="D1192" s="188"/>
      <c r="E1192" s="189">
        <f t="shared" si="205"/>
        <v>0</v>
      </c>
      <c r="F1192" s="190"/>
      <c r="H1192" s="88"/>
      <c r="I1192" s="88"/>
      <c r="J1192" s="88"/>
      <c r="K1192" s="89"/>
      <c r="L1192" s="89"/>
      <c r="M1192" s="88"/>
      <c r="O1192" s="88"/>
      <c r="P1192" s="88"/>
    </row>
    <row r="1193" spans="1:16" ht="12.75" hidden="1" customHeight="1">
      <c r="A1193" s="187" t="s">
        <v>928</v>
      </c>
      <c r="B1193" s="188"/>
      <c r="C1193" s="188"/>
      <c r="D1193" s="188"/>
      <c r="E1193" s="189">
        <f t="shared" si="205"/>
        <v>0</v>
      </c>
      <c r="F1193" s="190"/>
      <c r="H1193" s="90"/>
      <c r="I1193" s="90">
        <v>120</v>
      </c>
      <c r="J1193" s="90"/>
      <c r="K1193" s="91"/>
      <c r="L1193" s="91">
        <v>68</v>
      </c>
      <c r="M1193" s="90"/>
      <c r="O1193" s="90"/>
      <c r="P1193" s="90"/>
    </row>
    <row r="1194" spans="1:16" ht="12.75" hidden="1" customHeight="1">
      <c r="A1194" s="187" t="s">
        <v>929</v>
      </c>
      <c r="B1194" s="188"/>
      <c r="C1194" s="188"/>
      <c r="D1194" s="188"/>
      <c r="E1194" s="189"/>
      <c r="F1194" s="190"/>
      <c r="H1194" s="90"/>
      <c r="I1194" s="90"/>
      <c r="J1194" s="90"/>
      <c r="K1194" s="91"/>
      <c r="L1194" s="91"/>
      <c r="M1194" s="90"/>
      <c r="O1194" s="90"/>
      <c r="P1194" s="90"/>
    </row>
    <row r="1195" spans="1:16">
      <c r="A1195" s="187" t="s">
        <v>930</v>
      </c>
      <c r="B1195" s="188">
        <v>290000</v>
      </c>
      <c r="C1195" s="188">
        <v>290000</v>
      </c>
      <c r="D1195" s="188">
        <v>574000</v>
      </c>
      <c r="E1195" s="189">
        <f t="shared" si="205"/>
        <v>284000</v>
      </c>
      <c r="F1195" s="190">
        <f>E1195/C1195*100</f>
        <v>97.931034482758619</v>
      </c>
      <c r="H1195" s="88">
        <f t="shared" ref="H1195:M1195" si="206">SUM(H1196:H1208)</f>
        <v>568500</v>
      </c>
      <c r="I1195" s="88">
        <f t="shared" si="206"/>
        <v>0</v>
      </c>
      <c r="J1195" s="88">
        <f t="shared" si="206"/>
        <v>0</v>
      </c>
      <c r="K1195" s="89">
        <f t="shared" si="206"/>
        <v>0</v>
      </c>
      <c r="L1195" s="89">
        <f t="shared" si="206"/>
        <v>0</v>
      </c>
      <c r="M1195" s="88">
        <f t="shared" si="206"/>
        <v>0</v>
      </c>
      <c r="O1195" s="88">
        <f>SUM(O1196:O1208)</f>
        <v>0</v>
      </c>
      <c r="P1195" s="88">
        <f>SUM(P1196:P1208)</f>
        <v>0</v>
      </c>
    </row>
    <row r="1196" spans="1:16" hidden="1">
      <c r="A1196" s="187" t="s">
        <v>931</v>
      </c>
      <c r="B1196" s="188">
        <v>14000</v>
      </c>
      <c r="C1196" s="188">
        <v>10000</v>
      </c>
      <c r="D1196" s="188"/>
      <c r="E1196" s="189">
        <f t="shared" si="205"/>
        <v>-10000</v>
      </c>
      <c r="F1196" s="190">
        <f t="shared" ref="F1196:F1246" si="207">E1196/C1196*100</f>
        <v>-100</v>
      </c>
      <c r="H1196" s="88">
        <v>31000</v>
      </c>
      <c r="I1196" s="88"/>
      <c r="J1196" s="88"/>
      <c r="K1196" s="89"/>
      <c r="L1196" s="89"/>
      <c r="M1196" s="88"/>
      <c r="O1196" s="88"/>
      <c r="P1196" s="88"/>
    </row>
    <row r="1197" spans="1:16" hidden="1">
      <c r="A1197" s="187" t="s">
        <v>932</v>
      </c>
      <c r="B1197" s="188">
        <v>157000</v>
      </c>
      <c r="C1197" s="188">
        <v>15000</v>
      </c>
      <c r="D1197" s="188"/>
      <c r="E1197" s="189">
        <f t="shared" si="205"/>
        <v>-15000</v>
      </c>
      <c r="F1197" s="190">
        <f t="shared" si="207"/>
        <v>-100</v>
      </c>
      <c r="H1197" s="88">
        <v>6000</v>
      </c>
      <c r="I1197" s="88"/>
      <c r="J1197" s="88"/>
      <c r="K1197" s="89"/>
      <c r="L1197" s="89"/>
      <c r="M1197" s="88"/>
      <c r="O1197" s="88"/>
      <c r="P1197" s="88"/>
    </row>
    <row r="1198" spans="1:16" hidden="1">
      <c r="A1198" s="187" t="s">
        <v>933</v>
      </c>
      <c r="B1198" s="188">
        <v>102300</v>
      </c>
      <c r="C1198" s="188">
        <f>677000+35265</f>
        <v>712265</v>
      </c>
      <c r="D1198" s="188"/>
      <c r="E1198" s="189">
        <f t="shared" si="205"/>
        <v>-712265</v>
      </c>
      <c r="F1198" s="190">
        <f t="shared" si="207"/>
        <v>-100</v>
      </c>
      <c r="H1198" s="88">
        <v>55900</v>
      </c>
      <c r="I1198" s="88"/>
      <c r="J1198" s="88"/>
      <c r="K1198" s="89"/>
      <c r="L1198" s="89"/>
      <c r="M1198" s="88"/>
      <c r="O1198" s="88"/>
      <c r="P1198" s="88"/>
    </row>
    <row r="1199" spans="1:16" hidden="1">
      <c r="A1199" s="187" t="s">
        <v>934</v>
      </c>
      <c r="B1199" s="188">
        <v>0</v>
      </c>
      <c r="C1199" s="188">
        <v>1000</v>
      </c>
      <c r="D1199" s="188"/>
      <c r="E1199" s="189">
        <f t="shared" si="205"/>
        <v>-1000</v>
      </c>
      <c r="F1199" s="190">
        <f t="shared" si="207"/>
        <v>-100</v>
      </c>
      <c r="H1199" s="93">
        <v>2000</v>
      </c>
      <c r="I1199" s="93"/>
      <c r="J1199" s="93"/>
      <c r="K1199" s="94"/>
      <c r="L1199" s="94"/>
      <c r="M1199" s="93"/>
      <c r="O1199" s="93"/>
      <c r="P1199" s="93"/>
    </row>
    <row r="1200" spans="1:16" hidden="1">
      <c r="A1200" s="187" t="s">
        <v>935</v>
      </c>
      <c r="B1200" s="188">
        <v>8000</v>
      </c>
      <c r="C1200" s="188">
        <v>10000</v>
      </c>
      <c r="D1200" s="188"/>
      <c r="E1200" s="189">
        <f t="shared" si="205"/>
        <v>-10000</v>
      </c>
      <c r="F1200" s="190">
        <f t="shared" si="207"/>
        <v>-100</v>
      </c>
      <c r="H1200" s="88">
        <v>10000</v>
      </c>
      <c r="I1200" s="88"/>
      <c r="J1200" s="88"/>
      <c r="K1200" s="89"/>
      <c r="L1200" s="89"/>
      <c r="M1200" s="88"/>
      <c r="O1200" s="88"/>
      <c r="P1200" s="88"/>
    </row>
    <row r="1201" spans="1:16" ht="12.75" hidden="1" customHeight="1">
      <c r="A1201" s="187" t="s">
        <v>936</v>
      </c>
      <c r="B1201" s="188"/>
      <c r="C1201" s="188">
        <v>0</v>
      </c>
      <c r="D1201" s="188"/>
      <c r="E1201" s="189">
        <f t="shared" si="205"/>
        <v>0</v>
      </c>
      <c r="F1201" s="190" t="e">
        <f t="shared" si="207"/>
        <v>#DIV/0!</v>
      </c>
      <c r="H1201" s="88"/>
      <c r="I1201" s="88"/>
      <c r="J1201" s="88"/>
      <c r="K1201" s="89"/>
      <c r="L1201" s="89"/>
      <c r="M1201" s="88"/>
      <c r="O1201" s="88"/>
      <c r="P1201" s="88"/>
    </row>
    <row r="1202" spans="1:16" hidden="1">
      <c r="A1202" s="187" t="s">
        <v>925</v>
      </c>
      <c r="B1202" s="188">
        <v>0</v>
      </c>
      <c r="C1202" s="188"/>
      <c r="D1202" s="188"/>
      <c r="E1202" s="189">
        <f t="shared" si="205"/>
        <v>0</v>
      </c>
      <c r="F1202" s="190" t="e">
        <f t="shared" si="207"/>
        <v>#DIV/0!</v>
      </c>
      <c r="H1202" s="88">
        <v>18000</v>
      </c>
      <c r="I1202" s="88"/>
      <c r="J1202" s="88"/>
      <c r="K1202" s="89"/>
      <c r="L1202" s="89"/>
      <c r="M1202" s="88"/>
      <c r="O1202" s="88"/>
      <c r="P1202" s="88"/>
    </row>
    <row r="1203" spans="1:16" hidden="1">
      <c r="A1203" s="197" t="s">
        <v>937</v>
      </c>
      <c r="B1203" s="198"/>
      <c r="C1203" s="198"/>
      <c r="D1203" s="188"/>
      <c r="E1203" s="189">
        <f t="shared" si="205"/>
        <v>0</v>
      </c>
      <c r="F1203" s="190" t="e">
        <f t="shared" si="207"/>
        <v>#DIV/0!</v>
      </c>
      <c r="H1203" s="89">
        <v>18000</v>
      </c>
      <c r="I1203" s="89"/>
      <c r="J1203" s="89"/>
      <c r="K1203" s="89"/>
      <c r="L1203" s="89"/>
      <c r="M1203" s="89"/>
      <c r="O1203" s="89"/>
      <c r="P1203" s="89"/>
    </row>
    <row r="1204" spans="1:16" ht="12.75" hidden="1" customHeight="1">
      <c r="A1204" s="187" t="s">
        <v>938</v>
      </c>
      <c r="B1204" s="188"/>
      <c r="C1204" s="188"/>
      <c r="D1204" s="188"/>
      <c r="E1204" s="189">
        <f t="shared" si="205"/>
        <v>0</v>
      </c>
      <c r="F1204" s="190" t="e">
        <f t="shared" si="207"/>
        <v>#DIV/0!</v>
      </c>
      <c r="H1204" s="88"/>
      <c r="I1204" s="88"/>
      <c r="J1204" s="88"/>
      <c r="K1204" s="89"/>
      <c r="L1204" s="89"/>
      <c r="M1204" s="88"/>
      <c r="O1204" s="88"/>
      <c r="P1204" s="88"/>
    </row>
    <row r="1205" spans="1:16" ht="12.75" hidden="1" customHeight="1">
      <c r="A1205" s="187" t="s">
        <v>939</v>
      </c>
      <c r="B1205" s="188"/>
      <c r="C1205" s="188"/>
      <c r="D1205" s="188"/>
      <c r="E1205" s="189">
        <f t="shared" si="205"/>
        <v>0</v>
      </c>
      <c r="F1205" s="190" t="e">
        <f t="shared" si="207"/>
        <v>#DIV/0!</v>
      </c>
      <c r="H1205" s="88"/>
      <c r="I1205" s="88"/>
      <c r="J1205" s="88"/>
      <c r="K1205" s="89"/>
      <c r="L1205" s="89"/>
      <c r="M1205" s="88"/>
      <c r="O1205" s="88"/>
      <c r="P1205" s="88"/>
    </row>
    <row r="1206" spans="1:16" ht="12.75" hidden="1" customHeight="1">
      <c r="A1206" s="187" t="s">
        <v>927</v>
      </c>
      <c r="B1206" s="188"/>
      <c r="C1206" s="188"/>
      <c r="D1206" s="188"/>
      <c r="E1206" s="189">
        <f t="shared" si="205"/>
        <v>0</v>
      </c>
      <c r="F1206" s="190" t="e">
        <f t="shared" si="207"/>
        <v>#DIV/0!</v>
      </c>
      <c r="H1206" s="88"/>
      <c r="I1206" s="88"/>
      <c r="J1206" s="88"/>
      <c r="K1206" s="89"/>
      <c r="L1206" s="89"/>
      <c r="M1206" s="88"/>
      <c r="O1206" s="88"/>
      <c r="P1206" s="88"/>
    </row>
    <row r="1207" spans="1:16" hidden="1">
      <c r="A1207" s="197" t="s">
        <v>940</v>
      </c>
      <c r="B1207" s="198"/>
      <c r="C1207" s="198">
        <v>0</v>
      </c>
      <c r="D1207" s="188"/>
      <c r="E1207" s="189">
        <f t="shared" si="205"/>
        <v>0</v>
      </c>
      <c r="F1207" s="190" t="e">
        <f t="shared" si="207"/>
        <v>#DIV/0!</v>
      </c>
      <c r="H1207" s="89">
        <v>18000</v>
      </c>
      <c r="I1207" s="89"/>
      <c r="J1207" s="89"/>
      <c r="K1207" s="89"/>
      <c r="L1207" s="89"/>
      <c r="M1207" s="89"/>
      <c r="O1207" s="89"/>
      <c r="P1207" s="89"/>
    </row>
    <row r="1208" spans="1:16" hidden="1">
      <c r="A1208" s="187" t="s">
        <v>941</v>
      </c>
      <c r="B1208" s="188">
        <v>198700</v>
      </c>
      <c r="C1208" s="188">
        <v>31000</v>
      </c>
      <c r="D1208" s="188"/>
      <c r="E1208" s="189">
        <f t="shared" si="205"/>
        <v>-31000</v>
      </c>
      <c r="F1208" s="190">
        <f t="shared" si="207"/>
        <v>-100</v>
      </c>
      <c r="H1208" s="88">
        <v>409600</v>
      </c>
      <c r="I1208" s="88"/>
      <c r="J1208" s="88"/>
      <c r="K1208" s="89"/>
      <c r="L1208" s="89"/>
      <c r="M1208" s="88"/>
      <c r="O1208" s="88"/>
      <c r="P1208" s="88"/>
    </row>
    <row r="1209" spans="1:16">
      <c r="A1209" s="187" t="s">
        <v>942</v>
      </c>
      <c r="B1209" s="188">
        <v>600</v>
      </c>
      <c r="C1209" s="188">
        <v>765</v>
      </c>
      <c r="D1209" s="188"/>
      <c r="E1209" s="189">
        <f t="shared" si="205"/>
        <v>-765</v>
      </c>
      <c r="F1209" s="190">
        <f t="shared" si="207"/>
        <v>-100</v>
      </c>
      <c r="H1209" s="88">
        <f t="shared" ref="H1209:M1209" si="208">SUM(H1210:H1214)</f>
        <v>0</v>
      </c>
      <c r="I1209" s="88">
        <f t="shared" si="208"/>
        <v>450</v>
      </c>
      <c r="J1209" s="88">
        <f t="shared" si="208"/>
        <v>0</v>
      </c>
      <c r="K1209" s="89">
        <f t="shared" si="208"/>
        <v>0</v>
      </c>
      <c r="L1209" s="89">
        <f t="shared" si="208"/>
        <v>160</v>
      </c>
      <c r="M1209" s="88">
        <f t="shared" si="208"/>
        <v>0</v>
      </c>
      <c r="O1209" s="88">
        <f>SUM(O1210:O1214)</f>
        <v>0</v>
      </c>
      <c r="P1209" s="88">
        <f>SUM(P1210:P1214)</f>
        <v>0</v>
      </c>
    </row>
    <row r="1210" spans="1:16" ht="12.75" hidden="1" customHeight="1">
      <c r="A1210" s="187" t="s">
        <v>943</v>
      </c>
      <c r="B1210" s="188"/>
      <c r="C1210" s="188"/>
      <c r="D1210" s="188"/>
      <c r="E1210" s="189">
        <f t="shared" si="205"/>
        <v>0</v>
      </c>
      <c r="F1210" s="190" t="e">
        <f t="shared" si="207"/>
        <v>#DIV/0!</v>
      </c>
      <c r="H1210" s="88"/>
      <c r="I1210" s="88"/>
      <c r="J1210" s="88"/>
      <c r="K1210" s="89"/>
      <c r="L1210" s="89"/>
      <c r="M1210" s="88"/>
      <c r="O1210" s="88"/>
      <c r="P1210" s="88"/>
    </row>
    <row r="1211" spans="1:16" ht="12.75" hidden="1" customHeight="1">
      <c r="A1211" s="187" t="s">
        <v>944</v>
      </c>
      <c r="B1211" s="188"/>
      <c r="C1211" s="188"/>
      <c r="D1211" s="188"/>
      <c r="E1211" s="189">
        <f t="shared" si="205"/>
        <v>0</v>
      </c>
      <c r="F1211" s="190" t="e">
        <f t="shared" si="207"/>
        <v>#DIV/0!</v>
      </c>
      <c r="H1211" s="88"/>
      <c r="I1211" s="88"/>
      <c r="J1211" s="88"/>
      <c r="K1211" s="89"/>
      <c r="L1211" s="89"/>
      <c r="M1211" s="88"/>
      <c r="O1211" s="88"/>
      <c r="P1211" s="88"/>
    </row>
    <row r="1212" spans="1:16" ht="12.75" hidden="1" customHeight="1">
      <c r="A1212" s="187" t="s">
        <v>945</v>
      </c>
      <c r="B1212" s="188"/>
      <c r="C1212" s="188"/>
      <c r="D1212" s="188"/>
      <c r="E1212" s="189">
        <f t="shared" si="205"/>
        <v>0</v>
      </c>
      <c r="F1212" s="190" t="e">
        <f t="shared" si="207"/>
        <v>#DIV/0!</v>
      </c>
      <c r="H1212" s="88"/>
      <c r="I1212" s="88"/>
      <c r="J1212" s="88"/>
      <c r="K1212" s="89"/>
      <c r="L1212" s="89"/>
      <c r="M1212" s="88"/>
      <c r="O1212" s="88"/>
      <c r="P1212" s="88"/>
    </row>
    <row r="1213" spans="1:16" ht="12.75" hidden="1" customHeight="1">
      <c r="A1213" s="187" t="s">
        <v>946</v>
      </c>
      <c r="B1213" s="188"/>
      <c r="C1213" s="188"/>
      <c r="D1213" s="188"/>
      <c r="E1213" s="189">
        <f t="shared" si="205"/>
        <v>0</v>
      </c>
      <c r="F1213" s="190" t="e">
        <f t="shared" si="207"/>
        <v>#DIV/0!</v>
      </c>
      <c r="H1213" s="88"/>
      <c r="I1213" s="88"/>
      <c r="J1213" s="88"/>
      <c r="K1213" s="89"/>
      <c r="L1213" s="89"/>
      <c r="M1213" s="88"/>
      <c r="O1213" s="88"/>
      <c r="P1213" s="88"/>
    </row>
    <row r="1214" spans="1:16" ht="12.75" hidden="1" customHeight="1">
      <c r="A1214" s="187" t="s">
        <v>947</v>
      </c>
      <c r="B1214" s="188"/>
      <c r="C1214" s="188"/>
      <c r="D1214" s="188"/>
      <c r="E1214" s="189">
        <f t="shared" si="205"/>
        <v>0</v>
      </c>
      <c r="F1214" s="190" t="e">
        <f t="shared" si="207"/>
        <v>#DIV/0!</v>
      </c>
      <c r="H1214" s="88"/>
      <c r="I1214" s="88">
        <v>450</v>
      </c>
      <c r="J1214" s="88"/>
      <c r="K1214" s="89"/>
      <c r="L1214" s="89">
        <v>160</v>
      </c>
      <c r="M1214" s="88"/>
      <c r="O1214" s="88"/>
      <c r="P1214" s="88"/>
    </row>
    <row r="1215" spans="1:16">
      <c r="A1215" s="187" t="s">
        <v>948</v>
      </c>
      <c r="B1215" s="188"/>
      <c r="C1215" s="188"/>
      <c r="D1215" s="188"/>
      <c r="E1215" s="189"/>
      <c r="F1215" s="190"/>
      <c r="H1215" s="88">
        <f t="shared" ref="H1215:M1215" si="209">SUM(H1216:H1218)</f>
        <v>31000</v>
      </c>
      <c r="I1215" s="88">
        <f t="shared" si="209"/>
        <v>0</v>
      </c>
      <c r="J1215" s="88">
        <f t="shared" si="209"/>
        <v>0</v>
      </c>
      <c r="K1215" s="89">
        <f t="shared" si="209"/>
        <v>0</v>
      </c>
      <c r="L1215" s="89">
        <f t="shared" si="209"/>
        <v>0</v>
      </c>
      <c r="M1215" s="88">
        <f t="shared" si="209"/>
        <v>0</v>
      </c>
      <c r="O1215" s="88">
        <f>SUM(O1216:O1218)</f>
        <v>0</v>
      </c>
      <c r="P1215" s="88">
        <f>SUM(P1216:P1218)</f>
        <v>0</v>
      </c>
    </row>
    <row r="1216" spans="1:16">
      <c r="A1216" s="187" t="s">
        <v>931</v>
      </c>
      <c r="B1216" s="188"/>
      <c r="C1216" s="188"/>
      <c r="D1216" s="188"/>
      <c r="E1216" s="189"/>
      <c r="F1216" s="190"/>
      <c r="H1216" s="88">
        <v>31000</v>
      </c>
      <c r="I1216" s="88"/>
      <c r="J1216" s="88"/>
      <c r="K1216" s="89"/>
      <c r="L1216" s="89"/>
      <c r="M1216" s="88"/>
      <c r="O1216" s="88"/>
      <c r="P1216" s="88"/>
    </row>
    <row r="1217" spans="1:16" ht="12.75" hidden="1" customHeight="1">
      <c r="A1217" s="187" t="s">
        <v>932</v>
      </c>
      <c r="B1217" s="188"/>
      <c r="C1217" s="188"/>
      <c r="D1217" s="188"/>
      <c r="E1217" s="189"/>
      <c r="F1217" s="190"/>
      <c r="H1217" s="88"/>
      <c r="I1217" s="88"/>
      <c r="J1217" s="88"/>
      <c r="K1217" s="89"/>
      <c r="L1217" s="89"/>
      <c r="M1217" s="88"/>
      <c r="O1217" s="88"/>
      <c r="P1217" s="88"/>
    </row>
    <row r="1218" spans="1:16" ht="12.75" hidden="1" customHeight="1">
      <c r="A1218" s="187" t="s">
        <v>949</v>
      </c>
      <c r="B1218" s="188"/>
      <c r="C1218" s="188"/>
      <c r="D1218" s="188"/>
      <c r="E1218" s="189"/>
      <c r="F1218" s="190"/>
      <c r="H1218" s="88"/>
      <c r="I1218" s="88"/>
      <c r="J1218" s="88"/>
      <c r="K1218" s="89"/>
      <c r="L1218" s="89"/>
      <c r="M1218" s="88"/>
      <c r="O1218" s="88"/>
      <c r="P1218" s="88"/>
    </row>
    <row r="1219" spans="1:16">
      <c r="A1219" s="187" t="s">
        <v>950</v>
      </c>
      <c r="B1219" s="188"/>
      <c r="C1219" s="188"/>
      <c r="D1219" s="188"/>
      <c r="E1219" s="189"/>
      <c r="F1219" s="190"/>
      <c r="H1219" s="88">
        <v>500</v>
      </c>
      <c r="I1219" s="88"/>
      <c r="J1219" s="88"/>
      <c r="K1219" s="89"/>
      <c r="L1219" s="89"/>
      <c r="M1219" s="88"/>
      <c r="O1219" s="88"/>
      <c r="P1219" s="88"/>
    </row>
    <row r="1220" spans="1:16" ht="12.75" hidden="1" customHeight="1">
      <c r="A1220" s="187" t="s">
        <v>951</v>
      </c>
      <c r="B1220" s="188">
        <f>SUM(B1221:B1224)</f>
        <v>0</v>
      </c>
      <c r="C1220" s="188">
        <f>SUM(C1221:C1224)</f>
        <v>0</v>
      </c>
      <c r="D1220" s="188">
        <f>SUM(D1221:D1224)</f>
        <v>0</v>
      </c>
      <c r="E1220" s="189">
        <f t="shared" si="205"/>
        <v>0</v>
      </c>
      <c r="F1220" s="190" t="e">
        <f t="shared" si="207"/>
        <v>#DIV/0!</v>
      </c>
      <c r="H1220" s="88">
        <f t="shared" ref="H1220:M1220" si="210">SUM(H1221:H1224)</f>
        <v>0</v>
      </c>
      <c r="I1220" s="88">
        <f t="shared" si="210"/>
        <v>0</v>
      </c>
      <c r="J1220" s="88">
        <f t="shared" si="210"/>
        <v>0</v>
      </c>
      <c r="K1220" s="89">
        <f t="shared" si="210"/>
        <v>0</v>
      </c>
      <c r="L1220" s="89">
        <f t="shared" si="210"/>
        <v>0</v>
      </c>
      <c r="M1220" s="88">
        <f t="shared" si="210"/>
        <v>0</v>
      </c>
      <c r="O1220" s="88">
        <f>SUM(O1221:O1224)</f>
        <v>0</v>
      </c>
      <c r="P1220" s="88">
        <f>SUM(P1221:P1224)</f>
        <v>0</v>
      </c>
    </row>
    <row r="1221" spans="1:16" ht="12.75" hidden="1" customHeight="1">
      <c r="A1221" s="187" t="s">
        <v>952</v>
      </c>
      <c r="B1221" s="188"/>
      <c r="C1221" s="188"/>
      <c r="D1221" s="188"/>
      <c r="E1221" s="189">
        <f t="shared" si="205"/>
        <v>0</v>
      </c>
      <c r="F1221" s="190" t="e">
        <f t="shared" si="207"/>
        <v>#DIV/0!</v>
      </c>
      <c r="H1221" s="88"/>
      <c r="I1221" s="88"/>
      <c r="J1221" s="88"/>
      <c r="K1221" s="89"/>
      <c r="L1221" s="89"/>
      <c r="M1221" s="88"/>
      <c r="O1221" s="88"/>
      <c r="P1221" s="88"/>
    </row>
    <row r="1222" spans="1:16" ht="12.75" hidden="1" customHeight="1">
      <c r="A1222" s="187" t="s">
        <v>953</v>
      </c>
      <c r="B1222" s="188"/>
      <c r="C1222" s="188"/>
      <c r="D1222" s="188"/>
      <c r="E1222" s="189">
        <f t="shared" si="205"/>
        <v>0</v>
      </c>
      <c r="F1222" s="190" t="e">
        <f t="shared" si="207"/>
        <v>#DIV/0!</v>
      </c>
      <c r="H1222" s="88"/>
      <c r="I1222" s="88"/>
      <c r="J1222" s="88"/>
      <c r="K1222" s="89"/>
      <c r="L1222" s="89"/>
      <c r="M1222" s="88"/>
      <c r="O1222" s="88"/>
      <c r="P1222" s="88"/>
    </row>
    <row r="1223" spans="1:16" ht="12.75" hidden="1" customHeight="1">
      <c r="A1223" s="187" t="s">
        <v>954</v>
      </c>
      <c r="B1223" s="188"/>
      <c r="C1223" s="188"/>
      <c r="D1223" s="188"/>
      <c r="E1223" s="189">
        <f t="shared" si="205"/>
        <v>0</v>
      </c>
      <c r="F1223" s="190" t="e">
        <f t="shared" si="207"/>
        <v>#DIV/0!</v>
      </c>
      <c r="H1223" s="88"/>
      <c r="I1223" s="88"/>
      <c r="J1223" s="88"/>
      <c r="K1223" s="89"/>
      <c r="L1223" s="89"/>
      <c r="M1223" s="88"/>
      <c r="O1223" s="88"/>
      <c r="P1223" s="88"/>
    </row>
    <row r="1224" spans="1:16" ht="12.75" hidden="1" customHeight="1">
      <c r="A1224" s="187" t="s">
        <v>955</v>
      </c>
      <c r="B1224" s="188"/>
      <c r="C1224" s="188"/>
      <c r="D1224" s="188"/>
      <c r="E1224" s="189">
        <f t="shared" si="205"/>
        <v>0</v>
      </c>
      <c r="F1224" s="190" t="e">
        <f t="shared" si="207"/>
        <v>#DIV/0!</v>
      </c>
      <c r="H1224" s="88"/>
      <c r="I1224" s="88"/>
      <c r="J1224" s="88"/>
      <c r="K1224" s="89"/>
      <c r="L1224" s="89"/>
      <c r="M1224" s="88"/>
      <c r="O1224" s="88"/>
      <c r="P1224" s="88"/>
    </row>
    <row r="1225" spans="1:16">
      <c r="A1225" s="187" t="s">
        <v>956</v>
      </c>
      <c r="B1225" s="188">
        <v>10000</v>
      </c>
      <c r="C1225" s="188">
        <v>10000</v>
      </c>
      <c r="D1225" s="188">
        <v>12000</v>
      </c>
      <c r="E1225" s="189">
        <f t="shared" si="205"/>
        <v>2000</v>
      </c>
      <c r="F1225" s="190">
        <f t="shared" si="207"/>
        <v>20</v>
      </c>
      <c r="H1225" s="88">
        <f t="shared" ref="H1225:M1225" si="211">SUM(H1226:H1230)</f>
        <v>0</v>
      </c>
      <c r="I1225" s="88">
        <f t="shared" si="211"/>
        <v>0</v>
      </c>
      <c r="J1225" s="88">
        <f t="shared" si="211"/>
        <v>0</v>
      </c>
      <c r="K1225" s="89">
        <f t="shared" si="211"/>
        <v>0</v>
      </c>
      <c r="L1225" s="89">
        <f t="shared" si="211"/>
        <v>0</v>
      </c>
      <c r="M1225" s="88">
        <f t="shared" si="211"/>
        <v>0</v>
      </c>
      <c r="O1225" s="88">
        <f>SUM(O1226:O1230)</f>
        <v>0</v>
      </c>
      <c r="P1225" s="88">
        <f>SUM(P1226:P1230)</f>
        <v>0</v>
      </c>
    </row>
    <row r="1226" spans="1:16" ht="12.75" hidden="1" customHeight="1">
      <c r="A1226" s="187" t="s">
        <v>943</v>
      </c>
      <c r="B1226" s="188"/>
      <c r="C1226" s="188"/>
      <c r="D1226" s="188"/>
      <c r="E1226" s="189">
        <f t="shared" si="205"/>
        <v>0</v>
      </c>
      <c r="F1226" s="190" t="e">
        <f t="shared" si="207"/>
        <v>#DIV/0!</v>
      </c>
      <c r="H1226" s="88"/>
      <c r="I1226" s="88"/>
      <c r="J1226" s="88"/>
      <c r="K1226" s="89"/>
      <c r="L1226" s="89"/>
      <c r="M1226" s="88"/>
      <c r="O1226" s="88"/>
      <c r="P1226" s="88"/>
    </row>
    <row r="1227" spans="1:16" ht="12.75" hidden="1" customHeight="1">
      <c r="A1227" s="187" t="s">
        <v>944</v>
      </c>
      <c r="B1227" s="188"/>
      <c r="C1227" s="188"/>
      <c r="D1227" s="188"/>
      <c r="E1227" s="189">
        <f t="shared" si="205"/>
        <v>0</v>
      </c>
      <c r="F1227" s="190" t="e">
        <f t="shared" si="207"/>
        <v>#DIV/0!</v>
      </c>
      <c r="H1227" s="88"/>
      <c r="I1227" s="88"/>
      <c r="J1227" s="88"/>
      <c r="K1227" s="89"/>
      <c r="L1227" s="89"/>
      <c r="M1227" s="88"/>
      <c r="O1227" s="88"/>
      <c r="P1227" s="88"/>
    </row>
    <row r="1228" spans="1:16" ht="12.75" hidden="1" customHeight="1">
      <c r="A1228" s="187" t="s">
        <v>945</v>
      </c>
      <c r="B1228" s="188"/>
      <c r="C1228" s="188"/>
      <c r="D1228" s="188"/>
      <c r="E1228" s="189">
        <f t="shared" si="205"/>
        <v>0</v>
      </c>
      <c r="F1228" s="190" t="e">
        <f t="shared" si="207"/>
        <v>#DIV/0!</v>
      </c>
      <c r="H1228" s="88"/>
      <c r="I1228" s="88"/>
      <c r="J1228" s="88"/>
      <c r="K1228" s="89"/>
      <c r="L1228" s="89"/>
      <c r="M1228" s="88"/>
      <c r="O1228" s="88"/>
      <c r="P1228" s="88"/>
    </row>
    <row r="1229" spans="1:16" ht="12.75" hidden="1" customHeight="1">
      <c r="A1229" s="187" t="s">
        <v>946</v>
      </c>
      <c r="B1229" s="188"/>
      <c r="C1229" s="188"/>
      <c r="D1229" s="188"/>
      <c r="E1229" s="189">
        <f t="shared" si="205"/>
        <v>0</v>
      </c>
      <c r="F1229" s="190" t="e">
        <f t="shared" si="207"/>
        <v>#DIV/0!</v>
      </c>
      <c r="H1229" s="88"/>
      <c r="I1229" s="88"/>
      <c r="J1229" s="88"/>
      <c r="K1229" s="89"/>
      <c r="L1229" s="89"/>
      <c r="M1229" s="88"/>
      <c r="O1229" s="88"/>
      <c r="P1229" s="88"/>
    </row>
    <row r="1230" spans="1:16" ht="12.75" hidden="1" customHeight="1">
      <c r="A1230" s="187" t="s">
        <v>957</v>
      </c>
      <c r="B1230" s="188"/>
      <c r="C1230" s="188"/>
      <c r="D1230" s="188"/>
      <c r="E1230" s="189">
        <f t="shared" si="205"/>
        <v>0</v>
      </c>
      <c r="F1230" s="190" t="e">
        <f t="shared" si="207"/>
        <v>#DIV/0!</v>
      </c>
      <c r="H1230" s="88"/>
      <c r="I1230" s="88"/>
      <c r="J1230" s="88"/>
      <c r="K1230" s="89"/>
      <c r="L1230" s="89"/>
      <c r="M1230" s="88"/>
      <c r="O1230" s="88"/>
      <c r="P1230" s="88"/>
    </row>
    <row r="1231" spans="1:16" ht="12.75" hidden="1" customHeight="1">
      <c r="A1231" s="187" t="s">
        <v>616</v>
      </c>
      <c r="B1231" s="188">
        <f>SUM(B1232,B1238,B1243)</f>
        <v>0</v>
      </c>
      <c r="C1231" s="188">
        <f>SUM(C1232,C1238,C1243)</f>
        <v>0</v>
      </c>
      <c r="D1231" s="188">
        <f>SUM(D1232,D1238,D1243)</f>
        <v>0</v>
      </c>
      <c r="E1231" s="189">
        <f t="shared" si="205"/>
        <v>0</v>
      </c>
      <c r="F1231" s="190" t="e">
        <f t="shared" si="207"/>
        <v>#DIV/0!</v>
      </c>
      <c r="H1231" s="88">
        <f t="shared" ref="H1231:M1231" si="212">SUM(H1232,H1238,H1243)</f>
        <v>0</v>
      </c>
      <c r="I1231" s="88">
        <f t="shared" si="212"/>
        <v>0</v>
      </c>
      <c r="J1231" s="88">
        <f t="shared" si="212"/>
        <v>0</v>
      </c>
      <c r="K1231" s="89">
        <f t="shared" si="212"/>
        <v>0</v>
      </c>
      <c r="L1231" s="89">
        <f t="shared" si="212"/>
        <v>0</v>
      </c>
      <c r="M1231" s="88">
        <f t="shared" si="212"/>
        <v>0</v>
      </c>
      <c r="O1231" s="88">
        <f>SUM(O1232,O1238,O1243)</f>
        <v>0</v>
      </c>
      <c r="P1231" s="88">
        <f>SUM(P1232,P1238,P1243)</f>
        <v>0</v>
      </c>
    </row>
    <row r="1232" spans="1:16" ht="12.75" hidden="1" customHeight="1">
      <c r="A1232" s="187" t="s">
        <v>958</v>
      </c>
      <c r="B1232" s="188">
        <f>SUM(B1233:B1237)</f>
        <v>0</v>
      </c>
      <c r="C1232" s="188">
        <f>SUM(C1233:C1237)</f>
        <v>0</v>
      </c>
      <c r="D1232" s="188">
        <f>SUM(D1233:D1237)</f>
        <v>0</v>
      </c>
      <c r="E1232" s="189">
        <f t="shared" si="205"/>
        <v>0</v>
      </c>
      <c r="F1232" s="190" t="e">
        <f t="shared" si="207"/>
        <v>#DIV/0!</v>
      </c>
      <c r="H1232" s="88">
        <f t="shared" ref="H1232:M1232" si="213">SUM(H1233:H1237)</f>
        <v>0</v>
      </c>
      <c r="I1232" s="88">
        <f t="shared" si="213"/>
        <v>0</v>
      </c>
      <c r="J1232" s="88">
        <f t="shared" si="213"/>
        <v>0</v>
      </c>
      <c r="K1232" s="89">
        <f t="shared" si="213"/>
        <v>0</v>
      </c>
      <c r="L1232" s="89">
        <f t="shared" si="213"/>
        <v>0</v>
      </c>
      <c r="M1232" s="88">
        <f t="shared" si="213"/>
        <v>0</v>
      </c>
      <c r="O1232" s="88">
        <f>SUM(O1233:O1237)</f>
        <v>0</v>
      </c>
      <c r="P1232" s="88">
        <f>SUM(P1233:P1237)</f>
        <v>0</v>
      </c>
    </row>
    <row r="1233" spans="1:16" ht="12.75" hidden="1" customHeight="1">
      <c r="A1233" s="187" t="s">
        <v>959</v>
      </c>
      <c r="B1233" s="188"/>
      <c r="C1233" s="188"/>
      <c r="D1233" s="188"/>
      <c r="E1233" s="189">
        <f t="shared" si="205"/>
        <v>0</v>
      </c>
      <c r="F1233" s="190" t="e">
        <f t="shared" si="207"/>
        <v>#DIV/0!</v>
      </c>
      <c r="H1233" s="88"/>
      <c r="I1233" s="88"/>
      <c r="J1233" s="88"/>
      <c r="K1233" s="89"/>
      <c r="L1233" s="89"/>
      <c r="M1233" s="88"/>
      <c r="O1233" s="88"/>
      <c r="P1233" s="88"/>
    </row>
    <row r="1234" spans="1:16" ht="12.75" hidden="1" customHeight="1">
      <c r="A1234" s="187" t="s">
        <v>960</v>
      </c>
      <c r="B1234" s="188"/>
      <c r="C1234" s="188"/>
      <c r="D1234" s="188"/>
      <c r="E1234" s="189">
        <f t="shared" si="205"/>
        <v>0</v>
      </c>
      <c r="F1234" s="190" t="e">
        <f t="shared" si="207"/>
        <v>#DIV/0!</v>
      </c>
      <c r="H1234" s="88"/>
      <c r="I1234" s="88"/>
      <c r="J1234" s="88"/>
      <c r="K1234" s="89"/>
      <c r="L1234" s="89"/>
      <c r="M1234" s="88"/>
      <c r="O1234" s="88"/>
      <c r="P1234" s="88"/>
    </row>
    <row r="1235" spans="1:16" ht="12.75" hidden="1" customHeight="1">
      <c r="A1235" s="187" t="s">
        <v>961</v>
      </c>
      <c r="B1235" s="188"/>
      <c r="C1235" s="188"/>
      <c r="D1235" s="188"/>
      <c r="E1235" s="189">
        <f t="shared" si="205"/>
        <v>0</v>
      </c>
      <c r="F1235" s="190" t="e">
        <f t="shared" si="207"/>
        <v>#DIV/0!</v>
      </c>
      <c r="H1235" s="88"/>
      <c r="I1235" s="88"/>
      <c r="J1235" s="88"/>
      <c r="K1235" s="89"/>
      <c r="L1235" s="89"/>
      <c r="M1235" s="88"/>
      <c r="O1235" s="88"/>
      <c r="P1235" s="88"/>
    </row>
    <row r="1236" spans="1:16" ht="12.75" hidden="1" customHeight="1">
      <c r="A1236" s="187" t="s">
        <v>962</v>
      </c>
      <c r="B1236" s="188"/>
      <c r="C1236" s="188"/>
      <c r="D1236" s="188"/>
      <c r="E1236" s="189">
        <f t="shared" si="205"/>
        <v>0</v>
      </c>
      <c r="F1236" s="190" t="e">
        <f t="shared" si="207"/>
        <v>#DIV/0!</v>
      </c>
      <c r="H1236" s="88"/>
      <c r="I1236" s="88"/>
      <c r="J1236" s="88"/>
      <c r="K1236" s="89"/>
      <c r="L1236" s="89"/>
      <c r="M1236" s="88"/>
      <c r="O1236" s="88"/>
      <c r="P1236" s="88"/>
    </row>
    <row r="1237" spans="1:16" ht="12.75" hidden="1" customHeight="1">
      <c r="A1237" s="187" t="s">
        <v>963</v>
      </c>
      <c r="B1237" s="188"/>
      <c r="C1237" s="188"/>
      <c r="D1237" s="188"/>
      <c r="E1237" s="189">
        <f t="shared" si="205"/>
        <v>0</v>
      </c>
      <c r="F1237" s="190" t="e">
        <f t="shared" si="207"/>
        <v>#DIV/0!</v>
      </c>
      <c r="H1237" s="88"/>
      <c r="I1237" s="88"/>
      <c r="J1237" s="88"/>
      <c r="K1237" s="89"/>
      <c r="L1237" s="89"/>
      <c r="M1237" s="88"/>
      <c r="O1237" s="88"/>
      <c r="P1237" s="88"/>
    </row>
    <row r="1238" spans="1:16" ht="12.75" hidden="1" customHeight="1">
      <c r="A1238" s="187" t="s">
        <v>964</v>
      </c>
      <c r="B1238" s="188">
        <f>SUM(B1239:B1242)</f>
        <v>0</v>
      </c>
      <c r="C1238" s="188">
        <f>SUM(C1239:C1242)</f>
        <v>0</v>
      </c>
      <c r="D1238" s="188">
        <f>SUM(D1239:D1242)</f>
        <v>0</v>
      </c>
      <c r="E1238" s="189">
        <f t="shared" si="205"/>
        <v>0</v>
      </c>
      <c r="F1238" s="190" t="e">
        <f t="shared" si="207"/>
        <v>#DIV/0!</v>
      </c>
      <c r="H1238" s="88">
        <f t="shared" ref="H1238:M1238" si="214">SUM(H1239:H1242)</f>
        <v>0</v>
      </c>
      <c r="I1238" s="88">
        <f t="shared" si="214"/>
        <v>0</v>
      </c>
      <c r="J1238" s="88">
        <f t="shared" si="214"/>
        <v>0</v>
      </c>
      <c r="K1238" s="89">
        <f t="shared" si="214"/>
        <v>0</v>
      </c>
      <c r="L1238" s="89">
        <f t="shared" si="214"/>
        <v>0</v>
      </c>
      <c r="M1238" s="88">
        <f t="shared" si="214"/>
        <v>0</v>
      </c>
      <c r="O1238" s="88">
        <f>SUM(O1239:O1242)</f>
        <v>0</v>
      </c>
      <c r="P1238" s="88">
        <f>SUM(P1239:P1242)</f>
        <v>0</v>
      </c>
    </row>
    <row r="1239" spans="1:16" ht="12.75" hidden="1" customHeight="1">
      <c r="A1239" s="187" t="s">
        <v>965</v>
      </c>
      <c r="B1239" s="188"/>
      <c r="C1239" s="188"/>
      <c r="D1239" s="188"/>
      <c r="E1239" s="189">
        <f t="shared" si="205"/>
        <v>0</v>
      </c>
      <c r="F1239" s="190" t="e">
        <f t="shared" si="207"/>
        <v>#DIV/0!</v>
      </c>
      <c r="H1239" s="88"/>
      <c r="I1239" s="88"/>
      <c r="J1239" s="88"/>
      <c r="K1239" s="89"/>
      <c r="L1239" s="89"/>
      <c r="M1239" s="88"/>
      <c r="O1239" s="88"/>
      <c r="P1239" s="88"/>
    </row>
    <row r="1240" spans="1:16" ht="12.75" hidden="1" customHeight="1">
      <c r="A1240" s="187" t="s">
        <v>966</v>
      </c>
      <c r="B1240" s="188"/>
      <c r="C1240" s="188"/>
      <c r="D1240" s="188"/>
      <c r="E1240" s="189">
        <f t="shared" si="205"/>
        <v>0</v>
      </c>
      <c r="F1240" s="190" t="e">
        <f t="shared" si="207"/>
        <v>#DIV/0!</v>
      </c>
      <c r="H1240" s="88"/>
      <c r="I1240" s="88"/>
      <c r="J1240" s="88"/>
      <c r="K1240" s="89"/>
      <c r="L1240" s="89"/>
      <c r="M1240" s="88"/>
      <c r="O1240" s="88"/>
      <c r="P1240" s="88"/>
    </row>
    <row r="1241" spans="1:16" ht="12.75" hidden="1" customHeight="1">
      <c r="A1241" s="187" t="s">
        <v>967</v>
      </c>
      <c r="B1241" s="188"/>
      <c r="C1241" s="188"/>
      <c r="D1241" s="188"/>
      <c r="E1241" s="189">
        <f t="shared" si="205"/>
        <v>0</v>
      </c>
      <c r="F1241" s="190" t="e">
        <f t="shared" si="207"/>
        <v>#DIV/0!</v>
      </c>
      <c r="H1241" s="88"/>
      <c r="I1241" s="88"/>
      <c r="J1241" s="88"/>
      <c r="K1241" s="89"/>
      <c r="L1241" s="89"/>
      <c r="M1241" s="88"/>
      <c r="O1241" s="88"/>
      <c r="P1241" s="88"/>
    </row>
    <row r="1242" spans="1:16" ht="12.75" hidden="1" customHeight="1">
      <c r="A1242" s="187" t="s">
        <v>968</v>
      </c>
      <c r="B1242" s="188"/>
      <c r="C1242" s="188"/>
      <c r="D1242" s="188"/>
      <c r="E1242" s="189">
        <f t="shared" si="205"/>
        <v>0</v>
      </c>
      <c r="F1242" s="190" t="e">
        <f t="shared" si="207"/>
        <v>#DIV/0!</v>
      </c>
      <c r="H1242" s="88"/>
      <c r="I1242" s="88"/>
      <c r="J1242" s="88"/>
      <c r="K1242" s="89"/>
      <c r="L1242" s="89"/>
      <c r="M1242" s="88"/>
      <c r="O1242" s="88"/>
      <c r="P1242" s="88"/>
    </row>
    <row r="1243" spans="1:16" ht="12.75" customHeight="1">
      <c r="A1243" s="187" t="s">
        <v>969</v>
      </c>
      <c r="B1243" s="188">
        <v>0</v>
      </c>
      <c r="C1243" s="188">
        <f>SUM(C1244:C1245)</f>
        <v>0</v>
      </c>
      <c r="D1243" s="188">
        <v>0</v>
      </c>
      <c r="E1243" s="189">
        <f t="shared" si="205"/>
        <v>0</v>
      </c>
      <c r="F1243" s="190"/>
      <c r="H1243" s="88">
        <f t="shared" ref="H1243:M1243" si="215">SUM(H1244:H1245)</f>
        <v>0</v>
      </c>
      <c r="I1243" s="88">
        <f t="shared" si="215"/>
        <v>0</v>
      </c>
      <c r="J1243" s="88">
        <f t="shared" si="215"/>
        <v>0</v>
      </c>
      <c r="K1243" s="89">
        <f t="shared" si="215"/>
        <v>0</v>
      </c>
      <c r="L1243" s="89">
        <f t="shared" si="215"/>
        <v>0</v>
      </c>
      <c r="M1243" s="88">
        <f t="shared" si="215"/>
        <v>0</v>
      </c>
      <c r="O1243" s="88">
        <f>SUM(O1244:O1245)</f>
        <v>0</v>
      </c>
      <c r="P1243" s="88">
        <f>SUM(P1244:P1245)</f>
        <v>0</v>
      </c>
    </row>
    <row r="1244" spans="1:16" ht="12.75" hidden="1" customHeight="1">
      <c r="A1244" s="187"/>
      <c r="B1244" s="188"/>
      <c r="C1244" s="188"/>
      <c r="D1244" s="188"/>
      <c r="E1244" s="189">
        <f t="shared" si="205"/>
        <v>0</v>
      </c>
      <c r="F1244" s="190" t="e">
        <f t="shared" si="207"/>
        <v>#DIV/0!</v>
      </c>
      <c r="H1244" s="88"/>
      <c r="I1244" s="88"/>
      <c r="J1244" s="88"/>
      <c r="K1244" s="89"/>
      <c r="L1244" s="89"/>
      <c r="M1244" s="88"/>
      <c r="O1244" s="88"/>
      <c r="P1244" s="88"/>
    </row>
    <row r="1245" spans="1:16" ht="12.75" hidden="1" customHeight="1">
      <c r="A1245" s="187"/>
      <c r="B1245" s="188"/>
      <c r="C1245" s="188"/>
      <c r="D1245" s="188"/>
      <c r="E1245" s="189">
        <f t="shared" si="205"/>
        <v>0</v>
      </c>
      <c r="F1245" s="190" t="e">
        <f t="shared" si="207"/>
        <v>#DIV/0!</v>
      </c>
      <c r="H1245" s="88"/>
      <c r="I1245" s="88"/>
      <c r="J1245" s="88"/>
      <c r="K1245" s="89"/>
      <c r="L1245" s="89"/>
      <c r="M1245" s="88"/>
      <c r="O1245" s="88"/>
      <c r="P1245" s="88"/>
    </row>
    <row r="1246" spans="1:16" ht="12.75" customHeight="1">
      <c r="A1246" s="187" t="s">
        <v>970</v>
      </c>
      <c r="B1246" s="188">
        <v>800</v>
      </c>
      <c r="C1246" s="188">
        <v>635</v>
      </c>
      <c r="D1246" s="188">
        <v>1000</v>
      </c>
      <c r="E1246" s="189">
        <f t="shared" si="205"/>
        <v>365</v>
      </c>
      <c r="F1246" s="190">
        <f t="shared" si="207"/>
        <v>57.480314960629919</v>
      </c>
      <c r="H1246" s="88">
        <f t="shared" ref="H1246:M1246" si="216">H1247</f>
        <v>0</v>
      </c>
      <c r="I1246" s="88">
        <f t="shared" si="216"/>
        <v>0</v>
      </c>
      <c r="J1246" s="88">
        <f t="shared" si="216"/>
        <v>0</v>
      </c>
      <c r="K1246" s="89">
        <f t="shared" si="216"/>
        <v>0</v>
      </c>
      <c r="L1246" s="89">
        <f t="shared" si="216"/>
        <v>0</v>
      </c>
      <c r="M1246" s="88">
        <f t="shared" si="216"/>
        <v>0</v>
      </c>
      <c r="O1246" s="88">
        <f>O1247</f>
        <v>0</v>
      </c>
      <c r="P1246" s="88">
        <f>P1247</f>
        <v>0</v>
      </c>
    </row>
    <row r="1247" spans="1:16" ht="12.75" customHeight="1">
      <c r="A1247" s="187" t="s">
        <v>971</v>
      </c>
      <c r="B1247" s="188"/>
      <c r="C1247" s="188"/>
      <c r="D1247" s="188"/>
      <c r="E1247" s="189"/>
      <c r="F1247" s="226" t="s">
        <v>1372</v>
      </c>
      <c r="H1247" s="88">
        <f t="shared" ref="H1247:M1247" si="217">SUM(H1248:H1252)</f>
        <v>0</v>
      </c>
      <c r="I1247" s="88">
        <f t="shared" si="217"/>
        <v>0</v>
      </c>
      <c r="J1247" s="88">
        <f t="shared" si="217"/>
        <v>0</v>
      </c>
      <c r="K1247" s="89">
        <f t="shared" si="217"/>
        <v>0</v>
      </c>
      <c r="L1247" s="89">
        <f t="shared" si="217"/>
        <v>0</v>
      </c>
      <c r="M1247" s="88">
        <f t="shared" si="217"/>
        <v>0</v>
      </c>
      <c r="O1247" s="88">
        <f>SUM(O1248:O1252)</f>
        <v>0</v>
      </c>
      <c r="P1247" s="88">
        <f>SUM(P1248:P1252)</f>
        <v>0</v>
      </c>
    </row>
    <row r="1248" spans="1:16" ht="12.75" hidden="1" customHeight="1">
      <c r="A1248" s="187" t="s">
        <v>784</v>
      </c>
      <c r="B1248" s="188"/>
      <c r="C1248" s="188">
        <f>C1249</f>
        <v>0</v>
      </c>
      <c r="D1248" s="188"/>
      <c r="E1248" s="189">
        <f t="shared" si="205"/>
        <v>0</v>
      </c>
      <c r="F1248" s="190"/>
      <c r="H1248" s="88"/>
      <c r="I1248" s="88"/>
      <c r="J1248" s="88"/>
      <c r="K1248" s="89"/>
      <c r="L1248" s="89"/>
      <c r="M1248" s="88"/>
      <c r="O1248" s="88"/>
      <c r="P1248" s="88"/>
    </row>
    <row r="1249" spans="1:16" ht="12.75" hidden="1" customHeight="1">
      <c r="A1249" s="187" t="s">
        <v>972</v>
      </c>
      <c r="B1249" s="188"/>
      <c r="C1249" s="188">
        <f>SUM(C1250:C1254)</f>
        <v>0</v>
      </c>
      <c r="D1249" s="188"/>
      <c r="E1249" s="189">
        <f t="shared" si="205"/>
        <v>0</v>
      </c>
      <c r="F1249" s="190"/>
      <c r="H1249" s="88"/>
      <c r="I1249" s="88"/>
      <c r="J1249" s="88"/>
      <c r="K1249" s="89"/>
      <c r="L1249" s="89"/>
      <c r="M1249" s="88"/>
      <c r="O1249" s="88"/>
      <c r="P1249" s="88"/>
    </row>
    <row r="1250" spans="1:16" ht="12.75" hidden="1" customHeight="1">
      <c r="A1250" s="187" t="s">
        <v>973</v>
      </c>
      <c r="B1250" s="188"/>
      <c r="C1250" s="188"/>
      <c r="D1250" s="188"/>
      <c r="E1250" s="189">
        <f t="shared" si="205"/>
        <v>0</v>
      </c>
      <c r="F1250" s="190"/>
      <c r="H1250" s="88"/>
      <c r="I1250" s="88"/>
      <c r="J1250" s="88"/>
      <c r="K1250" s="89"/>
      <c r="L1250" s="89"/>
      <c r="M1250" s="88"/>
      <c r="O1250" s="88"/>
      <c r="P1250" s="88"/>
    </row>
    <row r="1251" spans="1:16" ht="12.75" hidden="1" customHeight="1">
      <c r="A1251" s="187" t="s">
        <v>974</v>
      </c>
      <c r="B1251" s="188"/>
      <c r="C1251" s="188"/>
      <c r="D1251" s="188"/>
      <c r="E1251" s="189">
        <f t="shared" si="205"/>
        <v>0</v>
      </c>
      <c r="F1251" s="190"/>
      <c r="H1251" s="88"/>
      <c r="I1251" s="88"/>
      <c r="J1251" s="88"/>
      <c r="K1251" s="89"/>
      <c r="L1251" s="89"/>
      <c r="M1251" s="88"/>
      <c r="O1251" s="88"/>
      <c r="P1251" s="88"/>
    </row>
    <row r="1252" spans="1:16" ht="12.75" hidden="1" customHeight="1">
      <c r="A1252" s="187" t="s">
        <v>975</v>
      </c>
      <c r="B1252" s="188"/>
      <c r="C1252" s="188"/>
      <c r="D1252" s="188"/>
      <c r="E1252" s="189">
        <f t="shared" si="205"/>
        <v>0</v>
      </c>
      <c r="F1252" s="190"/>
      <c r="H1252" s="88"/>
      <c r="I1252" s="88"/>
      <c r="J1252" s="88"/>
      <c r="K1252" s="89"/>
      <c r="L1252" s="89"/>
      <c r="M1252" s="88"/>
      <c r="O1252" s="88"/>
      <c r="P1252" s="88"/>
    </row>
    <row r="1253" spans="1:16" ht="12.75" hidden="1" customHeight="1">
      <c r="A1253" s="187" t="s">
        <v>976</v>
      </c>
      <c r="B1253" s="188">
        <f>SUM(B1254:B1255)</f>
        <v>0</v>
      </c>
      <c r="C1253" s="188"/>
      <c r="D1253" s="188">
        <f>SUM(D1254:D1255)</f>
        <v>0</v>
      </c>
      <c r="E1253" s="189">
        <f t="shared" si="205"/>
        <v>0</v>
      </c>
      <c r="F1253" s="190"/>
      <c r="H1253" s="88">
        <f t="shared" ref="H1253:M1253" si="218">SUM(H1254:H1255)</f>
        <v>0</v>
      </c>
      <c r="I1253" s="88">
        <f t="shared" si="218"/>
        <v>571</v>
      </c>
      <c r="J1253" s="88">
        <f t="shared" si="218"/>
        <v>0</v>
      </c>
      <c r="K1253" s="89">
        <f t="shared" si="218"/>
        <v>0</v>
      </c>
      <c r="L1253" s="89">
        <f t="shared" si="218"/>
        <v>337</v>
      </c>
      <c r="M1253" s="88">
        <f t="shared" si="218"/>
        <v>0</v>
      </c>
      <c r="O1253" s="88">
        <f>SUM(O1254:O1255)</f>
        <v>0</v>
      </c>
      <c r="P1253" s="88">
        <f>SUM(P1254:P1255)</f>
        <v>0</v>
      </c>
    </row>
    <row r="1254" spans="1:16" hidden="1">
      <c r="A1254" s="187" t="s">
        <v>977</v>
      </c>
      <c r="B1254" s="198">
        <v>0</v>
      </c>
      <c r="C1254" s="188"/>
      <c r="D1254" s="188">
        <v>0</v>
      </c>
      <c r="E1254" s="189">
        <f t="shared" si="205"/>
        <v>0</v>
      </c>
      <c r="F1254" s="190"/>
      <c r="H1254" s="88"/>
      <c r="I1254" s="88">
        <v>359</v>
      </c>
      <c r="J1254" s="88"/>
      <c r="K1254" s="89"/>
      <c r="L1254" s="89">
        <v>337</v>
      </c>
      <c r="M1254" s="88"/>
      <c r="O1254" s="88"/>
      <c r="P1254" s="88"/>
    </row>
    <row r="1255" spans="1:16" hidden="1">
      <c r="A1255" s="187" t="s">
        <v>978</v>
      </c>
      <c r="B1255" s="198">
        <v>0</v>
      </c>
      <c r="C1255" s="188">
        <f>SUM(C1256:C1257)</f>
        <v>0</v>
      </c>
      <c r="D1255" s="188">
        <v>0</v>
      </c>
      <c r="E1255" s="189">
        <f t="shared" ref="E1255:E1321" si="219">D1255-C1255</f>
        <v>0</v>
      </c>
      <c r="F1255" s="190"/>
      <c r="H1255" s="88"/>
      <c r="I1255" s="88">
        <v>212</v>
      </c>
      <c r="J1255" s="88"/>
      <c r="K1255" s="89"/>
      <c r="L1255" s="89"/>
      <c r="M1255" s="88"/>
      <c r="O1255" s="88"/>
      <c r="P1255" s="88"/>
    </row>
    <row r="1256" spans="1:16" ht="12.75" hidden="1" customHeight="1">
      <c r="A1256" s="197" t="s">
        <v>979</v>
      </c>
      <c r="B1256" s="188"/>
      <c r="C1256" s="198">
        <v>0</v>
      </c>
      <c r="D1256" s="188"/>
      <c r="E1256" s="189">
        <f t="shared" si="219"/>
        <v>0</v>
      </c>
      <c r="F1256" s="190"/>
      <c r="H1256" s="88">
        <f t="shared" ref="H1256:M1256" si="220">SUM(H1257:H1258,H1271)</f>
        <v>0</v>
      </c>
      <c r="I1256" s="88">
        <f t="shared" si="220"/>
        <v>1800</v>
      </c>
      <c r="J1256" s="88">
        <f t="shared" si="220"/>
        <v>0</v>
      </c>
      <c r="K1256" s="89">
        <f t="shared" si="220"/>
        <v>0</v>
      </c>
      <c r="L1256" s="89">
        <f t="shared" si="220"/>
        <v>500</v>
      </c>
      <c r="M1256" s="88">
        <f t="shared" si="220"/>
        <v>0</v>
      </c>
      <c r="O1256" s="88">
        <f>SUM(O1257:O1258,O1271)</f>
        <v>0</v>
      </c>
      <c r="P1256" s="88">
        <f>SUM(P1257:P1258,P1271)</f>
        <v>0</v>
      </c>
    </row>
    <row r="1257" spans="1:16" hidden="1">
      <c r="A1257" s="197" t="s">
        <v>980</v>
      </c>
      <c r="B1257" s="188"/>
      <c r="C1257" s="198">
        <v>0</v>
      </c>
      <c r="D1257" s="188"/>
      <c r="E1257" s="189">
        <f t="shared" si="219"/>
        <v>0</v>
      </c>
      <c r="F1257" s="190"/>
      <c r="H1257" s="88"/>
      <c r="I1257" s="88">
        <v>1800</v>
      </c>
      <c r="J1257" s="88"/>
      <c r="K1257" s="89"/>
      <c r="L1257" s="89"/>
      <c r="M1257" s="88"/>
      <c r="O1257" s="88"/>
      <c r="P1257" s="88"/>
    </row>
    <row r="1258" spans="1:16" hidden="1">
      <c r="A1258" s="187" t="s">
        <v>981</v>
      </c>
      <c r="B1258" s="188"/>
      <c r="C1258" s="188"/>
      <c r="D1258" s="188"/>
      <c r="E1258" s="189"/>
      <c r="F1258" s="190"/>
      <c r="H1258" s="88">
        <f t="shared" ref="H1258:M1258" si="221">SUM(H1259:H1270)</f>
        <v>0</v>
      </c>
      <c r="I1258" s="88">
        <f t="shared" si="221"/>
        <v>0</v>
      </c>
      <c r="J1258" s="88">
        <f t="shared" si="221"/>
        <v>0</v>
      </c>
      <c r="K1258" s="89">
        <f t="shared" si="221"/>
        <v>0</v>
      </c>
      <c r="L1258" s="89">
        <f t="shared" si="221"/>
        <v>500</v>
      </c>
      <c r="M1258" s="88">
        <f t="shared" si="221"/>
        <v>0</v>
      </c>
      <c r="O1258" s="88">
        <f>SUM(O1259:O1270)</f>
        <v>0</v>
      </c>
      <c r="P1258" s="88">
        <f>SUM(P1259:P1270)</f>
        <v>0</v>
      </c>
    </row>
    <row r="1259" spans="1:16" ht="12.75" customHeight="1">
      <c r="A1259" s="187" t="s">
        <v>982</v>
      </c>
      <c r="B1259" s="188"/>
      <c r="C1259" s="188"/>
      <c r="D1259" s="188"/>
      <c r="E1259" s="189">
        <f t="shared" si="219"/>
        <v>0</v>
      </c>
      <c r="F1259" s="190"/>
      <c r="H1259" s="90"/>
      <c r="I1259" s="90"/>
      <c r="J1259" s="90"/>
      <c r="K1259" s="91"/>
      <c r="L1259" s="91"/>
      <c r="M1259" s="90"/>
      <c r="O1259" s="90"/>
      <c r="P1259" s="90"/>
    </row>
    <row r="1260" spans="1:16" hidden="1">
      <c r="A1260" s="187" t="s">
        <v>983</v>
      </c>
      <c r="B1260" s="188"/>
      <c r="C1260" s="188"/>
      <c r="D1260" s="188"/>
      <c r="E1260" s="189">
        <f t="shared" si="219"/>
        <v>0</v>
      </c>
      <c r="F1260" s="190" t="e">
        <f t="shared" ref="F1260:F1323" si="222">E1260/C1260*100</f>
        <v>#DIV/0!</v>
      </c>
      <c r="H1260" s="88"/>
      <c r="I1260" s="88"/>
      <c r="J1260" s="88"/>
      <c r="K1260" s="89"/>
      <c r="L1260" s="89">
        <v>260</v>
      </c>
      <c r="M1260" s="88"/>
      <c r="O1260" s="88"/>
      <c r="P1260" s="88"/>
    </row>
    <row r="1261" spans="1:16">
      <c r="A1261" s="187" t="s">
        <v>984</v>
      </c>
      <c r="B1261" s="188">
        <v>1200</v>
      </c>
      <c r="C1261" s="188">
        <v>3200</v>
      </c>
      <c r="D1261" s="188">
        <v>1200</v>
      </c>
      <c r="E1261" s="189">
        <f t="shared" si="219"/>
        <v>-2000</v>
      </c>
      <c r="F1261" s="190">
        <f t="shared" si="222"/>
        <v>-62.5</v>
      </c>
      <c r="H1261" s="88"/>
      <c r="I1261" s="88"/>
      <c r="J1261" s="88"/>
      <c r="K1261" s="89"/>
      <c r="L1261" s="89">
        <v>240</v>
      </c>
      <c r="M1261" s="88"/>
      <c r="O1261" s="88"/>
      <c r="P1261" s="88"/>
    </row>
    <row r="1262" spans="1:16" ht="12.75" hidden="1" customHeight="1">
      <c r="A1262" s="187" t="s">
        <v>985</v>
      </c>
      <c r="B1262" s="188"/>
      <c r="C1262" s="188"/>
      <c r="D1262" s="188"/>
      <c r="E1262" s="189">
        <f t="shared" si="219"/>
        <v>0</v>
      </c>
      <c r="F1262" s="190" t="e">
        <f t="shared" si="222"/>
        <v>#DIV/0!</v>
      </c>
      <c r="H1262" s="88"/>
      <c r="I1262" s="88"/>
      <c r="J1262" s="88"/>
      <c r="K1262" s="89"/>
      <c r="L1262" s="89"/>
      <c r="M1262" s="88"/>
      <c r="O1262" s="88"/>
      <c r="P1262" s="88"/>
    </row>
    <row r="1263" spans="1:16" ht="12.75" customHeight="1">
      <c r="A1263" s="187" t="s">
        <v>986</v>
      </c>
      <c r="B1263" s="188">
        <v>450</v>
      </c>
      <c r="C1263" s="188">
        <v>450</v>
      </c>
      <c r="D1263" s="188">
        <v>450</v>
      </c>
      <c r="E1263" s="189">
        <f t="shared" si="219"/>
        <v>0</v>
      </c>
      <c r="F1263" s="190"/>
      <c r="H1263" s="88"/>
      <c r="I1263" s="88"/>
      <c r="J1263" s="88"/>
      <c r="K1263" s="89"/>
      <c r="L1263" s="89"/>
      <c r="M1263" s="88"/>
      <c r="O1263" s="88"/>
      <c r="P1263" s="88"/>
    </row>
    <row r="1264" spans="1:16" ht="12.75" customHeight="1">
      <c r="A1264" s="187" t="s">
        <v>987</v>
      </c>
      <c r="B1264" s="188">
        <v>750</v>
      </c>
      <c r="C1264" s="188">
        <v>750</v>
      </c>
      <c r="D1264" s="188">
        <v>750</v>
      </c>
      <c r="E1264" s="189">
        <f t="shared" si="219"/>
        <v>0</v>
      </c>
      <c r="F1264" s="190"/>
      <c r="H1264" s="88"/>
      <c r="I1264" s="88"/>
      <c r="J1264" s="88"/>
      <c r="K1264" s="89"/>
      <c r="L1264" s="89"/>
      <c r="M1264" s="88"/>
      <c r="O1264" s="88"/>
      <c r="P1264" s="88"/>
    </row>
    <row r="1265" spans="1:16" ht="12.75" hidden="1" customHeight="1">
      <c r="A1265" s="187" t="s">
        <v>988</v>
      </c>
      <c r="B1265" s="188"/>
      <c r="C1265" s="188"/>
      <c r="D1265" s="188"/>
      <c r="E1265" s="189">
        <f t="shared" si="219"/>
        <v>0</v>
      </c>
      <c r="F1265" s="190" t="e">
        <f t="shared" si="222"/>
        <v>#DIV/0!</v>
      </c>
      <c r="H1265" s="88"/>
      <c r="I1265" s="88"/>
      <c r="J1265" s="88"/>
      <c r="K1265" s="89"/>
      <c r="L1265" s="89"/>
      <c r="M1265" s="88"/>
      <c r="O1265" s="88"/>
      <c r="P1265" s="88"/>
    </row>
    <row r="1266" spans="1:16" ht="12.75" hidden="1" customHeight="1">
      <c r="A1266" s="187" t="s">
        <v>989</v>
      </c>
      <c r="B1266" s="188"/>
      <c r="C1266" s="188"/>
      <c r="D1266" s="188"/>
      <c r="E1266" s="189">
        <f t="shared" si="219"/>
        <v>0</v>
      </c>
      <c r="F1266" s="190" t="e">
        <f t="shared" si="222"/>
        <v>#DIV/0!</v>
      </c>
      <c r="H1266" s="88"/>
      <c r="I1266" s="88"/>
      <c r="J1266" s="88"/>
      <c r="K1266" s="89"/>
      <c r="L1266" s="89"/>
      <c r="M1266" s="88"/>
      <c r="O1266" s="88"/>
      <c r="P1266" s="88"/>
    </row>
    <row r="1267" spans="1:16" ht="12.75" hidden="1" customHeight="1">
      <c r="A1267" s="187" t="s">
        <v>990</v>
      </c>
      <c r="B1267" s="188"/>
      <c r="C1267" s="188"/>
      <c r="D1267" s="188"/>
      <c r="E1267" s="189">
        <f t="shared" si="219"/>
        <v>0</v>
      </c>
      <c r="F1267" s="190" t="e">
        <f t="shared" si="222"/>
        <v>#DIV/0!</v>
      </c>
      <c r="H1267" s="88"/>
      <c r="I1267" s="88"/>
      <c r="J1267" s="88"/>
      <c r="K1267" s="89"/>
      <c r="L1267" s="89"/>
      <c r="M1267" s="88"/>
      <c r="O1267" s="88"/>
      <c r="P1267" s="88"/>
    </row>
    <row r="1268" spans="1:16" ht="12.75" hidden="1" customHeight="1">
      <c r="A1268" s="187" t="s">
        <v>991</v>
      </c>
      <c r="B1268" s="188"/>
      <c r="C1268" s="188"/>
      <c r="D1268" s="188"/>
      <c r="E1268" s="189">
        <f t="shared" si="219"/>
        <v>0</v>
      </c>
      <c r="F1268" s="190" t="e">
        <f t="shared" si="222"/>
        <v>#DIV/0!</v>
      </c>
      <c r="H1268" s="88"/>
      <c r="I1268" s="88"/>
      <c r="J1268" s="88"/>
      <c r="K1268" s="89"/>
      <c r="L1268" s="89"/>
      <c r="M1268" s="88"/>
      <c r="O1268" s="88"/>
      <c r="P1268" s="88"/>
    </row>
    <row r="1269" spans="1:16" ht="12.75" hidden="1" customHeight="1">
      <c r="A1269" s="187" t="s">
        <v>992</v>
      </c>
      <c r="B1269" s="188"/>
      <c r="C1269" s="188"/>
      <c r="D1269" s="188"/>
      <c r="E1269" s="189">
        <f t="shared" si="219"/>
        <v>0</v>
      </c>
      <c r="F1269" s="190" t="e">
        <f t="shared" si="222"/>
        <v>#DIV/0!</v>
      </c>
      <c r="H1269" s="88"/>
      <c r="I1269" s="88"/>
      <c r="J1269" s="88"/>
      <c r="K1269" s="89"/>
      <c r="L1269" s="89"/>
      <c r="M1269" s="88"/>
      <c r="O1269" s="88"/>
      <c r="P1269" s="88"/>
    </row>
    <row r="1270" spans="1:16" ht="12.75" hidden="1" customHeight="1">
      <c r="A1270" s="187" t="s">
        <v>993</v>
      </c>
      <c r="B1270" s="188"/>
      <c r="C1270" s="188"/>
      <c r="D1270" s="188"/>
      <c r="E1270" s="189">
        <f t="shared" si="219"/>
        <v>0</v>
      </c>
      <c r="F1270" s="190" t="e">
        <f t="shared" si="222"/>
        <v>#DIV/0!</v>
      </c>
      <c r="H1270" s="90"/>
      <c r="I1270" s="90"/>
      <c r="J1270" s="90"/>
      <c r="K1270" s="91"/>
      <c r="L1270" s="91"/>
      <c r="M1270" s="90"/>
      <c r="O1270" s="90"/>
      <c r="P1270" s="90"/>
    </row>
    <row r="1271" spans="1:16" ht="12.75" hidden="1" customHeight="1">
      <c r="A1271" s="187" t="s">
        <v>994</v>
      </c>
      <c r="B1271" s="188"/>
      <c r="C1271" s="188"/>
      <c r="D1271" s="188"/>
      <c r="E1271" s="189">
        <f t="shared" si="219"/>
        <v>0</v>
      </c>
      <c r="F1271" s="190" t="e">
        <f t="shared" si="222"/>
        <v>#DIV/0!</v>
      </c>
      <c r="H1271" s="88"/>
      <c r="I1271" s="88"/>
      <c r="J1271" s="88"/>
      <c r="K1271" s="89"/>
      <c r="L1271" s="89"/>
      <c r="M1271" s="88"/>
      <c r="O1271" s="88"/>
      <c r="P1271" s="88"/>
    </row>
    <row r="1272" spans="1:16" hidden="1">
      <c r="A1272" s="197" t="s">
        <v>995</v>
      </c>
      <c r="B1272" s="188"/>
      <c r="C1272" s="188"/>
      <c r="D1272" s="188"/>
      <c r="E1272" s="189">
        <f t="shared" si="219"/>
        <v>0</v>
      </c>
      <c r="F1272" s="190" t="e">
        <f t="shared" si="222"/>
        <v>#DIV/0!</v>
      </c>
      <c r="H1272" s="101"/>
      <c r="I1272" s="101"/>
      <c r="J1272" s="101"/>
      <c r="K1272" s="102"/>
      <c r="L1272" s="102"/>
      <c r="M1272" s="101"/>
      <c r="O1272" s="101"/>
      <c r="P1272" s="101"/>
    </row>
    <row r="1273" spans="1:16" hidden="1">
      <c r="A1273" s="187" t="s">
        <v>996</v>
      </c>
      <c r="B1273" s="188"/>
      <c r="C1273" s="188"/>
      <c r="D1273" s="188"/>
      <c r="E1273" s="189"/>
      <c r="F1273" s="190" t="e">
        <f t="shared" si="222"/>
        <v>#DIV/0!</v>
      </c>
      <c r="H1273" s="101"/>
      <c r="I1273" s="101"/>
      <c r="J1273" s="101"/>
      <c r="K1273" s="102"/>
      <c r="L1273" s="102"/>
      <c r="M1273" s="101"/>
      <c r="O1273" s="101"/>
      <c r="P1273" s="101"/>
    </row>
    <row r="1274" spans="1:16">
      <c r="A1274" s="187" t="s">
        <v>997</v>
      </c>
      <c r="B1274" s="188"/>
      <c r="C1274" s="188"/>
      <c r="D1274" s="188"/>
      <c r="E1274" s="189"/>
      <c r="F1274" s="190"/>
      <c r="H1274" s="101"/>
      <c r="I1274" s="101"/>
      <c r="J1274" s="101"/>
      <c r="K1274" s="102"/>
      <c r="L1274" s="102"/>
      <c r="M1274" s="101"/>
      <c r="O1274" s="101"/>
      <c r="P1274" s="101"/>
    </row>
    <row r="1275" spans="1:16">
      <c r="A1275" s="197"/>
      <c r="B1275" s="188"/>
      <c r="C1275" s="188"/>
      <c r="D1275" s="188"/>
      <c r="E1275" s="189"/>
      <c r="F1275" s="190"/>
      <c r="H1275" s="101"/>
      <c r="I1275" s="101"/>
      <c r="J1275" s="101"/>
      <c r="K1275" s="102"/>
      <c r="L1275" s="102"/>
      <c r="M1275" s="101"/>
      <c r="O1275" s="101"/>
      <c r="P1275" s="101"/>
    </row>
    <row r="1276" spans="1:16">
      <c r="A1276" s="179" t="s">
        <v>998</v>
      </c>
      <c r="B1276" s="182">
        <f>SUM(B1277,B1285,B1293,B1301,B1304,B1312,B1320,B1328,B1336,B1344,B1352,B1360)</f>
        <v>336</v>
      </c>
      <c r="C1276" s="182">
        <f>SUM(C1277,C1285,C1293,C1301,C1304,C1312,C1320,C1328,C1336,C1344,C1352,C1360)</f>
        <v>336</v>
      </c>
      <c r="D1276" s="182">
        <f>SUM(D1277,D1285,D1293,D1301,D1304,D1312,D1320,D1328,D1336,D1344,D1352,D1360)</f>
        <v>334.04</v>
      </c>
      <c r="E1276" s="185">
        <f t="shared" si="219"/>
        <v>-1.9599999999999795</v>
      </c>
      <c r="F1276" s="186">
        <f t="shared" si="222"/>
        <v>-0.58333333333332715</v>
      </c>
      <c r="H1276" s="88">
        <f t="shared" ref="H1276:M1276" si="223">SUM(H1277,H1285,H1293,H1301,H1304,H1312,H1320,H1328,H1336,H1344,H1352,H1360)</f>
        <v>0</v>
      </c>
      <c r="I1276" s="88">
        <f t="shared" si="223"/>
        <v>0</v>
      </c>
      <c r="J1276" s="88">
        <f t="shared" si="223"/>
        <v>0</v>
      </c>
      <c r="K1276" s="89">
        <f t="shared" si="223"/>
        <v>0</v>
      </c>
      <c r="L1276" s="89">
        <f t="shared" si="223"/>
        <v>0</v>
      </c>
      <c r="M1276" s="88">
        <f t="shared" si="223"/>
        <v>0</v>
      </c>
      <c r="O1276" s="88">
        <f>SUM(O1277,O1285,O1293,O1301,O1304,O1312,O1320,O1328,O1336,O1344,O1352,O1360)</f>
        <v>0</v>
      </c>
      <c r="P1276" s="88">
        <f>SUM(P1277,P1285,P1293,P1301,P1304,P1312,P1320,P1328,P1336,P1344,P1352,P1360)</f>
        <v>0</v>
      </c>
    </row>
    <row r="1277" spans="1:16" ht="12.75" hidden="1" customHeight="1">
      <c r="A1277" s="179" t="s">
        <v>221</v>
      </c>
      <c r="B1277" s="188">
        <f>B1278</f>
        <v>0</v>
      </c>
      <c r="C1277" s="188">
        <f>C1278</f>
        <v>0</v>
      </c>
      <c r="D1277" s="188">
        <f>D1278</f>
        <v>0</v>
      </c>
      <c r="E1277" s="189">
        <f t="shared" si="219"/>
        <v>0</v>
      </c>
      <c r="F1277" s="190" t="e">
        <f t="shared" si="222"/>
        <v>#DIV/0!</v>
      </c>
      <c r="H1277" s="88">
        <f t="shared" ref="H1277:M1277" si="224">H1278</f>
        <v>0</v>
      </c>
      <c r="I1277" s="88">
        <f t="shared" si="224"/>
        <v>0</v>
      </c>
      <c r="J1277" s="88">
        <f t="shared" si="224"/>
        <v>0</v>
      </c>
      <c r="K1277" s="89">
        <f t="shared" si="224"/>
        <v>0</v>
      </c>
      <c r="L1277" s="89">
        <f t="shared" si="224"/>
        <v>0</v>
      </c>
      <c r="M1277" s="88">
        <f t="shared" si="224"/>
        <v>0</v>
      </c>
      <c r="O1277" s="88">
        <f>O1278</f>
        <v>0</v>
      </c>
      <c r="P1277" s="88">
        <f>P1278</f>
        <v>0</v>
      </c>
    </row>
    <row r="1278" spans="1:16" ht="12.75" hidden="1" customHeight="1">
      <c r="A1278" s="187" t="s">
        <v>999</v>
      </c>
      <c r="B1278" s="188">
        <f>SUM(B1279:B1284)</f>
        <v>0</v>
      </c>
      <c r="C1278" s="188">
        <f>SUM(C1279:C1284)</f>
        <v>0</v>
      </c>
      <c r="D1278" s="188">
        <f>SUM(D1279:D1284)</f>
        <v>0</v>
      </c>
      <c r="E1278" s="189">
        <f t="shared" si="219"/>
        <v>0</v>
      </c>
      <c r="F1278" s="190" t="e">
        <f t="shared" si="222"/>
        <v>#DIV/0!</v>
      </c>
      <c r="H1278" s="88">
        <f t="shared" ref="H1278:M1278" si="225">SUM(H1279:H1284)</f>
        <v>0</v>
      </c>
      <c r="I1278" s="88">
        <f t="shared" si="225"/>
        <v>0</v>
      </c>
      <c r="J1278" s="88">
        <f t="shared" si="225"/>
        <v>0</v>
      </c>
      <c r="K1278" s="89">
        <f t="shared" si="225"/>
        <v>0</v>
      </c>
      <c r="L1278" s="89">
        <f t="shared" si="225"/>
        <v>0</v>
      </c>
      <c r="M1278" s="88">
        <f t="shared" si="225"/>
        <v>0</v>
      </c>
      <c r="O1278" s="88">
        <f>SUM(O1279:O1284)</f>
        <v>0</v>
      </c>
      <c r="P1278" s="88">
        <f>SUM(P1279:P1284)</f>
        <v>0</v>
      </c>
    </row>
    <row r="1279" spans="1:16" ht="12.75" hidden="1" customHeight="1">
      <c r="A1279" s="187" t="s">
        <v>1000</v>
      </c>
      <c r="B1279" s="188"/>
      <c r="C1279" s="188"/>
      <c r="D1279" s="188"/>
      <c r="E1279" s="189">
        <f t="shared" si="219"/>
        <v>0</v>
      </c>
      <c r="F1279" s="190" t="e">
        <f t="shared" si="222"/>
        <v>#DIV/0!</v>
      </c>
      <c r="H1279" s="88"/>
      <c r="I1279" s="88"/>
      <c r="J1279" s="88"/>
      <c r="K1279" s="89"/>
      <c r="L1279" s="89"/>
      <c r="M1279" s="88"/>
      <c r="O1279" s="88"/>
      <c r="P1279" s="88"/>
    </row>
    <row r="1280" spans="1:16" ht="12.75" hidden="1" customHeight="1">
      <c r="A1280" s="187" t="s">
        <v>1001</v>
      </c>
      <c r="B1280" s="188"/>
      <c r="C1280" s="188"/>
      <c r="D1280" s="188"/>
      <c r="E1280" s="189">
        <f t="shared" si="219"/>
        <v>0</v>
      </c>
      <c r="F1280" s="190" t="e">
        <f t="shared" si="222"/>
        <v>#DIV/0!</v>
      </c>
      <c r="H1280" s="88"/>
      <c r="I1280" s="88"/>
      <c r="J1280" s="88"/>
      <c r="K1280" s="89"/>
      <c r="L1280" s="89"/>
      <c r="M1280" s="88"/>
      <c r="O1280" s="88"/>
      <c r="P1280" s="88"/>
    </row>
    <row r="1281" spans="1:16" ht="12.75" hidden="1" customHeight="1">
      <c r="A1281" s="187" t="s">
        <v>1002</v>
      </c>
      <c r="B1281" s="188"/>
      <c r="C1281" s="188"/>
      <c r="D1281" s="188"/>
      <c r="E1281" s="189">
        <f t="shared" si="219"/>
        <v>0</v>
      </c>
      <c r="F1281" s="190" t="e">
        <f t="shared" si="222"/>
        <v>#DIV/0!</v>
      </c>
      <c r="H1281" s="88"/>
      <c r="I1281" s="88"/>
      <c r="J1281" s="88"/>
      <c r="K1281" s="89"/>
      <c r="L1281" s="89"/>
      <c r="M1281" s="88"/>
      <c r="O1281" s="88"/>
      <c r="P1281" s="88"/>
    </row>
    <row r="1282" spans="1:16" ht="12.75" hidden="1" customHeight="1">
      <c r="A1282" s="187" t="s">
        <v>1003</v>
      </c>
      <c r="B1282" s="188"/>
      <c r="C1282" s="188"/>
      <c r="D1282" s="188"/>
      <c r="E1282" s="189">
        <f t="shared" si="219"/>
        <v>0</v>
      </c>
      <c r="F1282" s="190" t="e">
        <f t="shared" si="222"/>
        <v>#DIV/0!</v>
      </c>
      <c r="H1282" s="88"/>
      <c r="I1282" s="88"/>
      <c r="J1282" s="88"/>
      <c r="K1282" s="89"/>
      <c r="L1282" s="89"/>
      <c r="M1282" s="88"/>
      <c r="O1282" s="88"/>
      <c r="P1282" s="88"/>
    </row>
    <row r="1283" spans="1:16" ht="12.75" hidden="1" customHeight="1">
      <c r="A1283" s="187" t="s">
        <v>1004</v>
      </c>
      <c r="B1283" s="188"/>
      <c r="C1283" s="188"/>
      <c r="D1283" s="188"/>
      <c r="E1283" s="189">
        <f t="shared" si="219"/>
        <v>0</v>
      </c>
      <c r="F1283" s="190" t="e">
        <f t="shared" si="222"/>
        <v>#DIV/0!</v>
      </c>
      <c r="H1283" s="88"/>
      <c r="I1283" s="88"/>
      <c r="J1283" s="88"/>
      <c r="K1283" s="89"/>
      <c r="L1283" s="89"/>
      <c r="M1283" s="88"/>
      <c r="O1283" s="88"/>
      <c r="P1283" s="88"/>
    </row>
    <row r="1284" spans="1:16" ht="12.75" hidden="1" customHeight="1">
      <c r="A1284" s="187" t="s">
        <v>1005</v>
      </c>
      <c r="B1284" s="188"/>
      <c r="C1284" s="188"/>
      <c r="D1284" s="188"/>
      <c r="E1284" s="189">
        <f t="shared" si="219"/>
        <v>0</v>
      </c>
      <c r="F1284" s="190" t="e">
        <f t="shared" si="222"/>
        <v>#DIV/0!</v>
      </c>
      <c r="H1284" s="88"/>
      <c r="I1284" s="88"/>
      <c r="J1284" s="88"/>
      <c r="K1284" s="89"/>
      <c r="L1284" s="89"/>
      <c r="M1284" s="88"/>
      <c r="O1284" s="88"/>
      <c r="P1284" s="88"/>
    </row>
    <row r="1285" spans="1:16" ht="12.75" hidden="1" customHeight="1">
      <c r="A1285" s="179" t="s">
        <v>272</v>
      </c>
      <c r="B1285" s="188">
        <f>B1286</f>
        <v>0</v>
      </c>
      <c r="C1285" s="188">
        <f>C1286</f>
        <v>0</v>
      </c>
      <c r="D1285" s="188">
        <f>D1286</f>
        <v>0</v>
      </c>
      <c r="E1285" s="189">
        <f t="shared" si="219"/>
        <v>0</v>
      </c>
      <c r="F1285" s="190" t="e">
        <f t="shared" si="222"/>
        <v>#DIV/0!</v>
      </c>
      <c r="H1285" s="88">
        <f t="shared" ref="H1285:M1285" si="226">H1286</f>
        <v>0</v>
      </c>
      <c r="I1285" s="88">
        <f t="shared" si="226"/>
        <v>0</v>
      </c>
      <c r="J1285" s="88">
        <f t="shared" si="226"/>
        <v>0</v>
      </c>
      <c r="K1285" s="89">
        <f t="shared" si="226"/>
        <v>0</v>
      </c>
      <c r="L1285" s="89">
        <f t="shared" si="226"/>
        <v>0</v>
      </c>
      <c r="M1285" s="88">
        <f t="shared" si="226"/>
        <v>0</v>
      </c>
      <c r="O1285" s="88">
        <f>O1286</f>
        <v>0</v>
      </c>
      <c r="P1285" s="88">
        <f>P1286</f>
        <v>0</v>
      </c>
    </row>
    <row r="1286" spans="1:16" ht="12.75" hidden="1" customHeight="1">
      <c r="A1286" s="187" t="s">
        <v>999</v>
      </c>
      <c r="B1286" s="188">
        <f>SUM(B1287:B1292)</f>
        <v>0</v>
      </c>
      <c r="C1286" s="188">
        <f>SUM(C1287:C1292)</f>
        <v>0</v>
      </c>
      <c r="D1286" s="188">
        <f>SUM(D1287:D1292)</f>
        <v>0</v>
      </c>
      <c r="E1286" s="189">
        <f t="shared" si="219"/>
        <v>0</v>
      </c>
      <c r="F1286" s="190" t="e">
        <f t="shared" si="222"/>
        <v>#DIV/0!</v>
      </c>
      <c r="H1286" s="88">
        <f t="shared" ref="H1286:M1286" si="227">SUM(H1287:H1292)</f>
        <v>0</v>
      </c>
      <c r="I1286" s="88">
        <f t="shared" si="227"/>
        <v>0</v>
      </c>
      <c r="J1286" s="88">
        <f t="shared" si="227"/>
        <v>0</v>
      </c>
      <c r="K1286" s="89">
        <f t="shared" si="227"/>
        <v>0</v>
      </c>
      <c r="L1286" s="89">
        <f t="shared" si="227"/>
        <v>0</v>
      </c>
      <c r="M1286" s="88">
        <f t="shared" si="227"/>
        <v>0</v>
      </c>
      <c r="O1286" s="88">
        <f>SUM(O1287:O1292)</f>
        <v>0</v>
      </c>
      <c r="P1286" s="88">
        <f>SUM(P1287:P1292)</f>
        <v>0</v>
      </c>
    </row>
    <row r="1287" spans="1:16" ht="12.75" hidden="1" customHeight="1">
      <c r="A1287" s="187" t="s">
        <v>1000</v>
      </c>
      <c r="B1287" s="188"/>
      <c r="C1287" s="188"/>
      <c r="D1287" s="188"/>
      <c r="E1287" s="189">
        <f t="shared" si="219"/>
        <v>0</v>
      </c>
      <c r="F1287" s="190" t="e">
        <f t="shared" si="222"/>
        <v>#DIV/0!</v>
      </c>
      <c r="H1287" s="88"/>
      <c r="I1287" s="88"/>
      <c r="J1287" s="88"/>
      <c r="K1287" s="89"/>
      <c r="L1287" s="89"/>
      <c r="M1287" s="88"/>
      <c r="O1287" s="88"/>
      <c r="P1287" s="88"/>
    </row>
    <row r="1288" spans="1:16" ht="12.75" hidden="1" customHeight="1">
      <c r="A1288" s="187" t="s">
        <v>1001</v>
      </c>
      <c r="B1288" s="188"/>
      <c r="C1288" s="188"/>
      <c r="D1288" s="188"/>
      <c r="E1288" s="189">
        <f t="shared" si="219"/>
        <v>0</v>
      </c>
      <c r="F1288" s="190" t="e">
        <f t="shared" si="222"/>
        <v>#DIV/0!</v>
      </c>
      <c r="H1288" s="88"/>
      <c r="I1288" s="88"/>
      <c r="J1288" s="88"/>
      <c r="K1288" s="89"/>
      <c r="L1288" s="89"/>
      <c r="M1288" s="88"/>
      <c r="O1288" s="88"/>
      <c r="P1288" s="88"/>
    </row>
    <row r="1289" spans="1:16" ht="12.75" hidden="1" customHeight="1">
      <c r="A1289" s="187" t="s">
        <v>1002</v>
      </c>
      <c r="B1289" s="188"/>
      <c r="C1289" s="188"/>
      <c r="D1289" s="188"/>
      <c r="E1289" s="189">
        <f t="shared" si="219"/>
        <v>0</v>
      </c>
      <c r="F1289" s="190" t="e">
        <f t="shared" si="222"/>
        <v>#DIV/0!</v>
      </c>
      <c r="H1289" s="88"/>
      <c r="I1289" s="88"/>
      <c r="J1289" s="88"/>
      <c r="K1289" s="89"/>
      <c r="L1289" s="89"/>
      <c r="M1289" s="88"/>
      <c r="O1289" s="88"/>
      <c r="P1289" s="88"/>
    </row>
    <row r="1290" spans="1:16" ht="12.75" hidden="1" customHeight="1">
      <c r="A1290" s="187" t="s">
        <v>1003</v>
      </c>
      <c r="B1290" s="188"/>
      <c r="C1290" s="188"/>
      <c r="D1290" s="188"/>
      <c r="E1290" s="189">
        <f t="shared" si="219"/>
        <v>0</v>
      </c>
      <c r="F1290" s="190" t="e">
        <f t="shared" si="222"/>
        <v>#DIV/0!</v>
      </c>
      <c r="H1290" s="88"/>
      <c r="I1290" s="88"/>
      <c r="J1290" s="88"/>
      <c r="K1290" s="89"/>
      <c r="L1290" s="89"/>
      <c r="M1290" s="88"/>
      <c r="O1290" s="88"/>
      <c r="P1290" s="88"/>
    </row>
    <row r="1291" spans="1:16" ht="12.75" hidden="1" customHeight="1">
      <c r="A1291" s="187" t="s">
        <v>1004</v>
      </c>
      <c r="B1291" s="188"/>
      <c r="C1291" s="188"/>
      <c r="D1291" s="188"/>
      <c r="E1291" s="189">
        <f t="shared" si="219"/>
        <v>0</v>
      </c>
      <c r="F1291" s="190" t="e">
        <f t="shared" si="222"/>
        <v>#DIV/0!</v>
      </c>
      <c r="H1291" s="88"/>
      <c r="I1291" s="88"/>
      <c r="J1291" s="88"/>
      <c r="K1291" s="89"/>
      <c r="L1291" s="89"/>
      <c r="M1291" s="88"/>
      <c r="O1291" s="88"/>
      <c r="P1291" s="88"/>
    </row>
    <row r="1292" spans="1:16" ht="12.75" hidden="1" customHeight="1">
      <c r="A1292" s="187" t="s">
        <v>1005</v>
      </c>
      <c r="B1292" s="188"/>
      <c r="C1292" s="188"/>
      <c r="D1292" s="188"/>
      <c r="E1292" s="189">
        <f t="shared" si="219"/>
        <v>0</v>
      </c>
      <c r="F1292" s="190" t="e">
        <f t="shared" si="222"/>
        <v>#DIV/0!</v>
      </c>
      <c r="H1292" s="88"/>
      <c r="I1292" s="88"/>
      <c r="J1292" s="88"/>
      <c r="K1292" s="89"/>
      <c r="L1292" s="89"/>
      <c r="M1292" s="88"/>
      <c r="O1292" s="88"/>
      <c r="P1292" s="88"/>
    </row>
    <row r="1293" spans="1:16" ht="12.75" hidden="1" customHeight="1">
      <c r="A1293" s="179" t="s">
        <v>320</v>
      </c>
      <c r="B1293" s="188">
        <f>B1294</f>
        <v>0</v>
      </c>
      <c r="C1293" s="188">
        <f>C1294</f>
        <v>0</v>
      </c>
      <c r="D1293" s="188">
        <f>D1294</f>
        <v>0</v>
      </c>
      <c r="E1293" s="189">
        <f t="shared" si="219"/>
        <v>0</v>
      </c>
      <c r="F1293" s="190" t="e">
        <f t="shared" si="222"/>
        <v>#DIV/0!</v>
      </c>
      <c r="H1293" s="88">
        <f t="shared" ref="H1293:M1293" si="228">H1294</f>
        <v>0</v>
      </c>
      <c r="I1293" s="88">
        <f t="shared" si="228"/>
        <v>0</v>
      </c>
      <c r="J1293" s="88">
        <f t="shared" si="228"/>
        <v>0</v>
      </c>
      <c r="K1293" s="89">
        <f t="shared" si="228"/>
        <v>0</v>
      </c>
      <c r="L1293" s="89">
        <f t="shared" si="228"/>
        <v>0</v>
      </c>
      <c r="M1293" s="88">
        <f t="shared" si="228"/>
        <v>0</v>
      </c>
      <c r="O1293" s="88">
        <f>O1294</f>
        <v>0</v>
      </c>
      <c r="P1293" s="88">
        <f>P1294</f>
        <v>0</v>
      </c>
    </row>
    <row r="1294" spans="1:16" ht="12.75" hidden="1" customHeight="1">
      <c r="A1294" s="187" t="s">
        <v>999</v>
      </c>
      <c r="B1294" s="188">
        <f>SUM(B1295:B1300)</f>
        <v>0</v>
      </c>
      <c r="C1294" s="188">
        <f>SUM(C1295:C1300)</f>
        <v>0</v>
      </c>
      <c r="D1294" s="188">
        <f>SUM(D1295:D1300)</f>
        <v>0</v>
      </c>
      <c r="E1294" s="189">
        <f t="shared" si="219"/>
        <v>0</v>
      </c>
      <c r="F1294" s="190" t="e">
        <f t="shared" si="222"/>
        <v>#DIV/0!</v>
      </c>
      <c r="H1294" s="90">
        <f t="shared" ref="H1294:M1294" si="229">SUM(H1295:H1300)</f>
        <v>0</v>
      </c>
      <c r="I1294" s="90">
        <f t="shared" si="229"/>
        <v>0</v>
      </c>
      <c r="J1294" s="90">
        <f t="shared" si="229"/>
        <v>0</v>
      </c>
      <c r="K1294" s="91">
        <f t="shared" si="229"/>
        <v>0</v>
      </c>
      <c r="L1294" s="91">
        <f t="shared" si="229"/>
        <v>0</v>
      </c>
      <c r="M1294" s="90">
        <f t="shared" si="229"/>
        <v>0</v>
      </c>
      <c r="O1294" s="90">
        <f>SUM(O1295:O1300)</f>
        <v>0</v>
      </c>
      <c r="P1294" s="90">
        <f>SUM(P1295:P1300)</f>
        <v>0</v>
      </c>
    </row>
    <row r="1295" spans="1:16" ht="12.75" hidden="1" customHeight="1">
      <c r="A1295" s="187" t="s">
        <v>1000</v>
      </c>
      <c r="B1295" s="188"/>
      <c r="C1295" s="188"/>
      <c r="D1295" s="188"/>
      <c r="E1295" s="189">
        <f t="shared" si="219"/>
        <v>0</v>
      </c>
      <c r="F1295" s="190" t="e">
        <f t="shared" si="222"/>
        <v>#DIV/0!</v>
      </c>
      <c r="H1295" s="88"/>
      <c r="I1295" s="88"/>
      <c r="J1295" s="88"/>
      <c r="K1295" s="89"/>
      <c r="L1295" s="89"/>
      <c r="M1295" s="88"/>
      <c r="O1295" s="88"/>
      <c r="P1295" s="88"/>
    </row>
    <row r="1296" spans="1:16" ht="12.75" hidden="1" customHeight="1">
      <c r="A1296" s="187" t="s">
        <v>1001</v>
      </c>
      <c r="B1296" s="188"/>
      <c r="C1296" s="188"/>
      <c r="D1296" s="188"/>
      <c r="E1296" s="189">
        <f t="shared" si="219"/>
        <v>0</v>
      </c>
      <c r="F1296" s="190" t="e">
        <f t="shared" si="222"/>
        <v>#DIV/0!</v>
      </c>
      <c r="H1296" s="88"/>
      <c r="I1296" s="88"/>
      <c r="J1296" s="88"/>
      <c r="K1296" s="89"/>
      <c r="L1296" s="89"/>
      <c r="M1296" s="88"/>
      <c r="O1296" s="88"/>
      <c r="P1296" s="88"/>
    </row>
    <row r="1297" spans="1:16" ht="12.75" hidden="1" customHeight="1">
      <c r="A1297" s="187" t="s">
        <v>1002</v>
      </c>
      <c r="B1297" s="188"/>
      <c r="C1297" s="188"/>
      <c r="D1297" s="188"/>
      <c r="E1297" s="189">
        <f t="shared" si="219"/>
        <v>0</v>
      </c>
      <c r="F1297" s="190" t="e">
        <f t="shared" si="222"/>
        <v>#DIV/0!</v>
      </c>
      <c r="H1297" s="88"/>
      <c r="I1297" s="88"/>
      <c r="J1297" s="88"/>
      <c r="K1297" s="89"/>
      <c r="L1297" s="89"/>
      <c r="M1297" s="88"/>
      <c r="O1297" s="88"/>
      <c r="P1297" s="88"/>
    </row>
    <row r="1298" spans="1:16" ht="12.75" hidden="1" customHeight="1">
      <c r="A1298" s="187" t="s">
        <v>1003</v>
      </c>
      <c r="B1298" s="188"/>
      <c r="C1298" s="188"/>
      <c r="D1298" s="188"/>
      <c r="E1298" s="189">
        <f t="shared" si="219"/>
        <v>0</v>
      </c>
      <c r="F1298" s="190" t="e">
        <f t="shared" si="222"/>
        <v>#DIV/0!</v>
      </c>
      <c r="H1298" s="88"/>
      <c r="I1298" s="88"/>
      <c r="J1298" s="88"/>
      <c r="K1298" s="89"/>
      <c r="L1298" s="89"/>
      <c r="M1298" s="88"/>
      <c r="O1298" s="88"/>
      <c r="P1298" s="88"/>
    </row>
    <row r="1299" spans="1:16" ht="12.75" hidden="1" customHeight="1">
      <c r="A1299" s="187" t="s">
        <v>1004</v>
      </c>
      <c r="B1299" s="188"/>
      <c r="C1299" s="188"/>
      <c r="D1299" s="188"/>
      <c r="E1299" s="189">
        <f t="shared" si="219"/>
        <v>0</v>
      </c>
      <c r="F1299" s="190" t="e">
        <f t="shared" si="222"/>
        <v>#DIV/0!</v>
      </c>
      <c r="H1299" s="88"/>
      <c r="I1299" s="88"/>
      <c r="J1299" s="88"/>
      <c r="K1299" s="89"/>
      <c r="L1299" s="89"/>
      <c r="M1299" s="88"/>
      <c r="O1299" s="88"/>
      <c r="P1299" s="88"/>
    </row>
    <row r="1300" spans="1:16" ht="12.75" hidden="1" customHeight="1">
      <c r="A1300" s="187" t="s">
        <v>1005</v>
      </c>
      <c r="B1300" s="188"/>
      <c r="C1300" s="188"/>
      <c r="D1300" s="188"/>
      <c r="E1300" s="189">
        <f t="shared" si="219"/>
        <v>0</v>
      </c>
      <c r="F1300" s="190" t="e">
        <f t="shared" si="222"/>
        <v>#DIV/0!</v>
      </c>
      <c r="H1300" s="93"/>
      <c r="I1300" s="93"/>
      <c r="J1300" s="93"/>
      <c r="K1300" s="94"/>
      <c r="L1300" s="94"/>
      <c r="M1300" s="93"/>
      <c r="O1300" s="93"/>
      <c r="P1300" s="93"/>
    </row>
    <row r="1301" spans="1:16" ht="12.75" hidden="1" customHeight="1">
      <c r="A1301" s="179" t="s">
        <v>359</v>
      </c>
      <c r="B1301" s="188">
        <f t="shared" ref="B1301:D1302" si="230">B1302</f>
        <v>0</v>
      </c>
      <c r="C1301" s="188">
        <f t="shared" si="230"/>
        <v>0</v>
      </c>
      <c r="D1301" s="188">
        <f t="shared" si="230"/>
        <v>0</v>
      </c>
      <c r="E1301" s="189">
        <f t="shared" si="219"/>
        <v>0</v>
      </c>
      <c r="F1301" s="190" t="e">
        <f t="shared" si="222"/>
        <v>#DIV/0!</v>
      </c>
      <c r="H1301" s="88">
        <f>H1302</f>
        <v>0</v>
      </c>
      <c r="I1301" s="88">
        <f t="shared" ref="I1301:M1302" si="231">I1302</f>
        <v>0</v>
      </c>
      <c r="J1301" s="88">
        <f t="shared" si="231"/>
        <v>0</v>
      </c>
      <c r="K1301" s="89">
        <f t="shared" si="231"/>
        <v>0</v>
      </c>
      <c r="L1301" s="89">
        <f t="shared" si="231"/>
        <v>0</v>
      </c>
      <c r="M1301" s="88">
        <f t="shared" si="231"/>
        <v>0</v>
      </c>
      <c r="O1301" s="88">
        <f>O1302</f>
        <v>0</v>
      </c>
      <c r="P1301" s="88">
        <f>P1302</f>
        <v>0</v>
      </c>
    </row>
    <row r="1302" spans="1:16" ht="12.75" hidden="1" customHeight="1">
      <c r="A1302" s="187" t="s">
        <v>1006</v>
      </c>
      <c r="B1302" s="188">
        <f t="shared" si="230"/>
        <v>0</v>
      </c>
      <c r="C1302" s="188">
        <f t="shared" si="230"/>
        <v>0</v>
      </c>
      <c r="D1302" s="188">
        <f t="shared" si="230"/>
        <v>0</v>
      </c>
      <c r="E1302" s="189">
        <f t="shared" si="219"/>
        <v>0</v>
      </c>
      <c r="F1302" s="190" t="e">
        <f t="shared" si="222"/>
        <v>#DIV/0!</v>
      </c>
      <c r="H1302" s="88">
        <f>H1303</f>
        <v>0</v>
      </c>
      <c r="I1302" s="88">
        <f t="shared" si="231"/>
        <v>0</v>
      </c>
      <c r="J1302" s="88">
        <f t="shared" si="231"/>
        <v>0</v>
      </c>
      <c r="K1302" s="89">
        <f t="shared" si="231"/>
        <v>0</v>
      </c>
      <c r="L1302" s="89">
        <f t="shared" si="231"/>
        <v>0</v>
      </c>
      <c r="M1302" s="88">
        <f t="shared" si="231"/>
        <v>0</v>
      </c>
      <c r="O1302" s="88">
        <f>O1303</f>
        <v>0</v>
      </c>
      <c r="P1302" s="88">
        <f>P1303</f>
        <v>0</v>
      </c>
    </row>
    <row r="1303" spans="1:16" ht="12.75" hidden="1" customHeight="1">
      <c r="A1303" s="187" t="s">
        <v>1007</v>
      </c>
      <c r="B1303" s="188"/>
      <c r="C1303" s="188"/>
      <c r="D1303" s="188"/>
      <c r="E1303" s="189">
        <f t="shared" si="219"/>
        <v>0</v>
      </c>
      <c r="F1303" s="190" t="e">
        <f t="shared" si="222"/>
        <v>#DIV/0!</v>
      </c>
      <c r="H1303" s="88"/>
      <c r="I1303" s="88"/>
      <c r="J1303" s="88"/>
      <c r="K1303" s="89"/>
      <c r="L1303" s="89"/>
      <c r="M1303" s="88"/>
      <c r="O1303" s="88"/>
      <c r="P1303" s="88"/>
    </row>
    <row r="1304" spans="1:16" ht="12.75" hidden="1" customHeight="1">
      <c r="A1304" s="179" t="s">
        <v>521</v>
      </c>
      <c r="B1304" s="188">
        <f>B1305</f>
        <v>0</v>
      </c>
      <c r="C1304" s="188">
        <f>C1305</f>
        <v>0</v>
      </c>
      <c r="D1304" s="188">
        <f>D1305</f>
        <v>0</v>
      </c>
      <c r="E1304" s="189">
        <f t="shared" si="219"/>
        <v>0</v>
      </c>
      <c r="F1304" s="190" t="e">
        <f t="shared" si="222"/>
        <v>#DIV/0!</v>
      </c>
      <c r="H1304" s="88">
        <f t="shared" ref="H1304:M1304" si="232">H1305</f>
        <v>0</v>
      </c>
      <c r="I1304" s="88">
        <f t="shared" si="232"/>
        <v>0</v>
      </c>
      <c r="J1304" s="88">
        <f t="shared" si="232"/>
        <v>0</v>
      </c>
      <c r="K1304" s="89">
        <f t="shared" si="232"/>
        <v>0</v>
      </c>
      <c r="L1304" s="89">
        <f t="shared" si="232"/>
        <v>0</v>
      </c>
      <c r="M1304" s="88">
        <f t="shared" si="232"/>
        <v>0</v>
      </c>
      <c r="O1304" s="88">
        <f>O1305</f>
        <v>0</v>
      </c>
      <c r="P1304" s="88">
        <f>P1305</f>
        <v>0</v>
      </c>
    </row>
    <row r="1305" spans="1:16" ht="12.75" hidden="1" customHeight="1">
      <c r="A1305" s="187" t="s">
        <v>999</v>
      </c>
      <c r="B1305" s="188">
        <f>SUM(B1306:B1311)</f>
        <v>0</v>
      </c>
      <c r="C1305" s="188">
        <f>SUM(C1306:C1311)</f>
        <v>0</v>
      </c>
      <c r="D1305" s="188">
        <f>SUM(D1306:D1311)</f>
        <v>0</v>
      </c>
      <c r="E1305" s="189">
        <f t="shared" si="219"/>
        <v>0</v>
      </c>
      <c r="F1305" s="190" t="e">
        <f t="shared" si="222"/>
        <v>#DIV/0!</v>
      </c>
      <c r="H1305" s="88">
        <f t="shared" ref="H1305:M1305" si="233">SUM(H1306:H1311)</f>
        <v>0</v>
      </c>
      <c r="I1305" s="88">
        <f t="shared" si="233"/>
        <v>0</v>
      </c>
      <c r="J1305" s="88">
        <f t="shared" si="233"/>
        <v>0</v>
      </c>
      <c r="K1305" s="89">
        <f t="shared" si="233"/>
        <v>0</v>
      </c>
      <c r="L1305" s="89">
        <f t="shared" si="233"/>
        <v>0</v>
      </c>
      <c r="M1305" s="88">
        <f t="shared" si="233"/>
        <v>0</v>
      </c>
      <c r="O1305" s="88">
        <f>SUM(O1306:O1311)</f>
        <v>0</v>
      </c>
      <c r="P1305" s="88">
        <f>SUM(P1306:P1311)</f>
        <v>0</v>
      </c>
    </row>
    <row r="1306" spans="1:16" ht="12.75" hidden="1" customHeight="1">
      <c r="A1306" s="187" t="s">
        <v>1000</v>
      </c>
      <c r="B1306" s="188"/>
      <c r="C1306" s="188"/>
      <c r="D1306" s="188"/>
      <c r="E1306" s="189">
        <f t="shared" si="219"/>
        <v>0</v>
      </c>
      <c r="F1306" s="190" t="e">
        <f t="shared" si="222"/>
        <v>#DIV/0!</v>
      </c>
      <c r="H1306" s="90"/>
      <c r="I1306" s="90"/>
      <c r="J1306" s="90"/>
      <c r="K1306" s="91"/>
      <c r="L1306" s="91"/>
      <c r="M1306" s="90"/>
      <c r="O1306" s="90"/>
      <c r="P1306" s="90"/>
    </row>
    <row r="1307" spans="1:16" ht="12.75" hidden="1" customHeight="1">
      <c r="A1307" s="187" t="s">
        <v>1001</v>
      </c>
      <c r="B1307" s="188"/>
      <c r="C1307" s="188"/>
      <c r="D1307" s="188"/>
      <c r="E1307" s="189">
        <f t="shared" si="219"/>
        <v>0</v>
      </c>
      <c r="F1307" s="190" t="e">
        <f t="shared" si="222"/>
        <v>#DIV/0!</v>
      </c>
      <c r="H1307" s="88"/>
      <c r="I1307" s="88"/>
      <c r="J1307" s="88"/>
      <c r="K1307" s="89"/>
      <c r="L1307" s="89"/>
      <c r="M1307" s="88"/>
      <c r="O1307" s="88"/>
      <c r="P1307" s="88"/>
    </row>
    <row r="1308" spans="1:16" ht="12.75" hidden="1" customHeight="1">
      <c r="A1308" s="187" t="s">
        <v>1002</v>
      </c>
      <c r="B1308" s="188"/>
      <c r="C1308" s="188"/>
      <c r="D1308" s="188"/>
      <c r="E1308" s="189">
        <f t="shared" si="219"/>
        <v>0</v>
      </c>
      <c r="F1308" s="190" t="e">
        <f t="shared" si="222"/>
        <v>#DIV/0!</v>
      </c>
      <c r="H1308" s="88"/>
      <c r="I1308" s="88"/>
      <c r="J1308" s="88"/>
      <c r="K1308" s="89"/>
      <c r="L1308" s="89"/>
      <c r="M1308" s="88"/>
      <c r="O1308" s="88"/>
      <c r="P1308" s="88"/>
    </row>
    <row r="1309" spans="1:16" ht="12.75" hidden="1" customHeight="1">
      <c r="A1309" s="187" t="s">
        <v>1003</v>
      </c>
      <c r="B1309" s="188"/>
      <c r="C1309" s="188"/>
      <c r="D1309" s="188"/>
      <c r="E1309" s="189">
        <f t="shared" si="219"/>
        <v>0</v>
      </c>
      <c r="F1309" s="190" t="e">
        <f t="shared" si="222"/>
        <v>#DIV/0!</v>
      </c>
      <c r="H1309" s="88"/>
      <c r="I1309" s="88"/>
      <c r="J1309" s="88"/>
      <c r="K1309" s="89"/>
      <c r="L1309" s="89"/>
      <c r="M1309" s="88"/>
      <c r="O1309" s="88"/>
      <c r="P1309" s="88"/>
    </row>
    <row r="1310" spans="1:16" ht="12.75" hidden="1" customHeight="1">
      <c r="A1310" s="187" t="s">
        <v>1004</v>
      </c>
      <c r="B1310" s="188"/>
      <c r="C1310" s="188"/>
      <c r="D1310" s="188"/>
      <c r="E1310" s="189">
        <f t="shared" si="219"/>
        <v>0</v>
      </c>
      <c r="F1310" s="190" t="e">
        <f t="shared" si="222"/>
        <v>#DIV/0!</v>
      </c>
      <c r="H1310" s="88"/>
      <c r="I1310" s="88"/>
      <c r="J1310" s="88"/>
      <c r="K1310" s="89"/>
      <c r="L1310" s="89"/>
      <c r="M1310" s="88"/>
      <c r="O1310" s="88"/>
      <c r="P1310" s="88"/>
    </row>
    <row r="1311" spans="1:16" ht="12.75" hidden="1" customHeight="1">
      <c r="A1311" s="187" t="s">
        <v>1005</v>
      </c>
      <c r="B1311" s="188"/>
      <c r="C1311" s="188"/>
      <c r="D1311" s="188"/>
      <c r="E1311" s="189">
        <f t="shared" si="219"/>
        <v>0</v>
      </c>
      <c r="F1311" s="190" t="e">
        <f t="shared" si="222"/>
        <v>#DIV/0!</v>
      </c>
      <c r="H1311" s="88"/>
      <c r="I1311" s="88"/>
      <c r="J1311" s="88"/>
      <c r="K1311" s="89"/>
      <c r="L1311" s="89"/>
      <c r="M1311" s="88"/>
      <c r="O1311" s="88"/>
      <c r="P1311" s="88"/>
    </row>
    <row r="1312" spans="1:16" ht="12.75" hidden="1" customHeight="1">
      <c r="A1312" s="179" t="s">
        <v>593</v>
      </c>
      <c r="B1312" s="188">
        <f>B1313</f>
        <v>0</v>
      </c>
      <c r="C1312" s="188">
        <f>C1313</f>
        <v>0</v>
      </c>
      <c r="D1312" s="188">
        <f>D1313</f>
        <v>0</v>
      </c>
      <c r="E1312" s="189">
        <f t="shared" si="219"/>
        <v>0</v>
      </c>
      <c r="F1312" s="190" t="e">
        <f t="shared" si="222"/>
        <v>#DIV/0!</v>
      </c>
      <c r="H1312" s="88">
        <f t="shared" ref="H1312:M1312" si="234">H1313</f>
        <v>0</v>
      </c>
      <c r="I1312" s="88">
        <f t="shared" si="234"/>
        <v>0</v>
      </c>
      <c r="J1312" s="88">
        <f t="shared" si="234"/>
        <v>0</v>
      </c>
      <c r="K1312" s="89">
        <f t="shared" si="234"/>
        <v>0</v>
      </c>
      <c r="L1312" s="89">
        <f t="shared" si="234"/>
        <v>0</v>
      </c>
      <c r="M1312" s="88">
        <f t="shared" si="234"/>
        <v>0</v>
      </c>
      <c r="O1312" s="88">
        <f>O1313</f>
        <v>0</v>
      </c>
      <c r="P1312" s="88">
        <f>P1313</f>
        <v>0</v>
      </c>
    </row>
    <row r="1313" spans="1:16" ht="12.75" hidden="1" customHeight="1">
      <c r="A1313" s="187" t="s">
        <v>999</v>
      </c>
      <c r="B1313" s="188">
        <f>SUM(B1314:B1319)</f>
        <v>0</v>
      </c>
      <c r="C1313" s="188">
        <f>SUM(C1314:C1319)</f>
        <v>0</v>
      </c>
      <c r="D1313" s="188">
        <f>SUM(D1314:D1319)</f>
        <v>0</v>
      </c>
      <c r="E1313" s="189">
        <f t="shared" si="219"/>
        <v>0</v>
      </c>
      <c r="F1313" s="190" t="e">
        <f t="shared" si="222"/>
        <v>#DIV/0!</v>
      </c>
      <c r="H1313" s="88">
        <f t="shared" ref="H1313:M1313" si="235">SUM(H1314:H1319)</f>
        <v>0</v>
      </c>
      <c r="I1313" s="88">
        <f t="shared" si="235"/>
        <v>0</v>
      </c>
      <c r="J1313" s="88">
        <f t="shared" si="235"/>
        <v>0</v>
      </c>
      <c r="K1313" s="89">
        <f t="shared" si="235"/>
        <v>0</v>
      </c>
      <c r="L1313" s="89">
        <f t="shared" si="235"/>
        <v>0</v>
      </c>
      <c r="M1313" s="88">
        <f t="shared" si="235"/>
        <v>0</v>
      </c>
      <c r="O1313" s="88">
        <f>SUM(O1314:O1319)</f>
        <v>0</v>
      </c>
      <c r="P1313" s="88">
        <f>SUM(P1314:P1319)</f>
        <v>0</v>
      </c>
    </row>
    <row r="1314" spans="1:16" ht="12.75" hidden="1" customHeight="1">
      <c r="A1314" s="187" t="s">
        <v>1000</v>
      </c>
      <c r="B1314" s="188"/>
      <c r="C1314" s="188"/>
      <c r="D1314" s="188"/>
      <c r="E1314" s="189">
        <f t="shared" si="219"/>
        <v>0</v>
      </c>
      <c r="F1314" s="190" t="e">
        <f t="shared" si="222"/>
        <v>#DIV/0!</v>
      </c>
      <c r="H1314" s="88"/>
      <c r="I1314" s="88"/>
      <c r="J1314" s="88"/>
      <c r="K1314" s="89"/>
      <c r="L1314" s="89"/>
      <c r="M1314" s="88"/>
      <c r="O1314" s="88"/>
      <c r="P1314" s="88"/>
    </row>
    <row r="1315" spans="1:16" ht="12.75" hidden="1" customHeight="1">
      <c r="A1315" s="187" t="s">
        <v>1001</v>
      </c>
      <c r="B1315" s="188"/>
      <c r="C1315" s="188"/>
      <c r="D1315" s="188"/>
      <c r="E1315" s="189">
        <f t="shared" si="219"/>
        <v>0</v>
      </c>
      <c r="F1315" s="190" t="e">
        <f t="shared" si="222"/>
        <v>#DIV/0!</v>
      </c>
      <c r="H1315" s="88"/>
      <c r="I1315" s="88"/>
      <c r="J1315" s="88"/>
      <c r="K1315" s="89"/>
      <c r="L1315" s="89"/>
      <c r="M1315" s="88"/>
      <c r="O1315" s="88"/>
      <c r="P1315" s="88"/>
    </row>
    <row r="1316" spans="1:16" ht="12.75" hidden="1" customHeight="1">
      <c r="A1316" s="187" t="s">
        <v>1002</v>
      </c>
      <c r="B1316" s="188"/>
      <c r="C1316" s="188"/>
      <c r="D1316" s="188"/>
      <c r="E1316" s="189">
        <f t="shared" si="219"/>
        <v>0</v>
      </c>
      <c r="F1316" s="190" t="e">
        <f t="shared" si="222"/>
        <v>#DIV/0!</v>
      </c>
      <c r="H1316" s="88"/>
      <c r="I1316" s="88"/>
      <c r="J1316" s="88"/>
      <c r="K1316" s="89"/>
      <c r="L1316" s="89"/>
      <c r="M1316" s="88"/>
      <c r="O1316" s="88"/>
      <c r="P1316" s="88"/>
    </row>
    <row r="1317" spans="1:16" ht="12.75" hidden="1" customHeight="1">
      <c r="A1317" s="187" t="s">
        <v>1003</v>
      </c>
      <c r="B1317" s="188"/>
      <c r="C1317" s="188"/>
      <c r="D1317" s="188"/>
      <c r="E1317" s="189">
        <f t="shared" si="219"/>
        <v>0</v>
      </c>
      <c r="F1317" s="190" t="e">
        <f t="shared" si="222"/>
        <v>#DIV/0!</v>
      </c>
      <c r="H1317" s="88"/>
      <c r="I1317" s="88"/>
      <c r="J1317" s="88"/>
      <c r="K1317" s="89"/>
      <c r="L1317" s="89"/>
      <c r="M1317" s="88"/>
      <c r="O1317" s="88"/>
      <c r="P1317" s="88"/>
    </row>
    <row r="1318" spans="1:16" ht="12.75" hidden="1" customHeight="1">
      <c r="A1318" s="187" t="s">
        <v>1004</v>
      </c>
      <c r="B1318" s="188"/>
      <c r="C1318" s="188"/>
      <c r="D1318" s="188"/>
      <c r="E1318" s="189">
        <f t="shared" si="219"/>
        <v>0</v>
      </c>
      <c r="F1318" s="190" t="e">
        <f t="shared" si="222"/>
        <v>#DIV/0!</v>
      </c>
      <c r="H1318" s="88"/>
      <c r="I1318" s="88"/>
      <c r="J1318" s="88"/>
      <c r="K1318" s="89"/>
      <c r="L1318" s="89"/>
      <c r="M1318" s="88"/>
      <c r="O1318" s="88"/>
      <c r="P1318" s="88"/>
    </row>
    <row r="1319" spans="1:16" ht="12.75" hidden="1" customHeight="1">
      <c r="A1319" s="187" t="s">
        <v>1005</v>
      </c>
      <c r="B1319" s="188"/>
      <c r="C1319" s="188"/>
      <c r="D1319" s="188"/>
      <c r="E1319" s="189">
        <f t="shared" si="219"/>
        <v>0</v>
      </c>
      <c r="F1319" s="190" t="e">
        <f t="shared" si="222"/>
        <v>#DIV/0!</v>
      </c>
      <c r="H1319" s="93"/>
      <c r="I1319" s="93"/>
      <c r="J1319" s="93"/>
      <c r="K1319" s="94"/>
      <c r="L1319" s="94"/>
      <c r="M1319" s="93"/>
      <c r="O1319" s="93"/>
      <c r="P1319" s="93"/>
    </row>
    <row r="1320" spans="1:16" ht="12.75" hidden="1" customHeight="1">
      <c r="A1320" s="179" t="s">
        <v>616</v>
      </c>
      <c r="B1320" s="188">
        <f>B1321</f>
        <v>0</v>
      </c>
      <c r="C1320" s="188">
        <f>C1321</f>
        <v>0</v>
      </c>
      <c r="D1320" s="188">
        <f>D1321</f>
        <v>0</v>
      </c>
      <c r="E1320" s="189">
        <f t="shared" si="219"/>
        <v>0</v>
      </c>
      <c r="F1320" s="190" t="e">
        <f t="shared" si="222"/>
        <v>#DIV/0!</v>
      </c>
      <c r="H1320" s="88">
        <f t="shared" ref="H1320:M1320" si="236">H1321</f>
        <v>0</v>
      </c>
      <c r="I1320" s="88">
        <f t="shared" si="236"/>
        <v>0</v>
      </c>
      <c r="J1320" s="88">
        <f t="shared" si="236"/>
        <v>0</v>
      </c>
      <c r="K1320" s="89">
        <f t="shared" si="236"/>
        <v>0</v>
      </c>
      <c r="L1320" s="89">
        <f t="shared" si="236"/>
        <v>0</v>
      </c>
      <c r="M1320" s="88">
        <f t="shared" si="236"/>
        <v>0</v>
      </c>
      <c r="O1320" s="88">
        <f>O1321</f>
        <v>0</v>
      </c>
      <c r="P1320" s="88">
        <f>P1321</f>
        <v>0</v>
      </c>
    </row>
    <row r="1321" spans="1:16" ht="12.75" hidden="1" customHeight="1">
      <c r="A1321" s="187" t="s">
        <v>999</v>
      </c>
      <c r="B1321" s="188">
        <f>SUM(B1322:B1327)</f>
        <v>0</v>
      </c>
      <c r="C1321" s="188">
        <f>SUM(C1322:C1327)</f>
        <v>0</v>
      </c>
      <c r="D1321" s="188">
        <f>SUM(D1322:D1327)</f>
        <v>0</v>
      </c>
      <c r="E1321" s="189">
        <f t="shared" si="219"/>
        <v>0</v>
      </c>
      <c r="F1321" s="190" t="e">
        <f t="shared" si="222"/>
        <v>#DIV/0!</v>
      </c>
      <c r="H1321" s="88">
        <f t="shared" ref="H1321:M1321" si="237">SUM(H1322:H1327)</f>
        <v>0</v>
      </c>
      <c r="I1321" s="88">
        <f t="shared" si="237"/>
        <v>0</v>
      </c>
      <c r="J1321" s="88">
        <f t="shared" si="237"/>
        <v>0</v>
      </c>
      <c r="K1321" s="89">
        <f t="shared" si="237"/>
        <v>0</v>
      </c>
      <c r="L1321" s="89">
        <f t="shared" si="237"/>
        <v>0</v>
      </c>
      <c r="M1321" s="88">
        <f t="shared" si="237"/>
        <v>0</v>
      </c>
      <c r="O1321" s="88">
        <f>SUM(O1322:O1327)</f>
        <v>0</v>
      </c>
      <c r="P1321" s="88">
        <f>SUM(P1322:P1327)</f>
        <v>0</v>
      </c>
    </row>
    <row r="1322" spans="1:16" ht="12.75" hidden="1" customHeight="1">
      <c r="A1322" s="187" t="s">
        <v>1000</v>
      </c>
      <c r="B1322" s="188"/>
      <c r="C1322" s="188"/>
      <c r="D1322" s="188"/>
      <c r="E1322" s="189">
        <f t="shared" ref="E1322:E1379" si="238">D1322-C1322</f>
        <v>0</v>
      </c>
      <c r="F1322" s="190" t="e">
        <f t="shared" si="222"/>
        <v>#DIV/0!</v>
      </c>
      <c r="H1322" s="88"/>
      <c r="I1322" s="88"/>
      <c r="J1322" s="88"/>
      <c r="K1322" s="89"/>
      <c r="L1322" s="89"/>
      <c r="M1322" s="88"/>
      <c r="O1322" s="88"/>
      <c r="P1322" s="88"/>
    </row>
    <row r="1323" spans="1:16" ht="12.75" hidden="1" customHeight="1">
      <c r="A1323" s="187" t="s">
        <v>1001</v>
      </c>
      <c r="B1323" s="188"/>
      <c r="C1323" s="188"/>
      <c r="D1323" s="188"/>
      <c r="E1323" s="189">
        <f t="shared" si="238"/>
        <v>0</v>
      </c>
      <c r="F1323" s="190" t="e">
        <f t="shared" si="222"/>
        <v>#DIV/0!</v>
      </c>
      <c r="H1323" s="88"/>
      <c r="I1323" s="88"/>
      <c r="J1323" s="88"/>
      <c r="K1323" s="89"/>
      <c r="L1323" s="89"/>
      <c r="M1323" s="88"/>
      <c r="O1323" s="88"/>
      <c r="P1323" s="88"/>
    </row>
    <row r="1324" spans="1:16" ht="12.75" hidden="1" customHeight="1">
      <c r="A1324" s="187" t="s">
        <v>1002</v>
      </c>
      <c r="B1324" s="188"/>
      <c r="C1324" s="188"/>
      <c r="D1324" s="188"/>
      <c r="E1324" s="189">
        <f t="shared" si="238"/>
        <v>0</v>
      </c>
      <c r="F1324" s="190" t="e">
        <f t="shared" ref="F1324:F1379" si="239">E1324/C1324*100</f>
        <v>#DIV/0!</v>
      </c>
      <c r="H1324" s="88"/>
      <c r="I1324" s="88"/>
      <c r="J1324" s="88"/>
      <c r="K1324" s="89"/>
      <c r="L1324" s="89"/>
      <c r="M1324" s="88"/>
      <c r="O1324" s="88"/>
      <c r="P1324" s="88"/>
    </row>
    <row r="1325" spans="1:16" ht="12.75" hidden="1" customHeight="1">
      <c r="A1325" s="187" t="s">
        <v>1003</v>
      </c>
      <c r="B1325" s="188"/>
      <c r="C1325" s="188"/>
      <c r="D1325" s="188"/>
      <c r="E1325" s="189">
        <f t="shared" si="238"/>
        <v>0</v>
      </c>
      <c r="F1325" s="190" t="e">
        <f t="shared" si="239"/>
        <v>#DIV/0!</v>
      </c>
      <c r="H1325" s="88"/>
      <c r="I1325" s="88"/>
      <c r="J1325" s="88"/>
      <c r="K1325" s="89"/>
      <c r="L1325" s="89"/>
      <c r="M1325" s="88"/>
      <c r="O1325" s="88"/>
      <c r="P1325" s="88"/>
    </row>
    <row r="1326" spans="1:16" ht="12.75" hidden="1" customHeight="1">
      <c r="A1326" s="187" t="s">
        <v>1004</v>
      </c>
      <c r="B1326" s="188"/>
      <c r="C1326" s="188"/>
      <c r="D1326" s="188"/>
      <c r="E1326" s="189">
        <f t="shared" si="238"/>
        <v>0</v>
      </c>
      <c r="F1326" s="190" t="e">
        <f t="shared" si="239"/>
        <v>#DIV/0!</v>
      </c>
      <c r="H1326" s="88"/>
      <c r="I1326" s="88"/>
      <c r="J1326" s="88"/>
      <c r="K1326" s="89"/>
      <c r="L1326" s="89"/>
      <c r="M1326" s="88"/>
      <c r="O1326" s="88"/>
      <c r="P1326" s="88"/>
    </row>
    <row r="1327" spans="1:16" ht="12.75" hidden="1" customHeight="1">
      <c r="A1327" s="187" t="s">
        <v>1005</v>
      </c>
      <c r="B1327" s="188"/>
      <c r="C1327" s="188"/>
      <c r="D1327" s="188"/>
      <c r="E1327" s="189">
        <f t="shared" si="238"/>
        <v>0</v>
      </c>
      <c r="F1327" s="190" t="e">
        <f t="shared" si="239"/>
        <v>#DIV/0!</v>
      </c>
      <c r="H1327" s="88"/>
      <c r="I1327" s="88"/>
      <c r="J1327" s="88"/>
      <c r="K1327" s="89"/>
      <c r="L1327" s="89"/>
      <c r="M1327" s="88"/>
      <c r="O1327" s="88"/>
      <c r="P1327" s="88"/>
    </row>
    <row r="1328" spans="1:16" ht="12.75" hidden="1" customHeight="1">
      <c r="A1328" s="179" t="s">
        <v>719</v>
      </c>
      <c r="B1328" s="188">
        <f>B1329</f>
        <v>0</v>
      </c>
      <c r="C1328" s="188">
        <f>C1329</f>
        <v>0</v>
      </c>
      <c r="D1328" s="188">
        <f>D1329</f>
        <v>0</v>
      </c>
      <c r="E1328" s="189">
        <f t="shared" si="238"/>
        <v>0</v>
      </c>
      <c r="F1328" s="190" t="e">
        <f t="shared" si="239"/>
        <v>#DIV/0!</v>
      </c>
      <c r="H1328" s="88">
        <f t="shared" ref="H1328:M1328" si="240">H1329</f>
        <v>0</v>
      </c>
      <c r="I1328" s="88">
        <f t="shared" si="240"/>
        <v>0</v>
      </c>
      <c r="J1328" s="88">
        <f t="shared" si="240"/>
        <v>0</v>
      </c>
      <c r="K1328" s="89">
        <f t="shared" si="240"/>
        <v>0</v>
      </c>
      <c r="L1328" s="89">
        <f t="shared" si="240"/>
        <v>0</v>
      </c>
      <c r="M1328" s="88">
        <f t="shared" si="240"/>
        <v>0</v>
      </c>
      <c r="O1328" s="88">
        <f>O1329</f>
        <v>0</v>
      </c>
      <c r="P1328" s="88">
        <f>P1329</f>
        <v>0</v>
      </c>
    </row>
    <row r="1329" spans="1:16" ht="12.75" hidden="1" customHeight="1">
      <c r="A1329" s="187" t="s">
        <v>999</v>
      </c>
      <c r="B1329" s="188">
        <f>SUM(B1330:B1335)</f>
        <v>0</v>
      </c>
      <c r="C1329" s="188">
        <f>SUM(C1330:C1335)</f>
        <v>0</v>
      </c>
      <c r="D1329" s="188">
        <f>SUM(D1330:D1335)</f>
        <v>0</v>
      </c>
      <c r="E1329" s="189">
        <f t="shared" si="238"/>
        <v>0</v>
      </c>
      <c r="F1329" s="190" t="e">
        <f t="shared" si="239"/>
        <v>#DIV/0!</v>
      </c>
      <c r="H1329" s="88">
        <f t="shared" ref="H1329:M1329" si="241">SUM(H1330:H1335)</f>
        <v>0</v>
      </c>
      <c r="I1329" s="88">
        <f t="shared" si="241"/>
        <v>0</v>
      </c>
      <c r="J1329" s="88">
        <f t="shared" si="241"/>
        <v>0</v>
      </c>
      <c r="K1329" s="89">
        <f t="shared" si="241"/>
        <v>0</v>
      </c>
      <c r="L1329" s="89">
        <f t="shared" si="241"/>
        <v>0</v>
      </c>
      <c r="M1329" s="88">
        <f t="shared" si="241"/>
        <v>0</v>
      </c>
      <c r="O1329" s="88">
        <f>SUM(O1330:O1335)</f>
        <v>0</v>
      </c>
      <c r="P1329" s="88">
        <f>SUM(P1330:P1335)</f>
        <v>0</v>
      </c>
    </row>
    <row r="1330" spans="1:16" ht="12.75" hidden="1" customHeight="1">
      <c r="A1330" s="187" t="s">
        <v>1000</v>
      </c>
      <c r="B1330" s="188"/>
      <c r="C1330" s="188"/>
      <c r="D1330" s="188"/>
      <c r="E1330" s="189">
        <f t="shared" si="238"/>
        <v>0</v>
      </c>
      <c r="F1330" s="190" t="e">
        <f t="shared" si="239"/>
        <v>#DIV/0!</v>
      </c>
      <c r="H1330" s="88"/>
      <c r="I1330" s="88"/>
      <c r="J1330" s="88"/>
      <c r="K1330" s="89"/>
      <c r="L1330" s="89"/>
      <c r="M1330" s="88"/>
      <c r="O1330" s="88"/>
      <c r="P1330" s="88"/>
    </row>
    <row r="1331" spans="1:16" ht="12.75" hidden="1" customHeight="1">
      <c r="A1331" s="187" t="s">
        <v>1001</v>
      </c>
      <c r="B1331" s="188"/>
      <c r="C1331" s="188"/>
      <c r="D1331" s="188"/>
      <c r="E1331" s="189">
        <f t="shared" si="238"/>
        <v>0</v>
      </c>
      <c r="F1331" s="190" t="e">
        <f t="shared" si="239"/>
        <v>#DIV/0!</v>
      </c>
      <c r="H1331" s="88"/>
      <c r="I1331" s="88"/>
      <c r="J1331" s="88"/>
      <c r="K1331" s="89"/>
      <c r="L1331" s="89"/>
      <c r="M1331" s="88"/>
      <c r="O1331" s="88"/>
      <c r="P1331" s="88"/>
    </row>
    <row r="1332" spans="1:16" ht="12.75" hidden="1" customHeight="1">
      <c r="A1332" s="187" t="s">
        <v>1002</v>
      </c>
      <c r="B1332" s="188"/>
      <c r="C1332" s="188"/>
      <c r="D1332" s="188"/>
      <c r="E1332" s="189">
        <f t="shared" si="238"/>
        <v>0</v>
      </c>
      <c r="F1332" s="190" t="e">
        <f t="shared" si="239"/>
        <v>#DIV/0!</v>
      </c>
      <c r="H1332" s="88"/>
      <c r="I1332" s="88"/>
      <c r="J1332" s="88"/>
      <c r="K1332" s="89"/>
      <c r="L1332" s="89"/>
      <c r="M1332" s="88"/>
      <c r="O1332" s="88"/>
      <c r="P1332" s="88"/>
    </row>
    <row r="1333" spans="1:16" ht="12.75" hidden="1" customHeight="1">
      <c r="A1333" s="187" t="s">
        <v>1003</v>
      </c>
      <c r="B1333" s="188"/>
      <c r="C1333" s="188"/>
      <c r="D1333" s="188"/>
      <c r="E1333" s="189">
        <f t="shared" si="238"/>
        <v>0</v>
      </c>
      <c r="F1333" s="190" t="e">
        <f t="shared" si="239"/>
        <v>#DIV/0!</v>
      </c>
      <c r="H1333" s="88"/>
      <c r="I1333" s="88"/>
      <c r="J1333" s="88"/>
      <c r="K1333" s="89"/>
      <c r="L1333" s="89"/>
      <c r="M1333" s="88"/>
      <c r="O1333" s="88"/>
      <c r="P1333" s="88"/>
    </row>
    <row r="1334" spans="1:16" ht="12.75" hidden="1" customHeight="1">
      <c r="A1334" s="187" t="s">
        <v>1004</v>
      </c>
      <c r="B1334" s="188"/>
      <c r="C1334" s="188"/>
      <c r="D1334" s="188"/>
      <c r="E1334" s="189">
        <f t="shared" si="238"/>
        <v>0</v>
      </c>
      <c r="F1334" s="190" t="e">
        <f t="shared" si="239"/>
        <v>#DIV/0!</v>
      </c>
      <c r="H1334" s="88"/>
      <c r="I1334" s="88"/>
      <c r="J1334" s="88"/>
      <c r="K1334" s="89"/>
      <c r="L1334" s="89"/>
      <c r="M1334" s="88"/>
      <c r="O1334" s="88"/>
      <c r="P1334" s="88"/>
    </row>
    <row r="1335" spans="1:16" ht="12.75" hidden="1" customHeight="1">
      <c r="A1335" s="187" t="s">
        <v>1005</v>
      </c>
      <c r="B1335" s="188"/>
      <c r="C1335" s="188"/>
      <c r="D1335" s="188"/>
      <c r="E1335" s="189">
        <f t="shared" si="238"/>
        <v>0</v>
      </c>
      <c r="F1335" s="190" t="e">
        <f t="shared" si="239"/>
        <v>#DIV/0!</v>
      </c>
      <c r="H1335" s="88"/>
      <c r="I1335" s="88"/>
      <c r="J1335" s="88"/>
      <c r="K1335" s="89"/>
      <c r="L1335" s="89"/>
      <c r="M1335" s="88"/>
      <c r="O1335" s="88"/>
      <c r="P1335" s="88"/>
    </row>
    <row r="1336" spans="1:16" ht="12.75" hidden="1" customHeight="1">
      <c r="A1336" s="179" t="s">
        <v>762</v>
      </c>
      <c r="B1336" s="188">
        <f>B1337</f>
        <v>0</v>
      </c>
      <c r="C1336" s="188">
        <f>C1337</f>
        <v>0</v>
      </c>
      <c r="D1336" s="188">
        <f>D1337</f>
        <v>0</v>
      </c>
      <c r="E1336" s="189">
        <f t="shared" si="238"/>
        <v>0</v>
      </c>
      <c r="F1336" s="190" t="e">
        <f t="shared" si="239"/>
        <v>#DIV/0!</v>
      </c>
      <c r="H1336" s="88">
        <f t="shared" ref="H1336:M1336" si="242">H1337</f>
        <v>0</v>
      </c>
      <c r="I1336" s="88">
        <f t="shared" si="242"/>
        <v>0</v>
      </c>
      <c r="J1336" s="88">
        <f t="shared" si="242"/>
        <v>0</v>
      </c>
      <c r="K1336" s="89">
        <f t="shared" si="242"/>
        <v>0</v>
      </c>
      <c r="L1336" s="89">
        <f t="shared" si="242"/>
        <v>0</v>
      </c>
      <c r="M1336" s="88">
        <f t="shared" si="242"/>
        <v>0</v>
      </c>
      <c r="O1336" s="88">
        <f>O1337</f>
        <v>0</v>
      </c>
      <c r="P1336" s="88">
        <f>P1337</f>
        <v>0</v>
      </c>
    </row>
    <row r="1337" spans="1:16" ht="12.75" hidden="1" customHeight="1">
      <c r="A1337" s="187" t="s">
        <v>999</v>
      </c>
      <c r="B1337" s="188">
        <f>SUM(B1338:B1343)</f>
        <v>0</v>
      </c>
      <c r="C1337" s="188">
        <f>SUM(C1338:C1343)</f>
        <v>0</v>
      </c>
      <c r="D1337" s="188">
        <f>SUM(D1338:D1343)</f>
        <v>0</v>
      </c>
      <c r="E1337" s="189">
        <f t="shared" si="238"/>
        <v>0</v>
      </c>
      <c r="F1337" s="190" t="e">
        <f t="shared" si="239"/>
        <v>#DIV/0!</v>
      </c>
      <c r="H1337" s="88">
        <f t="shared" ref="H1337:M1337" si="243">SUM(H1338:H1343)</f>
        <v>0</v>
      </c>
      <c r="I1337" s="88">
        <f t="shared" si="243"/>
        <v>0</v>
      </c>
      <c r="J1337" s="88">
        <f t="shared" si="243"/>
        <v>0</v>
      </c>
      <c r="K1337" s="89">
        <f t="shared" si="243"/>
        <v>0</v>
      </c>
      <c r="L1337" s="89">
        <f t="shared" si="243"/>
        <v>0</v>
      </c>
      <c r="M1337" s="88">
        <f t="shared" si="243"/>
        <v>0</v>
      </c>
      <c r="O1337" s="88">
        <f>SUM(O1338:O1343)</f>
        <v>0</v>
      </c>
      <c r="P1337" s="88">
        <f>SUM(P1338:P1343)</f>
        <v>0</v>
      </c>
    </row>
    <row r="1338" spans="1:16" ht="12.75" hidden="1" customHeight="1">
      <c r="A1338" s="187" t="s">
        <v>1000</v>
      </c>
      <c r="B1338" s="188"/>
      <c r="C1338" s="188"/>
      <c r="D1338" s="188"/>
      <c r="E1338" s="189">
        <f t="shared" si="238"/>
        <v>0</v>
      </c>
      <c r="F1338" s="190" t="e">
        <f t="shared" si="239"/>
        <v>#DIV/0!</v>
      </c>
      <c r="H1338" s="88"/>
      <c r="I1338" s="88"/>
      <c r="J1338" s="88"/>
      <c r="K1338" s="89"/>
      <c r="L1338" s="89"/>
      <c r="M1338" s="88"/>
      <c r="O1338" s="88"/>
      <c r="P1338" s="88"/>
    </row>
    <row r="1339" spans="1:16" ht="12.75" hidden="1" customHeight="1">
      <c r="A1339" s="187" t="s">
        <v>1001</v>
      </c>
      <c r="B1339" s="188"/>
      <c r="C1339" s="188"/>
      <c r="D1339" s="188"/>
      <c r="E1339" s="189">
        <f t="shared" si="238"/>
        <v>0</v>
      </c>
      <c r="F1339" s="190" t="e">
        <f t="shared" si="239"/>
        <v>#DIV/0!</v>
      </c>
      <c r="H1339" s="88"/>
      <c r="I1339" s="88"/>
      <c r="J1339" s="88"/>
      <c r="K1339" s="89"/>
      <c r="L1339" s="89"/>
      <c r="M1339" s="88"/>
      <c r="O1339" s="88"/>
      <c r="P1339" s="88"/>
    </row>
    <row r="1340" spans="1:16" ht="12.75" hidden="1" customHeight="1">
      <c r="A1340" s="187" t="s">
        <v>1002</v>
      </c>
      <c r="B1340" s="188"/>
      <c r="C1340" s="188"/>
      <c r="D1340" s="188"/>
      <c r="E1340" s="189">
        <f t="shared" si="238"/>
        <v>0</v>
      </c>
      <c r="F1340" s="190" t="e">
        <f t="shared" si="239"/>
        <v>#DIV/0!</v>
      </c>
      <c r="H1340" s="88"/>
      <c r="I1340" s="88"/>
      <c r="J1340" s="88"/>
      <c r="K1340" s="89"/>
      <c r="L1340" s="89"/>
      <c r="M1340" s="88"/>
      <c r="O1340" s="88"/>
      <c r="P1340" s="88"/>
    </row>
    <row r="1341" spans="1:16" ht="12.75" hidden="1" customHeight="1">
      <c r="A1341" s="187" t="s">
        <v>1003</v>
      </c>
      <c r="B1341" s="188"/>
      <c r="C1341" s="188"/>
      <c r="D1341" s="188"/>
      <c r="E1341" s="189">
        <f t="shared" si="238"/>
        <v>0</v>
      </c>
      <c r="F1341" s="190" t="e">
        <f t="shared" si="239"/>
        <v>#DIV/0!</v>
      </c>
      <c r="H1341" s="88"/>
      <c r="I1341" s="88"/>
      <c r="J1341" s="88"/>
      <c r="K1341" s="89"/>
      <c r="L1341" s="89"/>
      <c r="M1341" s="88"/>
      <c r="O1341" s="88"/>
      <c r="P1341" s="88"/>
    </row>
    <row r="1342" spans="1:16" ht="12.75" hidden="1" customHeight="1">
      <c r="A1342" s="187" t="s">
        <v>1004</v>
      </c>
      <c r="B1342" s="188"/>
      <c r="C1342" s="188"/>
      <c r="D1342" s="188"/>
      <c r="E1342" s="189">
        <f t="shared" si="238"/>
        <v>0</v>
      </c>
      <c r="F1342" s="190" t="e">
        <f t="shared" si="239"/>
        <v>#DIV/0!</v>
      </c>
      <c r="H1342" s="88"/>
      <c r="I1342" s="88"/>
      <c r="J1342" s="88"/>
      <c r="K1342" s="89"/>
      <c r="L1342" s="89"/>
      <c r="M1342" s="88"/>
      <c r="O1342" s="88"/>
      <c r="P1342" s="88"/>
    </row>
    <row r="1343" spans="1:16" ht="12.75" hidden="1" customHeight="1">
      <c r="A1343" s="187" t="s">
        <v>1005</v>
      </c>
      <c r="B1343" s="188"/>
      <c r="C1343" s="188"/>
      <c r="D1343" s="188"/>
      <c r="E1343" s="189">
        <f t="shared" si="238"/>
        <v>0</v>
      </c>
      <c r="F1343" s="190" t="e">
        <f t="shared" si="239"/>
        <v>#DIV/0!</v>
      </c>
      <c r="H1343" s="88"/>
      <c r="I1343" s="88"/>
      <c r="J1343" s="88"/>
      <c r="K1343" s="89"/>
      <c r="L1343" s="89"/>
      <c r="M1343" s="88"/>
      <c r="O1343" s="88"/>
      <c r="P1343" s="88"/>
    </row>
    <row r="1344" spans="1:16" ht="12.75" hidden="1" customHeight="1">
      <c r="A1344" s="179" t="s">
        <v>784</v>
      </c>
      <c r="B1344" s="188">
        <f>B1345</f>
        <v>0</v>
      </c>
      <c r="C1344" s="188">
        <f>C1345</f>
        <v>0</v>
      </c>
      <c r="D1344" s="188">
        <f>D1345</f>
        <v>0</v>
      </c>
      <c r="E1344" s="189">
        <f t="shared" si="238"/>
        <v>0</v>
      </c>
      <c r="F1344" s="190" t="e">
        <f t="shared" si="239"/>
        <v>#DIV/0!</v>
      </c>
      <c r="H1344" s="88">
        <f t="shared" ref="H1344:M1344" si="244">H1345</f>
        <v>0</v>
      </c>
      <c r="I1344" s="88">
        <f t="shared" si="244"/>
        <v>0</v>
      </c>
      <c r="J1344" s="88">
        <f t="shared" si="244"/>
        <v>0</v>
      </c>
      <c r="K1344" s="89">
        <f t="shared" si="244"/>
        <v>0</v>
      </c>
      <c r="L1344" s="89">
        <f t="shared" si="244"/>
        <v>0</v>
      </c>
      <c r="M1344" s="88">
        <f t="shared" si="244"/>
        <v>0</v>
      </c>
      <c r="O1344" s="88">
        <f>O1345</f>
        <v>0</v>
      </c>
      <c r="P1344" s="88">
        <f>P1345</f>
        <v>0</v>
      </c>
    </row>
    <row r="1345" spans="1:16" ht="12.75" hidden="1" customHeight="1">
      <c r="A1345" s="187" t="s">
        <v>999</v>
      </c>
      <c r="B1345" s="188">
        <f>SUM(B1346:B1351)</f>
        <v>0</v>
      </c>
      <c r="C1345" s="188">
        <f>SUM(C1346:C1351)</f>
        <v>0</v>
      </c>
      <c r="D1345" s="188">
        <f>SUM(D1346:D1351)</f>
        <v>0</v>
      </c>
      <c r="E1345" s="189">
        <f t="shared" si="238"/>
        <v>0</v>
      </c>
      <c r="F1345" s="190" t="e">
        <f t="shared" si="239"/>
        <v>#DIV/0!</v>
      </c>
      <c r="H1345" s="88">
        <f t="shared" ref="H1345:M1345" si="245">SUM(H1346:H1351)</f>
        <v>0</v>
      </c>
      <c r="I1345" s="88">
        <f t="shared" si="245"/>
        <v>0</v>
      </c>
      <c r="J1345" s="88">
        <f t="shared" si="245"/>
        <v>0</v>
      </c>
      <c r="K1345" s="89">
        <f t="shared" si="245"/>
        <v>0</v>
      </c>
      <c r="L1345" s="89">
        <f t="shared" si="245"/>
        <v>0</v>
      </c>
      <c r="M1345" s="88">
        <f t="shared" si="245"/>
        <v>0</v>
      </c>
      <c r="O1345" s="88">
        <f>SUM(O1346:O1351)</f>
        <v>0</v>
      </c>
      <c r="P1345" s="88">
        <f>SUM(P1346:P1351)</f>
        <v>0</v>
      </c>
    </row>
    <row r="1346" spans="1:16" ht="12.75" hidden="1" customHeight="1">
      <c r="A1346" s="187" t="s">
        <v>1000</v>
      </c>
      <c r="B1346" s="188"/>
      <c r="C1346" s="188"/>
      <c r="D1346" s="188"/>
      <c r="E1346" s="189">
        <f t="shared" si="238"/>
        <v>0</v>
      </c>
      <c r="F1346" s="190" t="e">
        <f t="shared" si="239"/>
        <v>#DIV/0!</v>
      </c>
      <c r="H1346" s="88"/>
      <c r="I1346" s="88"/>
      <c r="J1346" s="88"/>
      <c r="K1346" s="89"/>
      <c r="L1346" s="89"/>
      <c r="M1346" s="88"/>
      <c r="O1346" s="88"/>
      <c r="P1346" s="88"/>
    </row>
    <row r="1347" spans="1:16" ht="12.75" hidden="1" customHeight="1">
      <c r="A1347" s="187" t="s">
        <v>1001</v>
      </c>
      <c r="B1347" s="188"/>
      <c r="C1347" s="188"/>
      <c r="D1347" s="188"/>
      <c r="E1347" s="189">
        <f t="shared" si="238"/>
        <v>0</v>
      </c>
      <c r="F1347" s="190" t="e">
        <f t="shared" si="239"/>
        <v>#DIV/0!</v>
      </c>
      <c r="H1347" s="88"/>
      <c r="I1347" s="88"/>
      <c r="J1347" s="88"/>
      <c r="K1347" s="89"/>
      <c r="L1347" s="89"/>
      <c r="M1347" s="88"/>
      <c r="O1347" s="88"/>
      <c r="P1347" s="88"/>
    </row>
    <row r="1348" spans="1:16" ht="12.75" hidden="1" customHeight="1">
      <c r="A1348" s="187" t="s">
        <v>1002</v>
      </c>
      <c r="B1348" s="188"/>
      <c r="C1348" s="188"/>
      <c r="D1348" s="188"/>
      <c r="E1348" s="189">
        <f t="shared" si="238"/>
        <v>0</v>
      </c>
      <c r="F1348" s="190" t="e">
        <f t="shared" si="239"/>
        <v>#DIV/0!</v>
      </c>
      <c r="H1348" s="88"/>
      <c r="I1348" s="88"/>
      <c r="J1348" s="88"/>
      <c r="K1348" s="89"/>
      <c r="L1348" s="89"/>
      <c r="M1348" s="88"/>
      <c r="O1348" s="88"/>
      <c r="P1348" s="88"/>
    </row>
    <row r="1349" spans="1:16" ht="12.75" hidden="1" customHeight="1">
      <c r="A1349" s="187" t="s">
        <v>1003</v>
      </c>
      <c r="B1349" s="188"/>
      <c r="C1349" s="188"/>
      <c r="D1349" s="188"/>
      <c r="E1349" s="189">
        <f t="shared" si="238"/>
        <v>0</v>
      </c>
      <c r="F1349" s="190" t="e">
        <f t="shared" si="239"/>
        <v>#DIV/0!</v>
      </c>
      <c r="H1349" s="88"/>
      <c r="I1349" s="88"/>
      <c r="J1349" s="88"/>
      <c r="K1349" s="89"/>
      <c r="L1349" s="89"/>
      <c r="M1349" s="88"/>
      <c r="O1349" s="88"/>
      <c r="P1349" s="88"/>
    </row>
    <row r="1350" spans="1:16" ht="12.75" hidden="1" customHeight="1">
      <c r="A1350" s="187" t="s">
        <v>1004</v>
      </c>
      <c r="B1350" s="188"/>
      <c r="C1350" s="188"/>
      <c r="D1350" s="188"/>
      <c r="E1350" s="189">
        <f t="shared" si="238"/>
        <v>0</v>
      </c>
      <c r="F1350" s="190" t="e">
        <f t="shared" si="239"/>
        <v>#DIV/0!</v>
      </c>
      <c r="H1350" s="88"/>
      <c r="I1350" s="88"/>
      <c r="J1350" s="88"/>
      <c r="K1350" s="89"/>
      <c r="L1350" s="89"/>
      <c r="M1350" s="88"/>
      <c r="O1350" s="88"/>
      <c r="P1350" s="88"/>
    </row>
    <row r="1351" spans="1:16" ht="12.75" hidden="1" customHeight="1">
      <c r="A1351" s="187" t="s">
        <v>1005</v>
      </c>
      <c r="B1351" s="188"/>
      <c r="C1351" s="188"/>
      <c r="D1351" s="188"/>
      <c r="E1351" s="189">
        <f t="shared" si="238"/>
        <v>0</v>
      </c>
      <c r="F1351" s="190" t="e">
        <f t="shared" si="239"/>
        <v>#DIV/0!</v>
      </c>
      <c r="H1351" s="88"/>
      <c r="I1351" s="88"/>
      <c r="J1351" s="88"/>
      <c r="K1351" s="89"/>
      <c r="L1351" s="89"/>
      <c r="M1351" s="88"/>
      <c r="O1351" s="88"/>
      <c r="P1351" s="88"/>
    </row>
    <row r="1352" spans="1:16">
      <c r="A1352" s="179" t="s">
        <v>981</v>
      </c>
      <c r="B1352" s="182">
        <f>B1353</f>
        <v>336</v>
      </c>
      <c r="C1352" s="182">
        <v>336</v>
      </c>
      <c r="D1352" s="182">
        <v>334.04</v>
      </c>
      <c r="E1352" s="185">
        <f t="shared" si="238"/>
        <v>-1.9599999999999795</v>
      </c>
      <c r="F1352" s="186">
        <f t="shared" si="239"/>
        <v>-0.58333333333332715</v>
      </c>
      <c r="H1352" s="88">
        <f t="shared" ref="H1352:M1352" si="246">H1353</f>
        <v>0</v>
      </c>
      <c r="I1352" s="88">
        <f t="shared" si="246"/>
        <v>0</v>
      </c>
      <c r="J1352" s="88">
        <f t="shared" si="246"/>
        <v>0</v>
      </c>
      <c r="K1352" s="89">
        <f t="shared" si="246"/>
        <v>0</v>
      </c>
      <c r="L1352" s="89">
        <f t="shared" si="246"/>
        <v>0</v>
      </c>
      <c r="M1352" s="88">
        <f t="shared" si="246"/>
        <v>0</v>
      </c>
      <c r="O1352" s="88">
        <f>O1353</f>
        <v>0</v>
      </c>
      <c r="P1352" s="88">
        <f>P1353</f>
        <v>0</v>
      </c>
    </row>
    <row r="1353" spans="1:16" ht="12.75" hidden="1" customHeight="1">
      <c r="A1353" s="187" t="s">
        <v>999</v>
      </c>
      <c r="B1353" s="188">
        <f>SUM(B1354:B1359)</f>
        <v>336</v>
      </c>
      <c r="C1353" s="188">
        <f>SUM(C1354:C1359)</f>
        <v>336</v>
      </c>
      <c r="D1353" s="188">
        <f>SUM(D1354:D1359)</f>
        <v>334.04</v>
      </c>
      <c r="E1353" s="189">
        <f t="shared" si="238"/>
        <v>-1.9599999999999795</v>
      </c>
      <c r="F1353" s="190">
        <f t="shared" si="239"/>
        <v>-0.58333333333332715</v>
      </c>
      <c r="H1353" s="88">
        <f t="shared" ref="H1353:M1353" si="247">SUM(H1354:H1359)</f>
        <v>0</v>
      </c>
      <c r="I1353" s="88">
        <f t="shared" si="247"/>
        <v>0</v>
      </c>
      <c r="J1353" s="88">
        <f t="shared" si="247"/>
        <v>0</v>
      </c>
      <c r="K1353" s="89">
        <f t="shared" si="247"/>
        <v>0</v>
      </c>
      <c r="L1353" s="89">
        <f t="shared" si="247"/>
        <v>0</v>
      </c>
      <c r="M1353" s="88">
        <f t="shared" si="247"/>
        <v>0</v>
      </c>
      <c r="O1353" s="88">
        <f>SUM(O1354:O1359)</f>
        <v>0</v>
      </c>
      <c r="P1353" s="88">
        <f>SUM(P1354:P1359)</f>
        <v>0</v>
      </c>
    </row>
    <row r="1354" spans="1:16" ht="12.75" hidden="1" customHeight="1">
      <c r="A1354" s="187" t="s">
        <v>1000</v>
      </c>
      <c r="B1354" s="188"/>
      <c r="C1354" s="188"/>
      <c r="D1354" s="188"/>
      <c r="E1354" s="189">
        <f t="shared" si="238"/>
        <v>0</v>
      </c>
      <c r="F1354" s="190" t="e">
        <f t="shared" si="239"/>
        <v>#DIV/0!</v>
      </c>
      <c r="H1354" s="88"/>
      <c r="I1354" s="88"/>
      <c r="J1354" s="88"/>
      <c r="K1354" s="89"/>
      <c r="L1354" s="89"/>
      <c r="M1354" s="88"/>
      <c r="O1354" s="88"/>
      <c r="P1354" s="88"/>
    </row>
    <row r="1355" spans="1:16" ht="12.75" hidden="1" customHeight="1">
      <c r="A1355" s="187" t="s">
        <v>1001</v>
      </c>
      <c r="B1355" s="188"/>
      <c r="C1355" s="188"/>
      <c r="D1355" s="188"/>
      <c r="E1355" s="189">
        <f t="shared" si="238"/>
        <v>0</v>
      </c>
      <c r="F1355" s="190" t="e">
        <f t="shared" si="239"/>
        <v>#DIV/0!</v>
      </c>
      <c r="H1355" s="88"/>
      <c r="I1355" s="88"/>
      <c r="J1355" s="88"/>
      <c r="K1355" s="89"/>
      <c r="L1355" s="89"/>
      <c r="M1355" s="88"/>
      <c r="O1355" s="88"/>
      <c r="P1355" s="88"/>
    </row>
    <row r="1356" spans="1:16" ht="12.75" hidden="1" customHeight="1">
      <c r="A1356" s="187" t="s">
        <v>1002</v>
      </c>
      <c r="B1356" s="188"/>
      <c r="C1356" s="188"/>
      <c r="D1356" s="188"/>
      <c r="E1356" s="189">
        <f t="shared" si="238"/>
        <v>0</v>
      </c>
      <c r="F1356" s="190" t="e">
        <f t="shared" si="239"/>
        <v>#DIV/0!</v>
      </c>
      <c r="H1356" s="88"/>
      <c r="I1356" s="88"/>
      <c r="J1356" s="88"/>
      <c r="K1356" s="89"/>
      <c r="L1356" s="89"/>
      <c r="M1356" s="88"/>
      <c r="O1356" s="88"/>
      <c r="P1356" s="88"/>
    </row>
    <row r="1357" spans="1:16" ht="12.75" hidden="1" customHeight="1">
      <c r="A1357" s="187" t="s">
        <v>1003</v>
      </c>
      <c r="B1357" s="188"/>
      <c r="C1357" s="188"/>
      <c r="D1357" s="188"/>
      <c r="E1357" s="189">
        <f t="shared" si="238"/>
        <v>0</v>
      </c>
      <c r="F1357" s="190" t="e">
        <f t="shared" si="239"/>
        <v>#DIV/0!</v>
      </c>
      <c r="H1357" s="88"/>
      <c r="I1357" s="88"/>
      <c r="J1357" s="88"/>
      <c r="K1357" s="89"/>
      <c r="L1357" s="89"/>
      <c r="M1357" s="88"/>
      <c r="O1357" s="88"/>
      <c r="P1357" s="88"/>
    </row>
    <row r="1358" spans="1:16" ht="12.75" hidden="1" customHeight="1">
      <c r="A1358" s="187" t="s">
        <v>1004</v>
      </c>
      <c r="B1358" s="188"/>
      <c r="C1358" s="188"/>
      <c r="D1358" s="188"/>
      <c r="E1358" s="189">
        <f t="shared" si="238"/>
        <v>0</v>
      </c>
      <c r="F1358" s="190" t="e">
        <f t="shared" si="239"/>
        <v>#DIV/0!</v>
      </c>
      <c r="H1358" s="88"/>
      <c r="I1358" s="88"/>
      <c r="J1358" s="88"/>
      <c r="K1358" s="89"/>
      <c r="L1358" s="89"/>
      <c r="M1358" s="88"/>
      <c r="O1358" s="88"/>
      <c r="P1358" s="88"/>
    </row>
    <row r="1359" spans="1:16">
      <c r="A1359" s="187" t="s">
        <v>1005</v>
      </c>
      <c r="B1359" s="188">
        <v>336</v>
      </c>
      <c r="C1359" s="188">
        <v>336</v>
      </c>
      <c r="D1359" s="188">
        <v>334.04</v>
      </c>
      <c r="E1359" s="189">
        <f t="shared" si="238"/>
        <v>-1.9599999999999795</v>
      </c>
      <c r="F1359" s="190">
        <f t="shared" si="239"/>
        <v>-0.58333333333332715</v>
      </c>
      <c r="H1359" s="88"/>
      <c r="I1359" s="88"/>
      <c r="J1359" s="88"/>
      <c r="K1359" s="89"/>
      <c r="L1359" s="89"/>
      <c r="M1359" s="88"/>
      <c r="O1359" s="88"/>
      <c r="P1359" s="88"/>
    </row>
    <row r="1360" spans="1:16">
      <c r="A1360" s="179" t="s">
        <v>1008</v>
      </c>
      <c r="B1360" s="188"/>
      <c r="C1360" s="188"/>
      <c r="D1360" s="188"/>
      <c r="E1360" s="189"/>
      <c r="F1360" s="190"/>
      <c r="H1360" s="88">
        <f>H1361</f>
        <v>0</v>
      </c>
      <c r="I1360" s="88">
        <f t="shared" ref="I1360:M1361" si="248">I1361</f>
        <v>0</v>
      </c>
      <c r="J1360" s="88">
        <f t="shared" si="248"/>
        <v>0</v>
      </c>
      <c r="K1360" s="89">
        <f t="shared" si="248"/>
        <v>0</v>
      </c>
      <c r="L1360" s="89">
        <f t="shared" si="248"/>
        <v>0</v>
      </c>
      <c r="M1360" s="88">
        <f t="shared" si="248"/>
        <v>0</v>
      </c>
      <c r="O1360" s="88">
        <f>O1361</f>
        <v>0</v>
      </c>
      <c r="P1360" s="88">
        <f>P1361</f>
        <v>0</v>
      </c>
    </row>
    <row r="1361" spans="1:17" ht="12.75" hidden="1" customHeight="1">
      <c r="A1361" s="187" t="s">
        <v>1009</v>
      </c>
      <c r="B1361" s="188"/>
      <c r="C1361" s="188"/>
      <c r="D1361" s="188"/>
      <c r="E1361" s="189"/>
      <c r="F1361" s="190"/>
      <c r="H1361" s="88">
        <f>H1362</f>
        <v>0</v>
      </c>
      <c r="I1361" s="88">
        <f t="shared" si="248"/>
        <v>0</v>
      </c>
      <c r="J1361" s="88">
        <f t="shared" si="248"/>
        <v>0</v>
      </c>
      <c r="K1361" s="89">
        <f t="shared" si="248"/>
        <v>0</v>
      </c>
      <c r="L1361" s="89">
        <f t="shared" si="248"/>
        <v>0</v>
      </c>
      <c r="M1361" s="88">
        <f t="shared" si="248"/>
        <v>0</v>
      </c>
      <c r="O1361" s="88">
        <f>O1362</f>
        <v>0</v>
      </c>
      <c r="P1361" s="88">
        <f>P1362</f>
        <v>0</v>
      </c>
    </row>
    <row r="1362" spans="1:17">
      <c r="A1362" s="187" t="s">
        <v>1010</v>
      </c>
      <c r="B1362" s="188"/>
      <c r="C1362" s="188"/>
      <c r="D1362" s="188"/>
      <c r="E1362" s="189"/>
      <c r="F1362" s="190"/>
      <c r="H1362" s="88"/>
      <c r="I1362" s="88"/>
      <c r="J1362" s="88"/>
      <c r="K1362" s="89"/>
      <c r="L1362" s="89"/>
      <c r="M1362" s="88"/>
      <c r="O1362" s="88"/>
      <c r="P1362" s="88"/>
    </row>
    <row r="1363" spans="1:17">
      <c r="A1363" s="187"/>
      <c r="B1363" s="188"/>
      <c r="C1363" s="188"/>
      <c r="D1363" s="188"/>
      <c r="E1363" s="189"/>
      <c r="F1363" s="190"/>
      <c r="H1363" s="101"/>
      <c r="I1363" s="101"/>
      <c r="J1363" s="101"/>
      <c r="K1363" s="102"/>
      <c r="L1363" s="102"/>
      <c r="M1363" s="101"/>
      <c r="O1363" s="101"/>
      <c r="P1363" s="101"/>
    </row>
    <row r="1364" spans="1:17">
      <c r="A1364" s="179" t="s">
        <v>1011</v>
      </c>
      <c r="B1364" s="182">
        <v>165000</v>
      </c>
      <c r="C1364" s="182">
        <f>SUM(C1365:C1371)</f>
        <v>65000</v>
      </c>
      <c r="D1364" s="182">
        <v>333000</v>
      </c>
      <c r="E1364" s="185">
        <f t="shared" si="238"/>
        <v>268000</v>
      </c>
      <c r="F1364" s="186">
        <f t="shared" si="239"/>
        <v>412.30769230769226</v>
      </c>
      <c r="G1364" s="85"/>
      <c r="H1364" s="113">
        <f t="shared" ref="H1364:M1364" si="249">SUM(H1365:H1371)</f>
        <v>0</v>
      </c>
      <c r="I1364" s="113">
        <f t="shared" si="249"/>
        <v>0</v>
      </c>
      <c r="J1364" s="113">
        <f t="shared" si="249"/>
        <v>0</v>
      </c>
      <c r="K1364" s="114">
        <f t="shared" si="249"/>
        <v>0</v>
      </c>
      <c r="L1364" s="114">
        <f t="shared" si="249"/>
        <v>0</v>
      </c>
      <c r="M1364" s="113">
        <f t="shared" si="249"/>
        <v>0</v>
      </c>
      <c r="N1364" s="85"/>
      <c r="O1364" s="113">
        <f>SUM(O1365:O1371)</f>
        <v>0</v>
      </c>
      <c r="P1364" s="113">
        <f>SUM(P1365:P1371)</f>
        <v>0</v>
      </c>
      <c r="Q1364" s="85"/>
    </row>
    <row r="1365" spans="1:17">
      <c r="A1365" s="187" t="s">
        <v>1012</v>
      </c>
      <c r="B1365" s="188">
        <v>65000</v>
      </c>
      <c r="C1365" s="188">
        <v>65000</v>
      </c>
      <c r="D1365" s="188">
        <v>83700</v>
      </c>
      <c r="E1365" s="189">
        <f t="shared" si="238"/>
        <v>18700</v>
      </c>
      <c r="F1365" s="190">
        <f t="shared" si="239"/>
        <v>28.76923076923077</v>
      </c>
      <c r="H1365" s="88"/>
      <c r="I1365" s="88"/>
      <c r="J1365" s="88"/>
      <c r="K1365" s="89"/>
      <c r="L1365" s="89"/>
      <c r="M1365" s="88"/>
      <c r="O1365" s="88"/>
      <c r="P1365" s="88"/>
    </row>
    <row r="1366" spans="1:17" ht="12.75" hidden="1" customHeight="1">
      <c r="A1366" s="187" t="s">
        <v>1013</v>
      </c>
      <c r="B1366" s="188"/>
      <c r="C1366" s="188"/>
      <c r="D1366" s="188"/>
      <c r="E1366" s="189">
        <f t="shared" si="238"/>
        <v>0</v>
      </c>
      <c r="F1366" s="190" t="e">
        <f t="shared" si="239"/>
        <v>#DIV/0!</v>
      </c>
      <c r="H1366" s="88"/>
      <c r="I1366" s="88"/>
      <c r="J1366" s="88"/>
      <c r="K1366" s="89"/>
      <c r="L1366" s="89"/>
      <c r="M1366" s="88"/>
      <c r="O1366" s="88"/>
      <c r="P1366" s="88"/>
    </row>
    <row r="1367" spans="1:17" ht="12.75" hidden="1" customHeight="1">
      <c r="A1367" s="187" t="s">
        <v>1014</v>
      </c>
      <c r="B1367" s="188"/>
      <c r="C1367" s="188"/>
      <c r="D1367" s="188"/>
      <c r="E1367" s="189">
        <f t="shared" si="238"/>
        <v>0</v>
      </c>
      <c r="F1367" s="190" t="e">
        <f t="shared" si="239"/>
        <v>#DIV/0!</v>
      </c>
      <c r="H1367" s="88"/>
      <c r="I1367" s="88"/>
      <c r="J1367" s="88"/>
      <c r="K1367" s="89"/>
      <c r="L1367" s="89"/>
      <c r="M1367" s="88"/>
      <c r="O1367" s="88"/>
      <c r="P1367" s="88"/>
    </row>
    <row r="1368" spans="1:17" ht="12.75" hidden="1" customHeight="1">
      <c r="A1368" s="187" t="s">
        <v>1015</v>
      </c>
      <c r="B1368" s="188"/>
      <c r="C1368" s="188"/>
      <c r="D1368" s="188"/>
      <c r="E1368" s="189">
        <f t="shared" si="238"/>
        <v>0</v>
      </c>
      <c r="F1368" s="190" t="e">
        <f t="shared" si="239"/>
        <v>#DIV/0!</v>
      </c>
      <c r="H1368" s="88"/>
      <c r="I1368" s="88"/>
      <c r="J1368" s="88"/>
      <c r="K1368" s="89"/>
      <c r="L1368" s="89"/>
      <c r="M1368" s="88"/>
      <c r="O1368" s="88"/>
      <c r="P1368" s="88"/>
    </row>
    <row r="1369" spans="1:17" ht="12.75" hidden="1" customHeight="1">
      <c r="A1369" s="187" t="s">
        <v>1016</v>
      </c>
      <c r="B1369" s="188"/>
      <c r="C1369" s="188"/>
      <c r="D1369" s="188"/>
      <c r="E1369" s="189">
        <f t="shared" si="238"/>
        <v>0</v>
      </c>
      <c r="F1369" s="190" t="e">
        <f t="shared" si="239"/>
        <v>#DIV/0!</v>
      </c>
      <c r="H1369" s="88"/>
      <c r="I1369" s="88"/>
      <c r="J1369" s="88"/>
      <c r="K1369" s="89"/>
      <c r="L1369" s="89"/>
      <c r="M1369" s="88"/>
      <c r="O1369" s="88"/>
      <c r="P1369" s="88"/>
    </row>
    <row r="1370" spans="1:17">
      <c r="A1370" s="187" t="s">
        <v>1017</v>
      </c>
      <c r="B1370" s="188">
        <v>100000</v>
      </c>
      <c r="C1370" s="188"/>
      <c r="D1370" s="188">
        <v>249300</v>
      </c>
      <c r="E1370" s="189">
        <f t="shared" si="238"/>
        <v>249300</v>
      </c>
      <c r="F1370" s="190"/>
      <c r="H1370" s="90"/>
      <c r="I1370" s="90"/>
      <c r="J1370" s="90"/>
      <c r="K1370" s="91"/>
      <c r="L1370" s="91"/>
      <c r="M1370" s="90"/>
      <c r="O1370" s="90"/>
      <c r="P1370" s="90"/>
    </row>
    <row r="1371" spans="1:17" ht="12.75" hidden="1" customHeight="1">
      <c r="A1371" s="199" t="s">
        <v>1018</v>
      </c>
      <c r="B1371" s="188"/>
      <c r="C1371" s="188"/>
      <c r="D1371" s="188"/>
      <c r="E1371" s="189">
        <f t="shared" si="238"/>
        <v>0</v>
      </c>
      <c r="F1371" s="190" t="e">
        <f t="shared" si="239"/>
        <v>#DIV/0!</v>
      </c>
      <c r="H1371" s="90"/>
      <c r="I1371" s="90"/>
      <c r="J1371" s="90"/>
      <c r="K1371" s="91"/>
      <c r="L1371" s="91"/>
      <c r="M1371" s="90"/>
      <c r="O1371" s="90"/>
      <c r="P1371" s="90"/>
    </row>
    <row r="1372" spans="1:17">
      <c r="A1372" s="200" t="s">
        <v>1019</v>
      </c>
      <c r="B1372" s="182">
        <f>SUM(B1373:B1379)</f>
        <v>70951</v>
      </c>
      <c r="C1372" s="182">
        <v>70951</v>
      </c>
      <c r="D1372" s="182">
        <f>SUM(D1373:D1379)</f>
        <v>78496</v>
      </c>
      <c r="E1372" s="185">
        <f t="shared" si="238"/>
        <v>7545</v>
      </c>
      <c r="F1372" s="186">
        <f t="shared" si="239"/>
        <v>10.634099589857788</v>
      </c>
      <c r="H1372" s="88">
        <f t="shared" ref="H1372:M1372" si="250">SUM(H1374:H1379)</f>
        <v>0</v>
      </c>
      <c r="I1372" s="88">
        <f t="shared" si="250"/>
        <v>0</v>
      </c>
      <c r="J1372" s="88">
        <f t="shared" si="250"/>
        <v>0</v>
      </c>
      <c r="K1372" s="89">
        <f t="shared" si="250"/>
        <v>0</v>
      </c>
      <c r="L1372" s="89">
        <f t="shared" si="250"/>
        <v>0</v>
      </c>
      <c r="M1372" s="88">
        <f t="shared" si="250"/>
        <v>0</v>
      </c>
      <c r="O1372" s="88">
        <f>SUM(O1374:O1379)</f>
        <v>0</v>
      </c>
      <c r="P1372" s="88">
        <f>SUM(P1374:P1379)</f>
        <v>0</v>
      </c>
    </row>
    <row r="1373" spans="1:17">
      <c r="A1373" s="201" t="s">
        <v>1020</v>
      </c>
      <c r="B1373" s="188">
        <v>28132</v>
      </c>
      <c r="C1373" s="188">
        <v>28132</v>
      </c>
      <c r="D1373" s="188">
        <v>29190</v>
      </c>
      <c r="E1373" s="188">
        <f>D1373-C1373</f>
        <v>1058</v>
      </c>
      <c r="F1373" s="190">
        <v>14.94</v>
      </c>
      <c r="H1373" s="88"/>
      <c r="I1373" s="88"/>
      <c r="J1373" s="88"/>
      <c r="K1373" s="89"/>
      <c r="L1373" s="89"/>
      <c r="M1373" s="88"/>
      <c r="O1373" s="88"/>
      <c r="P1373" s="88"/>
    </row>
    <row r="1374" spans="1:17">
      <c r="A1374" s="201" t="s">
        <v>1021</v>
      </c>
      <c r="B1374" s="202">
        <v>7990</v>
      </c>
      <c r="C1374" s="202">
        <v>7990</v>
      </c>
      <c r="D1374" s="202">
        <v>10012</v>
      </c>
      <c r="E1374" s="189">
        <f t="shared" si="238"/>
        <v>2022</v>
      </c>
      <c r="F1374" s="190">
        <f t="shared" si="239"/>
        <v>25.306633291614517</v>
      </c>
      <c r="H1374" s="88"/>
      <c r="I1374" s="88"/>
      <c r="J1374" s="88"/>
      <c r="K1374" s="89"/>
      <c r="L1374" s="89"/>
      <c r="M1374" s="88"/>
      <c r="O1374" s="88"/>
      <c r="P1374" s="88"/>
    </row>
    <row r="1375" spans="1:17">
      <c r="A1375" s="201" t="s">
        <v>1022</v>
      </c>
      <c r="B1375" s="202">
        <v>12055</v>
      </c>
      <c r="C1375" s="202">
        <v>12055</v>
      </c>
      <c r="D1375" s="202">
        <v>14542</v>
      </c>
      <c r="E1375" s="189">
        <f t="shared" si="238"/>
        <v>2487</v>
      </c>
      <c r="F1375" s="190">
        <f t="shared" si="239"/>
        <v>20.630443799253424</v>
      </c>
      <c r="H1375" s="88"/>
      <c r="I1375" s="88"/>
      <c r="J1375" s="88"/>
      <c r="K1375" s="89"/>
      <c r="L1375" s="89"/>
      <c r="M1375" s="88"/>
      <c r="O1375" s="88"/>
      <c r="P1375" s="88"/>
    </row>
    <row r="1376" spans="1:17">
      <c r="A1376" s="203" t="s">
        <v>1031</v>
      </c>
      <c r="B1376" s="202">
        <v>21588</v>
      </c>
      <c r="C1376" s="202">
        <v>21588</v>
      </c>
      <c r="D1376" s="202">
        <v>22871</v>
      </c>
      <c r="E1376" s="189">
        <f t="shared" si="238"/>
        <v>1283</v>
      </c>
      <c r="F1376" s="190">
        <f t="shared" si="239"/>
        <v>5.943116546229386</v>
      </c>
      <c r="H1376" s="88"/>
      <c r="I1376" s="88"/>
      <c r="J1376" s="88"/>
      <c r="K1376" s="89"/>
      <c r="L1376" s="89"/>
      <c r="M1376" s="88"/>
      <c r="O1376" s="88"/>
      <c r="P1376" s="88"/>
    </row>
    <row r="1377" spans="1:16">
      <c r="A1377" s="201" t="s">
        <v>1023</v>
      </c>
      <c r="B1377" s="202">
        <v>376</v>
      </c>
      <c r="C1377" s="202">
        <v>376</v>
      </c>
      <c r="D1377" s="202">
        <v>762</v>
      </c>
      <c r="E1377" s="189">
        <f t="shared" si="238"/>
        <v>386</v>
      </c>
      <c r="F1377" s="190">
        <f t="shared" si="239"/>
        <v>102.65957446808511</v>
      </c>
      <c r="H1377" s="88"/>
      <c r="I1377" s="88"/>
      <c r="J1377" s="88"/>
      <c r="K1377" s="89"/>
      <c r="L1377" s="89"/>
      <c r="M1377" s="88"/>
      <c r="O1377" s="88"/>
      <c r="P1377" s="88"/>
    </row>
    <row r="1378" spans="1:16">
      <c r="A1378" s="203" t="s">
        <v>1024</v>
      </c>
      <c r="B1378" s="202">
        <v>310</v>
      </c>
      <c r="C1378" s="202">
        <v>310</v>
      </c>
      <c r="D1378" s="202">
        <v>522</v>
      </c>
      <c r="E1378" s="189">
        <f t="shared" si="238"/>
        <v>212</v>
      </c>
      <c r="F1378" s="190">
        <f t="shared" si="239"/>
        <v>68.387096774193552</v>
      </c>
      <c r="H1378" s="88"/>
      <c r="I1378" s="88"/>
      <c r="J1378" s="88"/>
      <c r="K1378" s="89"/>
      <c r="L1378" s="89"/>
      <c r="M1378" s="88"/>
      <c r="O1378" s="88"/>
      <c r="P1378" s="88"/>
    </row>
    <row r="1379" spans="1:16">
      <c r="A1379" s="203" t="s">
        <v>1025</v>
      </c>
      <c r="B1379" s="202">
        <v>500</v>
      </c>
      <c r="C1379" s="202">
        <v>500</v>
      </c>
      <c r="D1379" s="202">
        <v>597</v>
      </c>
      <c r="E1379" s="189">
        <f t="shared" si="238"/>
        <v>97</v>
      </c>
      <c r="F1379" s="190">
        <f t="shared" si="239"/>
        <v>19.400000000000002</v>
      </c>
      <c r="H1379" s="88"/>
      <c r="I1379" s="88"/>
      <c r="J1379" s="88"/>
      <c r="K1379" s="89"/>
      <c r="L1379" s="89"/>
      <c r="M1379" s="88"/>
      <c r="O1379" s="88"/>
      <c r="P1379" s="88"/>
    </row>
    <row r="1380" spans="1:16" ht="24" customHeight="1">
      <c r="A1380" s="267"/>
      <c r="B1380" s="267"/>
      <c r="C1380" s="267"/>
      <c r="D1380" s="267"/>
      <c r="E1380" s="267"/>
      <c r="F1380" s="267"/>
    </row>
  </sheetData>
  <sheetProtection formatCells="0" selectLockedCells="1" selectUnlockedCells="1"/>
  <mergeCells count="17">
    <mergeCell ref="A1:F1"/>
    <mergeCell ref="E2:F2"/>
    <mergeCell ref="A3:A4"/>
    <mergeCell ref="B3:B4"/>
    <mergeCell ref="C3:C4"/>
    <mergeCell ref="D3:D4"/>
    <mergeCell ref="E3:E4"/>
    <mergeCell ref="F3:F4"/>
    <mergeCell ref="O3:O4"/>
    <mergeCell ref="P3:P4"/>
    <mergeCell ref="A1380:F1380"/>
    <mergeCell ref="H3:H4"/>
    <mergeCell ref="I3:I4"/>
    <mergeCell ref="J3:J4"/>
    <mergeCell ref="K3:K4"/>
    <mergeCell ref="L3:L4"/>
    <mergeCell ref="M3:M4"/>
  </mergeCells>
  <phoneticPr fontId="4" type="noConversion"/>
  <printOptions horizontalCentered="1"/>
  <pageMargins left="0.55118110236220474" right="0.35433070866141736" top="0.98425196850393704" bottom="0.98425196850393704" header="0.31496062992125984" footer="0.51181102362204722"/>
  <pageSetup paperSize="9" scale="97" firstPageNumber="10" orientation="portrait" useFirstPageNumber="1" verticalDpi="180" r:id="rId1"/>
  <headerFooter alignWithMargins="0">
    <oddFooter>第 &amp;P 页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dimension ref="A1:B59"/>
  <sheetViews>
    <sheetView workbookViewId="0">
      <selection activeCell="E15" sqref="E15"/>
    </sheetView>
  </sheetViews>
  <sheetFormatPr defaultRowHeight="12.75"/>
  <cols>
    <col min="1" max="1" width="57" style="21" customWidth="1"/>
    <col min="2" max="2" width="44.625" style="21" customWidth="1"/>
    <col min="3" max="252" width="9" style="21"/>
    <col min="253" max="253" width="25.125" style="21" customWidth="1"/>
    <col min="254" max="254" width="10.75" style="21" customWidth="1"/>
    <col min="255" max="255" width="10.625" style="21" customWidth="1"/>
    <col min="256" max="256" width="23.25" style="21" customWidth="1"/>
    <col min="257" max="257" width="10.625" style="21" customWidth="1"/>
    <col min="258" max="258" width="10.25" style="21" customWidth="1"/>
    <col min="259" max="508" width="9" style="21"/>
    <col min="509" max="509" width="25.125" style="21" customWidth="1"/>
    <col min="510" max="510" width="10.75" style="21" customWidth="1"/>
    <col min="511" max="511" width="10.625" style="21" customWidth="1"/>
    <col min="512" max="512" width="23.25" style="21" customWidth="1"/>
    <col min="513" max="513" width="10.625" style="21" customWidth="1"/>
    <col min="514" max="514" width="10.25" style="21" customWidth="1"/>
    <col min="515" max="764" width="9" style="21"/>
    <col min="765" max="765" width="25.125" style="21" customWidth="1"/>
    <col min="766" max="766" width="10.75" style="21" customWidth="1"/>
    <col min="767" max="767" width="10.625" style="21" customWidth="1"/>
    <col min="768" max="768" width="23.25" style="21" customWidth="1"/>
    <col min="769" max="769" width="10.625" style="21" customWidth="1"/>
    <col min="770" max="770" width="10.25" style="21" customWidth="1"/>
    <col min="771" max="1020" width="9" style="21"/>
    <col min="1021" max="1021" width="25.125" style="21" customWidth="1"/>
    <col min="1022" max="1022" width="10.75" style="21" customWidth="1"/>
    <col min="1023" max="1023" width="10.625" style="21" customWidth="1"/>
    <col min="1024" max="1024" width="23.25" style="21" customWidth="1"/>
    <col min="1025" max="1025" width="10.625" style="21" customWidth="1"/>
    <col min="1026" max="1026" width="10.25" style="21" customWidth="1"/>
    <col min="1027" max="1276" width="9" style="21"/>
    <col min="1277" max="1277" width="25.125" style="21" customWidth="1"/>
    <col min="1278" max="1278" width="10.75" style="21" customWidth="1"/>
    <col min="1279" max="1279" width="10.625" style="21" customWidth="1"/>
    <col min="1280" max="1280" width="23.25" style="21" customWidth="1"/>
    <col min="1281" max="1281" width="10.625" style="21" customWidth="1"/>
    <col min="1282" max="1282" width="10.25" style="21" customWidth="1"/>
    <col min="1283" max="1532" width="9" style="21"/>
    <col min="1533" max="1533" width="25.125" style="21" customWidth="1"/>
    <col min="1534" max="1534" width="10.75" style="21" customWidth="1"/>
    <col min="1535" max="1535" width="10.625" style="21" customWidth="1"/>
    <col min="1536" max="1536" width="23.25" style="21" customWidth="1"/>
    <col min="1537" max="1537" width="10.625" style="21" customWidth="1"/>
    <col min="1538" max="1538" width="10.25" style="21" customWidth="1"/>
    <col min="1539" max="1788" width="9" style="21"/>
    <col min="1789" max="1789" width="25.125" style="21" customWidth="1"/>
    <col min="1790" max="1790" width="10.75" style="21" customWidth="1"/>
    <col min="1791" max="1791" width="10.625" style="21" customWidth="1"/>
    <col min="1792" max="1792" width="23.25" style="21" customWidth="1"/>
    <col min="1793" max="1793" width="10.625" style="21" customWidth="1"/>
    <col min="1794" max="1794" width="10.25" style="21" customWidth="1"/>
    <col min="1795" max="2044" width="9" style="21"/>
    <col min="2045" max="2045" width="25.125" style="21" customWidth="1"/>
    <col min="2046" max="2046" width="10.75" style="21" customWidth="1"/>
    <col min="2047" max="2047" width="10.625" style="21" customWidth="1"/>
    <col min="2048" max="2048" width="23.25" style="21" customWidth="1"/>
    <col min="2049" max="2049" width="10.625" style="21" customWidth="1"/>
    <col min="2050" max="2050" width="10.25" style="21" customWidth="1"/>
    <col min="2051" max="2300" width="9" style="21"/>
    <col min="2301" max="2301" width="25.125" style="21" customWidth="1"/>
    <col min="2302" max="2302" width="10.75" style="21" customWidth="1"/>
    <col min="2303" max="2303" width="10.625" style="21" customWidth="1"/>
    <col min="2304" max="2304" width="23.25" style="21" customWidth="1"/>
    <col min="2305" max="2305" width="10.625" style="21" customWidth="1"/>
    <col min="2306" max="2306" width="10.25" style="21" customWidth="1"/>
    <col min="2307" max="2556" width="9" style="21"/>
    <col min="2557" max="2557" width="25.125" style="21" customWidth="1"/>
    <col min="2558" max="2558" width="10.75" style="21" customWidth="1"/>
    <col min="2559" max="2559" width="10.625" style="21" customWidth="1"/>
    <col min="2560" max="2560" width="23.25" style="21" customWidth="1"/>
    <col min="2561" max="2561" width="10.625" style="21" customWidth="1"/>
    <col min="2562" max="2562" width="10.25" style="21" customWidth="1"/>
    <col min="2563" max="2812" width="9" style="21"/>
    <col min="2813" max="2813" width="25.125" style="21" customWidth="1"/>
    <col min="2814" max="2814" width="10.75" style="21" customWidth="1"/>
    <col min="2815" max="2815" width="10.625" style="21" customWidth="1"/>
    <col min="2816" max="2816" width="23.25" style="21" customWidth="1"/>
    <col min="2817" max="2817" width="10.625" style="21" customWidth="1"/>
    <col min="2818" max="2818" width="10.25" style="21" customWidth="1"/>
    <col min="2819" max="3068" width="9" style="21"/>
    <col min="3069" max="3069" width="25.125" style="21" customWidth="1"/>
    <col min="3070" max="3070" width="10.75" style="21" customWidth="1"/>
    <col min="3071" max="3071" width="10.625" style="21" customWidth="1"/>
    <col min="3072" max="3072" width="23.25" style="21" customWidth="1"/>
    <col min="3073" max="3073" width="10.625" style="21" customWidth="1"/>
    <col min="3074" max="3074" width="10.25" style="21" customWidth="1"/>
    <col min="3075" max="3324" width="9" style="21"/>
    <col min="3325" max="3325" width="25.125" style="21" customWidth="1"/>
    <col min="3326" max="3326" width="10.75" style="21" customWidth="1"/>
    <col min="3327" max="3327" width="10.625" style="21" customWidth="1"/>
    <col min="3328" max="3328" width="23.25" style="21" customWidth="1"/>
    <col min="3329" max="3329" width="10.625" style="21" customWidth="1"/>
    <col min="3330" max="3330" width="10.25" style="21" customWidth="1"/>
    <col min="3331" max="3580" width="9" style="21"/>
    <col min="3581" max="3581" width="25.125" style="21" customWidth="1"/>
    <col min="3582" max="3582" width="10.75" style="21" customWidth="1"/>
    <col min="3583" max="3583" width="10.625" style="21" customWidth="1"/>
    <col min="3584" max="3584" width="23.25" style="21" customWidth="1"/>
    <col min="3585" max="3585" width="10.625" style="21" customWidth="1"/>
    <col min="3586" max="3586" width="10.25" style="21" customWidth="1"/>
    <col min="3587" max="3836" width="9" style="21"/>
    <col min="3837" max="3837" width="25.125" style="21" customWidth="1"/>
    <col min="3838" max="3838" width="10.75" style="21" customWidth="1"/>
    <col min="3839" max="3839" width="10.625" style="21" customWidth="1"/>
    <col min="3840" max="3840" width="23.25" style="21" customWidth="1"/>
    <col min="3841" max="3841" width="10.625" style="21" customWidth="1"/>
    <col min="3842" max="3842" width="10.25" style="21" customWidth="1"/>
    <col min="3843" max="4092" width="9" style="21"/>
    <col min="4093" max="4093" width="25.125" style="21" customWidth="1"/>
    <col min="4094" max="4094" width="10.75" style="21" customWidth="1"/>
    <col min="4095" max="4095" width="10.625" style="21" customWidth="1"/>
    <col min="4096" max="4096" width="23.25" style="21" customWidth="1"/>
    <col min="4097" max="4097" width="10.625" style="21" customWidth="1"/>
    <col min="4098" max="4098" width="10.25" style="21" customWidth="1"/>
    <col min="4099" max="4348" width="9" style="21"/>
    <col min="4349" max="4349" width="25.125" style="21" customWidth="1"/>
    <col min="4350" max="4350" width="10.75" style="21" customWidth="1"/>
    <col min="4351" max="4351" width="10.625" style="21" customWidth="1"/>
    <col min="4352" max="4352" width="23.25" style="21" customWidth="1"/>
    <col min="4353" max="4353" width="10.625" style="21" customWidth="1"/>
    <col min="4354" max="4354" width="10.25" style="21" customWidth="1"/>
    <col min="4355" max="4604" width="9" style="21"/>
    <col min="4605" max="4605" width="25.125" style="21" customWidth="1"/>
    <col min="4606" max="4606" width="10.75" style="21" customWidth="1"/>
    <col min="4607" max="4607" width="10.625" style="21" customWidth="1"/>
    <col min="4608" max="4608" width="23.25" style="21" customWidth="1"/>
    <col min="4609" max="4609" width="10.625" style="21" customWidth="1"/>
    <col min="4610" max="4610" width="10.25" style="21" customWidth="1"/>
    <col min="4611" max="4860" width="9" style="21"/>
    <col min="4861" max="4861" width="25.125" style="21" customWidth="1"/>
    <col min="4862" max="4862" width="10.75" style="21" customWidth="1"/>
    <col min="4863" max="4863" width="10.625" style="21" customWidth="1"/>
    <col min="4864" max="4864" width="23.25" style="21" customWidth="1"/>
    <col min="4865" max="4865" width="10.625" style="21" customWidth="1"/>
    <col min="4866" max="4866" width="10.25" style="21" customWidth="1"/>
    <col min="4867" max="5116" width="9" style="21"/>
    <col min="5117" max="5117" width="25.125" style="21" customWidth="1"/>
    <col min="5118" max="5118" width="10.75" style="21" customWidth="1"/>
    <col min="5119" max="5119" width="10.625" style="21" customWidth="1"/>
    <col min="5120" max="5120" width="23.25" style="21" customWidth="1"/>
    <col min="5121" max="5121" width="10.625" style="21" customWidth="1"/>
    <col min="5122" max="5122" width="10.25" style="21" customWidth="1"/>
    <col min="5123" max="5372" width="9" style="21"/>
    <col min="5373" max="5373" width="25.125" style="21" customWidth="1"/>
    <col min="5374" max="5374" width="10.75" style="21" customWidth="1"/>
    <col min="5375" max="5375" width="10.625" style="21" customWidth="1"/>
    <col min="5376" max="5376" width="23.25" style="21" customWidth="1"/>
    <col min="5377" max="5377" width="10.625" style="21" customWidth="1"/>
    <col min="5378" max="5378" width="10.25" style="21" customWidth="1"/>
    <col min="5379" max="5628" width="9" style="21"/>
    <col min="5629" max="5629" width="25.125" style="21" customWidth="1"/>
    <col min="5630" max="5630" width="10.75" style="21" customWidth="1"/>
    <col min="5631" max="5631" width="10.625" style="21" customWidth="1"/>
    <col min="5632" max="5632" width="23.25" style="21" customWidth="1"/>
    <col min="5633" max="5633" width="10.625" style="21" customWidth="1"/>
    <col min="5634" max="5634" width="10.25" style="21" customWidth="1"/>
    <col min="5635" max="5884" width="9" style="21"/>
    <col min="5885" max="5885" width="25.125" style="21" customWidth="1"/>
    <col min="5886" max="5886" width="10.75" style="21" customWidth="1"/>
    <col min="5887" max="5887" width="10.625" style="21" customWidth="1"/>
    <col min="5888" max="5888" width="23.25" style="21" customWidth="1"/>
    <col min="5889" max="5889" width="10.625" style="21" customWidth="1"/>
    <col min="5890" max="5890" width="10.25" style="21" customWidth="1"/>
    <col min="5891" max="6140" width="9" style="21"/>
    <col min="6141" max="6141" width="25.125" style="21" customWidth="1"/>
    <col min="6142" max="6142" width="10.75" style="21" customWidth="1"/>
    <col min="6143" max="6143" width="10.625" style="21" customWidth="1"/>
    <col min="6144" max="6144" width="23.25" style="21" customWidth="1"/>
    <col min="6145" max="6145" width="10.625" style="21" customWidth="1"/>
    <col min="6146" max="6146" width="10.25" style="21" customWidth="1"/>
    <col min="6147" max="6396" width="9" style="21"/>
    <col min="6397" max="6397" width="25.125" style="21" customWidth="1"/>
    <col min="6398" max="6398" width="10.75" style="21" customWidth="1"/>
    <col min="6399" max="6399" width="10.625" style="21" customWidth="1"/>
    <col min="6400" max="6400" width="23.25" style="21" customWidth="1"/>
    <col min="6401" max="6401" width="10.625" style="21" customWidth="1"/>
    <col min="6402" max="6402" width="10.25" style="21" customWidth="1"/>
    <col min="6403" max="6652" width="9" style="21"/>
    <col min="6653" max="6653" width="25.125" style="21" customWidth="1"/>
    <col min="6654" max="6654" width="10.75" style="21" customWidth="1"/>
    <col min="6655" max="6655" width="10.625" style="21" customWidth="1"/>
    <col min="6656" max="6656" width="23.25" style="21" customWidth="1"/>
    <col min="6657" max="6657" width="10.625" style="21" customWidth="1"/>
    <col min="6658" max="6658" width="10.25" style="21" customWidth="1"/>
    <col min="6659" max="6908" width="9" style="21"/>
    <col min="6909" max="6909" width="25.125" style="21" customWidth="1"/>
    <col min="6910" max="6910" width="10.75" style="21" customWidth="1"/>
    <col min="6911" max="6911" width="10.625" style="21" customWidth="1"/>
    <col min="6912" max="6912" width="23.25" style="21" customWidth="1"/>
    <col min="6913" max="6913" width="10.625" style="21" customWidth="1"/>
    <col min="6914" max="6914" width="10.25" style="21" customWidth="1"/>
    <col min="6915" max="7164" width="9" style="21"/>
    <col min="7165" max="7165" width="25.125" style="21" customWidth="1"/>
    <col min="7166" max="7166" width="10.75" style="21" customWidth="1"/>
    <col min="7167" max="7167" width="10.625" style="21" customWidth="1"/>
    <col min="7168" max="7168" width="23.25" style="21" customWidth="1"/>
    <col min="7169" max="7169" width="10.625" style="21" customWidth="1"/>
    <col min="7170" max="7170" width="10.25" style="21" customWidth="1"/>
    <col min="7171" max="7420" width="9" style="21"/>
    <col min="7421" max="7421" width="25.125" style="21" customWidth="1"/>
    <col min="7422" max="7422" width="10.75" style="21" customWidth="1"/>
    <col min="7423" max="7423" width="10.625" style="21" customWidth="1"/>
    <col min="7424" max="7424" width="23.25" style="21" customWidth="1"/>
    <col min="7425" max="7425" width="10.625" style="21" customWidth="1"/>
    <col min="7426" max="7426" width="10.25" style="21" customWidth="1"/>
    <col min="7427" max="7676" width="9" style="21"/>
    <col min="7677" max="7677" width="25.125" style="21" customWidth="1"/>
    <col min="7678" max="7678" width="10.75" style="21" customWidth="1"/>
    <col min="7679" max="7679" width="10.625" style="21" customWidth="1"/>
    <col min="7680" max="7680" width="23.25" style="21" customWidth="1"/>
    <col min="7681" max="7681" width="10.625" style="21" customWidth="1"/>
    <col min="7682" max="7682" width="10.25" style="21" customWidth="1"/>
    <col min="7683" max="7932" width="9" style="21"/>
    <col min="7933" max="7933" width="25.125" style="21" customWidth="1"/>
    <col min="7934" max="7934" width="10.75" style="21" customWidth="1"/>
    <col min="7935" max="7935" width="10.625" style="21" customWidth="1"/>
    <col min="7936" max="7936" width="23.25" style="21" customWidth="1"/>
    <col min="7937" max="7937" width="10.625" style="21" customWidth="1"/>
    <col min="7938" max="7938" width="10.25" style="21" customWidth="1"/>
    <col min="7939" max="8188" width="9" style="21"/>
    <col min="8189" max="8189" width="25.125" style="21" customWidth="1"/>
    <col min="8190" max="8190" width="10.75" style="21" customWidth="1"/>
    <col min="8191" max="8191" width="10.625" style="21" customWidth="1"/>
    <col min="8192" max="8192" width="23.25" style="21" customWidth="1"/>
    <col min="8193" max="8193" width="10.625" style="21" customWidth="1"/>
    <col min="8194" max="8194" width="10.25" style="21" customWidth="1"/>
    <col min="8195" max="8444" width="9" style="21"/>
    <col min="8445" max="8445" width="25.125" style="21" customWidth="1"/>
    <col min="8446" max="8446" width="10.75" style="21" customWidth="1"/>
    <col min="8447" max="8447" width="10.625" style="21" customWidth="1"/>
    <col min="8448" max="8448" width="23.25" style="21" customWidth="1"/>
    <col min="8449" max="8449" width="10.625" style="21" customWidth="1"/>
    <col min="8450" max="8450" width="10.25" style="21" customWidth="1"/>
    <col min="8451" max="8700" width="9" style="21"/>
    <col min="8701" max="8701" width="25.125" style="21" customWidth="1"/>
    <col min="8702" max="8702" width="10.75" style="21" customWidth="1"/>
    <col min="8703" max="8703" width="10.625" style="21" customWidth="1"/>
    <col min="8704" max="8704" width="23.25" style="21" customWidth="1"/>
    <col min="8705" max="8705" width="10.625" style="21" customWidth="1"/>
    <col min="8706" max="8706" width="10.25" style="21" customWidth="1"/>
    <col min="8707" max="8956" width="9" style="21"/>
    <col min="8957" max="8957" width="25.125" style="21" customWidth="1"/>
    <col min="8958" max="8958" width="10.75" style="21" customWidth="1"/>
    <col min="8959" max="8959" width="10.625" style="21" customWidth="1"/>
    <col min="8960" max="8960" width="23.25" style="21" customWidth="1"/>
    <col min="8961" max="8961" width="10.625" style="21" customWidth="1"/>
    <col min="8962" max="8962" width="10.25" style="21" customWidth="1"/>
    <col min="8963" max="9212" width="9" style="21"/>
    <col min="9213" max="9213" width="25.125" style="21" customWidth="1"/>
    <col min="9214" max="9214" width="10.75" style="21" customWidth="1"/>
    <col min="9215" max="9215" width="10.625" style="21" customWidth="1"/>
    <col min="9216" max="9216" width="23.25" style="21" customWidth="1"/>
    <col min="9217" max="9217" width="10.625" style="21" customWidth="1"/>
    <col min="9218" max="9218" width="10.25" style="21" customWidth="1"/>
    <col min="9219" max="9468" width="9" style="21"/>
    <col min="9469" max="9469" width="25.125" style="21" customWidth="1"/>
    <col min="9470" max="9470" width="10.75" style="21" customWidth="1"/>
    <col min="9471" max="9471" width="10.625" style="21" customWidth="1"/>
    <col min="9472" max="9472" width="23.25" style="21" customWidth="1"/>
    <col min="9473" max="9473" width="10.625" style="21" customWidth="1"/>
    <col min="9474" max="9474" width="10.25" style="21" customWidth="1"/>
    <col min="9475" max="9724" width="9" style="21"/>
    <col min="9725" max="9725" width="25.125" style="21" customWidth="1"/>
    <col min="9726" max="9726" width="10.75" style="21" customWidth="1"/>
    <col min="9727" max="9727" width="10.625" style="21" customWidth="1"/>
    <col min="9728" max="9728" width="23.25" style="21" customWidth="1"/>
    <col min="9729" max="9729" width="10.625" style="21" customWidth="1"/>
    <col min="9730" max="9730" width="10.25" style="21" customWidth="1"/>
    <col min="9731" max="9980" width="9" style="21"/>
    <col min="9981" max="9981" width="25.125" style="21" customWidth="1"/>
    <col min="9982" max="9982" width="10.75" style="21" customWidth="1"/>
    <col min="9983" max="9983" width="10.625" style="21" customWidth="1"/>
    <col min="9984" max="9984" width="23.25" style="21" customWidth="1"/>
    <col min="9985" max="9985" width="10.625" style="21" customWidth="1"/>
    <col min="9986" max="9986" width="10.25" style="21" customWidth="1"/>
    <col min="9987" max="10236" width="9" style="21"/>
    <col min="10237" max="10237" width="25.125" style="21" customWidth="1"/>
    <col min="10238" max="10238" width="10.75" style="21" customWidth="1"/>
    <col min="10239" max="10239" width="10.625" style="21" customWidth="1"/>
    <col min="10240" max="10240" width="23.25" style="21" customWidth="1"/>
    <col min="10241" max="10241" width="10.625" style="21" customWidth="1"/>
    <col min="10242" max="10242" width="10.25" style="21" customWidth="1"/>
    <col min="10243" max="10492" width="9" style="21"/>
    <col min="10493" max="10493" width="25.125" style="21" customWidth="1"/>
    <col min="10494" max="10494" width="10.75" style="21" customWidth="1"/>
    <col min="10495" max="10495" width="10.625" style="21" customWidth="1"/>
    <col min="10496" max="10496" width="23.25" style="21" customWidth="1"/>
    <col min="10497" max="10497" width="10.625" style="21" customWidth="1"/>
    <col min="10498" max="10498" width="10.25" style="21" customWidth="1"/>
    <col min="10499" max="10748" width="9" style="21"/>
    <col min="10749" max="10749" width="25.125" style="21" customWidth="1"/>
    <col min="10750" max="10750" width="10.75" style="21" customWidth="1"/>
    <col min="10751" max="10751" width="10.625" style="21" customWidth="1"/>
    <col min="10752" max="10752" width="23.25" style="21" customWidth="1"/>
    <col min="10753" max="10753" width="10.625" style="21" customWidth="1"/>
    <col min="10754" max="10754" width="10.25" style="21" customWidth="1"/>
    <col min="10755" max="11004" width="9" style="21"/>
    <col min="11005" max="11005" width="25.125" style="21" customWidth="1"/>
    <col min="11006" max="11006" width="10.75" style="21" customWidth="1"/>
    <col min="11007" max="11007" width="10.625" style="21" customWidth="1"/>
    <col min="11008" max="11008" width="23.25" style="21" customWidth="1"/>
    <col min="11009" max="11009" width="10.625" style="21" customWidth="1"/>
    <col min="11010" max="11010" width="10.25" style="21" customWidth="1"/>
    <col min="11011" max="11260" width="9" style="21"/>
    <col min="11261" max="11261" width="25.125" style="21" customWidth="1"/>
    <col min="11262" max="11262" width="10.75" style="21" customWidth="1"/>
    <col min="11263" max="11263" width="10.625" style="21" customWidth="1"/>
    <col min="11264" max="11264" width="23.25" style="21" customWidth="1"/>
    <col min="11265" max="11265" width="10.625" style="21" customWidth="1"/>
    <col min="11266" max="11266" width="10.25" style="21" customWidth="1"/>
    <col min="11267" max="11516" width="9" style="21"/>
    <col min="11517" max="11517" width="25.125" style="21" customWidth="1"/>
    <col min="11518" max="11518" width="10.75" style="21" customWidth="1"/>
    <col min="11519" max="11519" width="10.625" style="21" customWidth="1"/>
    <col min="11520" max="11520" width="23.25" style="21" customWidth="1"/>
    <col min="11521" max="11521" width="10.625" style="21" customWidth="1"/>
    <col min="11522" max="11522" width="10.25" style="21" customWidth="1"/>
    <col min="11523" max="11772" width="9" style="21"/>
    <col min="11773" max="11773" width="25.125" style="21" customWidth="1"/>
    <col min="11774" max="11774" width="10.75" style="21" customWidth="1"/>
    <col min="11775" max="11775" width="10.625" style="21" customWidth="1"/>
    <col min="11776" max="11776" width="23.25" style="21" customWidth="1"/>
    <col min="11777" max="11777" width="10.625" style="21" customWidth="1"/>
    <col min="11778" max="11778" width="10.25" style="21" customWidth="1"/>
    <col min="11779" max="12028" width="9" style="21"/>
    <col min="12029" max="12029" width="25.125" style="21" customWidth="1"/>
    <col min="12030" max="12030" width="10.75" style="21" customWidth="1"/>
    <col min="12031" max="12031" width="10.625" style="21" customWidth="1"/>
    <col min="12032" max="12032" width="23.25" style="21" customWidth="1"/>
    <col min="12033" max="12033" width="10.625" style="21" customWidth="1"/>
    <col min="12034" max="12034" width="10.25" style="21" customWidth="1"/>
    <col min="12035" max="12284" width="9" style="21"/>
    <col min="12285" max="12285" width="25.125" style="21" customWidth="1"/>
    <col min="12286" max="12286" width="10.75" style="21" customWidth="1"/>
    <col min="12287" max="12287" width="10.625" style="21" customWidth="1"/>
    <col min="12288" max="12288" width="23.25" style="21" customWidth="1"/>
    <col min="12289" max="12289" width="10.625" style="21" customWidth="1"/>
    <col min="12290" max="12290" width="10.25" style="21" customWidth="1"/>
    <col min="12291" max="12540" width="9" style="21"/>
    <col min="12541" max="12541" width="25.125" style="21" customWidth="1"/>
    <col min="12542" max="12542" width="10.75" style="21" customWidth="1"/>
    <col min="12543" max="12543" width="10.625" style="21" customWidth="1"/>
    <col min="12544" max="12544" width="23.25" style="21" customWidth="1"/>
    <col min="12545" max="12545" width="10.625" style="21" customWidth="1"/>
    <col min="12546" max="12546" width="10.25" style="21" customWidth="1"/>
    <col min="12547" max="12796" width="9" style="21"/>
    <col min="12797" max="12797" width="25.125" style="21" customWidth="1"/>
    <col min="12798" max="12798" width="10.75" style="21" customWidth="1"/>
    <col min="12799" max="12799" width="10.625" style="21" customWidth="1"/>
    <col min="12800" max="12800" width="23.25" style="21" customWidth="1"/>
    <col min="12801" max="12801" width="10.625" style="21" customWidth="1"/>
    <col min="12802" max="12802" width="10.25" style="21" customWidth="1"/>
    <col min="12803" max="13052" width="9" style="21"/>
    <col min="13053" max="13053" width="25.125" style="21" customWidth="1"/>
    <col min="13054" max="13054" width="10.75" style="21" customWidth="1"/>
    <col min="13055" max="13055" width="10.625" style="21" customWidth="1"/>
    <col min="13056" max="13056" width="23.25" style="21" customWidth="1"/>
    <col min="13057" max="13057" width="10.625" style="21" customWidth="1"/>
    <col min="13058" max="13058" width="10.25" style="21" customWidth="1"/>
    <col min="13059" max="13308" width="9" style="21"/>
    <col min="13309" max="13309" width="25.125" style="21" customWidth="1"/>
    <col min="13310" max="13310" width="10.75" style="21" customWidth="1"/>
    <col min="13311" max="13311" width="10.625" style="21" customWidth="1"/>
    <col min="13312" max="13312" width="23.25" style="21" customWidth="1"/>
    <col min="13313" max="13313" width="10.625" style="21" customWidth="1"/>
    <col min="13314" max="13314" width="10.25" style="21" customWidth="1"/>
    <col min="13315" max="13564" width="9" style="21"/>
    <col min="13565" max="13565" width="25.125" style="21" customWidth="1"/>
    <col min="13566" max="13566" width="10.75" style="21" customWidth="1"/>
    <col min="13567" max="13567" width="10.625" style="21" customWidth="1"/>
    <col min="13568" max="13568" width="23.25" style="21" customWidth="1"/>
    <col min="13569" max="13569" width="10.625" style="21" customWidth="1"/>
    <col min="13570" max="13570" width="10.25" style="21" customWidth="1"/>
    <col min="13571" max="13820" width="9" style="21"/>
    <col min="13821" max="13821" width="25.125" style="21" customWidth="1"/>
    <col min="13822" max="13822" width="10.75" style="21" customWidth="1"/>
    <col min="13823" max="13823" width="10.625" style="21" customWidth="1"/>
    <col min="13824" max="13824" width="23.25" style="21" customWidth="1"/>
    <col min="13825" max="13825" width="10.625" style="21" customWidth="1"/>
    <col min="13826" max="13826" width="10.25" style="21" customWidth="1"/>
    <col min="13827" max="14076" width="9" style="21"/>
    <col min="14077" max="14077" width="25.125" style="21" customWidth="1"/>
    <col min="14078" max="14078" width="10.75" style="21" customWidth="1"/>
    <col min="14079" max="14079" width="10.625" style="21" customWidth="1"/>
    <col min="14080" max="14080" width="23.25" style="21" customWidth="1"/>
    <col min="14081" max="14081" width="10.625" style="21" customWidth="1"/>
    <col min="14082" max="14082" width="10.25" style="21" customWidth="1"/>
    <col min="14083" max="14332" width="9" style="21"/>
    <col min="14333" max="14333" width="25.125" style="21" customWidth="1"/>
    <col min="14334" max="14334" width="10.75" style="21" customWidth="1"/>
    <col min="14335" max="14335" width="10.625" style="21" customWidth="1"/>
    <col min="14336" max="14336" width="23.25" style="21" customWidth="1"/>
    <col min="14337" max="14337" width="10.625" style="21" customWidth="1"/>
    <col min="14338" max="14338" width="10.25" style="21" customWidth="1"/>
    <col min="14339" max="14588" width="9" style="21"/>
    <col min="14589" max="14589" width="25.125" style="21" customWidth="1"/>
    <col min="14590" max="14590" width="10.75" style="21" customWidth="1"/>
    <col min="14591" max="14591" width="10.625" style="21" customWidth="1"/>
    <col min="14592" max="14592" width="23.25" style="21" customWidth="1"/>
    <col min="14593" max="14593" width="10.625" style="21" customWidth="1"/>
    <col min="14594" max="14594" width="10.25" style="21" customWidth="1"/>
    <col min="14595" max="14844" width="9" style="21"/>
    <col min="14845" max="14845" width="25.125" style="21" customWidth="1"/>
    <col min="14846" max="14846" width="10.75" style="21" customWidth="1"/>
    <col min="14847" max="14847" width="10.625" style="21" customWidth="1"/>
    <col min="14848" max="14848" width="23.25" style="21" customWidth="1"/>
    <col min="14849" max="14849" width="10.625" style="21" customWidth="1"/>
    <col min="14850" max="14850" width="10.25" style="21" customWidth="1"/>
    <col min="14851" max="15100" width="9" style="21"/>
    <col min="15101" max="15101" width="25.125" style="21" customWidth="1"/>
    <col min="15102" max="15102" width="10.75" style="21" customWidth="1"/>
    <col min="15103" max="15103" width="10.625" style="21" customWidth="1"/>
    <col min="15104" max="15104" width="23.25" style="21" customWidth="1"/>
    <col min="15105" max="15105" width="10.625" style="21" customWidth="1"/>
    <col min="15106" max="15106" width="10.25" style="21" customWidth="1"/>
    <col min="15107" max="15356" width="9" style="21"/>
    <col min="15357" max="15357" width="25.125" style="21" customWidth="1"/>
    <col min="15358" max="15358" width="10.75" style="21" customWidth="1"/>
    <col min="15359" max="15359" width="10.625" style="21" customWidth="1"/>
    <col min="15360" max="15360" width="23.25" style="21" customWidth="1"/>
    <col min="15361" max="15361" width="10.625" style="21" customWidth="1"/>
    <col min="15362" max="15362" width="10.25" style="21" customWidth="1"/>
    <col min="15363" max="15612" width="9" style="21"/>
    <col min="15613" max="15613" width="25.125" style="21" customWidth="1"/>
    <col min="15614" max="15614" width="10.75" style="21" customWidth="1"/>
    <col min="15615" max="15615" width="10.625" style="21" customWidth="1"/>
    <col min="15616" max="15616" width="23.25" style="21" customWidth="1"/>
    <col min="15617" max="15617" width="10.625" style="21" customWidth="1"/>
    <col min="15618" max="15618" width="10.25" style="21" customWidth="1"/>
    <col min="15619" max="15868" width="9" style="21"/>
    <col min="15869" max="15869" width="25.125" style="21" customWidth="1"/>
    <col min="15870" max="15870" width="10.75" style="21" customWidth="1"/>
    <col min="15871" max="15871" width="10.625" style="21" customWidth="1"/>
    <col min="15872" max="15872" width="23.25" style="21" customWidth="1"/>
    <col min="15873" max="15873" width="10.625" style="21" customWidth="1"/>
    <col min="15874" max="15874" width="10.25" style="21" customWidth="1"/>
    <col min="15875" max="16124" width="9" style="21"/>
    <col min="16125" max="16125" width="25.125" style="21" customWidth="1"/>
    <col min="16126" max="16126" width="10.75" style="21" customWidth="1"/>
    <col min="16127" max="16127" width="10.625" style="21" customWidth="1"/>
    <col min="16128" max="16128" width="23.25" style="21" customWidth="1"/>
    <col min="16129" max="16129" width="10.625" style="21" customWidth="1"/>
    <col min="16130" max="16130" width="10.25" style="21" customWidth="1"/>
    <col min="16131" max="16384" width="9" style="21"/>
  </cols>
  <sheetData>
    <row r="1" spans="1:2" ht="24" customHeight="1">
      <c r="A1" s="277" t="s">
        <v>1440</v>
      </c>
      <c r="B1" s="277"/>
    </row>
    <row r="2" spans="1:2" ht="23.25" customHeight="1">
      <c r="A2" s="277"/>
      <c r="B2" s="277"/>
    </row>
    <row r="3" spans="1:2" ht="19.5" customHeight="1">
      <c r="A3" s="277"/>
      <c r="B3" s="277"/>
    </row>
    <row r="4" spans="1:2" ht="23.25" customHeight="1">
      <c r="A4" s="34"/>
      <c r="B4" s="35" t="s">
        <v>1096</v>
      </c>
    </row>
    <row r="5" spans="1:2" s="36" customFormat="1" ht="23.25" customHeight="1">
      <c r="A5" s="278" t="s">
        <v>1101</v>
      </c>
      <c r="B5" s="280" t="s">
        <v>1112</v>
      </c>
    </row>
    <row r="6" spans="1:2" s="36" customFormat="1" ht="14.25" customHeight="1">
      <c r="A6" s="279"/>
      <c r="B6" s="281"/>
    </row>
    <row r="7" spans="1:2" s="37" customFormat="1" ht="20.100000000000001" customHeight="1">
      <c r="A7" s="154" t="s">
        <v>1113</v>
      </c>
      <c r="B7" s="155">
        <v>733054</v>
      </c>
    </row>
    <row r="8" spans="1:2" s="36" customFormat="1" ht="20.100000000000001" customHeight="1">
      <c r="A8" s="156" t="s">
        <v>1241</v>
      </c>
      <c r="B8" s="157">
        <f>SUM(B9:B12)</f>
        <v>120233.18000000001</v>
      </c>
    </row>
    <row r="9" spans="1:2" s="36" customFormat="1" ht="20.100000000000001" customHeight="1">
      <c r="A9" s="158" t="s">
        <v>1184</v>
      </c>
      <c r="B9" s="159">
        <v>61025.91000000004</v>
      </c>
    </row>
    <row r="10" spans="1:2" s="36" customFormat="1" ht="20.100000000000001" customHeight="1">
      <c r="A10" s="158" t="s">
        <v>1242</v>
      </c>
      <c r="B10" s="159">
        <v>26108.229999999981</v>
      </c>
    </row>
    <row r="11" spans="1:2" s="36" customFormat="1" ht="20.100000000000001" customHeight="1">
      <c r="A11" s="158" t="s">
        <v>1185</v>
      </c>
      <c r="B11" s="159">
        <v>12368.169999999995</v>
      </c>
    </row>
    <row r="12" spans="1:2" s="36" customFormat="1" ht="20.100000000000001" customHeight="1">
      <c r="A12" s="158" t="s">
        <v>1243</v>
      </c>
      <c r="B12" s="159">
        <v>20730.869999999995</v>
      </c>
    </row>
    <row r="13" spans="1:2" s="36" customFormat="1" ht="20.100000000000001" customHeight="1">
      <c r="A13" s="156" t="s">
        <v>1244</v>
      </c>
      <c r="B13" s="157">
        <f>SUM(B14:B23)</f>
        <v>114986.82999999999</v>
      </c>
    </row>
    <row r="14" spans="1:2" s="36" customFormat="1" ht="20.100000000000001" customHeight="1">
      <c r="A14" s="158" t="s">
        <v>1245</v>
      </c>
      <c r="B14" s="159">
        <v>20176.290000000023</v>
      </c>
    </row>
    <row r="15" spans="1:2" s="36" customFormat="1" ht="20.100000000000001" customHeight="1">
      <c r="A15" s="158" t="s">
        <v>1186</v>
      </c>
      <c r="B15" s="159">
        <v>130</v>
      </c>
    </row>
    <row r="16" spans="1:2" s="36" customFormat="1" ht="20.100000000000001" customHeight="1">
      <c r="A16" s="158" t="s">
        <v>1187</v>
      </c>
      <c r="B16" s="159">
        <v>252.94999999999996</v>
      </c>
    </row>
    <row r="17" spans="1:2" s="36" customFormat="1" ht="20.100000000000001" customHeight="1">
      <c r="A17" s="158" t="s">
        <v>1188</v>
      </c>
      <c r="B17" s="159">
        <v>1690.9499999999996</v>
      </c>
    </row>
    <row r="18" spans="1:2" s="36" customFormat="1" ht="20.100000000000001" customHeight="1">
      <c r="A18" s="158" t="s">
        <v>1246</v>
      </c>
      <c r="B18" s="159">
        <v>3378.6200000000003</v>
      </c>
    </row>
    <row r="19" spans="1:2" s="36" customFormat="1" ht="20.100000000000001" customHeight="1">
      <c r="A19" s="158" t="s">
        <v>1189</v>
      </c>
      <c r="B19" s="159">
        <v>0.4</v>
      </c>
    </row>
    <row r="20" spans="1:2" s="36" customFormat="1" ht="20.100000000000001" customHeight="1">
      <c r="A20" s="158" t="s">
        <v>1247</v>
      </c>
      <c r="B20" s="159">
        <v>160</v>
      </c>
    </row>
    <row r="21" spans="1:2" s="36" customFormat="1" ht="20.100000000000001" customHeight="1">
      <c r="A21" s="158" t="s">
        <v>1190</v>
      </c>
      <c r="B21" s="159">
        <v>633.90000000000009</v>
      </c>
    </row>
    <row r="22" spans="1:2" s="36" customFormat="1" ht="20.100000000000001" customHeight="1">
      <c r="A22" s="158" t="s">
        <v>1191</v>
      </c>
      <c r="B22" s="159">
        <v>5640.98</v>
      </c>
    </row>
    <row r="23" spans="1:2" s="36" customFormat="1" ht="20.100000000000001" customHeight="1">
      <c r="A23" s="158" t="s">
        <v>1248</v>
      </c>
      <c r="B23" s="159">
        <v>82922.739999999962</v>
      </c>
    </row>
    <row r="24" spans="1:2" s="36" customFormat="1" ht="20.100000000000001" customHeight="1">
      <c r="A24" s="156" t="s">
        <v>1192</v>
      </c>
      <c r="B24" s="157">
        <f>SUM(B25:B26)</f>
        <v>91301</v>
      </c>
    </row>
    <row r="25" spans="1:2" s="36" customFormat="1" ht="20.100000000000001" customHeight="1">
      <c r="A25" s="158" t="s">
        <v>1193</v>
      </c>
      <c r="B25" s="159">
        <v>5100</v>
      </c>
    </row>
    <row r="26" spans="1:2" s="36" customFormat="1" ht="20.100000000000001" customHeight="1">
      <c r="A26" s="158" t="s">
        <v>1194</v>
      </c>
      <c r="B26" s="159">
        <v>86201</v>
      </c>
    </row>
    <row r="27" spans="1:2" s="36" customFormat="1" ht="20.100000000000001" customHeight="1">
      <c r="A27" s="156" t="s">
        <v>1195</v>
      </c>
      <c r="B27" s="157">
        <f>SUM(B28:B30)</f>
        <v>19841.62</v>
      </c>
    </row>
    <row r="28" spans="1:2" s="36" customFormat="1" ht="20.100000000000001" customHeight="1">
      <c r="A28" s="158" t="s">
        <v>1249</v>
      </c>
      <c r="B28" s="159">
        <v>6491.59</v>
      </c>
    </row>
    <row r="29" spans="1:2" s="36" customFormat="1" ht="20.100000000000001" customHeight="1">
      <c r="A29" s="158" t="s">
        <v>1250</v>
      </c>
      <c r="B29" s="159">
        <v>3065</v>
      </c>
    </row>
    <row r="30" spans="1:2" s="36" customFormat="1" ht="20.100000000000001" customHeight="1">
      <c r="A30" s="158" t="s">
        <v>1196</v>
      </c>
      <c r="B30" s="159">
        <v>10285.029999999999</v>
      </c>
    </row>
    <row r="31" spans="1:2" s="36" customFormat="1" ht="20.100000000000001" customHeight="1">
      <c r="A31" s="156" t="s">
        <v>1197</v>
      </c>
      <c r="B31" s="157">
        <f>SUM(B32:B33)</f>
        <v>171791.72000000003</v>
      </c>
    </row>
    <row r="32" spans="1:2" s="36" customFormat="1" ht="20.100000000000001" customHeight="1">
      <c r="A32" s="158" t="s">
        <v>1198</v>
      </c>
      <c r="B32" s="159">
        <v>61954.990000000085</v>
      </c>
    </row>
    <row r="33" spans="1:2" s="36" customFormat="1" ht="20.100000000000001" customHeight="1">
      <c r="A33" s="158" t="s">
        <v>1199</v>
      </c>
      <c r="B33" s="159">
        <v>109836.72999999994</v>
      </c>
    </row>
    <row r="34" spans="1:2" s="36" customFormat="1" ht="20.100000000000001" customHeight="1">
      <c r="A34" s="156" t="s">
        <v>1251</v>
      </c>
      <c r="B34" s="157">
        <f>SUM(B35:B36)</f>
        <v>13982.23</v>
      </c>
    </row>
    <row r="35" spans="1:2" s="36" customFormat="1" ht="20.100000000000001" customHeight="1">
      <c r="A35" s="158" t="s">
        <v>1252</v>
      </c>
      <c r="B35" s="159">
        <v>11763</v>
      </c>
    </row>
    <row r="36" spans="1:2" s="36" customFormat="1" ht="20.100000000000001" customHeight="1">
      <c r="A36" s="158" t="s">
        <v>1253</v>
      </c>
      <c r="B36" s="159">
        <v>2219.23</v>
      </c>
    </row>
    <row r="37" spans="1:2" s="36" customFormat="1" ht="20.100000000000001" customHeight="1">
      <c r="A37" s="156" t="s">
        <v>1200</v>
      </c>
      <c r="B37" s="157">
        <v>17035.900000000001</v>
      </c>
    </row>
    <row r="38" spans="1:2" s="36" customFormat="1" ht="20.100000000000001" customHeight="1">
      <c r="A38" s="158" t="s">
        <v>1201</v>
      </c>
      <c r="B38" s="159">
        <v>17035.900000000001</v>
      </c>
    </row>
    <row r="39" spans="1:2" s="36" customFormat="1" ht="20.100000000000001" customHeight="1">
      <c r="A39" s="156" t="s">
        <v>1202</v>
      </c>
      <c r="B39" s="157">
        <f>SUM(B40:B44)</f>
        <v>28400.989999999998</v>
      </c>
    </row>
    <row r="40" spans="1:2" s="36" customFormat="1" ht="20.100000000000001" customHeight="1">
      <c r="A40" s="158" t="s">
        <v>1254</v>
      </c>
      <c r="B40" s="159">
        <v>9244.9999999999964</v>
      </c>
    </row>
    <row r="41" spans="1:2" s="36" customFormat="1" ht="20.100000000000001" customHeight="1">
      <c r="A41" s="158" t="s">
        <v>1255</v>
      </c>
      <c r="B41" s="159">
        <v>347</v>
      </c>
    </row>
    <row r="42" spans="1:2" s="36" customFormat="1" ht="20.100000000000001" customHeight="1">
      <c r="A42" s="158" t="s">
        <v>1256</v>
      </c>
      <c r="B42" s="159">
        <v>200</v>
      </c>
    </row>
    <row r="43" spans="1:2" s="36" customFormat="1" ht="20.100000000000001" customHeight="1">
      <c r="A43" s="158" t="s">
        <v>1203</v>
      </c>
      <c r="B43" s="159">
        <v>11033.64</v>
      </c>
    </row>
    <row r="44" spans="1:2" s="36" customFormat="1" ht="20.100000000000001" customHeight="1">
      <c r="A44" s="158" t="s">
        <v>1204</v>
      </c>
      <c r="B44" s="159">
        <v>7575.35</v>
      </c>
    </row>
    <row r="45" spans="1:2" s="36" customFormat="1" ht="20.100000000000001" customHeight="1">
      <c r="A45" s="156" t="s">
        <v>1205</v>
      </c>
      <c r="B45" s="157">
        <f>SUM(B46:B47)</f>
        <v>123661.07</v>
      </c>
    </row>
    <row r="46" spans="1:2" s="36" customFormat="1" ht="20.100000000000001" customHeight="1">
      <c r="A46" s="158" t="s">
        <v>1206</v>
      </c>
      <c r="B46" s="159">
        <v>123655.07</v>
      </c>
    </row>
    <row r="47" spans="1:2" s="36" customFormat="1" ht="20.100000000000001" customHeight="1">
      <c r="A47" s="158" t="s">
        <v>1257</v>
      </c>
      <c r="B47" s="159">
        <v>6</v>
      </c>
    </row>
    <row r="48" spans="1:2" s="36" customFormat="1" ht="20.100000000000001" customHeight="1">
      <c r="A48" s="156" t="s">
        <v>1258</v>
      </c>
      <c r="B48" s="157">
        <f>SUM(B49:B50)</f>
        <v>31819.460000000003</v>
      </c>
    </row>
    <row r="49" spans="1:2" s="36" customFormat="1" ht="20.100000000000001" customHeight="1">
      <c r="A49" s="158" t="s">
        <v>1259</v>
      </c>
      <c r="B49" s="159">
        <v>241</v>
      </c>
    </row>
    <row r="50" spans="1:2" s="36" customFormat="1" ht="20.100000000000001" customHeight="1">
      <c r="A50" s="158" t="s">
        <v>1260</v>
      </c>
      <c r="B50" s="159">
        <v>31578.460000000003</v>
      </c>
    </row>
    <row r="51" spans="1:2" s="37" customFormat="1" ht="20.100000000000001" customHeight="1">
      <c r="A51" s="160" t="s">
        <v>1176</v>
      </c>
      <c r="B51" s="140">
        <f>B52+B54+B56+B58</f>
        <v>588200</v>
      </c>
    </row>
    <row r="52" spans="1:2" s="36" customFormat="1" ht="20.100000000000001" customHeight="1">
      <c r="A52" s="156" t="s">
        <v>1244</v>
      </c>
      <c r="B52" s="157">
        <v>2200</v>
      </c>
    </row>
    <row r="53" spans="1:2" s="36" customFormat="1" ht="20.100000000000001" customHeight="1">
      <c r="A53" s="158" t="s">
        <v>1248</v>
      </c>
      <c r="B53" s="159">
        <v>2200</v>
      </c>
    </row>
    <row r="54" spans="1:2" s="36" customFormat="1" ht="20.100000000000001" customHeight="1">
      <c r="A54" s="156" t="s">
        <v>1192</v>
      </c>
      <c r="B54" s="157">
        <v>122700</v>
      </c>
    </row>
    <row r="55" spans="1:2" s="36" customFormat="1" ht="20.100000000000001" customHeight="1">
      <c r="A55" s="158" t="s">
        <v>1194</v>
      </c>
      <c r="B55" s="159">
        <v>122700</v>
      </c>
    </row>
    <row r="56" spans="1:2" s="36" customFormat="1" ht="20.100000000000001" customHeight="1">
      <c r="A56" s="156" t="s">
        <v>1195</v>
      </c>
      <c r="B56" s="157">
        <v>214000</v>
      </c>
    </row>
    <row r="57" spans="1:2" s="36" customFormat="1" ht="20.100000000000001" customHeight="1">
      <c r="A57" s="158" t="s">
        <v>1196</v>
      </c>
      <c r="B57" s="159">
        <v>214000</v>
      </c>
    </row>
    <row r="58" spans="1:2" s="36" customFormat="1" ht="20.100000000000001" customHeight="1">
      <c r="A58" s="156" t="s">
        <v>1205</v>
      </c>
      <c r="B58" s="157">
        <v>249300</v>
      </c>
    </row>
    <row r="59" spans="1:2" s="36" customFormat="1" ht="20.100000000000001" customHeight="1">
      <c r="A59" s="158" t="s">
        <v>1206</v>
      </c>
      <c r="B59" s="159">
        <v>249300</v>
      </c>
    </row>
  </sheetData>
  <mergeCells count="3">
    <mergeCell ref="A1:B3"/>
    <mergeCell ref="A5:A6"/>
    <mergeCell ref="B5:B6"/>
  </mergeCells>
  <phoneticPr fontId="3" type="noConversion"/>
  <printOptions horizontalCentered="1"/>
  <pageMargins left="0.55118110236220474" right="0.55118110236220474" top="0.19685039370078741" bottom="0.59055118110236227" header="0.11811023622047245" footer="0.11811023622047245"/>
  <pageSetup paperSize="9" scale="88" firstPageNumber="14" orientation="portrait" useFirstPageNumber="1" verticalDpi="180" r:id="rId1"/>
  <headerFooter alignWithMargins="0">
    <oddFooter>&amp;C第 15 页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dimension ref="A1:F45"/>
  <sheetViews>
    <sheetView tabSelected="1" topLeftCell="A25" workbookViewId="0">
      <selection activeCell="I39" sqref="I39"/>
    </sheetView>
  </sheetViews>
  <sheetFormatPr defaultRowHeight="12.75"/>
  <cols>
    <col min="1" max="1" width="30.25" style="2" customWidth="1"/>
    <col min="2" max="3" width="11.625" style="2" customWidth="1"/>
    <col min="4" max="4" width="28.25" style="2" customWidth="1"/>
    <col min="5" max="6" width="11.625" style="2" customWidth="1"/>
    <col min="7" max="256" width="9" style="2"/>
    <col min="257" max="257" width="25.125" style="2" customWidth="1"/>
    <col min="258" max="258" width="10.75" style="2" customWidth="1"/>
    <col min="259" max="259" width="10.625" style="2" customWidth="1"/>
    <col min="260" max="260" width="23.25" style="2" customWidth="1"/>
    <col min="261" max="261" width="10.625" style="2" customWidth="1"/>
    <col min="262" max="262" width="10.25" style="2" customWidth="1"/>
    <col min="263" max="512" width="9" style="2"/>
    <col min="513" max="513" width="25.125" style="2" customWidth="1"/>
    <col min="514" max="514" width="10.75" style="2" customWidth="1"/>
    <col min="515" max="515" width="10.625" style="2" customWidth="1"/>
    <col min="516" max="516" width="23.25" style="2" customWidth="1"/>
    <col min="517" max="517" width="10.625" style="2" customWidth="1"/>
    <col min="518" max="518" width="10.25" style="2" customWidth="1"/>
    <col min="519" max="768" width="9" style="2"/>
    <col min="769" max="769" width="25.125" style="2" customWidth="1"/>
    <col min="770" max="770" width="10.75" style="2" customWidth="1"/>
    <col min="771" max="771" width="10.625" style="2" customWidth="1"/>
    <col min="772" max="772" width="23.25" style="2" customWidth="1"/>
    <col min="773" max="773" width="10.625" style="2" customWidth="1"/>
    <col min="774" max="774" width="10.25" style="2" customWidth="1"/>
    <col min="775" max="1024" width="9" style="2"/>
    <col min="1025" max="1025" width="25.125" style="2" customWidth="1"/>
    <col min="1026" max="1026" width="10.75" style="2" customWidth="1"/>
    <col min="1027" max="1027" width="10.625" style="2" customWidth="1"/>
    <col min="1028" max="1028" width="23.25" style="2" customWidth="1"/>
    <col min="1029" max="1029" width="10.625" style="2" customWidth="1"/>
    <col min="1030" max="1030" width="10.25" style="2" customWidth="1"/>
    <col min="1031" max="1280" width="9" style="2"/>
    <col min="1281" max="1281" width="25.125" style="2" customWidth="1"/>
    <col min="1282" max="1282" width="10.75" style="2" customWidth="1"/>
    <col min="1283" max="1283" width="10.625" style="2" customWidth="1"/>
    <col min="1284" max="1284" width="23.25" style="2" customWidth="1"/>
    <col min="1285" max="1285" width="10.625" style="2" customWidth="1"/>
    <col min="1286" max="1286" width="10.25" style="2" customWidth="1"/>
    <col min="1287" max="1536" width="9" style="2"/>
    <col min="1537" max="1537" width="25.125" style="2" customWidth="1"/>
    <col min="1538" max="1538" width="10.75" style="2" customWidth="1"/>
    <col min="1539" max="1539" width="10.625" style="2" customWidth="1"/>
    <col min="1540" max="1540" width="23.25" style="2" customWidth="1"/>
    <col min="1541" max="1541" width="10.625" style="2" customWidth="1"/>
    <col min="1542" max="1542" width="10.25" style="2" customWidth="1"/>
    <col min="1543" max="1792" width="9" style="2"/>
    <col min="1793" max="1793" width="25.125" style="2" customWidth="1"/>
    <col min="1794" max="1794" width="10.75" style="2" customWidth="1"/>
    <col min="1795" max="1795" width="10.625" style="2" customWidth="1"/>
    <col min="1796" max="1796" width="23.25" style="2" customWidth="1"/>
    <col min="1797" max="1797" width="10.625" style="2" customWidth="1"/>
    <col min="1798" max="1798" width="10.25" style="2" customWidth="1"/>
    <col min="1799" max="2048" width="9" style="2"/>
    <col min="2049" max="2049" width="25.125" style="2" customWidth="1"/>
    <col min="2050" max="2050" width="10.75" style="2" customWidth="1"/>
    <col min="2051" max="2051" width="10.625" style="2" customWidth="1"/>
    <col min="2052" max="2052" width="23.25" style="2" customWidth="1"/>
    <col min="2053" max="2053" width="10.625" style="2" customWidth="1"/>
    <col min="2054" max="2054" width="10.25" style="2" customWidth="1"/>
    <col min="2055" max="2304" width="9" style="2"/>
    <col min="2305" max="2305" width="25.125" style="2" customWidth="1"/>
    <col min="2306" max="2306" width="10.75" style="2" customWidth="1"/>
    <col min="2307" max="2307" width="10.625" style="2" customWidth="1"/>
    <col min="2308" max="2308" width="23.25" style="2" customWidth="1"/>
    <col min="2309" max="2309" width="10.625" style="2" customWidth="1"/>
    <col min="2310" max="2310" width="10.25" style="2" customWidth="1"/>
    <col min="2311" max="2560" width="9" style="2"/>
    <col min="2561" max="2561" width="25.125" style="2" customWidth="1"/>
    <col min="2562" max="2562" width="10.75" style="2" customWidth="1"/>
    <col min="2563" max="2563" width="10.625" style="2" customWidth="1"/>
    <col min="2564" max="2564" width="23.25" style="2" customWidth="1"/>
    <col min="2565" max="2565" width="10.625" style="2" customWidth="1"/>
    <col min="2566" max="2566" width="10.25" style="2" customWidth="1"/>
    <col min="2567" max="2816" width="9" style="2"/>
    <col min="2817" max="2817" width="25.125" style="2" customWidth="1"/>
    <col min="2818" max="2818" width="10.75" style="2" customWidth="1"/>
    <col min="2819" max="2819" width="10.625" style="2" customWidth="1"/>
    <col min="2820" max="2820" width="23.25" style="2" customWidth="1"/>
    <col min="2821" max="2821" width="10.625" style="2" customWidth="1"/>
    <col min="2822" max="2822" width="10.25" style="2" customWidth="1"/>
    <col min="2823" max="3072" width="9" style="2"/>
    <col min="3073" max="3073" width="25.125" style="2" customWidth="1"/>
    <col min="3074" max="3074" width="10.75" style="2" customWidth="1"/>
    <col min="3075" max="3075" width="10.625" style="2" customWidth="1"/>
    <col min="3076" max="3076" width="23.25" style="2" customWidth="1"/>
    <col min="3077" max="3077" width="10.625" style="2" customWidth="1"/>
    <col min="3078" max="3078" width="10.25" style="2" customWidth="1"/>
    <col min="3079" max="3328" width="9" style="2"/>
    <col min="3329" max="3329" width="25.125" style="2" customWidth="1"/>
    <col min="3330" max="3330" width="10.75" style="2" customWidth="1"/>
    <col min="3331" max="3331" width="10.625" style="2" customWidth="1"/>
    <col min="3332" max="3332" width="23.25" style="2" customWidth="1"/>
    <col min="3333" max="3333" width="10.625" style="2" customWidth="1"/>
    <col min="3334" max="3334" width="10.25" style="2" customWidth="1"/>
    <col min="3335" max="3584" width="9" style="2"/>
    <col min="3585" max="3585" width="25.125" style="2" customWidth="1"/>
    <col min="3586" max="3586" width="10.75" style="2" customWidth="1"/>
    <col min="3587" max="3587" width="10.625" style="2" customWidth="1"/>
    <col min="3588" max="3588" width="23.25" style="2" customWidth="1"/>
    <col min="3589" max="3589" width="10.625" style="2" customWidth="1"/>
    <col min="3590" max="3590" width="10.25" style="2" customWidth="1"/>
    <col min="3591" max="3840" width="9" style="2"/>
    <col min="3841" max="3841" width="25.125" style="2" customWidth="1"/>
    <col min="3842" max="3842" width="10.75" style="2" customWidth="1"/>
    <col min="3843" max="3843" width="10.625" style="2" customWidth="1"/>
    <col min="3844" max="3844" width="23.25" style="2" customWidth="1"/>
    <col min="3845" max="3845" width="10.625" style="2" customWidth="1"/>
    <col min="3846" max="3846" width="10.25" style="2" customWidth="1"/>
    <col min="3847" max="4096" width="9" style="2"/>
    <col min="4097" max="4097" width="25.125" style="2" customWidth="1"/>
    <col min="4098" max="4098" width="10.75" style="2" customWidth="1"/>
    <col min="4099" max="4099" width="10.625" style="2" customWidth="1"/>
    <col min="4100" max="4100" width="23.25" style="2" customWidth="1"/>
    <col min="4101" max="4101" width="10.625" style="2" customWidth="1"/>
    <col min="4102" max="4102" width="10.25" style="2" customWidth="1"/>
    <col min="4103" max="4352" width="9" style="2"/>
    <col min="4353" max="4353" width="25.125" style="2" customWidth="1"/>
    <col min="4354" max="4354" width="10.75" style="2" customWidth="1"/>
    <col min="4355" max="4355" width="10.625" style="2" customWidth="1"/>
    <col min="4356" max="4356" width="23.25" style="2" customWidth="1"/>
    <col min="4357" max="4357" width="10.625" style="2" customWidth="1"/>
    <col min="4358" max="4358" width="10.25" style="2" customWidth="1"/>
    <col min="4359" max="4608" width="9" style="2"/>
    <col min="4609" max="4609" width="25.125" style="2" customWidth="1"/>
    <col min="4610" max="4610" width="10.75" style="2" customWidth="1"/>
    <col min="4611" max="4611" width="10.625" style="2" customWidth="1"/>
    <col min="4612" max="4612" width="23.25" style="2" customWidth="1"/>
    <col min="4613" max="4613" width="10.625" style="2" customWidth="1"/>
    <col min="4614" max="4614" width="10.25" style="2" customWidth="1"/>
    <col min="4615" max="4864" width="9" style="2"/>
    <col min="4865" max="4865" width="25.125" style="2" customWidth="1"/>
    <col min="4866" max="4866" width="10.75" style="2" customWidth="1"/>
    <col min="4867" max="4867" width="10.625" style="2" customWidth="1"/>
    <col min="4868" max="4868" width="23.25" style="2" customWidth="1"/>
    <col min="4869" max="4869" width="10.625" style="2" customWidth="1"/>
    <col min="4870" max="4870" width="10.25" style="2" customWidth="1"/>
    <col min="4871" max="5120" width="9" style="2"/>
    <col min="5121" max="5121" width="25.125" style="2" customWidth="1"/>
    <col min="5122" max="5122" width="10.75" style="2" customWidth="1"/>
    <col min="5123" max="5123" width="10.625" style="2" customWidth="1"/>
    <col min="5124" max="5124" width="23.25" style="2" customWidth="1"/>
    <col min="5125" max="5125" width="10.625" style="2" customWidth="1"/>
    <col min="5126" max="5126" width="10.25" style="2" customWidth="1"/>
    <col min="5127" max="5376" width="9" style="2"/>
    <col min="5377" max="5377" width="25.125" style="2" customWidth="1"/>
    <col min="5378" max="5378" width="10.75" style="2" customWidth="1"/>
    <col min="5379" max="5379" width="10.625" style="2" customWidth="1"/>
    <col min="5380" max="5380" width="23.25" style="2" customWidth="1"/>
    <col min="5381" max="5381" width="10.625" style="2" customWidth="1"/>
    <col min="5382" max="5382" width="10.25" style="2" customWidth="1"/>
    <col min="5383" max="5632" width="9" style="2"/>
    <col min="5633" max="5633" width="25.125" style="2" customWidth="1"/>
    <col min="5634" max="5634" width="10.75" style="2" customWidth="1"/>
    <col min="5635" max="5635" width="10.625" style="2" customWidth="1"/>
    <col min="5636" max="5636" width="23.25" style="2" customWidth="1"/>
    <col min="5637" max="5637" width="10.625" style="2" customWidth="1"/>
    <col min="5638" max="5638" width="10.25" style="2" customWidth="1"/>
    <col min="5639" max="5888" width="9" style="2"/>
    <col min="5889" max="5889" width="25.125" style="2" customWidth="1"/>
    <col min="5890" max="5890" width="10.75" style="2" customWidth="1"/>
    <col min="5891" max="5891" width="10.625" style="2" customWidth="1"/>
    <col min="5892" max="5892" width="23.25" style="2" customWidth="1"/>
    <col min="5893" max="5893" width="10.625" style="2" customWidth="1"/>
    <col min="5894" max="5894" width="10.25" style="2" customWidth="1"/>
    <col min="5895" max="6144" width="9" style="2"/>
    <col min="6145" max="6145" width="25.125" style="2" customWidth="1"/>
    <col min="6146" max="6146" width="10.75" style="2" customWidth="1"/>
    <col min="6147" max="6147" width="10.625" style="2" customWidth="1"/>
    <col min="6148" max="6148" width="23.25" style="2" customWidth="1"/>
    <col min="6149" max="6149" width="10.625" style="2" customWidth="1"/>
    <col min="6150" max="6150" width="10.25" style="2" customWidth="1"/>
    <col min="6151" max="6400" width="9" style="2"/>
    <col min="6401" max="6401" width="25.125" style="2" customWidth="1"/>
    <col min="6402" max="6402" width="10.75" style="2" customWidth="1"/>
    <col min="6403" max="6403" width="10.625" style="2" customWidth="1"/>
    <col min="6404" max="6404" width="23.25" style="2" customWidth="1"/>
    <col min="6405" max="6405" width="10.625" style="2" customWidth="1"/>
    <col min="6406" max="6406" width="10.25" style="2" customWidth="1"/>
    <col min="6407" max="6656" width="9" style="2"/>
    <col min="6657" max="6657" width="25.125" style="2" customWidth="1"/>
    <col min="6658" max="6658" width="10.75" style="2" customWidth="1"/>
    <col min="6659" max="6659" width="10.625" style="2" customWidth="1"/>
    <col min="6660" max="6660" width="23.25" style="2" customWidth="1"/>
    <col min="6661" max="6661" width="10.625" style="2" customWidth="1"/>
    <col min="6662" max="6662" width="10.25" style="2" customWidth="1"/>
    <col min="6663" max="6912" width="9" style="2"/>
    <col min="6913" max="6913" width="25.125" style="2" customWidth="1"/>
    <col min="6914" max="6914" width="10.75" style="2" customWidth="1"/>
    <col min="6915" max="6915" width="10.625" style="2" customWidth="1"/>
    <col min="6916" max="6916" width="23.25" style="2" customWidth="1"/>
    <col min="6917" max="6917" width="10.625" style="2" customWidth="1"/>
    <col min="6918" max="6918" width="10.25" style="2" customWidth="1"/>
    <col min="6919" max="7168" width="9" style="2"/>
    <col min="7169" max="7169" width="25.125" style="2" customWidth="1"/>
    <col min="7170" max="7170" width="10.75" style="2" customWidth="1"/>
    <col min="7171" max="7171" width="10.625" style="2" customWidth="1"/>
    <col min="7172" max="7172" width="23.25" style="2" customWidth="1"/>
    <col min="7173" max="7173" width="10.625" style="2" customWidth="1"/>
    <col min="7174" max="7174" width="10.25" style="2" customWidth="1"/>
    <col min="7175" max="7424" width="9" style="2"/>
    <col min="7425" max="7425" width="25.125" style="2" customWidth="1"/>
    <col min="7426" max="7426" width="10.75" style="2" customWidth="1"/>
    <col min="7427" max="7427" width="10.625" style="2" customWidth="1"/>
    <col min="7428" max="7428" width="23.25" style="2" customWidth="1"/>
    <col min="7429" max="7429" width="10.625" style="2" customWidth="1"/>
    <col min="7430" max="7430" width="10.25" style="2" customWidth="1"/>
    <col min="7431" max="7680" width="9" style="2"/>
    <col min="7681" max="7681" width="25.125" style="2" customWidth="1"/>
    <col min="7682" max="7682" width="10.75" style="2" customWidth="1"/>
    <col min="7683" max="7683" width="10.625" style="2" customWidth="1"/>
    <col min="7684" max="7684" width="23.25" style="2" customWidth="1"/>
    <col min="7685" max="7685" width="10.625" style="2" customWidth="1"/>
    <col min="7686" max="7686" width="10.25" style="2" customWidth="1"/>
    <col min="7687" max="7936" width="9" style="2"/>
    <col min="7937" max="7937" width="25.125" style="2" customWidth="1"/>
    <col min="7938" max="7938" width="10.75" style="2" customWidth="1"/>
    <col min="7939" max="7939" width="10.625" style="2" customWidth="1"/>
    <col min="7940" max="7940" width="23.25" style="2" customWidth="1"/>
    <col min="7941" max="7941" width="10.625" style="2" customWidth="1"/>
    <col min="7942" max="7942" width="10.25" style="2" customWidth="1"/>
    <col min="7943" max="8192" width="9" style="2"/>
    <col min="8193" max="8193" width="25.125" style="2" customWidth="1"/>
    <col min="8194" max="8194" width="10.75" style="2" customWidth="1"/>
    <col min="8195" max="8195" width="10.625" style="2" customWidth="1"/>
    <col min="8196" max="8196" width="23.25" style="2" customWidth="1"/>
    <col min="8197" max="8197" width="10.625" style="2" customWidth="1"/>
    <col min="8198" max="8198" width="10.25" style="2" customWidth="1"/>
    <col min="8199" max="8448" width="9" style="2"/>
    <col min="8449" max="8449" width="25.125" style="2" customWidth="1"/>
    <col min="8450" max="8450" width="10.75" style="2" customWidth="1"/>
    <col min="8451" max="8451" width="10.625" style="2" customWidth="1"/>
    <col min="8452" max="8452" width="23.25" style="2" customWidth="1"/>
    <col min="8453" max="8453" width="10.625" style="2" customWidth="1"/>
    <col min="8454" max="8454" width="10.25" style="2" customWidth="1"/>
    <col min="8455" max="8704" width="9" style="2"/>
    <col min="8705" max="8705" width="25.125" style="2" customWidth="1"/>
    <col min="8706" max="8706" width="10.75" style="2" customWidth="1"/>
    <col min="8707" max="8707" width="10.625" style="2" customWidth="1"/>
    <col min="8708" max="8708" width="23.25" style="2" customWidth="1"/>
    <col min="8709" max="8709" width="10.625" style="2" customWidth="1"/>
    <col min="8710" max="8710" width="10.25" style="2" customWidth="1"/>
    <col min="8711" max="8960" width="9" style="2"/>
    <col min="8961" max="8961" width="25.125" style="2" customWidth="1"/>
    <col min="8962" max="8962" width="10.75" style="2" customWidth="1"/>
    <col min="8963" max="8963" width="10.625" style="2" customWidth="1"/>
    <col min="8964" max="8964" width="23.25" style="2" customWidth="1"/>
    <col min="8965" max="8965" width="10.625" style="2" customWidth="1"/>
    <col min="8966" max="8966" width="10.25" style="2" customWidth="1"/>
    <col min="8967" max="9216" width="9" style="2"/>
    <col min="9217" max="9217" width="25.125" style="2" customWidth="1"/>
    <col min="9218" max="9218" width="10.75" style="2" customWidth="1"/>
    <col min="9219" max="9219" width="10.625" style="2" customWidth="1"/>
    <col min="9220" max="9220" width="23.25" style="2" customWidth="1"/>
    <col min="9221" max="9221" width="10.625" style="2" customWidth="1"/>
    <col min="9222" max="9222" width="10.25" style="2" customWidth="1"/>
    <col min="9223" max="9472" width="9" style="2"/>
    <col min="9473" max="9473" width="25.125" style="2" customWidth="1"/>
    <col min="9474" max="9474" width="10.75" style="2" customWidth="1"/>
    <col min="9475" max="9475" width="10.625" style="2" customWidth="1"/>
    <col min="9476" max="9476" width="23.25" style="2" customWidth="1"/>
    <col min="9477" max="9477" width="10.625" style="2" customWidth="1"/>
    <col min="9478" max="9478" width="10.25" style="2" customWidth="1"/>
    <col min="9479" max="9728" width="9" style="2"/>
    <col min="9729" max="9729" width="25.125" style="2" customWidth="1"/>
    <col min="9730" max="9730" width="10.75" style="2" customWidth="1"/>
    <col min="9731" max="9731" width="10.625" style="2" customWidth="1"/>
    <col min="9732" max="9732" width="23.25" style="2" customWidth="1"/>
    <col min="9733" max="9733" width="10.625" style="2" customWidth="1"/>
    <col min="9734" max="9734" width="10.25" style="2" customWidth="1"/>
    <col min="9735" max="9984" width="9" style="2"/>
    <col min="9985" max="9985" width="25.125" style="2" customWidth="1"/>
    <col min="9986" max="9986" width="10.75" style="2" customWidth="1"/>
    <col min="9987" max="9987" width="10.625" style="2" customWidth="1"/>
    <col min="9988" max="9988" width="23.25" style="2" customWidth="1"/>
    <col min="9989" max="9989" width="10.625" style="2" customWidth="1"/>
    <col min="9990" max="9990" width="10.25" style="2" customWidth="1"/>
    <col min="9991" max="10240" width="9" style="2"/>
    <col min="10241" max="10241" width="25.125" style="2" customWidth="1"/>
    <col min="10242" max="10242" width="10.75" style="2" customWidth="1"/>
    <col min="10243" max="10243" width="10.625" style="2" customWidth="1"/>
    <col min="10244" max="10244" width="23.25" style="2" customWidth="1"/>
    <col min="10245" max="10245" width="10.625" style="2" customWidth="1"/>
    <col min="10246" max="10246" width="10.25" style="2" customWidth="1"/>
    <col min="10247" max="10496" width="9" style="2"/>
    <col min="10497" max="10497" width="25.125" style="2" customWidth="1"/>
    <col min="10498" max="10498" width="10.75" style="2" customWidth="1"/>
    <col min="10499" max="10499" width="10.625" style="2" customWidth="1"/>
    <col min="10500" max="10500" width="23.25" style="2" customWidth="1"/>
    <col min="10501" max="10501" width="10.625" style="2" customWidth="1"/>
    <col min="10502" max="10502" width="10.25" style="2" customWidth="1"/>
    <col min="10503" max="10752" width="9" style="2"/>
    <col min="10753" max="10753" width="25.125" style="2" customWidth="1"/>
    <col min="10754" max="10754" width="10.75" style="2" customWidth="1"/>
    <col min="10755" max="10755" width="10.625" style="2" customWidth="1"/>
    <col min="10756" max="10756" width="23.25" style="2" customWidth="1"/>
    <col min="10757" max="10757" width="10.625" style="2" customWidth="1"/>
    <col min="10758" max="10758" width="10.25" style="2" customWidth="1"/>
    <col min="10759" max="11008" width="9" style="2"/>
    <col min="11009" max="11009" width="25.125" style="2" customWidth="1"/>
    <col min="11010" max="11010" width="10.75" style="2" customWidth="1"/>
    <col min="11011" max="11011" width="10.625" style="2" customWidth="1"/>
    <col min="11012" max="11012" width="23.25" style="2" customWidth="1"/>
    <col min="11013" max="11013" width="10.625" style="2" customWidth="1"/>
    <col min="11014" max="11014" width="10.25" style="2" customWidth="1"/>
    <col min="11015" max="11264" width="9" style="2"/>
    <col min="11265" max="11265" width="25.125" style="2" customWidth="1"/>
    <col min="11266" max="11266" width="10.75" style="2" customWidth="1"/>
    <col min="11267" max="11267" width="10.625" style="2" customWidth="1"/>
    <col min="11268" max="11268" width="23.25" style="2" customWidth="1"/>
    <col min="11269" max="11269" width="10.625" style="2" customWidth="1"/>
    <col min="11270" max="11270" width="10.25" style="2" customWidth="1"/>
    <col min="11271" max="11520" width="9" style="2"/>
    <col min="11521" max="11521" width="25.125" style="2" customWidth="1"/>
    <col min="11522" max="11522" width="10.75" style="2" customWidth="1"/>
    <col min="11523" max="11523" width="10.625" style="2" customWidth="1"/>
    <col min="11524" max="11524" width="23.25" style="2" customWidth="1"/>
    <col min="11525" max="11525" width="10.625" style="2" customWidth="1"/>
    <col min="11526" max="11526" width="10.25" style="2" customWidth="1"/>
    <col min="11527" max="11776" width="9" style="2"/>
    <col min="11777" max="11777" width="25.125" style="2" customWidth="1"/>
    <col min="11778" max="11778" width="10.75" style="2" customWidth="1"/>
    <col min="11779" max="11779" width="10.625" style="2" customWidth="1"/>
    <col min="11780" max="11780" width="23.25" style="2" customWidth="1"/>
    <col min="11781" max="11781" width="10.625" style="2" customWidth="1"/>
    <col min="11782" max="11782" width="10.25" style="2" customWidth="1"/>
    <col min="11783" max="12032" width="9" style="2"/>
    <col min="12033" max="12033" width="25.125" style="2" customWidth="1"/>
    <col min="12034" max="12034" width="10.75" style="2" customWidth="1"/>
    <col min="12035" max="12035" width="10.625" style="2" customWidth="1"/>
    <col min="12036" max="12036" width="23.25" style="2" customWidth="1"/>
    <col min="12037" max="12037" width="10.625" style="2" customWidth="1"/>
    <col min="12038" max="12038" width="10.25" style="2" customWidth="1"/>
    <col min="12039" max="12288" width="9" style="2"/>
    <col min="12289" max="12289" width="25.125" style="2" customWidth="1"/>
    <col min="12290" max="12290" width="10.75" style="2" customWidth="1"/>
    <col min="12291" max="12291" width="10.625" style="2" customWidth="1"/>
    <col min="12292" max="12292" width="23.25" style="2" customWidth="1"/>
    <col min="12293" max="12293" width="10.625" style="2" customWidth="1"/>
    <col min="12294" max="12294" width="10.25" style="2" customWidth="1"/>
    <col min="12295" max="12544" width="9" style="2"/>
    <col min="12545" max="12545" width="25.125" style="2" customWidth="1"/>
    <col min="12546" max="12546" width="10.75" style="2" customWidth="1"/>
    <col min="12547" max="12547" width="10.625" style="2" customWidth="1"/>
    <col min="12548" max="12548" width="23.25" style="2" customWidth="1"/>
    <col min="12549" max="12549" width="10.625" style="2" customWidth="1"/>
    <col min="12550" max="12550" width="10.25" style="2" customWidth="1"/>
    <col min="12551" max="12800" width="9" style="2"/>
    <col min="12801" max="12801" width="25.125" style="2" customWidth="1"/>
    <col min="12802" max="12802" width="10.75" style="2" customWidth="1"/>
    <col min="12803" max="12803" width="10.625" style="2" customWidth="1"/>
    <col min="12804" max="12804" width="23.25" style="2" customWidth="1"/>
    <col min="12805" max="12805" width="10.625" style="2" customWidth="1"/>
    <col min="12806" max="12806" width="10.25" style="2" customWidth="1"/>
    <col min="12807" max="13056" width="9" style="2"/>
    <col min="13057" max="13057" width="25.125" style="2" customWidth="1"/>
    <col min="13058" max="13058" width="10.75" style="2" customWidth="1"/>
    <col min="13059" max="13059" width="10.625" style="2" customWidth="1"/>
    <col min="13060" max="13060" width="23.25" style="2" customWidth="1"/>
    <col min="13061" max="13061" width="10.625" style="2" customWidth="1"/>
    <col min="13062" max="13062" width="10.25" style="2" customWidth="1"/>
    <col min="13063" max="13312" width="9" style="2"/>
    <col min="13313" max="13313" width="25.125" style="2" customWidth="1"/>
    <col min="13314" max="13314" width="10.75" style="2" customWidth="1"/>
    <col min="13315" max="13315" width="10.625" style="2" customWidth="1"/>
    <col min="13316" max="13316" width="23.25" style="2" customWidth="1"/>
    <col min="13317" max="13317" width="10.625" style="2" customWidth="1"/>
    <col min="13318" max="13318" width="10.25" style="2" customWidth="1"/>
    <col min="13319" max="13568" width="9" style="2"/>
    <col min="13569" max="13569" width="25.125" style="2" customWidth="1"/>
    <col min="13570" max="13570" width="10.75" style="2" customWidth="1"/>
    <col min="13571" max="13571" width="10.625" style="2" customWidth="1"/>
    <col min="13572" max="13572" width="23.25" style="2" customWidth="1"/>
    <col min="13573" max="13573" width="10.625" style="2" customWidth="1"/>
    <col min="13574" max="13574" width="10.25" style="2" customWidth="1"/>
    <col min="13575" max="13824" width="9" style="2"/>
    <col min="13825" max="13825" width="25.125" style="2" customWidth="1"/>
    <col min="13826" max="13826" width="10.75" style="2" customWidth="1"/>
    <col min="13827" max="13827" width="10.625" style="2" customWidth="1"/>
    <col min="13828" max="13828" width="23.25" style="2" customWidth="1"/>
    <col min="13829" max="13829" width="10.625" style="2" customWidth="1"/>
    <col min="13830" max="13830" width="10.25" style="2" customWidth="1"/>
    <col min="13831" max="14080" width="9" style="2"/>
    <col min="14081" max="14081" width="25.125" style="2" customWidth="1"/>
    <col min="14082" max="14082" width="10.75" style="2" customWidth="1"/>
    <col min="14083" max="14083" width="10.625" style="2" customWidth="1"/>
    <col min="14084" max="14084" width="23.25" style="2" customWidth="1"/>
    <col min="14085" max="14085" width="10.625" style="2" customWidth="1"/>
    <col min="14086" max="14086" width="10.25" style="2" customWidth="1"/>
    <col min="14087" max="14336" width="9" style="2"/>
    <col min="14337" max="14337" width="25.125" style="2" customWidth="1"/>
    <col min="14338" max="14338" width="10.75" style="2" customWidth="1"/>
    <col min="14339" max="14339" width="10.625" style="2" customWidth="1"/>
    <col min="14340" max="14340" width="23.25" style="2" customWidth="1"/>
    <col min="14341" max="14341" width="10.625" style="2" customWidth="1"/>
    <col min="14342" max="14342" width="10.25" style="2" customWidth="1"/>
    <col min="14343" max="14592" width="9" style="2"/>
    <col min="14593" max="14593" width="25.125" style="2" customWidth="1"/>
    <col min="14594" max="14594" width="10.75" style="2" customWidth="1"/>
    <col min="14595" max="14595" width="10.625" style="2" customWidth="1"/>
    <col min="14596" max="14596" width="23.25" style="2" customWidth="1"/>
    <col min="14597" max="14597" width="10.625" style="2" customWidth="1"/>
    <col min="14598" max="14598" width="10.25" style="2" customWidth="1"/>
    <col min="14599" max="14848" width="9" style="2"/>
    <col min="14849" max="14849" width="25.125" style="2" customWidth="1"/>
    <col min="14850" max="14850" width="10.75" style="2" customWidth="1"/>
    <col min="14851" max="14851" width="10.625" style="2" customWidth="1"/>
    <col min="14852" max="14852" width="23.25" style="2" customWidth="1"/>
    <col min="14853" max="14853" width="10.625" style="2" customWidth="1"/>
    <col min="14854" max="14854" width="10.25" style="2" customWidth="1"/>
    <col min="14855" max="15104" width="9" style="2"/>
    <col min="15105" max="15105" width="25.125" style="2" customWidth="1"/>
    <col min="15106" max="15106" width="10.75" style="2" customWidth="1"/>
    <col min="15107" max="15107" width="10.625" style="2" customWidth="1"/>
    <col min="15108" max="15108" width="23.25" style="2" customWidth="1"/>
    <col min="15109" max="15109" width="10.625" style="2" customWidth="1"/>
    <col min="15110" max="15110" width="10.25" style="2" customWidth="1"/>
    <col min="15111" max="15360" width="9" style="2"/>
    <col min="15361" max="15361" width="25.125" style="2" customWidth="1"/>
    <col min="15362" max="15362" width="10.75" style="2" customWidth="1"/>
    <col min="15363" max="15363" width="10.625" style="2" customWidth="1"/>
    <col min="15364" max="15364" width="23.25" style="2" customWidth="1"/>
    <col min="15365" max="15365" width="10.625" style="2" customWidth="1"/>
    <col min="15366" max="15366" width="10.25" style="2" customWidth="1"/>
    <col min="15367" max="15616" width="9" style="2"/>
    <col min="15617" max="15617" width="25.125" style="2" customWidth="1"/>
    <col min="15618" max="15618" width="10.75" style="2" customWidth="1"/>
    <col min="15619" max="15619" width="10.625" style="2" customWidth="1"/>
    <col min="15620" max="15620" width="23.25" style="2" customWidth="1"/>
    <col min="15621" max="15621" width="10.625" style="2" customWidth="1"/>
    <col min="15622" max="15622" width="10.25" style="2" customWidth="1"/>
    <col min="15623" max="15872" width="9" style="2"/>
    <col min="15873" max="15873" width="25.125" style="2" customWidth="1"/>
    <col min="15874" max="15874" width="10.75" style="2" customWidth="1"/>
    <col min="15875" max="15875" width="10.625" style="2" customWidth="1"/>
    <col min="15876" max="15876" width="23.25" style="2" customWidth="1"/>
    <col min="15877" max="15877" width="10.625" style="2" customWidth="1"/>
    <col min="15878" max="15878" width="10.25" style="2" customWidth="1"/>
    <col min="15879" max="16128" width="9" style="2"/>
    <col min="16129" max="16129" width="25.125" style="2" customWidth="1"/>
    <col min="16130" max="16130" width="10.75" style="2" customWidth="1"/>
    <col min="16131" max="16131" width="10.625" style="2" customWidth="1"/>
    <col min="16132" max="16132" width="23.25" style="2" customWidth="1"/>
    <col min="16133" max="16133" width="10.625" style="2" customWidth="1"/>
    <col min="16134" max="16134" width="10.25" style="2" customWidth="1"/>
    <col min="16135" max="16384" width="9" style="2"/>
  </cols>
  <sheetData>
    <row r="1" spans="1:6" ht="24" customHeight="1">
      <c r="A1" s="282" t="s">
        <v>1437</v>
      </c>
      <c r="B1" s="282"/>
      <c r="C1" s="282"/>
      <c r="D1" s="282"/>
      <c r="E1" s="282"/>
      <c r="F1" s="282"/>
    </row>
    <row r="2" spans="1:6" ht="23.25" customHeight="1">
      <c r="A2" s="282"/>
      <c r="B2" s="282"/>
      <c r="C2" s="282"/>
      <c r="D2" s="282"/>
      <c r="E2" s="282"/>
      <c r="F2" s="282"/>
    </row>
    <row r="3" spans="1:6" ht="19.5" customHeight="1">
      <c r="A3" s="282"/>
      <c r="B3" s="282"/>
      <c r="C3" s="282"/>
      <c r="D3" s="282"/>
      <c r="E3" s="282"/>
      <c r="F3" s="282"/>
    </row>
    <row r="4" spans="1:6" ht="23.25" customHeight="1">
      <c r="A4" s="146"/>
      <c r="B4" s="146"/>
      <c r="C4" s="146"/>
      <c r="D4" s="146"/>
      <c r="E4" s="146"/>
      <c r="F4" s="147" t="s">
        <v>1032</v>
      </c>
    </row>
    <row r="5" spans="1:6" ht="23.25" customHeight="1">
      <c r="A5" s="257" t="s">
        <v>1373</v>
      </c>
      <c r="B5" s="257"/>
      <c r="C5" s="257"/>
      <c r="D5" s="257" t="s">
        <v>1374</v>
      </c>
      <c r="E5" s="257"/>
      <c r="F5" s="257"/>
    </row>
    <row r="6" spans="1:6" ht="14.25" customHeight="1">
      <c r="A6" s="237" t="s">
        <v>1375</v>
      </c>
      <c r="B6" s="236" t="s">
        <v>1376</v>
      </c>
      <c r="C6" s="236" t="s">
        <v>1377</v>
      </c>
      <c r="D6" s="257" t="s">
        <v>1375</v>
      </c>
      <c r="E6" s="236" t="s">
        <v>1376</v>
      </c>
      <c r="F6" s="236" t="s">
        <v>1377</v>
      </c>
    </row>
    <row r="7" spans="1:6" ht="12" customHeight="1">
      <c r="A7" s="237"/>
      <c r="B7" s="236"/>
      <c r="C7" s="236"/>
      <c r="D7" s="257"/>
      <c r="E7" s="236"/>
      <c r="F7" s="236"/>
    </row>
    <row r="8" spans="1:6" ht="18" customHeight="1">
      <c r="A8" s="141" t="s">
        <v>1378</v>
      </c>
      <c r="B8" s="148"/>
      <c r="C8" s="148"/>
      <c r="D8" s="141"/>
      <c r="E8" s="148"/>
      <c r="F8" s="148"/>
    </row>
    <row r="9" spans="1:6" ht="18" customHeight="1">
      <c r="A9" s="138" t="s">
        <v>1379</v>
      </c>
      <c r="B9" s="138">
        <f>B10+B11</f>
        <v>339825</v>
      </c>
      <c r="C9" s="138">
        <f>C10+C11</f>
        <v>272100</v>
      </c>
      <c r="D9" s="138" t="s">
        <v>1380</v>
      </c>
      <c r="E9" s="138">
        <v>733054</v>
      </c>
      <c r="F9" s="138">
        <v>672700</v>
      </c>
    </row>
    <row r="10" spans="1:6" ht="18" customHeight="1">
      <c r="A10" s="44" t="s">
        <v>1381</v>
      </c>
      <c r="B10" s="41">
        <v>285525</v>
      </c>
      <c r="C10" s="41">
        <v>201200</v>
      </c>
      <c r="D10" s="138" t="s">
        <v>1382</v>
      </c>
      <c r="E10" s="152">
        <v>4600</v>
      </c>
      <c r="F10" s="152">
        <v>3000</v>
      </c>
    </row>
    <row r="11" spans="1:6" ht="18" customHeight="1">
      <c r="A11" s="44" t="s">
        <v>1383</v>
      </c>
      <c r="B11" s="41">
        <v>54300</v>
      </c>
      <c r="C11" s="41">
        <v>70900</v>
      </c>
      <c r="D11" s="138" t="s">
        <v>1384</v>
      </c>
      <c r="E11" s="152"/>
      <c r="F11" s="152"/>
    </row>
    <row r="12" spans="1:6" ht="18" customHeight="1">
      <c r="A12" s="138" t="s">
        <v>1385</v>
      </c>
      <c r="B12" s="138">
        <f>B13+B18</f>
        <v>54329</v>
      </c>
      <c r="C12" s="138">
        <f>C13+C18</f>
        <v>45515</v>
      </c>
      <c r="D12" s="138" t="s">
        <v>1386</v>
      </c>
      <c r="E12" s="152"/>
      <c r="F12" s="152"/>
    </row>
    <row r="13" spans="1:6" ht="18" customHeight="1">
      <c r="A13" s="104" t="s">
        <v>1387</v>
      </c>
      <c r="B13" s="151">
        <f>SUM(B14:B17)</f>
        <v>25411</v>
      </c>
      <c r="C13" s="151">
        <v>25411</v>
      </c>
      <c r="D13" s="138" t="s">
        <v>1388</v>
      </c>
      <c r="E13" s="152"/>
      <c r="F13" s="152"/>
    </row>
    <row r="14" spans="1:6" ht="18" customHeight="1">
      <c r="A14" s="104" t="s">
        <v>1389</v>
      </c>
      <c r="B14" s="41">
        <v>686</v>
      </c>
      <c r="C14" s="41">
        <v>686</v>
      </c>
      <c r="D14" s="138"/>
      <c r="E14" s="152"/>
      <c r="F14" s="152"/>
    </row>
    <row r="15" spans="1:6" ht="18" customHeight="1">
      <c r="A15" s="104" t="s">
        <v>1390</v>
      </c>
      <c r="B15" s="41">
        <v>527</v>
      </c>
      <c r="C15" s="41">
        <v>527</v>
      </c>
      <c r="D15" s="204"/>
      <c r="E15" s="204"/>
      <c r="F15" s="204"/>
    </row>
    <row r="16" spans="1:6" ht="18" customHeight="1">
      <c r="A16" s="104" t="s">
        <v>1391</v>
      </c>
      <c r="B16" s="41">
        <v>363</v>
      </c>
      <c r="C16" s="41">
        <v>363</v>
      </c>
      <c r="D16" s="44"/>
      <c r="E16" s="149"/>
      <c r="F16" s="150"/>
    </row>
    <row r="17" spans="1:6" ht="18" customHeight="1">
      <c r="A17" s="104" t="s">
        <v>1392</v>
      </c>
      <c r="B17" s="41">
        <v>23835</v>
      </c>
      <c r="C17" s="41">
        <v>23835</v>
      </c>
      <c r="D17" s="44"/>
      <c r="E17" s="149"/>
      <c r="F17" s="150"/>
    </row>
    <row r="18" spans="1:6" ht="18" customHeight="1">
      <c r="A18" s="104" t="s">
        <v>1393</v>
      </c>
      <c r="B18" s="151">
        <f>SUM(B19:B23)</f>
        <v>28918</v>
      </c>
      <c r="C18" s="151">
        <v>20104</v>
      </c>
      <c r="D18" s="44"/>
      <c r="E18" s="150"/>
      <c r="F18" s="150"/>
    </row>
    <row r="19" spans="1:6" ht="18" customHeight="1">
      <c r="A19" s="104" t="s">
        <v>1394</v>
      </c>
      <c r="B19" s="41">
        <v>2980</v>
      </c>
      <c r="C19" s="41">
        <v>1895</v>
      </c>
      <c r="D19" s="204"/>
      <c r="E19" s="204"/>
      <c r="F19" s="204"/>
    </row>
    <row r="20" spans="1:6" ht="18" customHeight="1">
      <c r="A20" s="104" t="s">
        <v>1395</v>
      </c>
      <c r="B20" s="41">
        <v>16994</v>
      </c>
      <c r="C20" s="41">
        <v>6369</v>
      </c>
      <c r="D20" s="204"/>
      <c r="E20" s="204"/>
      <c r="F20" s="204"/>
    </row>
    <row r="21" spans="1:6" ht="18" customHeight="1">
      <c r="A21" s="104" t="s">
        <v>1396</v>
      </c>
      <c r="B21" s="41">
        <v>2993</v>
      </c>
      <c r="C21" s="41">
        <v>3277</v>
      </c>
      <c r="D21" s="204"/>
      <c r="E21" s="204"/>
      <c r="F21" s="204"/>
    </row>
    <row r="22" spans="1:6" ht="18" customHeight="1">
      <c r="A22" s="104" t="s">
        <v>1397</v>
      </c>
      <c r="B22" s="41">
        <v>1000</v>
      </c>
      <c r="C22" s="41">
        <v>1000</v>
      </c>
      <c r="D22" s="204"/>
      <c r="E22" s="204"/>
      <c r="F22" s="204"/>
    </row>
    <row r="23" spans="1:6" ht="18" customHeight="1">
      <c r="A23" s="104" t="s">
        <v>1398</v>
      </c>
      <c r="B23" s="41">
        <v>4951</v>
      </c>
      <c r="C23" s="41">
        <v>7563</v>
      </c>
      <c r="D23" s="204"/>
      <c r="E23" s="204"/>
      <c r="F23" s="204"/>
    </row>
    <row r="24" spans="1:6" ht="18" customHeight="1">
      <c r="A24" s="138" t="s">
        <v>1399</v>
      </c>
      <c r="B24" s="138">
        <v>140000</v>
      </c>
      <c r="C24" s="138">
        <v>140000</v>
      </c>
      <c r="D24" s="204"/>
      <c r="E24" s="204"/>
      <c r="F24" s="204"/>
    </row>
    <row r="25" spans="1:6" ht="18" customHeight="1">
      <c r="A25" s="135" t="s">
        <v>1400</v>
      </c>
      <c r="B25" s="138">
        <v>20000</v>
      </c>
      <c r="C25" s="138">
        <v>20000</v>
      </c>
      <c r="D25" s="138"/>
      <c r="E25" s="139"/>
      <c r="F25" s="139"/>
    </row>
    <row r="26" spans="1:6" ht="18" customHeight="1">
      <c r="A26" s="135" t="s">
        <v>1401</v>
      </c>
      <c r="B26" s="138">
        <v>100000</v>
      </c>
      <c r="C26" s="138">
        <v>100300</v>
      </c>
      <c r="D26" s="138"/>
      <c r="E26" s="139"/>
      <c r="F26" s="139"/>
    </row>
    <row r="27" spans="1:6" ht="18" customHeight="1">
      <c r="A27" s="138" t="s">
        <v>1402</v>
      </c>
      <c r="B27" s="138">
        <v>30000</v>
      </c>
      <c r="C27" s="138">
        <v>10000</v>
      </c>
      <c r="D27" s="138"/>
      <c r="E27" s="139"/>
      <c r="F27" s="139"/>
    </row>
    <row r="28" spans="1:6" ht="18" customHeight="1">
      <c r="A28" s="138" t="s">
        <v>1403</v>
      </c>
      <c r="B28" s="138">
        <v>0</v>
      </c>
      <c r="C28" s="138">
        <v>0</v>
      </c>
      <c r="D28" s="138"/>
      <c r="E28" s="139"/>
      <c r="F28" s="139"/>
    </row>
    <row r="29" spans="1:6" ht="18" customHeight="1">
      <c r="A29" s="138" t="s">
        <v>1404</v>
      </c>
      <c r="B29" s="138">
        <v>53500</v>
      </c>
      <c r="C29" s="138">
        <v>87785</v>
      </c>
      <c r="D29" s="138"/>
      <c r="E29" s="139"/>
      <c r="F29" s="139"/>
    </row>
    <row r="30" spans="1:6" ht="18" customHeight="1">
      <c r="A30" s="138" t="s">
        <v>1405</v>
      </c>
      <c r="B30" s="138">
        <v>0</v>
      </c>
      <c r="C30" s="138">
        <v>0</v>
      </c>
      <c r="D30" s="138"/>
      <c r="E30" s="139"/>
      <c r="F30" s="139"/>
    </row>
    <row r="31" spans="1:6" ht="18" customHeight="1">
      <c r="A31" s="141" t="s">
        <v>1406</v>
      </c>
      <c r="B31" s="42">
        <f>B9+B12+B24+B25+B26+B27+B28+B29+B30</f>
        <v>737654</v>
      </c>
      <c r="C31" s="42">
        <f>C9+C12+C24+C25+C26+C27+C28+C29+C30</f>
        <v>675700</v>
      </c>
      <c r="D31" s="141" t="s">
        <v>1407</v>
      </c>
      <c r="E31" s="139">
        <v>737654</v>
      </c>
      <c r="F31" s="139">
        <f>F9+F10</f>
        <v>675700</v>
      </c>
    </row>
    <row r="32" spans="1:6" ht="18" customHeight="1">
      <c r="A32" s="141" t="s">
        <v>1408</v>
      </c>
      <c r="B32" s="41"/>
      <c r="C32" s="41"/>
      <c r="D32" s="144"/>
      <c r="E32" s="136"/>
      <c r="F32" s="136"/>
    </row>
    <row r="33" spans="1:6" ht="18" customHeight="1">
      <c r="A33" s="44" t="s">
        <v>1409</v>
      </c>
      <c r="B33" s="41">
        <v>588200</v>
      </c>
      <c r="C33" s="41">
        <v>302600</v>
      </c>
      <c r="D33" s="44" t="s">
        <v>1410</v>
      </c>
      <c r="E33" s="136">
        <v>588200</v>
      </c>
      <c r="F33" s="136">
        <v>304600</v>
      </c>
    </row>
    <row r="34" spans="1:6" ht="18" customHeight="1">
      <c r="A34" s="44" t="s">
        <v>1411</v>
      </c>
      <c r="B34" s="41"/>
      <c r="C34" s="41">
        <v>2000</v>
      </c>
      <c r="D34" s="44"/>
      <c r="E34" s="136"/>
      <c r="F34" s="136"/>
    </row>
    <row r="35" spans="1:6" ht="18" customHeight="1">
      <c r="A35" s="137" t="s">
        <v>1412</v>
      </c>
      <c r="B35" s="41"/>
      <c r="C35" s="41">
        <v>249485</v>
      </c>
      <c r="D35" s="44" t="s">
        <v>1413</v>
      </c>
      <c r="E35" s="136"/>
      <c r="F35" s="136">
        <v>249485</v>
      </c>
    </row>
    <row r="36" spans="1:6" ht="18" customHeight="1">
      <c r="A36" s="141" t="s">
        <v>1414</v>
      </c>
      <c r="B36" s="138">
        <f>SUM(B33:B35)</f>
        <v>588200</v>
      </c>
      <c r="C36" s="138">
        <f>SUM(C33:C35)</f>
        <v>554085</v>
      </c>
      <c r="D36" s="141" t="s">
        <v>1415</v>
      </c>
      <c r="E36" s="138">
        <f>SUM(E33:E35)</f>
        <v>588200</v>
      </c>
      <c r="F36" s="138">
        <f>SUM(F33:F35)</f>
        <v>554085</v>
      </c>
    </row>
    <row r="37" spans="1:6" ht="18" customHeight="1">
      <c r="A37" s="141" t="s">
        <v>1416</v>
      </c>
      <c r="B37" s="41"/>
      <c r="C37" s="41"/>
      <c r="D37" s="144"/>
      <c r="E37" s="136"/>
      <c r="F37" s="136"/>
    </row>
    <row r="38" spans="1:6" ht="18" customHeight="1">
      <c r="A38" s="137" t="s">
        <v>1417</v>
      </c>
      <c r="B38" s="41">
        <v>334</v>
      </c>
      <c r="C38" s="41">
        <v>232</v>
      </c>
      <c r="D38" s="137" t="s">
        <v>1418</v>
      </c>
      <c r="E38" s="136">
        <v>334</v>
      </c>
      <c r="F38" s="136">
        <v>336</v>
      </c>
    </row>
    <row r="39" spans="1:6" ht="18" customHeight="1">
      <c r="A39" s="137" t="s">
        <v>1419</v>
      </c>
      <c r="B39" s="41"/>
      <c r="C39" s="41">
        <v>104</v>
      </c>
      <c r="D39" s="137" t="s">
        <v>1420</v>
      </c>
      <c r="E39" s="136">
        <v>0</v>
      </c>
      <c r="F39" s="136">
        <v>0</v>
      </c>
    </row>
    <row r="40" spans="1:6" ht="18" customHeight="1">
      <c r="A40" s="141" t="s">
        <v>1421</v>
      </c>
      <c r="B40" s="138">
        <f>SUM(B38:B39)</f>
        <v>334</v>
      </c>
      <c r="C40" s="138">
        <f>SUM(C38:C39)</f>
        <v>336</v>
      </c>
      <c r="D40" s="141" t="s">
        <v>1422</v>
      </c>
      <c r="E40" s="138">
        <f>SUM(E38:E39)</f>
        <v>334</v>
      </c>
      <c r="F40" s="138">
        <v>336</v>
      </c>
    </row>
    <row r="41" spans="1:6" ht="18" customHeight="1">
      <c r="A41" s="141" t="s">
        <v>1423</v>
      </c>
      <c r="B41" s="41"/>
      <c r="C41" s="41"/>
      <c r="D41" s="144"/>
      <c r="E41" s="136"/>
      <c r="F41" s="136"/>
    </row>
    <row r="42" spans="1:6" ht="18" customHeight="1">
      <c r="A42" s="137" t="s">
        <v>1424</v>
      </c>
      <c r="B42" s="136">
        <v>81792</v>
      </c>
      <c r="C42" s="136">
        <v>78713</v>
      </c>
      <c r="D42" s="137" t="s">
        <v>1425</v>
      </c>
      <c r="E42" s="136">
        <v>78496</v>
      </c>
      <c r="F42" s="136">
        <v>70951</v>
      </c>
    </row>
    <row r="43" spans="1:6" ht="18" customHeight="1">
      <c r="A43" s="44" t="s">
        <v>1426</v>
      </c>
      <c r="B43" s="136">
        <v>91215</v>
      </c>
      <c r="C43" s="136">
        <v>83453</v>
      </c>
      <c r="D43" s="137" t="s">
        <v>1427</v>
      </c>
      <c r="E43" s="136">
        <v>94511</v>
      </c>
      <c r="F43" s="136">
        <v>91215</v>
      </c>
    </row>
    <row r="44" spans="1:6" ht="18" customHeight="1">
      <c r="A44" s="141" t="s">
        <v>1428</v>
      </c>
      <c r="B44" s="138">
        <f>SUM(B42:B43)</f>
        <v>173007</v>
      </c>
      <c r="C44" s="138">
        <f>SUM(C42:C43)</f>
        <v>162166</v>
      </c>
      <c r="D44" s="141" t="s">
        <v>1429</v>
      </c>
      <c r="E44" s="138">
        <f>SUM(E42:E43)</f>
        <v>173007</v>
      </c>
      <c r="F44" s="138">
        <f>SUM(F42:F43)</f>
        <v>162166</v>
      </c>
    </row>
    <row r="45" spans="1:6">
      <c r="A45" s="153"/>
      <c r="B45" s="153"/>
      <c r="C45" s="153"/>
      <c r="D45" s="153"/>
      <c r="E45" s="153"/>
      <c r="F45" s="153"/>
    </row>
  </sheetData>
  <mergeCells count="9">
    <mergeCell ref="A1:F3"/>
    <mergeCell ref="A5:C5"/>
    <mergeCell ref="D5:F5"/>
    <mergeCell ref="A6:A7"/>
    <mergeCell ref="B6:B7"/>
    <mergeCell ref="C6:C7"/>
    <mergeCell ref="D6:D7"/>
    <mergeCell ref="E6:E7"/>
    <mergeCell ref="F6:F7"/>
  </mergeCells>
  <phoneticPr fontId="3" type="noConversion"/>
  <printOptions horizontalCentered="1"/>
  <pageMargins left="0.35433070866141736" right="0.35433070866141736" top="0.19685039370078741" bottom="0.19685039370078741" header="0.11811023622047245" footer="0.11811023622047245"/>
  <pageSetup paperSize="9" scale="88" firstPageNumber="14" orientation="portrait" useFirstPageNumber="1" verticalDpi="180" r:id="rId1"/>
  <headerFooter alignWithMargins="0">
    <oddFooter>&amp;C第 17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命名范围</vt:lpstr>
      </vt:variant>
      <vt:variant>
        <vt:i4>7</vt:i4>
      </vt:variant>
    </vt:vector>
  </HeadingPairs>
  <TitlesOfParts>
    <vt:vector size="15" baseType="lpstr">
      <vt:lpstr>Sheet0</vt:lpstr>
      <vt:lpstr>Sheet1</vt:lpstr>
      <vt:lpstr>Sheet2</vt:lpstr>
      <vt:lpstr>Sheet3</vt:lpstr>
      <vt:lpstr>Sheet4 </vt:lpstr>
      <vt:lpstr>Sheet5</vt:lpstr>
      <vt:lpstr>Sheet6</vt:lpstr>
      <vt:lpstr>Sheet7</vt:lpstr>
      <vt:lpstr>Sheet3!Print_Area</vt:lpstr>
      <vt:lpstr>Sheet5!Print_Area</vt:lpstr>
      <vt:lpstr>Sheet1!Print_Titles</vt:lpstr>
      <vt:lpstr>Sheet2!Print_Titles</vt:lpstr>
      <vt:lpstr>'Sheet4 '!Print_Titles</vt:lpstr>
      <vt:lpstr>Sheet5!Print_Titles</vt:lpstr>
      <vt:lpstr>Sheet6!Print_Titles</vt:lpstr>
    </vt:vector>
  </TitlesOfParts>
  <Company>Sky123.Org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沙莉斯</dc:creator>
  <cp:lastModifiedBy>陈甘霖</cp:lastModifiedBy>
  <cp:lastPrinted>2017-12-22T01:55:51Z</cp:lastPrinted>
  <dcterms:created xsi:type="dcterms:W3CDTF">2017-12-04T10:44:43Z</dcterms:created>
  <dcterms:modified xsi:type="dcterms:W3CDTF">2017-12-26T02:52:56Z</dcterms:modified>
</cp:coreProperties>
</file>