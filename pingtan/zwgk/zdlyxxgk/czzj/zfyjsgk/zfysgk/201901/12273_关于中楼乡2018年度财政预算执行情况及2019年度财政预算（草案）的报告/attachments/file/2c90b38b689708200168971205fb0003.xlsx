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1" sheetId="1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附表1!$1:$4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calcChain.xml><?xml version="1.0" encoding="utf-8"?>
<calcChain xmlns="http://schemas.openxmlformats.org/spreadsheetml/2006/main">
  <c r="D12" i="19"/>
</calcChain>
</file>

<file path=xl/sharedStrings.xml><?xml version="1.0" encoding="utf-8"?>
<sst xmlns="http://schemas.openxmlformats.org/spreadsheetml/2006/main" count="47" uniqueCount="47">
  <si>
    <t>附表1</t>
  </si>
  <si>
    <t>单位：万元</t>
  </si>
  <si>
    <t>收入项目</t>
  </si>
  <si>
    <t>当年预算数</t>
  </si>
  <si>
    <t>上年执行数</t>
  </si>
  <si>
    <t>当年预算数为上年执行数的％</t>
  </si>
  <si>
    <t>一、税收收入</t>
  </si>
  <si>
    <t xml:space="preserve">    增值税</t>
  </si>
  <si>
    <t xml:space="preserve">    消费税</t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</si>
  <si>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</si>
  <si>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</si>
  <si>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</si>
  <si>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</si>
  <si>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</si>
  <si>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</si>
  <si>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</si>
  <si>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</si>
  <si>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</si>
  <si>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</si>
  <si>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</si>
  <si>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</si>
  <si>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</si>
  <si>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</si>
  <si>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</si>
  <si>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</si>
  <si>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</si>
  <si>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</si>
  <si>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</si>
  <si>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</si>
  <si>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</si>
  <si>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</si>
  <si>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</si>
  <si>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收入小计</t>
  </si>
  <si>
    <t>三、债务收入</t>
  </si>
  <si>
    <t>四、转移性收入</t>
  </si>
  <si>
    <t xml:space="preserve">   上级补助收入</t>
  </si>
  <si>
    <t xml:space="preserve">    返还性收入</t>
  </si>
  <si>
    <t xml:space="preserve">    一般性转移支付收入</t>
  </si>
  <si>
    <t xml:space="preserve">    专项转移支付收入</t>
  </si>
  <si>
    <t xml:space="preserve">   上解收入</t>
  </si>
  <si>
    <t xml:space="preserve">   上年结余收入</t>
  </si>
  <si>
    <t xml:space="preserve">   调入资金</t>
  </si>
  <si>
    <t xml:space="preserve">   调入预算稳定调节基金</t>
  </si>
  <si>
    <t xml:space="preserve">   债券转贷收入</t>
  </si>
  <si>
    <t xml:space="preserve">   接收其他地区援助收入</t>
  </si>
  <si>
    <t>收入合计</t>
  </si>
  <si>
    <t>2019年度中楼乡一般公共预算收入预算表</t>
    <phoneticPr fontId="11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</si>
</sst>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61"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6"/>
      <name val="方正小标宋_GBK"/>
      <charset val="134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/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19" fillId="8" borderId="3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/>
    <xf numFmtId="0" fontId="29" fillId="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9" fillId="8" borderId="3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0" borderId="0"/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10" fillId="0" borderId="0">
      <alignment vertical="center"/>
    </xf>
    <xf numFmtId="0" fontId="60" fillId="0" borderId="0">
      <alignment vertical="center"/>
    </xf>
    <xf numFmtId="177" fontId="6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0" fillId="0" borderId="0">
      <alignment vertical="center"/>
    </xf>
    <xf numFmtId="0" fontId="1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10" fillId="0" borderId="0">
      <alignment vertical="center"/>
    </xf>
    <xf numFmtId="0" fontId="60" fillId="0" borderId="0">
      <alignment vertical="center"/>
    </xf>
    <xf numFmtId="0" fontId="10" fillId="0" borderId="0"/>
    <xf numFmtId="0" fontId="60" fillId="0" borderId="0"/>
    <xf numFmtId="0" fontId="16" fillId="24" borderId="0" applyNumberFormat="0" applyBorder="0" applyAlignment="0" applyProtection="0">
      <alignment vertical="center"/>
    </xf>
    <xf numFmtId="0" fontId="1" fillId="0" borderId="0"/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0" fillId="0" borderId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/>
    <xf numFmtId="0" fontId="10" fillId="0" borderId="0"/>
    <xf numFmtId="0" fontId="60" fillId="0" borderId="0"/>
    <xf numFmtId="0" fontId="8" fillId="0" borderId="1">
      <alignment horizontal="distributed" vertical="center" wrapText="1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0" fillId="0" borderId="0"/>
    <xf numFmtId="0" fontId="42" fillId="0" borderId="0">
      <alignment horizontal="centerContinuous" vertical="center"/>
    </xf>
    <xf numFmtId="0" fontId="60" fillId="0" borderId="0"/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8" fillId="0" borderId="1">
      <alignment horizontal="distributed" vertical="center" wrapText="1"/>
    </xf>
    <xf numFmtId="0" fontId="60" fillId="0" borderId="0"/>
    <xf numFmtId="0" fontId="60" fillId="22" borderId="10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0" fillId="0" borderId="0"/>
    <xf numFmtId="0" fontId="60" fillId="0" borderId="0"/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/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1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181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8" fillId="0" borderId="1">
      <alignment horizontal="distributed" vertical="center" wrapText="1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60" fillId="0" borderId="0"/>
    <xf numFmtId="0" fontId="36" fillId="21" borderId="6" applyNumberFormat="0" applyAlignment="0" applyProtection="0">
      <alignment vertical="center"/>
    </xf>
    <xf numFmtId="182" fontId="8" fillId="0" borderId="1">
      <alignment vertical="center"/>
      <protection locked="0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60" fillId="0" borderId="0"/>
    <xf numFmtId="0" fontId="60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8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3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7" fillId="4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44" fillId="0" borderId="13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9" fontId="1" fillId="0" borderId="0" applyFont="0" applyFill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7" fillId="7" borderId="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5" fillId="8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" fillId="1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5" fillId="7" borderId="8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45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1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9" fillId="8" borderId="3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0" borderId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0" fillId="0" borderId="0"/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7" fillId="0" borderId="12" applyNumberFormat="0" applyFill="0" applyAlignment="0" applyProtection="0">
      <alignment vertical="center"/>
    </xf>
    <xf numFmtId="0" fontId="60" fillId="0" borderId="0">
      <alignment vertical="center"/>
    </xf>
    <xf numFmtId="0" fontId="47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7" fillId="7" borderId="3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0" fillId="0" borderId="0"/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0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0" fillId="0" borderId="0"/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182" fontId="8" fillId="0" borderId="1">
      <alignment vertical="center"/>
      <protection locked="0"/>
    </xf>
    <xf numFmtId="0" fontId="1" fillId="9" borderId="0" applyNumberFormat="0" applyBorder="0" applyAlignment="0" applyProtection="0">
      <alignment vertical="center"/>
    </xf>
    <xf numFmtId="0" fontId="18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1" fillId="9" borderId="0" applyNumberFormat="0" applyBorder="0" applyAlignment="0" applyProtection="0">
      <alignment vertical="center"/>
    </xf>
    <xf numFmtId="0" fontId="60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60" fillId="0" borderId="0"/>
    <xf numFmtId="0" fontId="1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12" borderId="0" applyNumberFormat="0" applyBorder="0" applyAlignment="0" applyProtection="0">
      <alignment vertical="center"/>
    </xf>
    <xf numFmtId="0" fontId="11" fillId="0" borderId="0"/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0" borderId="0"/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8" fillId="0" borderId="0"/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8" fillId="0" borderId="0"/>
    <xf numFmtId="0" fontId="1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1" fontId="30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0" fillId="0" borderId="0"/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9" fontId="60" fillId="0" borderId="0" applyFont="0" applyFill="0" applyBorder="0" applyAlignment="0" applyProtection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37" fontId="40" fillId="0" borderId="0">
      <alignment vertical="center"/>
    </xf>
    <xf numFmtId="0" fontId="1" fillId="8" borderId="0" applyNumberFormat="0" applyBorder="0" applyAlignment="0" applyProtection="0">
      <alignment vertical="center"/>
    </xf>
    <xf numFmtId="37" fontId="40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4" fontId="49" fillId="0" borderId="0">
      <alignment vertical="center"/>
    </xf>
    <xf numFmtId="0" fontId="17" fillId="7" borderId="3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" fillId="0" borderId="0"/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0" borderId="0"/>
    <xf numFmtId="0" fontId="39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0" fontId="1" fillId="0" borderId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14" borderId="0" applyNumberFormat="0" applyBorder="0" applyAlignment="0" applyProtection="0">
      <alignment vertical="center"/>
    </xf>
    <xf numFmtId="4" fontId="6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43" fillId="0" borderId="12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0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/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" fillId="1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60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7" fillId="4" borderId="3" applyNumberFormat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" fillId="8" borderId="0" applyNumberFormat="0" applyBorder="0" applyAlignment="0" applyProtection="0">
      <alignment vertical="center"/>
    </xf>
    <xf numFmtId="0" fontId="1" fillId="0" borderId="0"/>
    <xf numFmtId="0" fontId="1" fillId="10" borderId="0" applyNumberFormat="0" applyBorder="0" applyAlignment="0" applyProtection="0">
      <alignment vertical="center"/>
    </xf>
    <xf numFmtId="0" fontId="11" fillId="0" borderId="0"/>
    <xf numFmtId="0" fontId="1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6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1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6" borderId="0" applyNumberFormat="0" applyBorder="0" applyAlignment="0" applyProtection="0">
      <alignment vertical="center"/>
    </xf>
    <xf numFmtId="185" fontId="50" fillId="0" borderId="0" applyFill="0" applyBorder="0" applyAlignment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38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86" fontId="49" fillId="0" borderId="0"/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>
      <alignment vertical="center"/>
    </xf>
    <xf numFmtId="0" fontId="18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/>
    <xf numFmtId="2" fontId="52" fillId="0" borderId="0" applyProtection="0"/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16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5" fontId="50" fillId="0" borderId="0" applyFill="0" applyBorder="0" applyAlignment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/>
    <xf numFmtId="186" fontId="49" fillId="0" borderId="0">
      <alignment vertical="center"/>
    </xf>
    <xf numFmtId="0" fontId="60" fillId="0" borderId="0">
      <alignment vertical="center"/>
    </xf>
    <xf numFmtId="187" fontId="60" fillId="0" borderId="0" applyFont="0" applyFill="0" applyBorder="0" applyAlignment="0" applyProtection="0">
      <alignment vertical="center"/>
    </xf>
    <xf numFmtId="176" fontId="6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184" fontId="49" fillId="0" borderId="0"/>
    <xf numFmtId="0" fontId="17" fillId="4" borderId="3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79" fontId="60" fillId="0" borderId="0" applyFont="0" applyFill="0" applyBorder="0" applyAlignment="0" applyProtection="0"/>
    <xf numFmtId="188" fontId="49" fillId="0" borderId="0">
      <alignment vertical="center"/>
    </xf>
    <xf numFmtId="188" fontId="49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2" fontId="52" fillId="0" borderId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5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17">
      <alignment horizontal="left" vertical="center"/>
    </xf>
    <xf numFmtId="0" fontId="53" fillId="0" borderId="17">
      <alignment horizontal="left" vertical="center"/>
    </xf>
    <xf numFmtId="0" fontId="51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4" fillId="0" borderId="0">
      <alignment vertical="center"/>
    </xf>
    <xf numFmtId="0" fontId="60" fillId="0" borderId="0"/>
    <xf numFmtId="0" fontId="52" fillId="0" borderId="18" applyProtection="0">
      <alignment vertical="center"/>
    </xf>
    <xf numFmtId="0" fontId="8" fillId="0" borderId="1">
      <alignment horizontal="distributed" vertical="center" wrapText="1"/>
    </xf>
    <xf numFmtId="0" fontId="26" fillId="0" borderId="9" applyNumberFormat="0" applyFill="0" applyAlignment="0" applyProtection="0">
      <alignment vertical="center"/>
    </xf>
    <xf numFmtId="0" fontId="52" fillId="0" borderId="18" applyProtection="0"/>
    <xf numFmtId="0" fontId="36" fillId="21" borderId="6" applyNumberFormat="0" applyAlignment="0" applyProtection="0">
      <alignment vertical="center"/>
    </xf>
    <xf numFmtId="0" fontId="60" fillId="0" borderId="0"/>
    <xf numFmtId="0" fontId="1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182" fontId="8" fillId="0" borderId="1">
      <alignment vertical="center"/>
      <protection locked="0"/>
    </xf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8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/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189" fontId="60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0" fillId="0" borderId="0"/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/>
    <xf numFmtId="0" fontId="18" fillId="0" borderId="0"/>
    <xf numFmtId="0" fontId="16" fillId="2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179" fontId="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50" fillId="0" borderId="0"/>
    <xf numFmtId="0" fontId="37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/>
    <xf numFmtId="0" fontId="60" fillId="0" borderId="0"/>
    <xf numFmtId="0" fontId="1" fillId="0" borderId="0"/>
    <xf numFmtId="0" fontId="10" fillId="0" borderId="0">
      <alignment vertical="center"/>
    </xf>
    <xf numFmtId="0" fontId="10" fillId="0" borderId="0"/>
    <xf numFmtId="179" fontId="60" fillId="0" borderId="0" applyFont="0" applyFill="0" applyBorder="0" applyAlignment="0" applyProtection="0"/>
    <xf numFmtId="0" fontId="10" fillId="0" borderId="0"/>
    <xf numFmtId="0" fontId="1" fillId="0" borderId="0"/>
    <xf numFmtId="0" fontId="2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18" fillId="0" borderId="0"/>
    <xf numFmtId="0" fontId="60" fillId="0" borderId="0">
      <alignment vertical="center"/>
    </xf>
    <xf numFmtId="0" fontId="1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5" fillId="4" borderId="8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5" fillId="4" borderId="8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1" fillId="0" borderId="0"/>
    <xf numFmtId="0" fontId="60" fillId="0" borderId="0"/>
    <xf numFmtId="0" fontId="35" fillId="7" borderId="8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34" fillId="0" borderId="7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35" fillId="4" borderId="8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182" fontId="8" fillId="0" borderId="1">
      <alignment vertical="center"/>
      <protection locked="0"/>
    </xf>
    <xf numFmtId="0" fontId="1" fillId="0" borderId="0"/>
    <xf numFmtId="0" fontId="36" fillId="21" borderId="6" applyNumberFormat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1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18" fillId="0" borderId="0"/>
    <xf numFmtId="0" fontId="60" fillId="0" borderId="0">
      <alignment vertical="center"/>
    </xf>
    <xf numFmtId="0" fontId="60" fillId="0" borderId="0"/>
    <xf numFmtId="0" fontId="19" fillId="8" borderId="3" applyNumberFormat="0" applyAlignment="0" applyProtection="0">
      <alignment vertical="center"/>
    </xf>
    <xf numFmtId="0" fontId="60" fillId="0" borderId="0">
      <alignment vertical="center"/>
    </xf>
    <xf numFmtId="0" fontId="19" fillId="8" borderId="3" applyNumberFormat="0" applyAlignment="0" applyProtection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8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11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0" fontId="11" fillId="0" borderId="0">
      <alignment vertical="center"/>
    </xf>
    <xf numFmtId="0" fontId="60" fillId="0" borderId="0"/>
    <xf numFmtId="183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1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1" fillId="0" borderId="0"/>
    <xf numFmtId="0" fontId="60" fillId="0" borderId="0"/>
    <xf numFmtId="0" fontId="11" fillId="0" borderId="0"/>
    <xf numFmtId="0" fontId="60" fillId="0" borderId="0"/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0" fontId="18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0" fontId="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0" fillId="0" borderId="0"/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/>
    <xf numFmtId="0" fontId="1" fillId="0" borderId="0"/>
    <xf numFmtId="0" fontId="60" fillId="0" borderId="0"/>
    <xf numFmtId="0" fontId="60" fillId="0" borderId="0"/>
    <xf numFmtId="0" fontId="17" fillId="4" borderId="3" applyNumberFormat="0" applyAlignment="0" applyProtection="0">
      <alignment vertical="center"/>
    </xf>
    <xf numFmtId="0" fontId="6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9" fontId="60" fillId="0" borderId="0" applyFont="0" applyFill="0" applyBorder="0" applyAlignment="0" applyProtection="0"/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7" fillId="0" borderId="0">
      <alignment vertical="center"/>
    </xf>
    <xf numFmtId="0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4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59" fillId="0" borderId="0">
      <alignment vertical="center"/>
    </xf>
    <xf numFmtId="0" fontId="59" fillId="0" borderId="0"/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182" fontId="8" fillId="0" borderId="1">
      <alignment vertical="center"/>
      <protection locked="0"/>
    </xf>
    <xf numFmtId="0" fontId="30" fillId="0" borderId="0"/>
    <xf numFmtId="0" fontId="16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" fillId="22" borderId="10" applyNumberFormat="0" applyFont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106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6" fillId="0" borderId="1" xfId="106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1060" applyFont="1"/>
    <xf numFmtId="0" fontId="13" fillId="0" borderId="0" xfId="1060" applyFont="1" applyFill="1" applyAlignment="1">
      <alignment vertical="center"/>
    </xf>
    <xf numFmtId="0" fontId="60" fillId="0" borderId="0" xfId="1060"/>
    <xf numFmtId="0" fontId="5" fillId="0" borderId="2" xfId="1060" applyFont="1" applyFill="1" applyBorder="1" applyAlignment="1">
      <alignment horizontal="center" vertical="center" wrapText="1"/>
    </xf>
    <xf numFmtId="0" fontId="2" fillId="0" borderId="2" xfId="2220" applyFont="1" applyBorder="1">
      <alignment vertical="center"/>
    </xf>
    <xf numFmtId="0" fontId="4" fillId="0" borderId="2" xfId="2220" applyFont="1" applyBorder="1">
      <alignment vertical="center"/>
    </xf>
    <xf numFmtId="0" fontId="14" fillId="0" borderId="2" xfId="1060" applyFont="1" applyFill="1" applyBorder="1" applyAlignment="1">
      <alignment horizontal="center" vertical="center"/>
    </xf>
    <xf numFmtId="1" fontId="5" fillId="0" borderId="2" xfId="1060" applyNumberFormat="1" applyFont="1" applyFill="1" applyBorder="1" applyAlignment="1" applyProtection="1">
      <alignment vertical="center"/>
      <protection locked="0"/>
    </xf>
    <xf numFmtId="1" fontId="6" fillId="0" borderId="2" xfId="1060" applyNumberFormat="1" applyFont="1" applyFill="1" applyBorder="1" applyAlignment="1" applyProtection="1">
      <alignment horizontal="left" vertical="center"/>
      <protection locked="0"/>
    </xf>
    <xf numFmtId="1" fontId="6" fillId="0" borderId="2" xfId="1060" applyNumberFormat="1" applyFont="1" applyFill="1" applyBorder="1" applyAlignment="1" applyProtection="1">
      <alignment horizontal="left" vertical="center" indent="1"/>
      <protection locked="0"/>
    </xf>
    <xf numFmtId="0" fontId="6" fillId="0" borderId="2" xfId="1060" applyFont="1" applyFill="1" applyBorder="1" applyAlignment="1">
      <alignment horizontal="left" vertical="center"/>
    </xf>
    <xf numFmtId="1" fontId="6" fillId="0" borderId="2" xfId="1060" applyNumberFormat="1" applyFont="1" applyFill="1" applyBorder="1" applyAlignment="1" applyProtection="1">
      <alignment vertical="center"/>
      <protection locked="0"/>
    </xf>
    <xf numFmtId="0" fontId="6" fillId="0" borderId="2" xfId="1060" applyFont="1" applyBorder="1" applyAlignment="1"/>
    <xf numFmtId="0" fontId="0" fillId="0" borderId="0" xfId="1060" applyFont="1" applyFill="1"/>
    <xf numFmtId="0" fontId="12" fillId="0" borderId="0" xfId="1060" applyFont="1" applyFill="1" applyAlignment="1">
      <alignment horizont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tabSelected="1" workbookViewId="0">
      <selection activeCell="H16" sqref="H16:H17"/>
    </sheetView>
  </sheetViews>
  <sheetFormatPr defaultColWidth="9" defaultRowHeight="14.25"/>
  <cols>
    <col min="1" max="1" width="41.375" customWidth="1"/>
    <col min="2" max="2" width="12.125" customWidth="1"/>
    <col min="3" max="3" width="14" customWidth="1"/>
    <col min="4" max="4" width="15.125" customWidth="1"/>
  </cols>
  <sheetData>
    <row r="1" spans="1:7" ht="18" customHeight="1">
      <c r="A1" s="9" t="s">
        <v>0</v>
      </c>
      <c r="B1" s="11"/>
    </row>
    <row r="2" spans="1:7" ht="20.25">
      <c r="A2" s="23" t="s">
        <v>46</v>
      </c>
      <c r="B2" s="23"/>
      <c r="C2" s="23"/>
      <c r="D2" s="23"/>
    </row>
    <row r="3" spans="1:7">
      <c r="A3" s="10"/>
      <c r="B3" s="11"/>
      <c r="D3" s="6" t="s">
        <v>1</v>
      </c>
    </row>
    <row r="4" spans="1:7" ht="44.45" customHeight="1">
      <c r="A4" s="12" t="s">
        <v>2</v>
      </c>
      <c r="B4" s="3" t="s">
        <v>3</v>
      </c>
      <c r="C4" s="5" t="s">
        <v>4</v>
      </c>
      <c r="D4" s="2" t="s">
        <v>5</v>
      </c>
    </row>
    <row r="5" spans="1:7">
      <c r="A5" s="13" t="s">
        <v>6</v>
      </c>
      <c r="B5" s="7">
        <v>420</v>
      </c>
      <c r="C5" s="7">
        <v>389.25</v>
      </c>
      <c r="D5" s="8">
        <v>107.9</v>
      </c>
    </row>
    <row r="6" spans="1:7">
      <c r="A6" s="14" t="s">
        <v>7</v>
      </c>
      <c r="B6" s="7">
        <v>320</v>
      </c>
      <c r="C6" s="7">
        <v>300</v>
      </c>
      <c r="D6" s="8">
        <v>106.67</v>
      </c>
    </row>
    <row r="7" spans="1:7">
      <c r="A7" s="14" t="s">
        <v>8</v>
      </c>
      <c r="B7" s="7"/>
      <c r="C7" s="7"/>
      <c r="D7" s="8"/>
    </row>
    <row r="8" spans="1:7">
      <c r="A8" s="14" t="s">
        <v>9</v>
      </c>
      <c r="B8" s="7">
        <v>30</v>
      </c>
      <c r="C8" s="7">
        <v>27.75</v>
      </c>
      <c r="D8" s="8">
        <v>108.11</v>
      </c>
    </row>
    <row r="9" spans="1:7">
      <c r="A9" s="14" t="s">
        <v>10</v>
      </c>
      <c r="B9" s="7"/>
      <c r="C9" s="7"/>
      <c r="D9" s="8"/>
      <c r="G9" s="4"/>
    </row>
    <row r="10" spans="1:7">
      <c r="A10" s="14" t="s">
        <v>11</v>
      </c>
      <c r="B10" s="7"/>
      <c r="C10" s="7"/>
      <c r="D10" s="8"/>
    </row>
    <row r="11" spans="1:7">
      <c r="A11" s="14" t="s">
        <v>12</v>
      </c>
      <c r="B11" s="7"/>
      <c r="C11" s="7"/>
      <c r="D11" s="8"/>
    </row>
    <row r="12" spans="1:7">
      <c r="A12" s="14" t="s">
        <v>13</v>
      </c>
      <c r="B12" s="7">
        <v>10</v>
      </c>
      <c r="C12" s="7">
        <v>8</v>
      </c>
      <c r="D12" s="8">
        <f>B12/C12*100</f>
        <v>125</v>
      </c>
    </row>
    <row r="13" spans="1:7">
      <c r="A13" s="14" t="s">
        <v>14</v>
      </c>
      <c r="B13" s="7">
        <v>16</v>
      </c>
      <c r="C13" s="7">
        <v>15</v>
      </c>
      <c r="D13" s="8">
        <v>106.67</v>
      </c>
    </row>
    <row r="14" spans="1:7">
      <c r="A14" s="14" t="s">
        <v>15</v>
      </c>
      <c r="B14" s="7">
        <v>5</v>
      </c>
      <c r="C14" s="7">
        <v>3.5</v>
      </c>
      <c r="D14" s="8">
        <v>142.86000000000001</v>
      </c>
    </row>
    <row r="15" spans="1:7">
      <c r="A15" s="14" t="s">
        <v>16</v>
      </c>
      <c r="B15" s="7">
        <v>39</v>
      </c>
      <c r="C15" s="7">
        <v>35</v>
      </c>
      <c r="D15" s="8">
        <v>111.43</v>
      </c>
    </row>
    <row r="16" spans="1:7">
      <c r="A16" s="14" t="s">
        <v>17</v>
      </c>
      <c r="B16" s="7"/>
      <c r="C16" s="8"/>
      <c r="D16" s="8"/>
    </row>
    <row r="17" spans="1:4">
      <c r="A17" s="14" t="s">
        <v>18</v>
      </c>
      <c r="B17" s="7"/>
      <c r="C17" s="8"/>
      <c r="D17" s="8"/>
    </row>
    <row r="18" spans="1:4">
      <c r="A18" s="14" t="s">
        <v>19</v>
      </c>
      <c r="B18" s="7"/>
      <c r="C18" s="8"/>
      <c r="D18" s="8"/>
    </row>
    <row r="19" spans="1:4">
      <c r="A19" s="14" t="s">
        <v>20</v>
      </c>
      <c r="B19" s="7"/>
      <c r="C19" s="8"/>
      <c r="D19" s="8"/>
    </row>
    <row r="20" spans="1:4">
      <c r="A20" s="14" t="s">
        <v>21</v>
      </c>
      <c r="B20" s="7"/>
      <c r="C20" s="8"/>
      <c r="D20" s="8"/>
    </row>
    <row r="21" spans="1:4">
      <c r="A21" s="14" t="s">
        <v>22</v>
      </c>
      <c r="B21" s="7"/>
      <c r="C21" s="8"/>
      <c r="D21" s="8"/>
    </row>
    <row r="22" spans="1:4">
      <c r="A22" s="13" t="s">
        <v>23</v>
      </c>
      <c r="B22" s="7"/>
      <c r="C22" s="8"/>
      <c r="D22" s="8"/>
    </row>
    <row r="23" spans="1:4">
      <c r="A23" s="14" t="s">
        <v>24</v>
      </c>
      <c r="B23" s="7"/>
      <c r="C23" s="8"/>
      <c r="D23" s="8"/>
    </row>
    <row r="24" spans="1:4">
      <c r="A24" s="14" t="s">
        <v>25</v>
      </c>
      <c r="B24" s="7"/>
      <c r="C24" s="8"/>
      <c r="D24" s="8"/>
    </row>
    <row r="25" spans="1:4">
      <c r="A25" s="14" t="s">
        <v>26</v>
      </c>
      <c r="B25" s="7"/>
      <c r="C25" s="8"/>
      <c r="D25" s="8"/>
    </row>
    <row r="26" spans="1:4">
      <c r="A26" s="14" t="s">
        <v>27</v>
      </c>
      <c r="B26" s="7"/>
      <c r="C26" s="8"/>
      <c r="D26" s="8"/>
    </row>
    <row r="27" spans="1:4">
      <c r="A27" s="14" t="s">
        <v>28</v>
      </c>
      <c r="B27" s="7"/>
      <c r="C27" s="8"/>
      <c r="D27" s="8"/>
    </row>
    <row r="28" spans="1:4">
      <c r="A28" s="14" t="s">
        <v>29</v>
      </c>
      <c r="B28" s="7"/>
      <c r="C28" s="8"/>
      <c r="D28" s="8"/>
    </row>
    <row r="29" spans="1:4">
      <c r="A29" s="14" t="s">
        <v>30</v>
      </c>
      <c r="B29" s="7"/>
      <c r="C29" s="8"/>
      <c r="D29" s="8"/>
    </row>
    <row r="30" spans="1:4">
      <c r="A30" s="14" t="s">
        <v>31</v>
      </c>
      <c r="B30" s="7"/>
      <c r="C30" s="8"/>
      <c r="D30" s="8"/>
    </row>
    <row r="31" spans="1:4">
      <c r="A31" s="15" t="s">
        <v>32</v>
      </c>
      <c r="B31" s="7">
        <v>420</v>
      </c>
      <c r="C31" s="8">
        <v>389.25</v>
      </c>
      <c r="D31" s="8">
        <v>107.9</v>
      </c>
    </row>
    <row r="32" spans="1:4">
      <c r="A32" s="16" t="s">
        <v>33</v>
      </c>
      <c r="B32" s="7"/>
      <c r="C32" s="8"/>
      <c r="D32" s="8"/>
    </row>
    <row r="33" spans="1:4">
      <c r="A33" s="16" t="s">
        <v>34</v>
      </c>
      <c r="B33" s="7">
        <v>1675.98</v>
      </c>
      <c r="C33" s="8">
        <v>1865.27</v>
      </c>
      <c r="D33" s="8">
        <v>89.85</v>
      </c>
    </row>
    <row r="34" spans="1:4">
      <c r="A34" s="17" t="s">
        <v>35</v>
      </c>
      <c r="B34" s="7">
        <v>1305</v>
      </c>
      <c r="C34" s="8">
        <v>1600</v>
      </c>
      <c r="D34" s="8">
        <v>81.56</v>
      </c>
    </row>
    <row r="35" spans="1:4">
      <c r="A35" s="18" t="s">
        <v>36</v>
      </c>
      <c r="B35" s="7"/>
      <c r="C35" s="1"/>
      <c r="D35" s="8"/>
    </row>
    <row r="36" spans="1:4">
      <c r="A36" s="18" t="s">
        <v>37</v>
      </c>
      <c r="B36" s="7">
        <v>1000</v>
      </c>
      <c r="C36" s="8">
        <v>1000</v>
      </c>
      <c r="D36" s="8">
        <v>100</v>
      </c>
    </row>
    <row r="37" spans="1:4">
      <c r="A37" s="18" t="s">
        <v>38</v>
      </c>
      <c r="B37" s="7">
        <v>305</v>
      </c>
      <c r="C37" s="8">
        <v>600</v>
      </c>
      <c r="D37" s="8">
        <v>50.8</v>
      </c>
    </row>
    <row r="38" spans="1:4">
      <c r="A38" s="19" t="s">
        <v>39</v>
      </c>
      <c r="B38" s="7"/>
      <c r="C38" s="8"/>
      <c r="D38" s="8"/>
    </row>
    <row r="39" spans="1:4">
      <c r="A39" s="20" t="s">
        <v>40</v>
      </c>
      <c r="B39" s="7">
        <v>245</v>
      </c>
      <c r="C39" s="8">
        <v>265.27</v>
      </c>
      <c r="D39" s="8">
        <v>92.36</v>
      </c>
    </row>
    <row r="40" spans="1:4">
      <c r="A40" s="20" t="s">
        <v>41</v>
      </c>
      <c r="B40" s="7"/>
      <c r="C40" s="8"/>
      <c r="D40" s="8"/>
    </row>
    <row r="41" spans="1:4">
      <c r="A41" s="17" t="s">
        <v>42</v>
      </c>
      <c r="B41" s="7">
        <v>125.98</v>
      </c>
      <c r="C41" s="8"/>
      <c r="D41" s="8"/>
    </row>
    <row r="42" spans="1:4">
      <c r="A42" s="21" t="s">
        <v>43</v>
      </c>
      <c r="B42" s="7"/>
      <c r="C42" s="8"/>
      <c r="D42" s="8"/>
    </row>
    <row r="43" spans="1:4">
      <c r="A43" s="20" t="s">
        <v>44</v>
      </c>
      <c r="B43" s="7"/>
      <c r="C43" s="8"/>
      <c r="D43" s="8"/>
    </row>
    <row r="44" spans="1:4">
      <c r="A44" s="15" t="s">
        <v>45</v>
      </c>
      <c r="B44" s="7">
        <v>2095.98</v>
      </c>
      <c r="C44" s="8">
        <v>2254.52</v>
      </c>
      <c r="D44" s="8">
        <v>92.97</v>
      </c>
    </row>
    <row r="45" spans="1:4">
      <c r="A45" s="22"/>
      <c r="B45" s="11"/>
    </row>
    <row r="46" spans="1:4">
      <c r="A46" s="22"/>
      <c r="B46" s="11"/>
    </row>
    <row r="47" spans="1:4">
      <c r="A47" s="22"/>
      <c r="B47" s="11"/>
    </row>
    <row r="48" spans="1:4">
      <c r="A48" s="11"/>
      <c r="B48" s="11"/>
    </row>
    <row r="49" spans="1:2">
      <c r="A49" s="11"/>
      <c r="B49" s="11"/>
    </row>
    <row r="50" spans="1:2">
      <c r="A50" s="11"/>
      <c r="B50" s="11"/>
    </row>
  </sheetData>
  <mergeCells count="1">
    <mergeCell ref="A2:D2"/>
  </mergeCells>
  <phoneticPr fontId="11" type="noConversion"/>
  <pageMargins left="0.70763888888888904" right="0.70763888888888904" top="0.74791666666666701" bottom="0.74791666666666701" header="0.31388888888888899" footer="0.31388888888888899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附表1</vt:lpstr>
      <vt:lpstr>附表1!Print_Titles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