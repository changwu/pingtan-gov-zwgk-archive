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1520" yWindow="0" windowWidth="12495" windowHeight="9300" tabRatio="732" firstSheet="1" activeTab="1"/>
  </bookViews>
  <sheets>
    <sheet name="JFEQDPS" sheetId="172" state="hidden" r:id="rId1"/>
    <sheet name="(一）汇总" sheetId="173" r:id="rId2"/>
    <sheet name="（二）一般收" sheetId="186" r:id="rId3"/>
    <sheet name="（三）一般支" sheetId="187" r:id="rId4"/>
    <sheet name="（四）基金收" sheetId="17" r:id="rId5"/>
    <sheet name="（五）基金支" sheetId="113" r:id="rId6"/>
    <sheet name="（六）国资收支" sheetId="164" r:id="rId7"/>
    <sheet name="(七)社保收支" sheetId="176" r:id="rId8"/>
    <sheet name="(八）重点项目" sheetId="188" r:id="rId9"/>
    <sheet name="（九）部门经费" sheetId="189" r:id="rId10"/>
    <sheet name="（十）地方政府债券" sheetId="185" r:id="rId11"/>
  </sheets>
  <definedNames>
    <definedName name="_xlnm._FilterDatabase" localSheetId="8" hidden="1">'(八）重点项目'!$A$4:$H$113</definedName>
    <definedName name="_xlnm._FilterDatabase" localSheetId="9" hidden="1">'（九）部门经费'!$A$4:$F$27</definedName>
    <definedName name="_xlnm._FilterDatabase" localSheetId="10" hidden="1">'（十）地方政府债券'!$B$4:$B$5</definedName>
    <definedName name="_xlnm.Print_Area" localSheetId="8">'(八）重点项目'!$A$1:$G$52</definedName>
    <definedName name="_xlnm.Print_Titles" localSheetId="8">'(八）重点项目'!$4:$4</definedName>
    <definedName name="_xlnm.Print_Titles" localSheetId="9">'（九）部门经费'!$3:$3</definedName>
    <definedName name="_xlnm.Print_Titles" localSheetId="3">'（三）一般支'!$3:$3</definedName>
    <definedName name="_xlnm.Print_Titles" localSheetId="10">'（十）地方政府债券'!$4:$5</definedName>
  </definedNames>
  <calcPr calcId="124519"/>
</workbook>
</file>

<file path=xl/calcChain.xml><?xml version="1.0" encoding="utf-8"?>
<calcChain xmlns="http://schemas.openxmlformats.org/spreadsheetml/2006/main">
  <c r="H20" i="173"/>
  <c r="G52" i="188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F6"/>
  <c r="C84" i="187"/>
  <c r="C70"/>
  <c r="E28" i="189" l="1"/>
  <c r="F28" s="1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10"/>
  <c r="F21" l="1"/>
  <c r="C141" i="187"/>
  <c r="C117"/>
  <c r="C98"/>
  <c r="C80"/>
  <c r="C45"/>
  <c r="C38"/>
  <c r="C30"/>
  <c r="G32" i="188" l="1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F5"/>
  <c r="E6"/>
  <c r="G6" l="1"/>
  <c r="E5"/>
  <c r="G5" s="1"/>
  <c r="F9" i="189"/>
  <c r="F17" l="1"/>
  <c r="F16"/>
  <c r="F25"/>
  <c r="F26"/>
  <c r="F19"/>
  <c r="F22"/>
  <c r="F27"/>
  <c r="F24"/>
  <c r="F23"/>
  <c r="F20"/>
  <c r="F18"/>
  <c r="F15"/>
  <c r="F14"/>
  <c r="F12"/>
  <c r="F13"/>
  <c r="F11"/>
  <c r="F8"/>
  <c r="F7"/>
  <c r="F6"/>
  <c r="F5"/>
  <c r="G4" i="173"/>
  <c r="C4"/>
  <c r="D15"/>
  <c r="D4" s="1"/>
  <c r="B5"/>
  <c r="D5"/>
  <c r="B8"/>
  <c r="D8"/>
  <c r="D12"/>
  <c r="D13"/>
  <c r="D14"/>
  <c r="B20"/>
  <c r="B19"/>
  <c r="D19" s="1"/>
  <c r="C29"/>
  <c r="C25" s="1"/>
  <c r="D26"/>
  <c r="D27"/>
  <c r="B4"/>
  <c r="B44" s="1"/>
  <c r="B11" i="17"/>
  <c r="F18" i="173"/>
  <c r="H18" s="1"/>
  <c r="E11" i="113"/>
  <c r="E15"/>
  <c r="E16"/>
  <c r="E22"/>
  <c r="E31"/>
  <c r="B6" i="186"/>
  <c r="E6"/>
  <c r="E7"/>
  <c r="E9"/>
  <c r="E11"/>
  <c r="E12"/>
  <c r="E13"/>
  <c r="E14"/>
  <c r="E15"/>
  <c r="E16"/>
  <c r="E17"/>
  <c r="E18"/>
  <c r="E19"/>
  <c r="E20"/>
  <c r="E22"/>
  <c r="B23"/>
  <c r="E23" s="1"/>
  <c r="E24"/>
  <c r="E25"/>
  <c r="E26"/>
  <c r="E28"/>
  <c r="E30"/>
  <c r="E31"/>
  <c r="E33"/>
  <c r="E34"/>
  <c r="E35"/>
  <c r="E39"/>
  <c r="B44"/>
  <c r="E44" s="1"/>
  <c r="E45"/>
  <c r="E46"/>
  <c r="E47"/>
  <c r="E48"/>
  <c r="E49"/>
  <c r="E6" i="187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B30"/>
  <c r="E30" s="1"/>
  <c r="E31"/>
  <c r="E32"/>
  <c r="E33"/>
  <c r="E34"/>
  <c r="E35"/>
  <c r="E36"/>
  <c r="E37"/>
  <c r="B38"/>
  <c r="E38" s="1"/>
  <c r="E39"/>
  <c r="E40"/>
  <c r="E44"/>
  <c r="B45"/>
  <c r="E45" s="1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B70"/>
  <c r="E70" s="1"/>
  <c r="E71"/>
  <c r="E72"/>
  <c r="E73"/>
  <c r="E74"/>
  <c r="E75"/>
  <c r="E76"/>
  <c r="E77"/>
  <c r="E78"/>
  <c r="E79"/>
  <c r="B80"/>
  <c r="E80" s="1"/>
  <c r="E81"/>
  <c r="E82"/>
  <c r="E83"/>
  <c r="B84"/>
  <c r="E84" s="1"/>
  <c r="E85"/>
  <c r="E86"/>
  <c r="E87"/>
  <c r="E88"/>
  <c r="B89"/>
  <c r="D89" s="1"/>
  <c r="E90"/>
  <c r="E91"/>
  <c r="E92"/>
  <c r="E94"/>
  <c r="E95"/>
  <c r="B98"/>
  <c r="E98" s="1"/>
  <c r="E99"/>
  <c r="E101"/>
  <c r="E102"/>
  <c r="B103"/>
  <c r="E103" s="1"/>
  <c r="E104"/>
  <c r="E105"/>
  <c r="E106"/>
  <c r="E107"/>
  <c r="B108"/>
  <c r="E108" s="1"/>
  <c r="E109"/>
  <c r="B113"/>
  <c r="E113" s="1"/>
  <c r="E114"/>
  <c r="B117"/>
  <c r="D117" s="1"/>
  <c r="E118"/>
  <c r="E119"/>
  <c r="E122"/>
  <c r="B123"/>
  <c r="E123" s="1"/>
  <c r="E124"/>
  <c r="E125"/>
  <c r="B126"/>
  <c r="E126" s="1"/>
  <c r="E127"/>
  <c r="B129"/>
  <c r="D129" s="1"/>
  <c r="E130"/>
  <c r="E131"/>
  <c r="E132"/>
  <c r="E133"/>
  <c r="E134"/>
  <c r="E135"/>
  <c r="E136"/>
  <c r="B137"/>
  <c r="E137" s="1"/>
  <c r="E138"/>
  <c r="E139"/>
  <c r="E140"/>
  <c r="B141"/>
  <c r="E141" s="1"/>
  <c r="E142"/>
  <c r="B145"/>
  <c r="D145" s="1"/>
  <c r="B149"/>
  <c r="D149" s="1"/>
  <c r="B151"/>
  <c r="E151" s="1"/>
  <c r="B154"/>
  <c r="D154" s="1"/>
  <c r="B156"/>
  <c r="E156" s="1"/>
  <c r="B158"/>
  <c r="D158" s="1"/>
  <c r="B162"/>
  <c r="E162" s="1"/>
  <c r="B164"/>
  <c r="E164" s="1"/>
  <c r="E145"/>
  <c r="E146"/>
  <c r="E147"/>
  <c r="E148"/>
  <c r="E150"/>
  <c r="E152"/>
  <c r="E153"/>
  <c r="E154"/>
  <c r="E155"/>
  <c r="E157"/>
  <c r="E159"/>
  <c r="E160"/>
  <c r="E161"/>
  <c r="E163"/>
  <c r="E165"/>
  <c r="F6" i="185"/>
  <c r="D27" i="113"/>
  <c r="D28"/>
  <c r="C25"/>
  <c r="D25" s="1"/>
  <c r="E11" i="17"/>
  <c r="E12"/>
  <c r="E13"/>
  <c r="E14"/>
  <c r="E17"/>
  <c r="D22"/>
  <c r="D23"/>
  <c r="D24"/>
  <c r="D25"/>
  <c r="D165" i="187"/>
  <c r="D163"/>
  <c r="D161"/>
  <c r="D160"/>
  <c r="D159"/>
  <c r="D157"/>
  <c r="D155"/>
  <c r="D153"/>
  <c r="D152"/>
  <c r="D150"/>
  <c r="D148"/>
  <c r="D147"/>
  <c r="D146"/>
  <c r="D40" i="186"/>
  <c r="D41"/>
  <c r="G18" i="173"/>
  <c r="C18"/>
  <c r="H25"/>
  <c r="H26"/>
  <c r="H27"/>
  <c r="D7" i="186"/>
  <c r="D8"/>
  <c r="D9"/>
  <c r="D10"/>
  <c r="D11"/>
  <c r="D12"/>
  <c r="D13"/>
  <c r="D14"/>
  <c r="D15"/>
  <c r="D16"/>
  <c r="D17"/>
  <c r="D18"/>
  <c r="D19"/>
  <c r="D20"/>
  <c r="D21"/>
  <c r="D22"/>
  <c r="D24"/>
  <c r="D25"/>
  <c r="D26"/>
  <c r="D27"/>
  <c r="D28"/>
  <c r="D29"/>
  <c r="D30"/>
  <c r="D31"/>
  <c r="D33"/>
  <c r="D34"/>
  <c r="D35"/>
  <c r="D36"/>
  <c r="D37"/>
  <c r="D38"/>
  <c r="D39"/>
  <c r="D42"/>
  <c r="D45"/>
  <c r="D46"/>
  <c r="D47"/>
  <c r="D48"/>
  <c r="D49"/>
  <c r="H10" i="173"/>
  <c r="H11"/>
  <c r="H12"/>
  <c r="H13"/>
  <c r="H14"/>
  <c r="H15"/>
  <c r="H16"/>
  <c r="H19"/>
  <c r="H6"/>
  <c r="H7"/>
  <c r="H8"/>
  <c r="H9"/>
  <c r="H22"/>
  <c r="H23"/>
  <c r="H24"/>
  <c r="H29"/>
  <c r="D16"/>
  <c r="D22"/>
  <c r="D12" i="113"/>
  <c r="D13"/>
  <c r="D14"/>
  <c r="D15"/>
  <c r="D16"/>
  <c r="D17"/>
  <c r="D18"/>
  <c r="D19"/>
  <c r="D20"/>
  <c r="D21"/>
  <c r="D22"/>
  <c r="D11" i="17"/>
  <c r="D46" i="187"/>
  <c r="D47"/>
  <c r="D48"/>
  <c r="D49"/>
  <c r="D51"/>
  <c r="D50"/>
  <c r="D135"/>
  <c r="D136"/>
  <c r="D138"/>
  <c r="D139"/>
  <c r="D140"/>
  <c r="D142"/>
  <c r="D143"/>
  <c r="C6" i="113"/>
  <c r="C32"/>
  <c r="E32" s="1"/>
  <c r="D11"/>
  <c r="D24"/>
  <c r="D26"/>
  <c r="D29"/>
  <c r="D30"/>
  <c r="D31"/>
  <c r="D7" i="17"/>
  <c r="D8"/>
  <c r="D9"/>
  <c r="D10"/>
  <c r="D12"/>
  <c r="D13"/>
  <c r="D14"/>
  <c r="D15"/>
  <c r="D16"/>
  <c r="D17"/>
  <c r="D18"/>
  <c r="D19"/>
  <c r="D134" i="187"/>
  <c r="D20" i="173"/>
  <c r="D71" i="187"/>
  <c r="D72"/>
  <c r="D73"/>
  <c r="D74"/>
  <c r="D75"/>
  <c r="D76"/>
  <c r="D77"/>
  <c r="D78"/>
  <c r="D79"/>
  <c r="D81"/>
  <c r="D82"/>
  <c r="D83"/>
  <c r="D85"/>
  <c r="D86"/>
  <c r="D87"/>
  <c r="D88"/>
  <c r="D90"/>
  <c r="D91"/>
  <c r="D92"/>
  <c r="D93"/>
  <c r="D94"/>
  <c r="D95"/>
  <c r="D96"/>
  <c r="D97"/>
  <c r="D99"/>
  <c r="D100"/>
  <c r="D101"/>
  <c r="D102"/>
  <c r="D104"/>
  <c r="D105"/>
  <c r="D106"/>
  <c r="D107"/>
  <c r="D109"/>
  <c r="D110"/>
  <c r="D111"/>
  <c r="D112"/>
  <c r="D114"/>
  <c r="D115"/>
  <c r="D116"/>
  <c r="D118"/>
  <c r="D119"/>
  <c r="D120"/>
  <c r="D121"/>
  <c r="D122"/>
  <c r="D124"/>
  <c r="D125"/>
  <c r="D127"/>
  <c r="D128"/>
  <c r="D130"/>
  <c r="D131"/>
  <c r="D132"/>
  <c r="D133"/>
  <c r="D57"/>
  <c r="D31"/>
  <c r="D32"/>
  <c r="D33"/>
  <c r="D34"/>
  <c r="D35"/>
  <c r="D36"/>
  <c r="D3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69"/>
  <c r="D54"/>
  <c r="D55"/>
  <c r="D56"/>
  <c r="D58"/>
  <c r="D59"/>
  <c r="D60"/>
  <c r="D61"/>
  <c r="D62"/>
  <c r="D63"/>
  <c r="D64"/>
  <c r="D65"/>
  <c r="D66"/>
  <c r="D67"/>
  <c r="D68"/>
  <c r="B18" i="173"/>
  <c r="D53" i="187"/>
  <c r="D40"/>
  <c r="D41"/>
  <c r="D42"/>
  <c r="D43"/>
  <c r="D44"/>
  <c r="D39"/>
  <c r="D7"/>
  <c r="C32" i="186"/>
  <c r="C43" s="1"/>
  <c r="B32"/>
  <c r="D36" i="173"/>
  <c r="D37"/>
  <c r="D38"/>
  <c r="D39"/>
  <c r="D41"/>
  <c r="D35"/>
  <c r="D11"/>
  <c r="D6" i="186"/>
  <c r="D70" i="187"/>
  <c r="C21" i="17"/>
  <c r="C27" s="1"/>
  <c r="E27" s="1"/>
  <c r="D23" i="186"/>
  <c r="D7" i="113"/>
  <c r="D8"/>
  <c r="D6" s="1"/>
  <c r="D9"/>
  <c r="D10"/>
  <c r="B6"/>
  <c r="D26" i="17"/>
  <c r="G34" i="173"/>
  <c r="C34"/>
  <c r="H35"/>
  <c r="H36"/>
  <c r="H37"/>
  <c r="H38"/>
  <c r="H39"/>
  <c r="H40"/>
  <c r="H41"/>
  <c r="B34"/>
  <c r="H31"/>
  <c r="H32"/>
  <c r="F30"/>
  <c r="H30" s="1"/>
  <c r="H5"/>
  <c r="H4" s="1"/>
  <c r="D9"/>
  <c r="D10"/>
  <c r="D6"/>
  <c r="D7"/>
  <c r="D21" i="17"/>
  <c r="F12" i="176"/>
  <c r="D12"/>
  <c r="B12"/>
  <c r="H9" i="164"/>
  <c r="F9"/>
  <c r="D9"/>
  <c r="B9"/>
  <c r="C9"/>
  <c r="B30" i="173"/>
  <c r="D30"/>
  <c r="F34"/>
  <c r="H34"/>
  <c r="F4"/>
  <c r="E6" i="113"/>
  <c r="B32"/>
  <c r="B27" i="17"/>
  <c r="E6"/>
  <c r="D6"/>
  <c r="D27" s="1"/>
  <c r="D34" i="173"/>
  <c r="H12" i="176"/>
  <c r="C44" i="173"/>
  <c r="G44"/>
  <c r="D113" i="187" l="1"/>
  <c r="D164"/>
  <c r="D126"/>
  <c r="D123"/>
  <c r="D141"/>
  <c r="E149"/>
  <c r="D108"/>
  <c r="D84"/>
  <c r="D30"/>
  <c r="E158"/>
  <c r="B144"/>
  <c r="E144" s="1"/>
  <c r="D151"/>
  <c r="D45"/>
  <c r="E32" i="186"/>
  <c r="D38" i="187"/>
  <c r="E117"/>
  <c r="D18" i="173"/>
  <c r="D44" s="1"/>
  <c r="H44"/>
  <c r="D32" i="113"/>
  <c r="D25" i="173"/>
  <c r="C24"/>
  <c r="D32" i="186"/>
  <c r="E129" i="187"/>
  <c r="E89"/>
  <c r="F44" i="173"/>
  <c r="D98" i="187"/>
  <c r="D103"/>
  <c r="D137"/>
  <c r="D44" i="186"/>
  <c r="D80" i="187"/>
  <c r="D29" i="173"/>
  <c r="D156" i="187"/>
  <c r="D162"/>
  <c r="B5" i="186"/>
  <c r="D144" i="187" l="1"/>
  <c r="E4"/>
  <c r="D24" i="173"/>
  <c r="C23"/>
  <c r="D23" s="1"/>
  <c r="E5" i="186"/>
  <c r="B50"/>
  <c r="B43"/>
  <c r="D5"/>
  <c r="E5" i="187"/>
  <c r="D43" i="186" l="1"/>
  <c r="E43"/>
  <c r="E50"/>
  <c r="D50"/>
</calcChain>
</file>

<file path=xl/sharedStrings.xml><?xml version="1.0" encoding="utf-8"?>
<sst xmlns="http://schemas.openxmlformats.org/spreadsheetml/2006/main" count="825" uniqueCount="581">
  <si>
    <t>年初预算</t>
    <phoneticPr fontId="2" type="noConversion"/>
  </si>
  <si>
    <t>单位：万元</t>
  </si>
  <si>
    <t>调整数</t>
    <phoneticPr fontId="2" type="noConversion"/>
  </si>
  <si>
    <t>调整后</t>
    <phoneticPr fontId="2" type="noConversion"/>
  </si>
  <si>
    <t>项   目</t>
    <phoneticPr fontId="25" type="noConversion"/>
  </si>
  <si>
    <t>　企业所得税</t>
  </si>
  <si>
    <t>　个人所得税</t>
  </si>
  <si>
    <t>　资源税</t>
  </si>
  <si>
    <t>　城市维护建设税</t>
  </si>
  <si>
    <t>　房产税</t>
  </si>
  <si>
    <t>　印花税</t>
  </si>
  <si>
    <t>　城镇土地使用税</t>
  </si>
  <si>
    <t>　土地增值税</t>
  </si>
  <si>
    <t>　耕地占用税</t>
  </si>
  <si>
    <t>　契税</t>
  </si>
  <si>
    <t>　专项收入</t>
  </si>
  <si>
    <t>　其他收入</t>
  </si>
  <si>
    <t>二、转移性支出</t>
    <phoneticPr fontId="2" type="noConversion"/>
  </si>
  <si>
    <t xml:space="preserve">  彩票公益金支出</t>
    <phoneticPr fontId="30" type="noConversion"/>
  </si>
  <si>
    <t xml:space="preserve">  国有土地收益基金支出</t>
    <phoneticPr fontId="2" type="noConversion"/>
  </si>
  <si>
    <t xml:space="preserve">  城市基础设施配套费安排的支出</t>
    <phoneticPr fontId="2" type="noConversion"/>
  </si>
  <si>
    <t>三、国有资本经营预算收入合计</t>
    <phoneticPr fontId="25" type="noConversion"/>
  </si>
  <si>
    <t>三、国有资本经营预算支出合计</t>
    <phoneticPr fontId="25" type="noConversion"/>
  </si>
  <si>
    <t>四、社会保险基金预算收入合计</t>
    <phoneticPr fontId="2" type="noConversion"/>
  </si>
  <si>
    <t>四、社会保险预算支出合计</t>
    <phoneticPr fontId="2" type="noConversion"/>
  </si>
  <si>
    <t>(二)转移性支出</t>
    <phoneticPr fontId="31" type="noConversion"/>
  </si>
  <si>
    <t>(二)转移性收入</t>
    <phoneticPr fontId="31" type="noConversion"/>
  </si>
  <si>
    <t xml:space="preserve"> 税收收入</t>
    <phoneticPr fontId="2" type="noConversion"/>
  </si>
  <si>
    <t xml:space="preserve"> 非税收入</t>
    <phoneticPr fontId="2" type="noConversion"/>
  </si>
  <si>
    <t xml:space="preserve"> 返还性支出</t>
    <phoneticPr fontId="31" type="noConversion"/>
  </si>
  <si>
    <t xml:space="preserve"> 一般性转移支付支出</t>
    <phoneticPr fontId="31" type="noConversion"/>
  </si>
  <si>
    <t xml:space="preserve"> 专项转移支付支出</t>
    <phoneticPr fontId="31" type="noConversion"/>
  </si>
  <si>
    <t xml:space="preserve"> 体制上解支出</t>
    <phoneticPr fontId="2" type="noConversion"/>
  </si>
  <si>
    <t xml:space="preserve"> 其他支出</t>
    <phoneticPr fontId="2" type="noConversion"/>
  </si>
  <si>
    <t xml:space="preserve"> 居民基本医疗保险基金收入</t>
    <phoneticPr fontId="2" type="noConversion"/>
  </si>
  <si>
    <t xml:space="preserve"> 失业保险基金收入</t>
    <phoneticPr fontId="2" type="noConversion"/>
  </si>
  <si>
    <t xml:space="preserve"> 工伤保险基金收入</t>
    <phoneticPr fontId="2" type="noConversion"/>
  </si>
  <si>
    <t xml:space="preserve"> 生育保险基金收入</t>
    <phoneticPr fontId="2" type="noConversion"/>
  </si>
  <si>
    <t xml:space="preserve"> 城乡居民基本养老保险基金收入</t>
    <phoneticPr fontId="2" type="noConversion"/>
  </si>
  <si>
    <t xml:space="preserve"> 城镇职工基本医疗保险基金收入</t>
    <phoneticPr fontId="2" type="noConversion"/>
  </si>
  <si>
    <t xml:space="preserve"> 城乡居民基本养老保险基金支出</t>
    <phoneticPr fontId="2" type="noConversion"/>
  </si>
  <si>
    <t xml:space="preserve"> 城镇职工基本医疗保险基金支出</t>
    <phoneticPr fontId="2" type="noConversion"/>
  </si>
  <si>
    <t xml:space="preserve"> 居民基本医疗保险基金支出</t>
    <phoneticPr fontId="2" type="noConversion"/>
  </si>
  <si>
    <t xml:space="preserve"> 失业保险基金支出</t>
    <phoneticPr fontId="2" type="noConversion"/>
  </si>
  <si>
    <t xml:space="preserve"> 工伤保险基金支出</t>
    <phoneticPr fontId="2" type="noConversion"/>
  </si>
  <si>
    <t xml:space="preserve"> 生育保险基金支出</t>
    <phoneticPr fontId="2" type="noConversion"/>
  </si>
  <si>
    <t>一、本年基金支出合计</t>
    <phoneticPr fontId="2" type="noConversion"/>
  </si>
  <si>
    <t>支  出  合  计</t>
    <phoneticPr fontId="31" type="noConversion"/>
  </si>
  <si>
    <t>一、本年基金收入合计</t>
    <phoneticPr fontId="2" type="noConversion"/>
  </si>
  <si>
    <t>二、转移性收入</t>
    <phoneticPr fontId="2" type="noConversion"/>
  </si>
  <si>
    <t xml:space="preserve">  政府性基金转移收入</t>
    <phoneticPr fontId="2" type="noConversion"/>
  </si>
  <si>
    <t xml:space="preserve">  上年结余收入</t>
    <phoneticPr fontId="2" type="noConversion"/>
  </si>
  <si>
    <t>收   入   合   计</t>
    <phoneticPr fontId="2" type="noConversion"/>
  </si>
  <si>
    <t>收     入</t>
    <phoneticPr fontId="2" type="noConversion"/>
  </si>
  <si>
    <t>支    出</t>
    <phoneticPr fontId="2" type="noConversion"/>
  </si>
  <si>
    <t>项   目</t>
    <phoneticPr fontId="2" type="noConversion"/>
  </si>
  <si>
    <t>一、其他支出</t>
    <phoneticPr fontId="2" type="noConversion"/>
  </si>
  <si>
    <t>收  入  总  计</t>
    <phoneticPr fontId="25" type="noConversion"/>
  </si>
  <si>
    <t>支  出  总  计</t>
    <phoneticPr fontId="25" type="noConversion"/>
  </si>
  <si>
    <t>收  入  总  计</t>
    <phoneticPr fontId="2" type="noConversion"/>
  </si>
  <si>
    <t>支  出  总  计</t>
    <phoneticPr fontId="2" type="noConversion"/>
  </si>
  <si>
    <t>一、一般公共预算收入合计</t>
    <phoneticPr fontId="2" type="noConversion"/>
  </si>
  <si>
    <r>
      <t>(一</t>
    </r>
    <r>
      <rPr>
        <sz val="12"/>
        <rFont val="宋体"/>
        <family val="3"/>
        <charset val="134"/>
      </rPr>
      <t>)一般公共预算本级收入</t>
    </r>
    <phoneticPr fontId="2" type="noConversion"/>
  </si>
  <si>
    <t>一、一般公共预算支出合计</t>
    <phoneticPr fontId="2" type="noConversion"/>
  </si>
  <si>
    <t xml:space="preserve">  城市公用事业附加安排的支出</t>
    <phoneticPr fontId="2" type="noConversion"/>
  </si>
  <si>
    <t xml:space="preserve">  污水处理费安排支出</t>
    <phoneticPr fontId="30" type="noConversion"/>
  </si>
  <si>
    <t xml:space="preserve"> 机关事业单位基本养老保险基金</t>
    <phoneticPr fontId="2" type="noConversion"/>
  </si>
  <si>
    <t>项目名称</t>
  </si>
  <si>
    <t>单位：万元</t>
    <phoneticPr fontId="2" type="noConversion"/>
  </si>
  <si>
    <t>调整数</t>
    <phoneticPr fontId="40" type="noConversion"/>
  </si>
  <si>
    <t>调整后预算</t>
    <phoneticPr fontId="40" type="noConversion"/>
  </si>
  <si>
    <t>年初预算</t>
    <phoneticPr fontId="25" type="noConversion"/>
  </si>
  <si>
    <t xml:space="preserve"> 一、利润收入</t>
    <phoneticPr fontId="2" type="noConversion"/>
  </si>
  <si>
    <t>调整后预算</t>
    <phoneticPr fontId="2" type="noConversion"/>
  </si>
  <si>
    <t>项目</t>
    <phoneticPr fontId="2" type="noConversion"/>
  </si>
  <si>
    <t>年初预算</t>
    <phoneticPr fontId="2" type="noConversion"/>
  </si>
  <si>
    <t>调整数</t>
    <phoneticPr fontId="2" type="noConversion"/>
  </si>
  <si>
    <r>
      <t xml:space="preserve">   </t>
    </r>
    <r>
      <rPr>
        <sz val="12"/>
        <rFont val="宋体"/>
        <family val="3"/>
        <charset val="134"/>
      </rPr>
      <t>单位：万元</t>
    </r>
  </si>
  <si>
    <t>三、债务还本支出</t>
    <phoneticPr fontId="2" type="noConversion"/>
  </si>
  <si>
    <t xml:space="preserve">一、一般公共预算收入           </t>
    <phoneticPr fontId="2" type="noConversion"/>
  </si>
  <si>
    <t>(一)税收收入</t>
    <phoneticPr fontId="2" type="noConversion"/>
  </si>
  <si>
    <t>　车船税</t>
    <phoneticPr fontId="2" type="noConversion"/>
  </si>
  <si>
    <t>(二)非税收入</t>
    <phoneticPr fontId="2" type="noConversion"/>
  </si>
  <si>
    <t>　行政事业性收费收入</t>
    <phoneticPr fontId="2" type="noConversion"/>
  </si>
  <si>
    <t>　罚没收入</t>
    <phoneticPr fontId="2" type="noConversion"/>
  </si>
  <si>
    <t>　国有资本经营收入</t>
    <phoneticPr fontId="2" type="noConversion"/>
  </si>
  <si>
    <t>　政府住房基金收入</t>
    <phoneticPr fontId="2" type="noConversion"/>
  </si>
  <si>
    <t>(一)返还性收入</t>
    <phoneticPr fontId="2" type="noConversion"/>
  </si>
  <si>
    <t>(二)一般性转移支付收入</t>
    <phoneticPr fontId="2" type="noConversion"/>
  </si>
  <si>
    <t>收  入  合  计</t>
    <phoneticPr fontId="2" type="noConversion"/>
  </si>
  <si>
    <t>另：上划中央收入</t>
    <phoneticPr fontId="2" type="noConversion"/>
  </si>
  <si>
    <t xml:space="preserve">  增值税</t>
    <phoneticPr fontId="2" type="noConversion"/>
  </si>
  <si>
    <t xml:space="preserve">  消费税</t>
    <phoneticPr fontId="2" type="noConversion"/>
  </si>
  <si>
    <t xml:space="preserve">  企业所得税</t>
    <phoneticPr fontId="2" type="noConversion"/>
  </si>
  <si>
    <t xml:space="preserve">  个人所得税</t>
    <phoneticPr fontId="2" type="noConversion"/>
  </si>
  <si>
    <t>一般公共预算总收入</t>
    <phoneticPr fontId="2" type="noConversion"/>
  </si>
  <si>
    <t xml:space="preserve">  一般公共服务支出</t>
  </si>
  <si>
    <t xml:space="preserve">    人大事务</t>
  </si>
  <si>
    <t xml:space="preserve">    政协事务</t>
  </si>
  <si>
    <t xml:space="preserve">    发展与改革事务</t>
  </si>
  <si>
    <t xml:space="preserve">    统计信息事务</t>
  </si>
  <si>
    <t xml:space="preserve">    财政事务</t>
  </si>
  <si>
    <t xml:space="preserve">    税收事务</t>
  </si>
  <si>
    <t xml:space="preserve">    审计事务</t>
  </si>
  <si>
    <t xml:space="preserve">    海关事务</t>
  </si>
  <si>
    <t xml:space="preserve">    人力资源事务</t>
  </si>
  <si>
    <t xml:space="preserve">    纪检监察事务</t>
  </si>
  <si>
    <t xml:space="preserve">    商贸事务</t>
  </si>
  <si>
    <t xml:space="preserve">    档案事务</t>
  </si>
  <si>
    <t xml:space="preserve">    民主党派及工商联事务</t>
  </si>
  <si>
    <t xml:space="preserve">    群众团体事务</t>
  </si>
  <si>
    <t xml:space="preserve">    党委办公厅（室）及相关机构事务</t>
  </si>
  <si>
    <t xml:space="preserve">    组织事务</t>
  </si>
  <si>
    <t xml:space="preserve">    宣传事务</t>
  </si>
  <si>
    <t xml:space="preserve">    其他共产党事务支出</t>
  </si>
  <si>
    <t xml:space="preserve">  教育支出</t>
  </si>
  <si>
    <t xml:space="preserve">    教育管理事务</t>
  </si>
  <si>
    <t xml:space="preserve">    普通教育</t>
  </si>
  <si>
    <t xml:space="preserve">    职业教育</t>
  </si>
  <si>
    <t xml:space="preserve">    特殊教育</t>
  </si>
  <si>
    <t xml:space="preserve">    进修及培训</t>
  </si>
  <si>
    <t xml:space="preserve">    教育费附加安排的支出</t>
  </si>
  <si>
    <t xml:space="preserve">  科学技术支出</t>
  </si>
  <si>
    <t xml:space="preserve">    科学技术管理事务</t>
  </si>
  <si>
    <t xml:space="preserve">    基础研究</t>
  </si>
  <si>
    <t xml:space="preserve">    文物</t>
  </si>
  <si>
    <t xml:space="preserve">    体育</t>
  </si>
  <si>
    <t xml:space="preserve">  社会保障和就业支出</t>
  </si>
  <si>
    <t xml:space="preserve">    人力资源和社会保障管理事务</t>
  </si>
  <si>
    <t xml:space="preserve">    民政管理事务</t>
  </si>
  <si>
    <t xml:space="preserve">    抚恤</t>
  </si>
  <si>
    <t xml:space="preserve">    退役安置</t>
  </si>
  <si>
    <t xml:space="preserve">    社会福利</t>
  </si>
  <si>
    <t xml:space="preserve">    残疾人事业</t>
  </si>
  <si>
    <t xml:space="preserve">    红十字事业</t>
  </si>
  <si>
    <t xml:space="preserve">    公立医院</t>
  </si>
  <si>
    <t xml:space="preserve">    基层医疗卫生机构</t>
  </si>
  <si>
    <t xml:space="preserve">    公共卫生</t>
  </si>
  <si>
    <t xml:space="preserve">    医疗保障</t>
  </si>
  <si>
    <t xml:space="preserve">  节能环保支出</t>
  </si>
  <si>
    <t xml:space="preserve">    环境保护管理事务</t>
  </si>
  <si>
    <t xml:space="preserve">    污染防治</t>
  </si>
  <si>
    <t xml:space="preserve">    自然生态保护</t>
  </si>
  <si>
    <t xml:space="preserve">  城乡社区支出</t>
  </si>
  <si>
    <t xml:space="preserve">    城乡社区管理事务</t>
  </si>
  <si>
    <t xml:space="preserve">    城乡社区公共设施</t>
  </si>
  <si>
    <t xml:space="preserve">  农林水支出</t>
  </si>
  <si>
    <t xml:space="preserve">    农业</t>
  </si>
  <si>
    <t xml:space="preserve">    水利</t>
  </si>
  <si>
    <t xml:space="preserve">    扶贫</t>
  </si>
  <si>
    <t xml:space="preserve">    农村综合改革</t>
  </si>
  <si>
    <t xml:space="preserve">  交通运输支出</t>
  </si>
  <si>
    <t xml:space="preserve">    公路水路运输</t>
  </si>
  <si>
    <t xml:space="preserve">    铁路运输</t>
  </si>
  <si>
    <t xml:space="preserve">  资源勘探信息等支出</t>
  </si>
  <si>
    <t xml:space="preserve">    国有资产监管</t>
  </si>
  <si>
    <t xml:space="preserve">  商业服务业等支出</t>
  </si>
  <si>
    <t xml:space="preserve">    商业流通事务</t>
  </si>
  <si>
    <t xml:space="preserve">    旅游业管理与服务支出</t>
  </si>
  <si>
    <t xml:space="preserve">    涉外发展服务支出</t>
  </si>
  <si>
    <t xml:space="preserve">  金融支出</t>
  </si>
  <si>
    <t xml:space="preserve">    金融部门行政支出</t>
  </si>
  <si>
    <t xml:space="preserve">    海洋管理事务</t>
  </si>
  <si>
    <t xml:space="preserve">    地震事务</t>
  </si>
  <si>
    <t xml:space="preserve">    气象事务</t>
  </si>
  <si>
    <t xml:space="preserve">  住房保障支出</t>
  </si>
  <si>
    <t xml:space="preserve">    保障性安居工程支出</t>
  </si>
  <si>
    <t xml:space="preserve">    住房改革支出</t>
  </si>
  <si>
    <t xml:space="preserve">  粮油物资储备支出</t>
  </si>
  <si>
    <t xml:space="preserve">    粮油事务</t>
  </si>
  <si>
    <t xml:space="preserve">    粮油储备</t>
  </si>
  <si>
    <t xml:space="preserve">  其他支出(类)</t>
  </si>
  <si>
    <t xml:space="preserve">    其他支出(款)</t>
  </si>
  <si>
    <t xml:space="preserve">  </t>
    <phoneticPr fontId="2" type="noConversion"/>
  </si>
  <si>
    <t xml:space="preserve"> </t>
    <phoneticPr fontId="2" type="noConversion"/>
  </si>
  <si>
    <t>增长率（%）</t>
    <phoneticPr fontId="2" type="noConversion"/>
  </si>
  <si>
    <t>增长率（%）</t>
    <phoneticPr fontId="40" type="noConversion"/>
  </si>
  <si>
    <t>增长率（%）</t>
    <phoneticPr fontId="40" type="noConversion"/>
  </si>
  <si>
    <t xml:space="preserve">    民族事务</t>
  </si>
  <si>
    <t xml:space="preserve">    技术研究与开发</t>
  </si>
  <si>
    <t>项          目</t>
    <phoneticPr fontId="54" type="noConversion"/>
  </si>
  <si>
    <t>年初预算数</t>
    <phoneticPr fontId="54" type="noConversion"/>
  </si>
  <si>
    <t>调整数</t>
    <phoneticPr fontId="2" type="noConversion"/>
  </si>
  <si>
    <t>调整后数据</t>
    <phoneticPr fontId="2" type="noConversion"/>
  </si>
  <si>
    <t>增幅%</t>
    <phoneticPr fontId="2" type="noConversion"/>
  </si>
  <si>
    <t>单位：万元</t>
    <phoneticPr fontId="2" type="noConversion"/>
  </si>
  <si>
    <t xml:space="preserve"> 调入一般公共预算</t>
    <phoneticPr fontId="2" type="noConversion"/>
  </si>
  <si>
    <t>二、调入一般公共预算</t>
    <phoneticPr fontId="2" type="noConversion"/>
  </si>
  <si>
    <r>
      <t>(一</t>
    </r>
    <r>
      <rPr>
        <sz val="12"/>
        <rFont val="宋体"/>
        <family val="3"/>
        <charset val="134"/>
      </rPr>
      <t>)一般公共预算本级支出</t>
    </r>
    <phoneticPr fontId="2" type="noConversion"/>
  </si>
  <si>
    <t>(七)调入资金</t>
    <phoneticPr fontId="2" type="noConversion"/>
  </si>
  <si>
    <t>(三)专项转移支付收入</t>
    <phoneticPr fontId="2" type="noConversion"/>
  </si>
  <si>
    <t>(四)上级财力补助收入</t>
    <phoneticPr fontId="2" type="noConversion"/>
  </si>
  <si>
    <t>(五)省级税费返还收入</t>
    <phoneticPr fontId="2" type="noConversion"/>
  </si>
  <si>
    <t>(六)福州市补助资金</t>
    <phoneticPr fontId="2" type="noConversion"/>
  </si>
  <si>
    <t xml:space="preserve">  车辆购置税</t>
    <phoneticPr fontId="2" type="noConversion"/>
  </si>
  <si>
    <t>一、全区公共财政预算支出合计</t>
  </si>
  <si>
    <t>1、区本级公共财政预算支出合计</t>
  </si>
  <si>
    <t xml:space="preserve">    政府办公厅(室)及相关机构事务</t>
  </si>
  <si>
    <t xml:space="preserve">    网信事务</t>
  </si>
  <si>
    <t xml:space="preserve">    市场监督管理事务</t>
  </si>
  <si>
    <t xml:space="preserve">    其他教育支出</t>
  </si>
  <si>
    <t xml:space="preserve">    社会科学</t>
  </si>
  <si>
    <t xml:space="preserve">  文化旅游体育与传媒支出</t>
  </si>
  <si>
    <t xml:space="preserve">    文化和旅游</t>
  </si>
  <si>
    <t xml:space="preserve">    其他文化体育与传媒支出</t>
  </si>
  <si>
    <t xml:space="preserve">    企业改革补助</t>
  </si>
  <si>
    <t xml:space="preserve">    最低生活保障</t>
  </si>
  <si>
    <t xml:space="preserve">    临时救助</t>
  </si>
  <si>
    <t xml:space="preserve">    特困人员供养</t>
  </si>
  <si>
    <t xml:space="preserve">    其他生活救助</t>
  </si>
  <si>
    <t xml:space="preserve">    财政对基本养老保险基金的补助</t>
  </si>
  <si>
    <t xml:space="preserve">    财政对其他社会保险基金的补助</t>
  </si>
  <si>
    <t xml:space="preserve">    其他社会保障和就业支出</t>
  </si>
  <si>
    <t xml:space="preserve">  卫生健康支出</t>
  </si>
  <si>
    <t xml:space="preserve">    卫生健康管理事务</t>
  </si>
  <si>
    <t xml:space="preserve">    计划生育事务</t>
  </si>
  <si>
    <t xml:space="preserve">    行政事业单位医疗</t>
  </si>
  <si>
    <t xml:space="preserve">    财政对基本医疗保险基金的补助</t>
  </si>
  <si>
    <t xml:space="preserve">    医疗救助</t>
  </si>
  <si>
    <t xml:space="preserve">    优抚对象医疗</t>
  </si>
  <si>
    <t xml:space="preserve">    城乡社区规划与管理</t>
  </si>
  <si>
    <t xml:space="preserve">    城乡社区环境卫生</t>
  </si>
  <si>
    <t xml:space="preserve">    林业和草原</t>
  </si>
  <si>
    <t xml:space="preserve">    南水北调</t>
  </si>
  <si>
    <t xml:space="preserve">    普惠金融发展支出</t>
  </si>
  <si>
    <t xml:space="preserve">    其他农林水事务支出</t>
  </si>
  <si>
    <t xml:space="preserve">    邮政业支出</t>
  </si>
  <si>
    <t xml:space="preserve">    其他交通运输支出</t>
  </si>
  <si>
    <t xml:space="preserve">    其他商业服务业等支出</t>
  </si>
  <si>
    <t xml:space="preserve">    金融部门监管支出</t>
  </si>
  <si>
    <t xml:space="preserve">    金融发展支出</t>
  </si>
  <si>
    <t xml:space="preserve">  自然资源海洋气象等支出</t>
  </si>
  <si>
    <t xml:space="preserve">    自然资源事务</t>
  </si>
  <si>
    <t xml:space="preserve">    测绘事务</t>
  </si>
  <si>
    <t xml:space="preserve">  灾害防治及应急管理支出</t>
  </si>
  <si>
    <t xml:space="preserve">    应急管理事务</t>
  </si>
  <si>
    <t xml:space="preserve">    消防事务</t>
  </si>
  <si>
    <t xml:space="preserve">  预备费</t>
  </si>
  <si>
    <t xml:space="preserve">  债务还本支出</t>
  </si>
  <si>
    <t xml:space="preserve">    地方政府一般债务还本支出</t>
  </si>
  <si>
    <t xml:space="preserve">  债务付息支出</t>
  </si>
  <si>
    <t xml:space="preserve">    地方政府一般债务付息支出</t>
  </si>
  <si>
    <t xml:space="preserve">  债务发行费用支出</t>
  </si>
  <si>
    <t xml:space="preserve">    地方政府一般债务发行费用支出</t>
  </si>
  <si>
    <t xml:space="preserve">    年初预留</t>
  </si>
  <si>
    <t xml:space="preserve">  自然资源海洋与气象等支出</t>
  </si>
  <si>
    <t xml:space="preserve"> 二、产权转让收入</t>
    <phoneticPr fontId="2" type="noConversion"/>
  </si>
  <si>
    <t xml:space="preserve">    科技条件与服务</t>
    <phoneticPr fontId="2" type="noConversion"/>
  </si>
  <si>
    <t xml:space="preserve">    其他一般公共服务支出</t>
    <phoneticPr fontId="2" type="noConversion"/>
  </si>
  <si>
    <t xml:space="preserve">    行政事业单位离退休</t>
    <phoneticPr fontId="2" type="noConversion"/>
  </si>
  <si>
    <t xml:space="preserve">    其他科学技术支出</t>
    <phoneticPr fontId="2" type="noConversion"/>
  </si>
  <si>
    <t>(八)调入预算稳定调节基金</t>
    <phoneticPr fontId="2" type="noConversion"/>
  </si>
  <si>
    <t xml:space="preserve">    支持中小企业发展和管理支出</t>
    <phoneticPr fontId="2" type="noConversion"/>
  </si>
  <si>
    <t>　增值税</t>
    <phoneticPr fontId="2" type="noConversion"/>
  </si>
  <si>
    <t>　消费税</t>
    <phoneticPr fontId="2" type="noConversion"/>
  </si>
  <si>
    <t xml:space="preserve">  烟叶税</t>
    <phoneticPr fontId="2" type="noConversion"/>
  </si>
  <si>
    <r>
      <t xml:space="preserve"> </t>
    </r>
    <r>
      <rPr>
        <sz val="12"/>
        <rFont val="宋体"/>
        <family val="3"/>
        <charset val="134"/>
      </rPr>
      <t xml:space="preserve"> 其他税收收入</t>
    </r>
    <phoneticPr fontId="2" type="noConversion"/>
  </si>
  <si>
    <t>　企业所得税退税</t>
    <phoneticPr fontId="2" type="noConversion"/>
  </si>
  <si>
    <t>附件2:2020年平潭一般公共预算收入调整表</t>
    <phoneticPr fontId="2" type="noConversion"/>
  </si>
  <si>
    <t>　国有资源（资产）有偿使用收入</t>
    <phoneticPr fontId="2" type="noConversion"/>
  </si>
  <si>
    <t xml:space="preserve">  捐赠收入</t>
    <phoneticPr fontId="2" type="noConversion"/>
  </si>
  <si>
    <t xml:space="preserve">    新闻出版电影</t>
    <phoneticPr fontId="2" type="noConversion"/>
  </si>
  <si>
    <t xml:space="preserve">    广播影视</t>
    <phoneticPr fontId="2" type="noConversion"/>
  </si>
  <si>
    <t xml:space="preserve">    就业补助</t>
    <phoneticPr fontId="2" type="noConversion"/>
  </si>
  <si>
    <t xml:space="preserve">    工业和信息产业监管</t>
    <phoneticPr fontId="2" type="noConversion"/>
  </si>
  <si>
    <t xml:space="preserve">    建筑业</t>
    <phoneticPr fontId="2" type="noConversion"/>
  </si>
  <si>
    <t xml:space="preserve">    自然灾害防治</t>
    <phoneticPr fontId="2" type="noConversion"/>
  </si>
  <si>
    <t>三、转移性收入</t>
    <phoneticPr fontId="2" type="noConversion"/>
  </si>
  <si>
    <t>二、债务收入</t>
    <phoneticPr fontId="2" type="noConversion"/>
  </si>
  <si>
    <t xml:space="preserve">      港口建设费收入</t>
    <phoneticPr fontId="2" type="noConversion"/>
  </si>
  <si>
    <t xml:space="preserve">      国家电影事业发展专项资金收入</t>
    <phoneticPr fontId="2" type="noConversion"/>
  </si>
  <si>
    <t xml:space="preserve">      国有土地收益基金收入</t>
    <phoneticPr fontId="2" type="noConversion"/>
  </si>
  <si>
    <t xml:space="preserve">      农业土地开发资金收入</t>
    <phoneticPr fontId="2" type="noConversion"/>
  </si>
  <si>
    <t xml:space="preserve">      国有土地使用权出让收入</t>
    <phoneticPr fontId="2" type="noConversion"/>
  </si>
  <si>
    <t xml:space="preserve">      彩票公益金收入</t>
    <phoneticPr fontId="2" type="noConversion"/>
  </si>
  <si>
    <t xml:space="preserve">      城市基础设施配套费收入</t>
    <phoneticPr fontId="2" type="noConversion"/>
  </si>
  <si>
    <t xml:space="preserve">      小型水库移民扶助基金收入</t>
    <phoneticPr fontId="2" type="noConversion"/>
  </si>
  <si>
    <t xml:space="preserve">      国家重大水利工程建设基金收入</t>
    <phoneticPr fontId="2" type="noConversion"/>
  </si>
  <si>
    <t xml:space="preserve">      污水处理费收入</t>
    <phoneticPr fontId="2" type="noConversion"/>
  </si>
  <si>
    <t xml:space="preserve">      彩票发行机构和彩票销售机构的业务费用</t>
    <phoneticPr fontId="2" type="noConversion"/>
  </si>
  <si>
    <t xml:space="preserve">      其他政府性基金收入</t>
    <phoneticPr fontId="2" type="noConversion"/>
  </si>
  <si>
    <r>
      <t xml:space="preserve"> </t>
    </r>
    <r>
      <rPr>
        <sz val="12"/>
        <rFont val="宋体"/>
        <family val="3"/>
        <charset val="134"/>
      </rPr>
      <t xml:space="preserve">  年终结余</t>
    </r>
    <phoneticPr fontId="2" type="noConversion"/>
  </si>
  <si>
    <t>附件7:平潭2020年社会保险基金预算调整表</t>
    <phoneticPr fontId="2" type="noConversion"/>
  </si>
  <si>
    <t>2、片区公共财政预算支出合计</t>
    <phoneticPr fontId="2" type="noConversion"/>
  </si>
  <si>
    <t>附件3:2020年平潭一般公共预算支出调整表</t>
    <phoneticPr fontId="54" type="noConversion"/>
  </si>
  <si>
    <t>附件1:平潭2020年预算调整总表</t>
    <phoneticPr fontId="2" type="noConversion"/>
  </si>
  <si>
    <t xml:space="preserve">  新增建设用地有偿使用费</t>
    <phoneticPr fontId="2" type="noConversion"/>
  </si>
  <si>
    <t xml:space="preserve">  水利工程建设基金</t>
    <phoneticPr fontId="2" type="noConversion"/>
  </si>
  <si>
    <t xml:space="preserve">  地方教育附加安排的支出</t>
    <phoneticPr fontId="2" type="noConversion"/>
  </si>
  <si>
    <t xml:space="preserve">  文化事业建设费安排的支出</t>
    <phoneticPr fontId="2" type="noConversion"/>
  </si>
  <si>
    <t xml:space="preserve">  残疾人就业保障金支出</t>
    <phoneticPr fontId="2" type="noConversion"/>
  </si>
  <si>
    <t xml:space="preserve">  政府住房基金支出</t>
    <phoneticPr fontId="2" type="noConversion"/>
  </si>
  <si>
    <t xml:space="preserve">  国有土地使用权出让收入安排的支出</t>
    <phoneticPr fontId="2" type="noConversion"/>
  </si>
  <si>
    <t xml:space="preserve">  森林植被恢复费安排的支出</t>
    <phoneticPr fontId="2" type="noConversion"/>
  </si>
  <si>
    <t xml:space="preserve">  地方水利建设基金支出</t>
    <phoneticPr fontId="2" type="noConversion"/>
  </si>
  <si>
    <t xml:space="preserve">  水库移民后期扶持基金支出</t>
    <phoneticPr fontId="2" type="noConversion"/>
  </si>
  <si>
    <t xml:space="preserve">  旅游发展基金支出</t>
    <phoneticPr fontId="2" type="noConversion"/>
  </si>
  <si>
    <t xml:space="preserve">  彩票公益金支出</t>
    <phoneticPr fontId="2" type="noConversion"/>
  </si>
  <si>
    <t xml:space="preserve">  价格调节基金支出</t>
    <phoneticPr fontId="2" type="noConversion"/>
  </si>
  <si>
    <t xml:space="preserve">  其他政府性基金支出</t>
    <phoneticPr fontId="2" type="noConversion"/>
  </si>
  <si>
    <t>附件5:平潭2020年政府性基金预算支出调整表</t>
    <phoneticPr fontId="2" type="noConversion"/>
  </si>
  <si>
    <t>附件6:平潭2020年国有资本经营预算调整表</t>
    <phoneticPr fontId="2" type="noConversion"/>
  </si>
  <si>
    <t>附件4:平潭2020年政府性基金预算收入调整表</t>
    <phoneticPr fontId="2" type="noConversion"/>
  </si>
  <si>
    <t xml:space="preserve">  污水处理费安排的支出</t>
    <phoneticPr fontId="2" type="noConversion"/>
  </si>
  <si>
    <t xml:space="preserve">  彩票公益金收入</t>
  </si>
  <si>
    <t xml:space="preserve">  污水处理费收入</t>
    <phoneticPr fontId="25" type="noConversion"/>
  </si>
  <si>
    <t xml:space="preserve">  城市基础设施配套费收入</t>
    <phoneticPr fontId="31" type="noConversion"/>
  </si>
  <si>
    <r>
      <t xml:space="preserve">  </t>
    </r>
    <r>
      <rPr>
        <sz val="12"/>
        <rFont val="宋体"/>
        <family val="3"/>
        <charset val="134"/>
      </rPr>
      <t>土地出让收入</t>
    </r>
    <phoneticPr fontId="25" type="noConversion"/>
  </si>
  <si>
    <t>二、政府性基金预算收入合计</t>
    <phoneticPr fontId="25" type="noConversion"/>
  </si>
  <si>
    <t>二、政府性基金预算支出合计</t>
    <phoneticPr fontId="25" type="noConversion"/>
  </si>
  <si>
    <t xml:space="preserve"> (一)基金预算本级收入</t>
    <phoneticPr fontId="25" type="noConversion"/>
  </si>
  <si>
    <t xml:space="preserve"> (二)上年基金结余</t>
    <phoneticPr fontId="2" type="noConversion"/>
  </si>
  <si>
    <r>
      <t xml:space="preserve"> 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利润收入</t>
    </r>
    <phoneticPr fontId="2" type="noConversion"/>
  </si>
  <si>
    <t xml:space="preserve">  产权转让收入</t>
    <phoneticPr fontId="2" type="noConversion"/>
  </si>
  <si>
    <r>
      <t xml:space="preserve"> 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城乡居民基本养老保险基金收入</t>
    </r>
    <phoneticPr fontId="2" type="noConversion"/>
  </si>
  <si>
    <r>
      <t xml:space="preserve"> 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城镇职工基本医疗保险基金收入</t>
    </r>
    <phoneticPr fontId="2" type="noConversion"/>
  </si>
  <si>
    <r>
      <t xml:space="preserve"> 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居民基本医疗保险基金收入</t>
    </r>
    <phoneticPr fontId="2" type="noConversion"/>
  </si>
  <si>
    <r>
      <t xml:space="preserve"> 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失业保险基金收入</t>
    </r>
    <phoneticPr fontId="2" type="noConversion"/>
  </si>
  <si>
    <r>
      <t xml:space="preserve"> 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工伤保险基金收入</t>
    </r>
    <phoneticPr fontId="2" type="noConversion"/>
  </si>
  <si>
    <r>
      <t xml:space="preserve"> 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生育保险基金收入</t>
    </r>
    <phoneticPr fontId="2" type="noConversion"/>
  </si>
  <si>
    <t xml:space="preserve">  机关事业单位基本养老保险基金</t>
    <phoneticPr fontId="2" type="noConversion"/>
  </si>
  <si>
    <t xml:space="preserve">  专项债券安排的支出</t>
    <phoneticPr fontId="2" type="noConversion"/>
  </si>
  <si>
    <t xml:space="preserve">  农业土地开发资金支出</t>
    <phoneticPr fontId="2" type="noConversion"/>
  </si>
  <si>
    <t xml:space="preserve"> (五)抗疫特别国债收入</t>
    <phoneticPr fontId="25" type="noConversion"/>
  </si>
  <si>
    <t xml:space="preserve">  抗疫特别国债安排支出</t>
    <phoneticPr fontId="25" type="noConversion"/>
  </si>
  <si>
    <t xml:space="preserve">    其他一般公共预算服务支出</t>
    <phoneticPr fontId="2" type="noConversion"/>
  </si>
  <si>
    <t xml:space="preserve">  文化旅游体育与传媒支出</t>
    <phoneticPr fontId="2" type="noConversion"/>
  </si>
  <si>
    <t xml:space="preserve">    文化和旅游</t>
    <phoneticPr fontId="2" type="noConversion"/>
  </si>
  <si>
    <t xml:space="preserve">    行政事业单位养老支出</t>
    <phoneticPr fontId="2" type="noConversion"/>
  </si>
  <si>
    <t xml:space="preserve">    抚恤</t>
    <phoneticPr fontId="2" type="noConversion"/>
  </si>
  <si>
    <t xml:space="preserve">    城乡社区管理事务</t>
    <phoneticPr fontId="2" type="noConversion"/>
  </si>
  <si>
    <t xml:space="preserve">    农业农村</t>
    <phoneticPr fontId="2" type="noConversion"/>
  </si>
  <si>
    <t xml:space="preserve">    自然资源事务</t>
    <phoneticPr fontId="2" type="noConversion"/>
  </si>
  <si>
    <r>
      <t xml:space="preserve">  </t>
    </r>
    <r>
      <rPr>
        <sz val="12"/>
        <rFont val="宋体"/>
        <family val="3"/>
        <charset val="134"/>
      </rPr>
      <t>置换专项债券收入</t>
    </r>
    <phoneticPr fontId="2" type="noConversion"/>
  </si>
  <si>
    <r>
      <t xml:space="preserve"> </t>
    </r>
    <r>
      <rPr>
        <sz val="12"/>
        <rFont val="宋体"/>
        <family val="3"/>
        <charset val="134"/>
      </rPr>
      <t xml:space="preserve"> 抗疫特别国债收入</t>
    </r>
    <phoneticPr fontId="2" type="noConversion"/>
  </si>
  <si>
    <r>
      <t xml:space="preserve">  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调出资金</t>
    </r>
    <phoneticPr fontId="2" type="noConversion"/>
  </si>
  <si>
    <t xml:space="preserve">  专项债券安排支出</t>
    <phoneticPr fontId="2" type="noConversion"/>
  </si>
  <si>
    <t xml:space="preserve">  抗疫特别国债安排支出</t>
    <phoneticPr fontId="2" type="noConversion"/>
  </si>
  <si>
    <t>单位：万元</t>
    <phoneticPr fontId="2" type="noConversion"/>
  </si>
  <si>
    <t>序号</t>
    <phoneticPr fontId="2" type="noConversion"/>
  </si>
  <si>
    <t>年度</t>
    <phoneticPr fontId="2" type="noConversion"/>
  </si>
  <si>
    <t>项目</t>
    <phoneticPr fontId="2" type="noConversion"/>
  </si>
  <si>
    <t>债权人名称</t>
    <phoneticPr fontId="2" type="noConversion"/>
  </si>
  <si>
    <t>债券类型</t>
    <phoneticPr fontId="2" type="noConversion"/>
  </si>
  <si>
    <t>金额</t>
    <phoneticPr fontId="2" type="noConversion"/>
  </si>
  <si>
    <t>2018年债券调整合计</t>
    <phoneticPr fontId="2" type="noConversion"/>
  </si>
  <si>
    <t>平潭海峡二桥二线通道项目</t>
    <phoneticPr fontId="2" type="noConversion"/>
  </si>
  <si>
    <t>福建省财政厅</t>
    <phoneticPr fontId="2" type="noConversion"/>
  </si>
  <si>
    <t>平潭国际演艺中心</t>
    <phoneticPr fontId="2" type="noConversion"/>
  </si>
  <si>
    <t>平潭竹屿再生水厂（一期）</t>
    <phoneticPr fontId="2" type="noConversion"/>
  </si>
  <si>
    <t>全区安征迁</t>
    <phoneticPr fontId="2" type="noConversion"/>
  </si>
  <si>
    <r>
      <t>附件10:平潭2020</t>
    </r>
    <r>
      <rPr>
        <sz val="18"/>
        <color indexed="8"/>
        <rFont val="黑体"/>
        <family val="3"/>
        <charset val="134"/>
      </rPr>
      <t>年地方政府债券安排明细表</t>
    </r>
    <phoneticPr fontId="2" type="noConversion"/>
  </si>
  <si>
    <t>和平大道（高铁中心站-苏平路）</t>
    <phoneticPr fontId="39" type="noConversion"/>
  </si>
  <si>
    <t>麒麟大道东段（高铁中心站-翠园路段）</t>
    <phoneticPr fontId="2" type="noConversion"/>
  </si>
  <si>
    <t>一般债券</t>
    <phoneticPr fontId="2" type="noConversion"/>
  </si>
  <si>
    <t>如意湖及周边水系景观工程</t>
    <phoneticPr fontId="66" type="noConversion"/>
  </si>
  <si>
    <t>中原安置房建设项目</t>
    <phoneticPr fontId="66" type="noConversion"/>
  </si>
  <si>
    <t>政区一路市政道路工程</t>
    <phoneticPr fontId="66" type="noConversion"/>
  </si>
  <si>
    <t>和平大道（高铁中心站-苏平路）</t>
    <phoneticPr fontId="66" type="noConversion"/>
  </si>
  <si>
    <t>翠园北路（环岛道东路至后池路）</t>
    <phoneticPr fontId="66" type="noConversion"/>
  </si>
  <si>
    <t>协和医院二期工程（一阶段）</t>
    <phoneticPr fontId="66" type="noConversion"/>
  </si>
  <si>
    <t>疾病预防控制中心提升工程</t>
    <phoneticPr fontId="66" type="noConversion"/>
  </si>
  <si>
    <t>特殊转移支付新增一般债券</t>
    <phoneticPr fontId="39" type="noConversion"/>
  </si>
  <si>
    <t>平潭海峡二桥二线通道项目</t>
    <phoneticPr fontId="66" type="noConversion"/>
  </si>
  <si>
    <t>平潭综合实验区社会公共停车场建设项目</t>
    <phoneticPr fontId="66" type="noConversion"/>
  </si>
  <si>
    <t>平潭金井湾跨境电商物流园区</t>
    <phoneticPr fontId="66" type="noConversion"/>
  </si>
  <si>
    <t>平潭澳前保税物流园区二期工程</t>
    <phoneticPr fontId="66" type="noConversion"/>
  </si>
  <si>
    <t>福州港平潭港区金井作业区3#泊位技改工程</t>
    <phoneticPr fontId="66" type="noConversion"/>
  </si>
  <si>
    <t>中广核、大唐海上风电输送路径电力管沟项目</t>
    <phoneticPr fontId="66" type="noConversion"/>
  </si>
  <si>
    <t>平潭竹屿再生水厂（一期）工程</t>
    <phoneticPr fontId="66" type="noConversion"/>
  </si>
  <si>
    <t>平潭污泥处理中心</t>
    <phoneticPr fontId="66" type="noConversion"/>
  </si>
  <si>
    <t>平潭餐厨垃圾处理厂</t>
    <phoneticPr fontId="66" type="noConversion"/>
  </si>
  <si>
    <t>平潭全区配套泵站（一期）工程</t>
  </si>
  <si>
    <t>平潭澳前镇西片供水管网工程</t>
  </si>
  <si>
    <t>平潭乡镇骨灰楼堂建设项目</t>
  </si>
  <si>
    <t>平潭高新产业园示范区</t>
  </si>
  <si>
    <t>平潭国际演艺中心</t>
  </si>
  <si>
    <t>专项债券</t>
    <phoneticPr fontId="39" type="noConversion"/>
  </si>
  <si>
    <t>平潭北部生态廊道</t>
  </si>
  <si>
    <t>平潭壳丘头考古遗址公园-壳丘头遗址博物馆</t>
  </si>
  <si>
    <t>福州至平潭铁路平潭站站房及相关工程</t>
  </si>
  <si>
    <t>平潭综合实验区存量管廊升级改造及维护工程（一期）</t>
  </si>
  <si>
    <t>平潭综合实验区公益性公墓（一期）</t>
  </si>
  <si>
    <t>平潭综合实验区公益性公墓（二期）</t>
  </si>
  <si>
    <t>平潭竹屿再生水厂（一期）工程</t>
  </si>
  <si>
    <t>平潭全区环卫设施建设（除旧城区）5座垃圾转运站项目</t>
  </si>
  <si>
    <t>福州港平潭港区金井作业区3#泊位技改工程</t>
  </si>
  <si>
    <t>京台线平潭段地下综合管廊项目</t>
  </si>
  <si>
    <t>平潭新兴产业园区标准化厂房项目</t>
  </si>
  <si>
    <t>中原安置小区</t>
    <phoneticPr fontId="66" type="noConversion"/>
  </si>
  <si>
    <t>平潭军粮区域配送中心</t>
    <phoneticPr fontId="66" type="noConversion"/>
  </si>
  <si>
    <t>抗疫特别国债</t>
    <phoneticPr fontId="39" type="noConversion"/>
  </si>
  <si>
    <t>外债转贷</t>
    <phoneticPr fontId="39" type="noConversion"/>
  </si>
  <si>
    <t>再融资债券</t>
    <phoneticPr fontId="39" type="noConversion"/>
  </si>
  <si>
    <t>再融资一般债</t>
    <phoneticPr fontId="39" type="noConversion"/>
  </si>
  <si>
    <t>再融资专项债</t>
    <phoneticPr fontId="39" type="noConversion"/>
  </si>
  <si>
    <t>专项债券</t>
    <phoneticPr fontId="2" type="noConversion"/>
  </si>
  <si>
    <t>1.返还性收入</t>
    <phoneticPr fontId="31" type="noConversion"/>
  </si>
  <si>
    <t>2.一般性转移支付收入</t>
    <phoneticPr fontId="31" type="noConversion"/>
  </si>
  <si>
    <t>3.专项转移支付收入</t>
    <phoneticPr fontId="2" type="noConversion"/>
  </si>
  <si>
    <t>扣减：土地收益金提取的教育资金和农田水利建设资金</t>
    <phoneticPr fontId="25" type="noConversion"/>
  </si>
  <si>
    <t xml:space="preserve">      扣减：土地收益金提取的教育资金和农田水利建设资金</t>
    <phoneticPr fontId="25" type="noConversion"/>
  </si>
  <si>
    <t>区宣传办-“扫黄打非”专项业务经费</t>
    <phoneticPr fontId="2" type="noConversion"/>
  </si>
  <si>
    <t>区社会事业局-区精神障碍社区康复中心运营管理经费</t>
    <phoneticPr fontId="2" type="noConversion"/>
  </si>
  <si>
    <t>合计</t>
    <phoneticPr fontId="2" type="noConversion"/>
  </si>
  <si>
    <t xml:space="preserve"> (四)再融资专项债券收入</t>
    <phoneticPr fontId="2" type="noConversion"/>
  </si>
  <si>
    <t xml:space="preserve">  再融资专项债券安排支出</t>
    <phoneticPr fontId="2" type="noConversion"/>
  </si>
  <si>
    <t>(五)调入资金</t>
    <phoneticPr fontId="31" type="noConversion"/>
  </si>
  <si>
    <t>(六)调入预算稳定调节基金</t>
    <phoneticPr fontId="31" type="noConversion"/>
  </si>
  <si>
    <t xml:space="preserve"> (三)专项债券收入</t>
    <phoneticPr fontId="2" type="noConversion"/>
  </si>
  <si>
    <t>(九)一般债券收入</t>
    <phoneticPr fontId="2" type="noConversion"/>
  </si>
  <si>
    <t>(十)再融资一般债劵收入</t>
    <phoneticPr fontId="2" type="noConversion"/>
  </si>
  <si>
    <t>(三)一般债券收入</t>
    <phoneticPr fontId="2" type="noConversion"/>
  </si>
  <si>
    <t>(四)再融资一般债劵收入</t>
    <phoneticPr fontId="2" type="noConversion"/>
  </si>
  <si>
    <t>(三)地方政府置换债券还本</t>
    <phoneticPr fontId="31" type="noConversion"/>
  </si>
  <si>
    <t>(四)一般债券安排的支出</t>
    <phoneticPr fontId="2" type="noConversion"/>
  </si>
  <si>
    <t>(五)再融资一般债劵安排的支出</t>
    <phoneticPr fontId="2" type="noConversion"/>
  </si>
  <si>
    <t xml:space="preserve">  专项债券收入</t>
    <phoneticPr fontId="2" type="noConversion"/>
  </si>
  <si>
    <t xml:space="preserve">  再融资专项债券安排的支出</t>
    <phoneticPr fontId="2" type="noConversion"/>
  </si>
  <si>
    <t>2020年新增债券安排合计</t>
    <phoneticPr fontId="2" type="noConversion"/>
  </si>
  <si>
    <t>调整数</t>
    <phoneticPr fontId="66" type="noConversion"/>
  </si>
  <si>
    <t>君山片区-中原小区商业楼及店面改造工程</t>
    <phoneticPr fontId="2" type="noConversion"/>
  </si>
  <si>
    <t>区城乡交建中心-2020年全区十五座移动公厕</t>
    <phoneticPr fontId="2" type="noConversion"/>
  </si>
  <si>
    <t>区自然资源与生态环境局-全区海漂垃圾整治</t>
    <phoneticPr fontId="2" type="noConversion"/>
  </si>
  <si>
    <t>区城乡交建中心-大练生活垃圾转运站建设项目</t>
    <phoneticPr fontId="2" type="noConversion"/>
  </si>
  <si>
    <t>区自然资源与生态环境局-关于下达2018年土地整理复垦开发专项资金和基本农田保护补助资金预算的通知</t>
    <phoneticPr fontId="2" type="noConversion"/>
  </si>
  <si>
    <t>区财金局-其他支出（委托第三方）</t>
    <phoneticPr fontId="2" type="noConversion"/>
  </si>
  <si>
    <t>区财金局-监督检查与财政绩效管理专项经费</t>
    <phoneticPr fontId="2" type="noConversion"/>
  </si>
  <si>
    <t>2020年再融资债券合计</t>
    <phoneticPr fontId="2" type="noConversion"/>
  </si>
  <si>
    <r>
      <rPr>
        <sz val="20"/>
        <color theme="1"/>
        <rFont val="黑体"/>
        <family val="3"/>
        <charset val="134"/>
      </rPr>
      <t>附件8:平潭2020</t>
    </r>
    <r>
      <rPr>
        <sz val="20"/>
        <color indexed="8"/>
        <rFont val="黑体"/>
        <family val="3"/>
        <charset val="134"/>
      </rPr>
      <t>年重点项目预算调整明细表</t>
    </r>
  </si>
  <si>
    <t>序号</t>
  </si>
  <si>
    <t>功能科目</t>
  </si>
  <si>
    <t>资金性质</t>
  </si>
  <si>
    <t>调整数</t>
  </si>
  <si>
    <t>调整后预算</t>
  </si>
  <si>
    <t>原来</t>
  </si>
  <si>
    <t>合计</t>
  </si>
  <si>
    <t>总计</t>
  </si>
  <si>
    <t>一、重点项目调整合计</t>
  </si>
  <si>
    <t>失地农民保障金</t>
  </si>
  <si>
    <t>[2120805]补助被征地农民支出</t>
  </si>
  <si>
    <t>[12]政府性基金</t>
  </si>
  <si>
    <t>平潭综合实验区党工委党校（区行政学院）区公共实训基地</t>
  </si>
  <si>
    <t>[2120803]城市建设支出</t>
  </si>
  <si>
    <t>平潭综合实验区主题党日馆改（扩）建工程</t>
  </si>
  <si>
    <t>平潭西航第一幼儿园及白鹭社区</t>
  </si>
  <si>
    <t>平潭中楼中心幼儿园</t>
  </si>
  <si>
    <t>平原中心幼儿园（改扩建）</t>
  </si>
  <si>
    <t>平潭滨湖小学</t>
  </si>
  <si>
    <t>平潭城北小学改扩建</t>
  </si>
  <si>
    <t>平潭中湖小学</t>
  </si>
  <si>
    <t>平潭龙南初中（改扩建）工程</t>
  </si>
  <si>
    <t>平潭国彩学校改扩建</t>
  </si>
  <si>
    <t>大卫幼儿园</t>
  </si>
  <si>
    <t>粮食园周边路网</t>
  </si>
  <si>
    <t>南澳二路（环岛路西侧段）</t>
  </si>
  <si>
    <t>旧城区道路改造</t>
  </si>
  <si>
    <t>海坛东路（和平大道至金峰西路段）</t>
  </si>
  <si>
    <t>金田路管网工程（山门路-新湖路）</t>
  </si>
  <si>
    <t>十八村公园</t>
  </si>
  <si>
    <t>二桥二线通道信息化项目（一期）</t>
  </si>
  <si>
    <t>中国一带一路官网平潭专题和一带一路大数据可视化展现系统项目</t>
  </si>
  <si>
    <t>第二届数字中国建设成果展览会平潭展馆建设项目</t>
  </si>
  <si>
    <t>大练乡旅游环岛路</t>
  </si>
  <si>
    <t>福平大道完善工程（福平互通段（麒麟路-中山大道互通））</t>
  </si>
  <si>
    <t>区公安信息化平台</t>
  </si>
  <si>
    <t>平潭公安指挥情报中心</t>
  </si>
  <si>
    <t>机动指挥平台</t>
  </si>
  <si>
    <t>平潭综合实验区澳前社区卫生服务中心</t>
  </si>
  <si>
    <t>福人居公益性骨灰楼堂</t>
  </si>
  <si>
    <t>屿头忠孝文化广场</t>
  </si>
  <si>
    <t>东庠乡骨灰楼堂及涉迁坟墓安置区</t>
  </si>
  <si>
    <t>区公益性公墓</t>
  </si>
  <si>
    <t>平潭综合实验区全区环卫设施建设（除旧城区）工程</t>
  </si>
  <si>
    <t>京台线平潭段综合管廊</t>
  </si>
  <si>
    <t>北部生态廊道</t>
  </si>
  <si>
    <t>全区泵站（一期）</t>
  </si>
  <si>
    <t>餐厨垃圾处理厂项目</t>
  </si>
  <si>
    <t>平潭污泥处理中心</t>
  </si>
  <si>
    <t>澳前镇西片供水管网工程</t>
  </si>
  <si>
    <t>竹屿再生水厂一期</t>
  </si>
  <si>
    <t>平潭农村公路提升改造工程包（一期）</t>
  </si>
  <si>
    <t>国际演艺中心</t>
  </si>
  <si>
    <t>区旅游文化服务中心-考古基地物业运营经费</t>
    <phoneticPr fontId="2" type="noConversion"/>
  </si>
  <si>
    <t>2069999-其他科学技术支出</t>
    <phoneticPr fontId="2" type="noConversion"/>
  </si>
  <si>
    <t>财政预留-全区增资、正常调资及晋档等</t>
    <phoneticPr fontId="2" type="noConversion"/>
  </si>
  <si>
    <t>2019999-其他一般公共服务支出</t>
    <phoneticPr fontId="2" type="noConversion"/>
  </si>
  <si>
    <t>区社会事业局-三格化粪池户厕改造经费与前期无害化户厕末端衔接经费</t>
    <phoneticPr fontId="2" type="noConversion"/>
  </si>
  <si>
    <t>2120199-其他城乡社区管理事务支出</t>
    <phoneticPr fontId="2" type="noConversion"/>
  </si>
  <si>
    <t>区计生协-农村五大员、村级计生协会会长及小组长等补贴</t>
    <phoneticPr fontId="2" type="noConversion"/>
  </si>
  <si>
    <t>区市场监督局-食安办监管经费</t>
    <phoneticPr fontId="2" type="noConversion"/>
  </si>
  <si>
    <t>2013899-其他市场监督管理事务</t>
    <phoneticPr fontId="2" type="noConversion"/>
  </si>
  <si>
    <t>区社会事业局-助学贷款贴息</t>
    <phoneticPr fontId="2" type="noConversion"/>
  </si>
  <si>
    <t>区社区事业局-临时社会救助调整标准配套资金</t>
    <phoneticPr fontId="2" type="noConversion"/>
  </si>
  <si>
    <t>2082001-临时救助支出</t>
    <phoneticPr fontId="2" type="noConversion"/>
  </si>
  <si>
    <t>区社会事业局-厦大研究院启动经费</t>
    <phoneticPr fontId="2" type="noConversion"/>
  </si>
  <si>
    <t>交建局-公交运营补助</t>
    <phoneticPr fontId="2" type="noConversion"/>
  </si>
  <si>
    <t>区经发局-中科院半导体所与管委会联合实验室运行经费</t>
    <phoneticPr fontId="71" type="noConversion"/>
  </si>
  <si>
    <t>区社会事业局-融合试点村（居）工作经费</t>
    <phoneticPr fontId="2" type="noConversion"/>
  </si>
  <si>
    <t>2080299-其他民政管理事务支出</t>
    <phoneticPr fontId="2" type="noConversion"/>
  </si>
  <si>
    <t>区自然资源与生态环境局-海域海岛使用权出让前期相关工作经费</t>
    <phoneticPr fontId="2" type="noConversion"/>
  </si>
  <si>
    <t>2200120-海岛与海域管理</t>
    <phoneticPr fontId="2" type="noConversion"/>
  </si>
  <si>
    <t>2070305-体育竞赛</t>
    <phoneticPr fontId="2" type="noConversion"/>
  </si>
  <si>
    <t>2010607-信息化建设</t>
    <phoneticPr fontId="71" type="noConversion"/>
  </si>
  <si>
    <t>区财金局-政府采购网上公开信息系统维护费</t>
    <phoneticPr fontId="2" type="noConversion"/>
  </si>
  <si>
    <t>区财金局-其他支出（大招商）</t>
    <phoneticPr fontId="2" type="noConversion"/>
  </si>
  <si>
    <t xml:space="preserve"> 2011308-招商引资</t>
    <phoneticPr fontId="71" type="noConversion"/>
  </si>
  <si>
    <t>区社会事业局-城市居民最低生活保障</t>
    <phoneticPr fontId="2" type="noConversion"/>
  </si>
  <si>
    <t>区财金局-全区财政财务人员培训费</t>
    <phoneticPr fontId="2" type="noConversion"/>
  </si>
  <si>
    <t>区财金局-专项业务费（办公费）</t>
    <phoneticPr fontId="2" type="noConversion"/>
  </si>
  <si>
    <t>金井片区-金井行政服务中心扩建工程</t>
    <phoneticPr fontId="2" type="noConversion"/>
  </si>
  <si>
    <t>附件9:平潭2020年部门经费调整明细表</t>
    <phoneticPr fontId="2" type="noConversion"/>
  </si>
  <si>
    <t>单位：万元</t>
    <phoneticPr fontId="66" type="noConversion"/>
  </si>
  <si>
    <t>项目</t>
    <phoneticPr fontId="66" type="noConversion"/>
  </si>
  <si>
    <t>功能科目</t>
    <phoneticPr fontId="2" type="noConversion"/>
  </si>
  <si>
    <t>调整后预算</t>
    <phoneticPr fontId="66" type="noConversion"/>
  </si>
  <si>
    <t>区行政审批局-各类产业奖补</t>
    <phoneticPr fontId="2" type="noConversion"/>
  </si>
  <si>
    <t>2010301-行政运行</t>
    <phoneticPr fontId="2" type="noConversion"/>
  </si>
  <si>
    <t>2013302-一般行政管理事务</t>
    <phoneticPr fontId="2" type="noConversion"/>
  </si>
  <si>
    <t>区宣传办-创城项目经费</t>
    <phoneticPr fontId="2" type="noConversion"/>
  </si>
  <si>
    <t>区公安局-交通路面标志、标线、信号灯等设施购置、维护和违章事故车辆处理费及交通安全宣传费</t>
    <phoneticPr fontId="2" type="noConversion"/>
  </si>
  <si>
    <t>2040202-一般行政管理事务</t>
    <phoneticPr fontId="2" type="noConversion"/>
  </si>
  <si>
    <t>区城乡交建中心-城乡城关路灯电费</t>
    <phoneticPr fontId="2" type="noConversion"/>
  </si>
  <si>
    <t>2120501-城乡社区环境卫生</t>
    <phoneticPr fontId="2" type="noConversion"/>
  </si>
  <si>
    <t>区城乡交建中心-平原、白青、流水、苏澳四个垃圾转运站改造项目</t>
    <phoneticPr fontId="2" type="noConversion"/>
  </si>
  <si>
    <t>苏平片区-专项业务费（幸福洋二期垦区诉讼案评估费）</t>
    <phoneticPr fontId="2" type="noConversion"/>
  </si>
  <si>
    <t>区社会事业局-区领导医疗保健经费（二级保健对象）</t>
    <phoneticPr fontId="2" type="noConversion"/>
  </si>
  <si>
    <t>2100101-行政运行</t>
    <phoneticPr fontId="2" type="noConversion"/>
  </si>
  <si>
    <t>2050299-其他普通教育支出</t>
    <phoneticPr fontId="2" type="noConversion"/>
  </si>
  <si>
    <t>2050199-其他教育管理事务支出</t>
    <phoneticPr fontId="2" type="noConversion"/>
  </si>
  <si>
    <t>区社会事业局-农村最低生活保障</t>
    <phoneticPr fontId="2" type="noConversion"/>
  </si>
  <si>
    <t>2081902-农村最低生活保障金支出</t>
    <phoneticPr fontId="2" type="noConversion"/>
  </si>
  <si>
    <t>2149901-公共交通运营补助</t>
    <phoneticPr fontId="2" type="noConversion"/>
  </si>
  <si>
    <t>2010402-一般行政管理事务</t>
    <phoneticPr fontId="2" type="noConversion"/>
  </si>
  <si>
    <t>区旅游文体局-世界残疾人沙滩排球赛</t>
    <phoneticPr fontId="2" type="noConversion"/>
  </si>
  <si>
    <t>2010402-人员科技装备</t>
    <phoneticPr fontId="2" type="noConversion"/>
  </si>
  <si>
    <t>区财金局-行政单位自查清查登记费</t>
    <phoneticPr fontId="2" type="noConversion"/>
  </si>
  <si>
    <t>平潭人武部-哨所民兵补助</t>
    <phoneticPr fontId="71" type="noConversion"/>
  </si>
  <si>
    <t>2030607-民兵</t>
    <phoneticPr fontId="2" type="noConversion"/>
  </si>
  <si>
    <t>2010602-一般行政管理事务</t>
    <phoneticPr fontId="71" type="noConversion"/>
  </si>
  <si>
    <t xml:space="preserve"> 2081901-城市最低生活保障金支出</t>
    <phoneticPr fontId="2" type="noConversion"/>
  </si>
  <si>
    <t>区财金中心-专项业务费</t>
    <phoneticPr fontId="2" type="noConversion"/>
  </si>
  <si>
    <t>2010650-事业运行</t>
    <phoneticPr fontId="71" type="noConversion"/>
  </si>
  <si>
    <t>区财金局-其他支出（向上争取奖励性支出）</t>
    <phoneticPr fontId="2" type="noConversion"/>
  </si>
  <si>
    <t>2011302-一般行政管理事务</t>
    <phoneticPr fontId="2" type="noConversion"/>
  </si>
  <si>
    <t>区经发局-区高新办专项业务费</t>
    <phoneticPr fontId="71" type="noConversion"/>
  </si>
  <si>
    <t>财政预留-其他支出</t>
    <phoneticPr fontId="2" type="noConversion"/>
  </si>
  <si>
    <t>2299901-其他支出</t>
    <phoneticPr fontId="2" type="noConversion"/>
  </si>
  <si>
    <t>财政预留-片区（乡镇）财政税收体制分成</t>
    <phoneticPr fontId="2" type="noConversion"/>
  </si>
  <si>
    <t>筹融资专项补助资金</t>
  </si>
  <si>
    <t>西部生态廊道（含环白青乡生态廊道）</t>
  </si>
  <si>
    <t>区公安局-平潭监管场所项目尾款</t>
  </si>
  <si>
    <t>偿债支出</t>
  </si>
  <si>
    <r>
      <rPr>
        <sz val="12"/>
        <rFont val="宋体"/>
        <family val="3"/>
        <charset val="134"/>
      </rPr>
      <t>[30701]国内债务付息</t>
    </r>
  </si>
  <si>
    <t>全区配电工程（代管）</t>
  </si>
  <si>
    <t>2013301-行政运行</t>
    <phoneticPr fontId="2" type="noConversion"/>
  </si>
  <si>
    <t>区经发局-人口变动情况抽样调查经费</t>
    <phoneticPr fontId="2" type="noConversion"/>
  </si>
  <si>
    <t>区党群部-各类培训费</t>
    <phoneticPr fontId="2" type="noConversion"/>
  </si>
  <si>
    <t>2013202-一般行政管理事务</t>
    <phoneticPr fontId="2" type="noConversion"/>
  </si>
  <si>
    <t>2070102-一般行政管理事务</t>
    <phoneticPr fontId="2" type="noConversion"/>
  </si>
  <si>
    <t>2100199-其他卫生健康管理事务</t>
    <phoneticPr fontId="2" type="noConversion"/>
  </si>
  <si>
    <t>2110499-其他自然生态保护</t>
    <phoneticPr fontId="2" type="noConversion"/>
  </si>
  <si>
    <t>2200199-其他自然资源事务支出</t>
    <phoneticPr fontId="2" type="noConversion"/>
  </si>
  <si>
    <t>区社会事业局-终身教育</t>
    <phoneticPr fontId="2" type="noConversion"/>
  </si>
  <si>
    <t>区疾病预防控制中心-疫苗成本（含劳务费）</t>
    <phoneticPr fontId="2" type="noConversion"/>
  </si>
  <si>
    <t>2100401-疾病预防控制机构</t>
    <phoneticPr fontId="2" type="noConversion"/>
  </si>
  <si>
    <t>区社会事业局-信息技术学院学生补助</t>
    <phoneticPr fontId="2" type="noConversion"/>
  </si>
  <si>
    <t>2059999-其他教育支出</t>
    <phoneticPr fontId="2" type="noConversion"/>
  </si>
  <si>
    <t>区经发局-充电基础设施补助专项经费</t>
    <phoneticPr fontId="2" type="noConversion"/>
  </si>
  <si>
    <t>2010607-信息化建设</t>
    <phoneticPr fontId="2" type="noConversion"/>
  </si>
  <si>
    <t xml:space="preserve"> 2010402-一般行政管理事务</t>
    <phoneticPr fontId="2" type="noConversion"/>
  </si>
  <si>
    <t>2010602-一般行政管理事务</t>
    <phoneticPr fontId="2" type="noConversion"/>
  </si>
  <si>
    <t>区国资局-专项业务经费（含因公出国境）</t>
    <phoneticPr fontId="2" type="noConversion"/>
  </si>
  <si>
    <t>区经发局-工程咨询领域第三方信用评级工作经费</t>
    <phoneticPr fontId="2" type="noConversion"/>
  </si>
  <si>
    <t xml:space="preserve"> 2010699-其他财政事务支出</t>
    <phoneticPr fontId="2" type="noConversion"/>
  </si>
  <si>
    <t>区经发局-总部经济产业工作经费</t>
    <phoneticPr fontId="2" type="noConversion"/>
  </si>
  <si>
    <t>区交建中心-南海乡后坑村美丽乡村医生村项目建设</t>
    <phoneticPr fontId="2" type="noConversion"/>
  </si>
  <si>
    <t>区经发局-5．18、6．18、9．8等各类投资招商会及闽东北区域协作工作经费</t>
    <phoneticPr fontId="71" type="noConversion"/>
  </si>
  <si>
    <t>年度预算</t>
    <phoneticPr fontId="2" type="noConversion"/>
  </si>
  <si>
    <t>苏平路（坛西大道-环岛西路段）</t>
    <phoneticPr fontId="66" type="noConversion"/>
  </si>
  <si>
    <t xml:space="preserve">  国有土地使用权出让收入安排的支出</t>
    <phoneticPr fontId="25" type="noConversion"/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</si>
</sst>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176" formatCode="0_ "/>
    <numFmt numFmtId="177" formatCode="0.00_);[Red]\(0.00\)"/>
    <numFmt numFmtId="178" formatCode="0.00_ "/>
    <numFmt numFmtId="179" formatCode="0_);[Red]\(0\)"/>
    <numFmt numFmtId="180" formatCode="0.0_);[Red]\(0.0\)"/>
    <numFmt numFmtId="181" formatCode="#,##0.00_ "/>
  </numFmts>
  <fonts count="82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12"/>
      <name val="Times New Roman"/>
      <family val="1"/>
    </font>
    <font>
      <sz val="11"/>
      <color indexed="8"/>
      <name val="宋体"/>
      <family val="3"/>
      <charset val="134"/>
    </font>
    <font>
      <sz val="10"/>
      <name val="Arial"/>
      <family val="2"/>
    </font>
    <font>
      <sz val="10"/>
      <name val="Helv"/>
      <family val="2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name val="宋体"/>
      <family val="3"/>
      <charset val="134"/>
    </font>
    <font>
      <sz val="18"/>
      <name val="黑体"/>
      <family val="3"/>
      <charset val="134"/>
    </font>
    <font>
      <sz val="12"/>
      <name val="Arial"/>
      <family val="2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Times New Roman"/>
      <family val="1"/>
    </font>
    <font>
      <b/>
      <sz val="11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1"/>
      <name val="宋体"/>
      <family val="3"/>
      <charset val="134"/>
      <scheme val="minor"/>
    </font>
    <font>
      <sz val="16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0"/>
      <color rgb="FFFF0000"/>
      <name val="宋体"/>
      <family val="3"/>
      <charset val="134"/>
    </font>
    <font>
      <sz val="12"/>
      <name val="宋体"/>
      <family val="3"/>
      <charset val="134"/>
    </font>
    <font>
      <sz val="18"/>
      <color theme="1"/>
      <name val="黑体"/>
      <family val="3"/>
      <charset val="134"/>
    </font>
    <font>
      <sz val="18"/>
      <color indexed="8"/>
      <name val="黑体"/>
      <family val="3"/>
      <charset val="134"/>
    </font>
    <font>
      <sz val="12"/>
      <color theme="1"/>
      <name val="宋体"/>
      <family val="3"/>
      <charset val="134"/>
      <scheme val="minor"/>
    </font>
    <font>
      <sz val="12"/>
      <color indexed="8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rgb="FFFF0000"/>
      <name val="Arial"/>
      <family val="2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2"/>
      <name val="宋体"/>
      <family val="3"/>
      <charset val="134"/>
    </font>
    <font>
      <sz val="20"/>
      <color theme="1"/>
      <name val="黑体"/>
      <family val="3"/>
      <charset val="134"/>
    </font>
    <font>
      <sz val="20"/>
      <color indexed="8"/>
      <name val="黑体"/>
      <family val="3"/>
      <charset val="134"/>
    </font>
    <font>
      <b/>
      <sz val="12"/>
      <color theme="1"/>
      <name val="宋体"/>
      <family val="3"/>
      <charset val="134"/>
      <scheme val="minor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b/>
      <sz val="8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4"/>
      <name val="宋体"/>
      <family val="3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8">
    <xf numFmtId="0" fontId="0" fillId="0" borderId="0"/>
    <xf numFmtId="0" fontId="1" fillId="0" borderId="0"/>
    <xf numFmtId="0" fontId="5" fillId="0" borderId="0"/>
    <xf numFmtId="0" fontId="8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32" fillId="0" borderId="0">
      <alignment vertical="center"/>
    </xf>
    <xf numFmtId="0" fontId="6" fillId="0" borderId="0">
      <alignment vertical="center"/>
    </xf>
    <xf numFmtId="0" fontId="3" fillId="0" borderId="0"/>
    <xf numFmtId="0" fontId="1" fillId="0" borderId="0"/>
    <xf numFmtId="0" fontId="15" fillId="4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16" borderId="5" applyNumberFormat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16" borderId="8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8" fillId="0" borderId="0"/>
    <xf numFmtId="0" fontId="7" fillId="23" borderId="9" applyNumberFormat="0" applyFont="0" applyAlignment="0" applyProtection="0">
      <alignment vertical="center"/>
    </xf>
    <xf numFmtId="0" fontId="60" fillId="0" borderId="0"/>
    <xf numFmtId="43" fontId="65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</cellStyleXfs>
  <cellXfs count="318">
    <xf numFmtId="0" fontId="0" fillId="0" borderId="0" xfId="0"/>
    <xf numFmtId="0" fontId="1" fillId="0" borderId="0" xfId="33" applyFill="1"/>
    <xf numFmtId="0" fontId="4" fillId="0" borderId="0" xfId="33" applyFont="1" applyFill="1"/>
    <xf numFmtId="0" fontId="0" fillId="0" borderId="0" xfId="0" applyFill="1"/>
    <xf numFmtId="0" fontId="5" fillId="0" borderId="0" xfId="0" applyFont="1" applyFill="1"/>
    <xf numFmtId="0" fontId="0" fillId="0" borderId="0" xfId="0" applyFill="1" applyAlignment="1"/>
    <xf numFmtId="0" fontId="1" fillId="0" borderId="0" xfId="33" applyFill="1" applyAlignment="1"/>
    <xf numFmtId="0" fontId="1" fillId="0" borderId="0" xfId="1" applyFont="1" applyAlignment="1">
      <alignment horizontal="center" vertical="center" wrapText="1"/>
    </xf>
    <xf numFmtId="57" fontId="27" fillId="0" borderId="0" xfId="1" applyNumberFormat="1" applyFont="1" applyBorder="1" applyAlignment="1">
      <alignment horizontal="center"/>
    </xf>
    <xf numFmtId="0" fontId="29" fillId="0" borderId="0" xfId="33" applyFont="1" applyFill="1"/>
    <xf numFmtId="0" fontId="29" fillId="0" borderId="0" xfId="0" applyFont="1" applyFill="1"/>
    <xf numFmtId="0" fontId="28" fillId="0" borderId="0" xfId="0" applyFont="1" applyFill="1"/>
    <xf numFmtId="0" fontId="26" fillId="0" borderId="0" xfId="1" applyFont="1" applyAlignment="1"/>
    <xf numFmtId="0" fontId="0" fillId="0" borderId="0" xfId="0" applyAlignment="1">
      <alignment horizontal="left" vertical="center" wrapText="1"/>
    </xf>
    <xf numFmtId="0" fontId="36" fillId="0" borderId="10" xfId="0" applyFont="1" applyFill="1" applyBorder="1" applyAlignment="1">
      <alignment horizontal="left" vertical="center" wrapText="1"/>
    </xf>
    <xf numFmtId="0" fontId="33" fillId="0" borderId="0" xfId="1" applyFont="1"/>
    <xf numFmtId="0" fontId="34" fillId="0" borderId="10" xfId="0" applyFont="1" applyFill="1" applyBorder="1" applyAlignment="1">
      <alignment horizontal="center" vertical="center"/>
    </xf>
    <xf numFmtId="3" fontId="34" fillId="0" borderId="10" xfId="33" applyNumberFormat="1" applyFont="1" applyFill="1" applyBorder="1" applyAlignment="1">
      <alignment horizontal="left" vertical="center" wrapText="1"/>
    </xf>
    <xf numFmtId="0" fontId="33" fillId="0" borderId="10" xfId="33" applyFont="1" applyFill="1" applyBorder="1" applyAlignment="1">
      <alignment horizontal="left" vertical="center" wrapText="1"/>
    </xf>
    <xf numFmtId="0" fontId="34" fillId="0" borderId="10" xfId="0" applyFont="1" applyFill="1" applyBorder="1" applyAlignment="1" applyProtection="1">
      <alignment horizontal="left" vertical="center" indent="1"/>
      <protection locked="0"/>
    </xf>
    <xf numFmtId="3" fontId="34" fillId="0" borderId="10" xfId="33" applyNumberFormat="1" applyFont="1" applyFill="1" applyBorder="1" applyAlignment="1">
      <alignment horizontal="left" vertical="center"/>
    </xf>
    <xf numFmtId="176" fontId="34" fillId="0" borderId="10" xfId="33" applyNumberFormat="1" applyFont="1" applyFill="1" applyBorder="1" applyAlignment="1">
      <alignment horizontal="left" vertical="center" wrapText="1"/>
    </xf>
    <xf numFmtId="0" fontId="36" fillId="0" borderId="0" xfId="0" applyFont="1" applyFill="1"/>
    <xf numFmtId="0" fontId="36" fillId="0" borderId="10" xfId="0" applyNumberFormat="1" applyFont="1" applyFill="1" applyBorder="1" applyAlignment="1" applyProtection="1">
      <alignment vertical="center"/>
    </xf>
    <xf numFmtId="3" fontId="35" fillId="0" borderId="10" xfId="0" applyNumberFormat="1" applyFont="1" applyFill="1" applyBorder="1" applyAlignment="1" applyProtection="1">
      <alignment horizontal="center" vertical="center"/>
    </xf>
    <xf numFmtId="0" fontId="0" fillId="0" borderId="10" xfId="0" applyFill="1" applyBorder="1" applyAlignment="1">
      <alignment horizontal="left" vertical="center" wrapText="1"/>
    </xf>
    <xf numFmtId="0" fontId="38" fillId="0" borderId="0" xfId="1" applyFont="1" applyFill="1" applyBorder="1" applyAlignment="1">
      <alignment horizontal="right" vertical="center"/>
    </xf>
    <xf numFmtId="0" fontId="0" fillId="25" borderId="0" xfId="0" applyFill="1" applyBorder="1" applyAlignment="1"/>
    <xf numFmtId="0" fontId="49" fillId="25" borderId="0" xfId="0" applyFont="1" applyFill="1" applyBorder="1" applyAlignment="1">
      <alignment horizontal="center"/>
    </xf>
    <xf numFmtId="0" fontId="0" fillId="25" borderId="0" xfId="0" applyFill="1" applyAlignment="1"/>
    <xf numFmtId="0" fontId="51" fillId="0" borderId="0" xfId="0" applyFont="1" applyFill="1" applyAlignment="1">
      <alignment horizontal="center" vertical="center" wrapText="1"/>
    </xf>
    <xf numFmtId="0" fontId="52" fillId="0" borderId="0" xfId="0" applyFont="1" applyFill="1" applyAlignment="1">
      <alignment horizontal="center" vertical="center" wrapText="1"/>
    </xf>
    <xf numFmtId="0" fontId="0" fillId="0" borderId="10" xfId="0" applyFill="1" applyBorder="1" applyAlignment="1">
      <alignment vertical="center" wrapText="1"/>
    </xf>
    <xf numFmtId="0" fontId="42" fillId="0" borderId="0" xfId="0" applyFont="1" applyFill="1"/>
    <xf numFmtId="0" fontId="42" fillId="0" borderId="0" xfId="0" applyFont="1"/>
    <xf numFmtId="0" fontId="44" fillId="0" borderId="0" xfId="33" applyFont="1" applyFill="1"/>
    <xf numFmtId="0" fontId="42" fillId="0" borderId="0" xfId="33" applyFont="1" applyFill="1"/>
    <xf numFmtId="0" fontId="43" fillId="0" borderId="0" xfId="0" applyFont="1" applyFill="1"/>
    <xf numFmtId="0" fontId="42" fillId="0" borderId="1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33" fillId="0" borderId="0" xfId="33" applyFont="1" applyFill="1" applyAlignment="1">
      <alignment horizontal="center"/>
    </xf>
    <xf numFmtId="0" fontId="34" fillId="0" borderId="14" xfId="33" applyFont="1" applyFill="1" applyBorder="1" applyAlignment="1">
      <alignment horizontal="center" vertical="center"/>
    </xf>
    <xf numFmtId="0" fontId="34" fillId="0" borderId="10" xfId="33" applyFont="1" applyFill="1" applyBorder="1" applyAlignment="1">
      <alignment horizontal="center" vertical="center"/>
    </xf>
    <xf numFmtId="0" fontId="33" fillId="0" borderId="10" xfId="33" applyFont="1" applyFill="1" applyBorder="1" applyAlignment="1">
      <alignment horizontal="center" vertical="center"/>
    </xf>
    <xf numFmtId="0" fontId="1" fillId="0" borderId="0" xfId="33" applyFill="1" applyAlignment="1">
      <alignment horizontal="center"/>
    </xf>
    <xf numFmtId="0" fontId="33" fillId="0" borderId="0" xfId="1" applyFont="1" applyAlignment="1">
      <alignment horizontal="center"/>
    </xf>
    <xf numFmtId="0" fontId="33" fillId="0" borderId="10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36" fillId="0" borderId="12" xfId="0" applyNumberFormat="1" applyFont="1" applyFill="1" applyBorder="1" applyAlignment="1" applyProtection="1">
      <alignment horizontal="center" vertical="center"/>
    </xf>
    <xf numFmtId="176" fontId="36" fillId="0" borderId="10" xfId="0" applyNumberFormat="1" applyFont="1" applyBorder="1" applyAlignment="1">
      <alignment horizontal="center" vertical="center"/>
    </xf>
    <xf numFmtId="3" fontId="36" fillId="0" borderId="10" xfId="0" applyNumberFormat="1" applyFont="1" applyFill="1" applyBorder="1" applyAlignment="1" applyProtection="1">
      <alignment horizontal="center" vertical="center"/>
    </xf>
    <xf numFmtId="0" fontId="5" fillId="0" borderId="0" xfId="0" applyFont="1" applyFill="1" applyAlignment="1">
      <alignment horizontal="center"/>
    </xf>
    <xf numFmtId="176" fontId="33" fillId="0" borderId="10" xfId="33" applyNumberFormat="1" applyFont="1" applyFill="1" applyBorder="1" applyAlignment="1">
      <alignment horizontal="center" vertical="center"/>
    </xf>
    <xf numFmtId="0" fontId="36" fillId="0" borderId="10" xfId="0" applyFont="1" applyFill="1" applyBorder="1" applyAlignment="1">
      <alignment horizontal="center" vertical="center" wrapText="1"/>
    </xf>
    <xf numFmtId="179" fontId="36" fillId="0" borderId="10" xfId="0" applyNumberFormat="1" applyFont="1" applyBorder="1" applyAlignment="1">
      <alignment horizontal="center" vertical="center"/>
    </xf>
    <xf numFmtId="0" fontId="0" fillId="0" borderId="10" xfId="0" applyFill="1" applyBorder="1" applyAlignment="1">
      <alignment horizontal="center" vertical="center" wrapText="1"/>
    </xf>
    <xf numFmtId="176" fontId="37" fillId="0" borderId="10" xfId="33" applyNumberFormat="1" applyFont="1" applyFill="1" applyBorder="1" applyAlignment="1">
      <alignment horizontal="center" vertical="center"/>
    </xf>
    <xf numFmtId="0" fontId="45" fillId="0" borderId="10" xfId="0" applyFont="1" applyFill="1" applyBorder="1" applyAlignment="1" applyProtection="1">
      <alignment vertical="center" shrinkToFit="1"/>
      <protection locked="0"/>
    </xf>
    <xf numFmtId="0" fontId="0" fillId="0" borderId="0" xfId="0" applyAlignment="1"/>
    <xf numFmtId="0" fontId="1" fillId="0" borderId="0" xfId="1" applyFont="1" applyBorder="1" applyAlignment="1">
      <alignment horizontal="center"/>
    </xf>
    <xf numFmtId="0" fontId="28" fillId="0" borderId="0" xfId="0" applyFont="1" applyAlignment="1"/>
    <xf numFmtId="176" fontId="28" fillId="24" borderId="10" xfId="1" applyNumberFormat="1" applyFont="1" applyFill="1" applyBorder="1" applyAlignment="1">
      <alignment horizontal="center" vertical="center"/>
    </xf>
    <xf numFmtId="0" fontId="4" fillId="0" borderId="0" xfId="0" applyFont="1" applyAlignment="1"/>
    <xf numFmtId="0" fontId="1" fillId="24" borderId="10" xfId="1" applyFont="1" applyFill="1" applyBorder="1" applyAlignment="1">
      <alignment horizontal="center" vertical="center"/>
    </xf>
    <xf numFmtId="0" fontId="1" fillId="24" borderId="10" xfId="1" applyNumberFormat="1" applyFont="1" applyFill="1" applyBorder="1" applyAlignment="1">
      <alignment horizontal="center" vertical="center"/>
    </xf>
    <xf numFmtId="0" fontId="1" fillId="0" borderId="10" xfId="1" applyFont="1" applyFill="1" applyBorder="1" applyAlignment="1">
      <alignment horizontal="center" vertical="center"/>
    </xf>
    <xf numFmtId="0" fontId="1" fillId="24" borderId="10" xfId="1" applyFont="1" applyFill="1" applyBorder="1" applyAlignment="1">
      <alignment horizontal="left" vertical="center" wrapText="1"/>
    </xf>
    <xf numFmtId="0" fontId="28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0" borderId="0" xfId="1" applyFont="1" applyFill="1"/>
    <xf numFmtId="0" fontId="7" fillId="0" borderId="0" xfId="1" applyFont="1" applyFill="1" applyAlignment="1">
      <alignment horizontal="center"/>
    </xf>
    <xf numFmtId="0" fontId="46" fillId="0" borderId="0" xfId="1" applyFont="1"/>
    <xf numFmtId="31" fontId="46" fillId="0" borderId="0" xfId="1" applyNumberFormat="1" applyFont="1" applyBorder="1" applyAlignment="1">
      <alignment horizontal="right"/>
    </xf>
    <xf numFmtId="0" fontId="41" fillId="0" borderId="0" xfId="33" applyFont="1" applyFill="1" applyAlignment="1">
      <alignment horizontal="right"/>
    </xf>
    <xf numFmtId="0" fontId="27" fillId="0" borderId="0" xfId="1" applyFont="1" applyAlignment="1">
      <alignment horizontal="right"/>
    </xf>
    <xf numFmtId="176" fontId="1" fillId="0" borderId="0" xfId="1" applyNumberFormat="1" applyFont="1" applyAlignment="1">
      <alignment horizontal="center" vertical="center" wrapText="1"/>
    </xf>
    <xf numFmtId="0" fontId="35" fillId="0" borderId="0" xfId="0" applyFont="1" applyFill="1" applyBorder="1" applyAlignment="1">
      <alignment horizontal="left" vertical="center" wrapText="1"/>
    </xf>
    <xf numFmtId="176" fontId="35" fillId="0" borderId="0" xfId="0" applyNumberFormat="1" applyFont="1" applyBorder="1" applyAlignment="1">
      <alignment horizontal="center" vertical="center"/>
    </xf>
    <xf numFmtId="0" fontId="36" fillId="0" borderId="0" xfId="0" applyFont="1" applyFill="1" applyBorder="1" applyAlignment="1">
      <alignment horizontal="left" vertical="center" wrapText="1"/>
    </xf>
    <xf numFmtId="176" fontId="33" fillId="0" borderId="0" xfId="33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1" applyNumberFormat="1" applyFont="1" applyFill="1"/>
    <xf numFmtId="0" fontId="55" fillId="0" borderId="0" xfId="1" applyFont="1" applyFill="1"/>
    <xf numFmtId="0" fontId="7" fillId="0" borderId="0" xfId="1" applyNumberFormat="1" applyFont="1" applyFill="1" applyAlignment="1">
      <alignment horizontal="center"/>
    </xf>
    <xf numFmtId="0" fontId="0" fillId="0" borderId="10" xfId="1" applyFont="1" applyFill="1" applyBorder="1" applyAlignment="1">
      <alignment horizontal="center" vertical="center"/>
    </xf>
    <xf numFmtId="0" fontId="4" fillId="0" borderId="10" xfId="0" applyFont="1" applyBorder="1" applyAlignment="1"/>
    <xf numFmtId="0" fontId="26" fillId="0" borderId="0" xfId="1" applyFont="1" applyAlignment="1">
      <alignment horizontal="center"/>
    </xf>
    <xf numFmtId="0" fontId="53" fillId="0" borderId="10" xfId="0" applyFont="1" applyFill="1" applyBorder="1" applyAlignment="1">
      <alignment horizontal="center" vertical="center"/>
    </xf>
    <xf numFmtId="0" fontId="1" fillId="0" borderId="12" xfId="1" applyFont="1" applyBorder="1" applyAlignment="1"/>
    <xf numFmtId="0" fontId="0" fillId="0" borderId="12" xfId="0" applyBorder="1" applyAlignment="1"/>
    <xf numFmtId="0" fontId="57" fillId="0" borderId="10" xfId="1" applyFont="1" applyFill="1" applyBorder="1" applyAlignment="1">
      <alignment horizontal="center" vertical="center"/>
    </xf>
    <xf numFmtId="0" fontId="57" fillId="0" borderId="10" xfId="1" applyNumberFormat="1" applyFont="1" applyFill="1" applyBorder="1" applyAlignment="1" applyProtection="1">
      <alignment horizontal="center" vertical="center"/>
    </xf>
    <xf numFmtId="0" fontId="53" fillId="0" borderId="12" xfId="1" applyFont="1" applyBorder="1" applyAlignment="1"/>
    <xf numFmtId="0" fontId="53" fillId="0" borderId="12" xfId="0" applyFont="1" applyBorder="1" applyAlignment="1">
      <alignment horizontal="left"/>
    </xf>
    <xf numFmtId="0" fontId="53" fillId="0" borderId="0" xfId="0" applyFont="1" applyFill="1" applyAlignment="1">
      <alignment horizontal="center"/>
    </xf>
    <xf numFmtId="179" fontId="36" fillId="0" borderId="10" xfId="33" applyNumberFormat="1" applyFont="1" applyFill="1" applyBorder="1" applyAlignment="1">
      <alignment horizontal="center" vertical="center"/>
    </xf>
    <xf numFmtId="3" fontId="53" fillId="0" borderId="10" xfId="0" applyNumberFormat="1" applyFont="1" applyFill="1" applyBorder="1" applyAlignment="1" applyProtection="1">
      <alignment horizontal="left" vertical="center"/>
    </xf>
    <xf numFmtId="0" fontId="56" fillId="0" borderId="0" xfId="1" applyFont="1" applyFill="1"/>
    <xf numFmtId="0" fontId="57" fillId="0" borderId="10" xfId="1" applyNumberFormat="1" applyFont="1" applyFill="1" applyBorder="1" applyAlignment="1">
      <alignment horizontal="center" vertical="center" wrapText="1"/>
    </xf>
    <xf numFmtId="0" fontId="57" fillId="0" borderId="10" xfId="1" applyFont="1" applyFill="1" applyBorder="1" applyAlignment="1">
      <alignment horizontal="center" vertical="center" wrapText="1"/>
    </xf>
    <xf numFmtId="0" fontId="3" fillId="0" borderId="0" xfId="1" applyNumberFormat="1" applyFont="1" applyFill="1"/>
    <xf numFmtId="178" fontId="7" fillId="0" borderId="0" xfId="1" applyNumberFormat="1" applyFont="1" applyFill="1"/>
    <xf numFmtId="0" fontId="59" fillId="0" borderId="0" xfId="1" applyNumberFormat="1" applyFont="1" applyFill="1"/>
    <xf numFmtId="0" fontId="57" fillId="0" borderId="0" xfId="1" applyNumberFormat="1" applyFont="1" applyFill="1" applyBorder="1" applyAlignment="1">
      <alignment horizontal="center" vertical="center" wrapText="1"/>
    </xf>
    <xf numFmtId="49" fontId="57" fillId="0" borderId="0" xfId="1" applyNumberFormat="1" applyFont="1" applyFill="1" applyBorder="1" applyAlignment="1">
      <alignment horizontal="center" vertical="center" wrapText="1"/>
    </xf>
    <xf numFmtId="0" fontId="57" fillId="0" borderId="0" xfId="1" applyFont="1" applyFill="1" applyBorder="1" applyAlignment="1">
      <alignment horizontal="center" vertical="center" wrapText="1"/>
    </xf>
    <xf numFmtId="0" fontId="2" fillId="0" borderId="0" xfId="28" applyFont="1" applyFill="1" applyBorder="1" applyAlignment="1">
      <alignment horizontal="left" vertical="center" wrapText="1"/>
    </xf>
    <xf numFmtId="0" fontId="36" fillId="0" borderId="18" xfId="1" applyFont="1" applyBorder="1" applyAlignment="1">
      <alignment horizontal="center" vertical="center"/>
    </xf>
    <xf numFmtId="178" fontId="33" fillId="0" borderId="10" xfId="33" applyNumberFormat="1" applyFont="1" applyFill="1" applyBorder="1" applyAlignment="1">
      <alignment horizontal="center" vertical="center"/>
    </xf>
    <xf numFmtId="0" fontId="1" fillId="24" borderId="10" xfId="1" applyNumberFormat="1" applyFont="1" applyFill="1" applyBorder="1" applyAlignment="1" applyProtection="1">
      <alignment horizontal="left" vertical="center" wrapText="1"/>
    </xf>
    <xf numFmtId="178" fontId="28" fillId="0" borderId="10" xfId="0" applyNumberFormat="1" applyFont="1" applyBorder="1" applyAlignment="1">
      <alignment horizontal="center" vertical="center"/>
    </xf>
    <xf numFmtId="0" fontId="1" fillId="24" borderId="18" xfId="1" applyFont="1" applyFill="1" applyBorder="1" applyAlignment="1">
      <alignment horizontal="left" vertical="center" wrapText="1"/>
    </xf>
    <xf numFmtId="0" fontId="1" fillId="0" borderId="18" xfId="1" applyFont="1" applyFill="1" applyBorder="1" applyAlignment="1">
      <alignment horizontal="center" vertical="center"/>
    </xf>
    <xf numFmtId="176" fontId="28" fillId="0" borderId="10" xfId="1" applyNumberFormat="1" applyFont="1" applyFill="1" applyBorder="1" applyAlignment="1">
      <alignment horizontal="center" vertical="center"/>
    </xf>
    <xf numFmtId="0" fontId="28" fillId="0" borderId="10" xfId="1" applyFont="1" applyFill="1" applyBorder="1" applyAlignment="1">
      <alignment horizontal="center" vertical="center"/>
    </xf>
    <xf numFmtId="0" fontId="28" fillId="0" borderId="11" xfId="1" applyNumberFormat="1" applyFont="1" applyFill="1" applyBorder="1" applyAlignment="1" applyProtection="1">
      <alignment horizontal="left" vertical="center"/>
    </xf>
    <xf numFmtId="0" fontId="1" fillId="0" borderId="11" xfId="1" applyNumberFormat="1" applyFont="1" applyFill="1" applyBorder="1" applyAlignment="1" applyProtection="1">
      <alignment horizontal="left" vertical="center"/>
    </xf>
    <xf numFmtId="178" fontId="28" fillId="0" borderId="18" xfId="1" applyNumberFormat="1" applyFont="1" applyFill="1" applyBorder="1" applyAlignment="1">
      <alignment horizontal="right" vertical="center" wrapText="1"/>
    </xf>
    <xf numFmtId="178" fontId="28" fillId="0" borderId="18" xfId="1" applyNumberFormat="1" applyFont="1" applyFill="1" applyBorder="1" applyAlignment="1" applyProtection="1">
      <alignment horizontal="right" vertical="center"/>
    </xf>
    <xf numFmtId="10" fontId="34" fillId="0" borderId="10" xfId="33" applyNumberFormat="1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vertical="center" wrapText="1"/>
    </xf>
    <xf numFmtId="177" fontId="48" fillId="0" borderId="10" xfId="1" applyNumberFormat="1" applyFont="1" applyFill="1" applyBorder="1" applyAlignment="1">
      <alignment horizontal="center" vertical="center"/>
    </xf>
    <xf numFmtId="177" fontId="37" fillId="0" borderId="10" xfId="33" applyNumberFormat="1" applyFont="1" applyFill="1" applyBorder="1" applyAlignment="1">
      <alignment horizontal="center" vertical="center"/>
    </xf>
    <xf numFmtId="178" fontId="37" fillId="0" borderId="10" xfId="33" applyNumberFormat="1" applyFont="1" applyFill="1" applyBorder="1" applyAlignment="1">
      <alignment horizontal="center" vertical="center"/>
    </xf>
    <xf numFmtId="178" fontId="1" fillId="0" borderId="18" xfId="1" applyNumberFormat="1" applyFont="1" applyFill="1" applyBorder="1" applyAlignment="1" applyProtection="1">
      <alignment horizontal="right" vertical="center"/>
    </xf>
    <xf numFmtId="10" fontId="34" fillId="0" borderId="10" xfId="0" applyNumberFormat="1" applyFont="1" applyFill="1" applyBorder="1" applyAlignment="1">
      <alignment horizontal="center" vertical="center"/>
    </xf>
    <xf numFmtId="0" fontId="58" fillId="0" borderId="18" xfId="0" applyFont="1" applyFill="1" applyBorder="1" applyAlignment="1" applyProtection="1">
      <alignment vertical="center" wrapText="1"/>
    </xf>
    <xf numFmtId="0" fontId="33" fillId="0" borderId="18" xfId="0" applyFont="1" applyFill="1" applyBorder="1" applyAlignment="1" applyProtection="1">
      <alignment horizontal="left" vertical="center" wrapText="1"/>
      <protection locked="0"/>
    </xf>
    <xf numFmtId="0" fontId="4" fillId="0" borderId="18" xfId="0" applyFont="1" applyBorder="1" applyAlignment="1"/>
    <xf numFmtId="0" fontId="58" fillId="0" borderId="18" xfId="0" applyFont="1" applyFill="1" applyBorder="1" applyAlignment="1" applyProtection="1">
      <alignment horizontal="left" vertical="center" wrapText="1"/>
    </xf>
    <xf numFmtId="10" fontId="57" fillId="0" borderId="10" xfId="1" applyNumberFormat="1" applyFont="1" applyFill="1" applyBorder="1"/>
    <xf numFmtId="10" fontId="1" fillId="24" borderId="10" xfId="1" applyNumberFormat="1" applyFont="1" applyFill="1" applyBorder="1" applyAlignment="1">
      <alignment horizontal="center" vertical="center"/>
    </xf>
    <xf numFmtId="0" fontId="48" fillId="0" borderId="18" xfId="0" applyFont="1" applyFill="1" applyBorder="1" applyAlignment="1">
      <alignment horizontal="center" vertical="center" wrapText="1"/>
    </xf>
    <xf numFmtId="0" fontId="44" fillId="0" borderId="18" xfId="0" applyNumberFormat="1" applyFont="1" applyFill="1" applyBorder="1" applyAlignment="1" applyProtection="1">
      <alignment horizontal="center" vertical="center" wrapText="1"/>
    </xf>
    <xf numFmtId="176" fontId="4" fillId="25" borderId="0" xfId="0" applyNumberFormat="1" applyFont="1" applyFill="1" applyAlignment="1">
      <alignment horizontal="right"/>
    </xf>
    <xf numFmtId="0" fontId="1" fillId="24" borderId="18" xfId="1" applyFont="1" applyFill="1" applyBorder="1" applyAlignment="1">
      <alignment horizontal="center" vertical="center"/>
    </xf>
    <xf numFmtId="0" fontId="46" fillId="0" borderId="0" xfId="1" applyFont="1" applyAlignment="1">
      <alignment horizontal="left"/>
    </xf>
    <xf numFmtId="0" fontId="28" fillId="24" borderId="10" xfId="1" applyNumberFormat="1" applyFont="1" applyFill="1" applyBorder="1" applyAlignment="1" applyProtection="1">
      <alignment horizontal="left" vertical="center" wrapText="1"/>
    </xf>
    <xf numFmtId="0" fontId="1" fillId="24" borderId="18" xfId="1" applyNumberFormat="1" applyFont="1" applyFill="1" applyBorder="1" applyAlignment="1" applyProtection="1">
      <alignment horizontal="left" vertical="center" wrapText="1"/>
    </xf>
    <xf numFmtId="0" fontId="28" fillId="0" borderId="10" xfId="0" applyFont="1" applyFill="1" applyBorder="1" applyAlignment="1">
      <alignment horizontal="left" vertical="center"/>
    </xf>
    <xf numFmtId="0" fontId="1" fillId="0" borderId="10" xfId="0" applyFont="1" applyFill="1" applyBorder="1" applyAlignment="1" applyProtection="1">
      <alignment horizontal="left" vertical="center" shrinkToFit="1"/>
      <protection locked="0"/>
    </xf>
    <xf numFmtId="0" fontId="28" fillId="24" borderId="10" xfId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24" borderId="18" xfId="54" applyFont="1" applyFill="1" applyBorder="1" applyAlignment="1" applyProtection="1">
      <alignment vertical="center"/>
      <protection locked="0"/>
    </xf>
    <xf numFmtId="0" fontId="4" fillId="0" borderId="18" xfId="0" applyFont="1" applyBorder="1" applyAlignment="1">
      <alignment horizontal="right" vertical="center"/>
    </xf>
    <xf numFmtId="0" fontId="1" fillId="24" borderId="18" xfId="54" applyNumberFormat="1" applyFont="1" applyFill="1" applyBorder="1" applyAlignment="1" applyProtection="1">
      <alignment vertical="center"/>
      <protection locked="0"/>
    </xf>
    <xf numFmtId="0" fontId="1" fillId="24" borderId="0" xfId="54" applyFont="1" applyFill="1" applyAlignment="1" applyProtection="1">
      <alignment vertical="center"/>
      <protection locked="0"/>
    </xf>
    <xf numFmtId="0" fontId="33" fillId="0" borderId="18" xfId="33" applyFont="1" applyFill="1" applyBorder="1" applyAlignment="1">
      <alignment horizontal="center" vertical="center"/>
    </xf>
    <xf numFmtId="0" fontId="53" fillId="0" borderId="18" xfId="33" applyFont="1" applyFill="1" applyBorder="1" applyAlignment="1">
      <alignment horizontal="center" vertical="center"/>
    </xf>
    <xf numFmtId="0" fontId="28" fillId="0" borderId="10" xfId="33" applyFont="1" applyFill="1" applyBorder="1" applyAlignment="1">
      <alignment horizontal="left" vertical="center" wrapText="1"/>
    </xf>
    <xf numFmtId="3" fontId="48" fillId="0" borderId="18" xfId="55" applyNumberFormat="1" applyFont="1" applyFill="1" applyBorder="1" applyAlignment="1" applyProtection="1">
      <alignment vertical="center"/>
    </xf>
    <xf numFmtId="0" fontId="70" fillId="0" borderId="18" xfId="56" applyFont="1" applyBorder="1" applyAlignment="1">
      <alignment horizontal="center" vertical="center"/>
    </xf>
    <xf numFmtId="0" fontId="1" fillId="0" borderId="10" xfId="33" applyFont="1" applyFill="1" applyBorder="1" applyAlignment="1">
      <alignment horizontal="center" vertical="center"/>
    </xf>
    <xf numFmtId="0" fontId="1" fillId="0" borderId="10" xfId="0" applyFont="1" applyFill="1" applyBorder="1" applyAlignment="1" applyProtection="1">
      <alignment vertical="center" shrinkToFit="1"/>
      <protection locked="0"/>
    </xf>
    <xf numFmtId="3" fontId="1" fillId="0" borderId="18" xfId="33" applyNumberFormat="1" applyFont="1" applyFill="1" applyBorder="1" applyAlignment="1">
      <alignment vertical="center" wrapText="1"/>
    </xf>
    <xf numFmtId="3" fontId="1" fillId="0" borderId="18" xfId="33" applyNumberFormat="1" applyFont="1" applyFill="1" applyBorder="1" applyAlignment="1">
      <alignment vertical="center"/>
    </xf>
    <xf numFmtId="49" fontId="1" fillId="0" borderId="18" xfId="32" applyNumberFormat="1" applyFont="1" applyFill="1" applyBorder="1" applyAlignment="1" applyProtection="1">
      <alignment vertical="center"/>
    </xf>
    <xf numFmtId="0" fontId="53" fillId="0" borderId="18" xfId="0" applyFont="1" applyFill="1" applyBorder="1" applyAlignment="1">
      <alignment horizontal="center" vertical="center"/>
    </xf>
    <xf numFmtId="0" fontId="1" fillId="0" borderId="18" xfId="1" applyFont="1" applyBorder="1" applyAlignment="1">
      <alignment horizontal="center" vertical="center"/>
    </xf>
    <xf numFmtId="0" fontId="64" fillId="0" borderId="18" xfId="56" applyFont="1" applyBorder="1" applyAlignment="1">
      <alignment horizontal="center" vertical="center"/>
    </xf>
    <xf numFmtId="176" fontId="1" fillId="24" borderId="10" xfId="1" applyNumberFormat="1" applyFont="1" applyFill="1" applyBorder="1" applyAlignment="1">
      <alignment horizontal="center" vertical="center"/>
    </xf>
    <xf numFmtId="176" fontId="36" fillId="0" borderId="18" xfId="0" applyNumberFormat="1" applyFont="1" applyBorder="1" applyAlignment="1">
      <alignment horizontal="center" vertical="center"/>
    </xf>
    <xf numFmtId="176" fontId="53" fillId="0" borderId="18" xfId="0" applyNumberFormat="1" applyFont="1" applyBorder="1" applyAlignment="1">
      <alignment horizontal="center" vertical="center"/>
    </xf>
    <xf numFmtId="3" fontId="1" fillId="0" borderId="18" xfId="33" applyNumberFormat="1" applyFont="1" applyFill="1" applyBorder="1" applyAlignment="1">
      <alignment horizontal="left" vertical="center" wrapText="1"/>
    </xf>
    <xf numFmtId="0" fontId="33" fillId="0" borderId="18" xfId="0" applyFont="1" applyFill="1" applyBorder="1" applyAlignment="1">
      <alignment horizontal="center" vertical="center"/>
    </xf>
    <xf numFmtId="0" fontId="0" fillId="0" borderId="18" xfId="0" applyFill="1" applyBorder="1" applyAlignment="1">
      <alignment horizontal="left" vertical="center" wrapText="1"/>
    </xf>
    <xf numFmtId="177" fontId="48" fillId="0" borderId="18" xfId="1" applyNumberFormat="1" applyFont="1" applyFill="1" applyBorder="1" applyAlignment="1">
      <alignment horizontal="center" vertical="center"/>
    </xf>
    <xf numFmtId="0" fontId="48" fillId="0" borderId="18" xfId="1" applyFont="1" applyFill="1" applyBorder="1" applyAlignment="1">
      <alignment horizontal="center" vertical="center"/>
    </xf>
    <xf numFmtId="0" fontId="53" fillId="0" borderId="18" xfId="0" applyFont="1" applyFill="1" applyBorder="1" applyAlignment="1">
      <alignment horizontal="left" vertical="center" wrapText="1"/>
    </xf>
    <xf numFmtId="178" fontId="33" fillId="0" borderId="18" xfId="33" applyNumberFormat="1" applyFont="1" applyFill="1" applyBorder="1" applyAlignment="1">
      <alignment horizontal="center" vertical="center"/>
    </xf>
    <xf numFmtId="176" fontId="33" fillId="0" borderId="18" xfId="33" applyNumberFormat="1" applyFont="1" applyFill="1" applyBorder="1" applyAlignment="1">
      <alignment horizontal="center" vertical="center"/>
    </xf>
    <xf numFmtId="0" fontId="1" fillId="0" borderId="18" xfId="0" applyFont="1" applyFill="1" applyBorder="1" applyAlignment="1" applyProtection="1">
      <alignment horizontal="left" vertical="center" wrapText="1"/>
      <protection locked="0"/>
    </xf>
    <xf numFmtId="0" fontId="35" fillId="0" borderId="18" xfId="1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 wrapText="1"/>
    </xf>
    <xf numFmtId="0" fontId="0" fillId="0" borderId="18" xfId="0" applyBorder="1" applyAlignment="1">
      <alignment horizontal="center"/>
    </xf>
    <xf numFmtId="0" fontId="1" fillId="0" borderId="18" xfId="0" applyFont="1" applyFill="1" applyBorder="1" applyAlignment="1" applyProtection="1">
      <alignment horizontal="left" vertical="center" wrapText="1" shrinkToFit="1"/>
      <protection locked="0"/>
    </xf>
    <xf numFmtId="0" fontId="1" fillId="0" borderId="18" xfId="0" applyFont="1" applyFill="1" applyBorder="1" applyAlignment="1" applyProtection="1">
      <alignment horizontal="left" vertical="center" shrinkToFit="1"/>
      <protection locked="0"/>
    </xf>
    <xf numFmtId="178" fontId="28" fillId="25" borderId="18" xfId="1" applyNumberFormat="1" applyFont="1" applyFill="1" applyBorder="1" applyAlignment="1" applyProtection="1">
      <alignment horizontal="right" vertical="center"/>
    </xf>
    <xf numFmtId="178" fontId="1" fillId="25" borderId="18" xfId="1" applyNumberFormat="1" applyFont="1" applyFill="1" applyBorder="1" applyAlignment="1" applyProtection="1">
      <alignment horizontal="right" vertical="center"/>
    </xf>
    <xf numFmtId="0" fontId="1" fillId="0" borderId="10" xfId="33" applyFont="1" applyFill="1" applyBorder="1" applyAlignment="1">
      <alignment horizontal="left" vertical="center" wrapText="1"/>
    </xf>
    <xf numFmtId="0" fontId="1" fillId="0" borderId="18" xfId="0" applyFont="1" applyFill="1" applyBorder="1" applyAlignment="1" applyProtection="1">
      <alignment vertical="center" shrinkToFit="1"/>
      <protection locked="0"/>
    </xf>
    <xf numFmtId="176" fontId="28" fillId="0" borderId="10" xfId="0" applyNumberFormat="1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/>
    </xf>
    <xf numFmtId="0" fontId="48" fillId="0" borderId="18" xfId="0" applyFont="1" applyFill="1" applyBorder="1" applyAlignment="1" applyProtection="1">
      <alignment vertical="center" wrapText="1"/>
    </xf>
    <xf numFmtId="0" fontId="4" fillId="0" borderId="18" xfId="0" applyNumberFormat="1" applyFont="1" applyFill="1" applyBorder="1" applyAlignment="1" applyProtection="1">
      <alignment horizontal="center" vertical="center" wrapText="1"/>
    </xf>
    <xf numFmtId="176" fontId="4" fillId="0" borderId="18" xfId="0" applyNumberFormat="1" applyFont="1" applyFill="1" applyBorder="1" applyAlignment="1" applyProtection="1">
      <alignment horizontal="center" vertical="center" wrapText="1"/>
    </xf>
    <xf numFmtId="0" fontId="50" fillId="0" borderId="18" xfId="0" applyFont="1" applyFill="1" applyBorder="1" applyAlignment="1">
      <alignment horizontal="center" vertical="center" wrapText="1"/>
    </xf>
    <xf numFmtId="0" fontId="4" fillId="0" borderId="18" xfId="0" applyNumberFormat="1" applyFont="1" applyFill="1" applyBorder="1" applyAlignment="1" applyProtection="1">
      <alignment horizontal="left" vertical="center" wrapText="1"/>
    </xf>
    <xf numFmtId="0" fontId="4" fillId="25" borderId="1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72" fillId="0" borderId="18" xfId="0" applyNumberFormat="1" applyFont="1" applyFill="1" applyBorder="1" applyAlignment="1" applyProtection="1">
      <alignment horizontal="center" vertical="center" wrapText="1"/>
    </xf>
    <xf numFmtId="0" fontId="63" fillId="0" borderId="18" xfId="0" applyFont="1" applyBorder="1" applyAlignment="1">
      <alignment vertical="center"/>
    </xf>
    <xf numFmtId="0" fontId="63" fillId="0" borderId="18" xfId="0" applyFont="1" applyBorder="1" applyAlignment="1">
      <alignment horizontal="center" vertical="center"/>
    </xf>
    <xf numFmtId="0" fontId="63" fillId="0" borderId="20" xfId="0" applyFont="1" applyFill="1" applyBorder="1" applyAlignment="1">
      <alignment vertical="center"/>
    </xf>
    <xf numFmtId="0" fontId="63" fillId="25" borderId="18" xfId="0" applyFont="1" applyFill="1" applyBorder="1" applyAlignment="1">
      <alignment horizontal="left" vertical="center" wrapText="1"/>
    </xf>
    <xf numFmtId="0" fontId="63" fillId="0" borderId="18" xfId="0" applyFont="1" applyFill="1" applyBorder="1" applyAlignment="1">
      <alignment horizontal="center" vertical="center"/>
    </xf>
    <xf numFmtId="176" fontId="57" fillId="0" borderId="18" xfId="0" applyNumberFormat="1" applyFont="1" applyFill="1" applyBorder="1" applyAlignment="1">
      <alignment horizontal="center" vertical="center" wrapText="1"/>
    </xf>
    <xf numFmtId="176" fontId="28" fillId="0" borderId="18" xfId="0" applyNumberFormat="1" applyFont="1" applyFill="1" applyBorder="1" applyAlignment="1" applyProtection="1">
      <alignment horizontal="center" vertical="center" wrapText="1"/>
    </xf>
    <xf numFmtId="0" fontId="28" fillId="0" borderId="18" xfId="1" applyFont="1" applyBorder="1" applyAlignment="1">
      <alignment horizontal="center" vertical="center"/>
    </xf>
    <xf numFmtId="176" fontId="1" fillId="0" borderId="18" xfId="0" applyNumberFormat="1" applyFont="1" applyBorder="1" applyAlignment="1">
      <alignment horizontal="center" vertical="center"/>
    </xf>
    <xf numFmtId="0" fontId="1" fillId="0" borderId="18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 vertical="center"/>
    </xf>
    <xf numFmtId="0" fontId="73" fillId="0" borderId="0" xfId="0" applyFont="1" applyAlignment="1"/>
    <xf numFmtId="0" fontId="77" fillId="0" borderId="0" xfId="0" applyFont="1" applyAlignment="1"/>
    <xf numFmtId="177" fontId="0" fillId="0" borderId="0" xfId="0" applyNumberFormat="1" applyAlignment="1"/>
    <xf numFmtId="0" fontId="0" fillId="0" borderId="18" xfId="0" applyBorder="1" applyAlignment="1">
      <alignment horizontal="left" vertical="center" wrapText="1"/>
    </xf>
    <xf numFmtId="0" fontId="42" fillId="0" borderId="18" xfId="1" applyFont="1" applyBorder="1" applyAlignment="1">
      <alignment horizontal="center" vertical="center" wrapText="1"/>
    </xf>
    <xf numFmtId="0" fontId="42" fillId="0" borderId="18" xfId="1" applyFont="1" applyBorder="1" applyAlignment="1">
      <alignment horizontal="center" vertical="center"/>
    </xf>
    <xf numFmtId="0" fontId="35" fillId="0" borderId="18" xfId="1" applyFont="1" applyBorder="1" applyAlignment="1">
      <alignment horizontal="left" vertical="center" wrapText="1"/>
    </xf>
    <xf numFmtId="0" fontId="36" fillId="0" borderId="18" xfId="1" applyFont="1" applyBorder="1" applyAlignment="1">
      <alignment horizontal="left" vertical="center" wrapText="1"/>
    </xf>
    <xf numFmtId="0" fontId="53" fillId="0" borderId="18" xfId="1" applyFont="1" applyBorder="1" applyAlignment="1">
      <alignment horizontal="left" vertical="center" wrapText="1"/>
    </xf>
    <xf numFmtId="0" fontId="33" fillId="0" borderId="18" xfId="0" applyFont="1" applyFill="1" applyBorder="1" applyAlignment="1" applyProtection="1">
      <alignment horizontal="left" vertical="center" wrapText="1" shrinkToFit="1"/>
      <protection locked="0"/>
    </xf>
    <xf numFmtId="0" fontId="53" fillId="0" borderId="18" xfId="0" applyFont="1" applyFill="1" applyBorder="1" applyAlignment="1" applyProtection="1">
      <alignment horizontal="left" vertical="center" wrapText="1" shrinkToFit="1"/>
      <protection locked="0"/>
    </xf>
    <xf numFmtId="0" fontId="28" fillId="0" borderId="18" xfId="0" applyFont="1" applyFill="1" applyBorder="1" applyAlignment="1">
      <alignment horizontal="left" vertical="center" wrapText="1"/>
    </xf>
    <xf numFmtId="0" fontId="1" fillId="0" borderId="18" xfId="0" applyFont="1" applyFill="1" applyBorder="1" applyAlignment="1">
      <alignment horizontal="left" vertical="center" wrapText="1"/>
    </xf>
    <xf numFmtId="3" fontId="33" fillId="0" borderId="18" xfId="33" applyNumberFormat="1" applyFont="1" applyFill="1" applyBorder="1" applyAlignment="1">
      <alignment horizontal="left" vertical="center" wrapText="1"/>
    </xf>
    <xf numFmtId="0" fontId="1" fillId="0" borderId="18" xfId="0" applyFont="1" applyFill="1" applyBorder="1" applyAlignment="1">
      <alignment horizontal="center" vertical="center"/>
    </xf>
    <xf numFmtId="176" fontId="1" fillId="0" borderId="18" xfId="1" applyNumberFormat="1" applyFont="1" applyBorder="1" applyAlignment="1">
      <alignment horizontal="center" vertical="center"/>
    </xf>
    <xf numFmtId="0" fontId="0" fillId="0" borderId="18" xfId="0" applyFill="1" applyBorder="1" applyAlignment="1" applyProtection="1">
      <alignment horizontal="left" vertical="center" wrapText="1"/>
      <protection locked="0"/>
    </xf>
    <xf numFmtId="0" fontId="36" fillId="0" borderId="18" xfId="0" applyFont="1" applyFill="1" applyBorder="1" applyAlignment="1" applyProtection="1">
      <alignment horizontal="left" vertical="center" wrapText="1"/>
      <protection locked="0"/>
    </xf>
    <xf numFmtId="0" fontId="35" fillId="0" borderId="18" xfId="0" applyFont="1" applyFill="1" applyBorder="1" applyAlignment="1">
      <alignment horizontal="left" vertical="center" wrapText="1"/>
    </xf>
    <xf numFmtId="177" fontId="36" fillId="0" borderId="18" xfId="0" applyNumberFormat="1" applyFont="1" applyBorder="1" applyAlignment="1">
      <alignment horizontal="center" vertical="center"/>
    </xf>
    <xf numFmtId="177" fontId="53" fillId="0" borderId="18" xfId="33" applyNumberFormat="1" applyFont="1" applyFill="1" applyBorder="1" applyAlignment="1">
      <alignment horizontal="center" vertical="center"/>
    </xf>
    <xf numFmtId="0" fontId="36" fillId="0" borderId="18" xfId="0" applyFont="1" applyFill="1" applyBorder="1" applyAlignment="1">
      <alignment horizontal="left" vertical="center" wrapText="1"/>
    </xf>
    <xf numFmtId="179" fontId="36" fillId="0" borderId="18" xfId="0" applyNumberFormat="1" applyFont="1" applyBorder="1" applyAlignment="1">
      <alignment horizontal="center" vertical="center"/>
    </xf>
    <xf numFmtId="0" fontId="35" fillId="0" borderId="18" xfId="0" applyFont="1" applyFill="1" applyBorder="1" applyAlignment="1" applyProtection="1">
      <alignment horizontal="center" vertical="center" wrapText="1"/>
      <protection locked="0"/>
    </xf>
    <xf numFmtId="0" fontId="78" fillId="0" borderId="18" xfId="1" applyFont="1" applyBorder="1" applyAlignment="1">
      <alignment horizontal="center" vertical="center"/>
    </xf>
    <xf numFmtId="176" fontId="78" fillId="0" borderId="18" xfId="0" applyNumberFormat="1" applyFont="1" applyBorder="1" applyAlignment="1">
      <alignment horizontal="center" vertical="center"/>
    </xf>
    <xf numFmtId="176" fontId="78" fillId="0" borderId="18" xfId="1" applyNumberFormat="1" applyFont="1" applyBorder="1" applyAlignment="1">
      <alignment horizontal="center" vertical="center"/>
    </xf>
    <xf numFmtId="177" fontId="51" fillId="0" borderId="18" xfId="1" applyNumberFormat="1" applyFont="1" applyFill="1" applyBorder="1" applyAlignment="1">
      <alignment horizontal="center" vertical="center"/>
    </xf>
    <xf numFmtId="180" fontId="78" fillId="0" borderId="18" xfId="0" applyNumberFormat="1" applyFont="1" applyBorder="1" applyAlignment="1">
      <alignment horizontal="center" vertical="center"/>
    </xf>
    <xf numFmtId="178" fontId="78" fillId="0" borderId="18" xfId="33" applyNumberFormat="1" applyFont="1" applyFill="1" applyBorder="1" applyAlignment="1">
      <alignment horizontal="center" vertical="center"/>
    </xf>
    <xf numFmtId="178" fontId="79" fillId="0" borderId="18" xfId="33" applyNumberFormat="1" applyFont="1" applyFill="1" applyBorder="1" applyAlignment="1">
      <alignment horizontal="center" vertical="center"/>
    </xf>
    <xf numFmtId="176" fontId="79" fillId="0" borderId="18" xfId="0" applyNumberFormat="1" applyFont="1" applyBorder="1" applyAlignment="1">
      <alignment horizontal="center" vertical="center"/>
    </xf>
    <xf numFmtId="180" fontId="78" fillId="0" borderId="18" xfId="33" applyNumberFormat="1" applyFont="1" applyFill="1" applyBorder="1" applyAlignment="1">
      <alignment vertical="center"/>
    </xf>
    <xf numFmtId="178" fontId="78" fillId="0" borderId="18" xfId="0" applyNumberFormat="1" applyFont="1" applyBorder="1" applyAlignment="1">
      <alignment horizontal="center" vertical="center"/>
    </xf>
    <xf numFmtId="0" fontId="76" fillId="0" borderId="2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80" fillId="0" borderId="0" xfId="0" applyFont="1" applyAlignment="1"/>
    <xf numFmtId="0" fontId="5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7" fillId="0" borderId="18" xfId="0" applyFont="1" applyFill="1" applyBorder="1" applyAlignment="1">
      <alignment horizontal="center" vertical="center" wrapText="1"/>
    </xf>
    <xf numFmtId="0" fontId="57" fillId="0" borderId="18" xfId="0" applyNumberFormat="1" applyFont="1" applyFill="1" applyBorder="1" applyAlignment="1">
      <alignment horizontal="center" vertical="center" wrapText="1"/>
    </xf>
    <xf numFmtId="0" fontId="28" fillId="0" borderId="18" xfId="0" applyFont="1" applyFill="1" applyBorder="1" applyAlignment="1">
      <alignment horizontal="center" vertical="center" wrapText="1"/>
    </xf>
    <xf numFmtId="0" fontId="57" fillId="0" borderId="18" xfId="0" applyNumberFormat="1" applyFont="1" applyFill="1" applyBorder="1" applyAlignment="1">
      <alignment horizontal="left" vertical="center" wrapText="1"/>
    </xf>
    <xf numFmtId="0" fontId="1" fillId="0" borderId="18" xfId="0" applyFont="1" applyFill="1" applyBorder="1" applyAlignment="1" applyProtection="1">
      <alignment horizontal="center" vertical="center" wrapText="1"/>
    </xf>
    <xf numFmtId="49" fontId="1" fillId="0" borderId="18" xfId="0" applyNumberFormat="1" applyFont="1" applyFill="1" applyBorder="1" applyAlignment="1" applyProtection="1">
      <alignment horizontal="center" vertical="center" wrapText="1"/>
    </xf>
    <xf numFmtId="0" fontId="58" fillId="0" borderId="18" xfId="0" applyNumberFormat="1" applyFont="1" applyFill="1" applyBorder="1" applyAlignment="1" applyProtection="1">
      <alignment horizontal="left" vertical="center" wrapText="1"/>
    </xf>
    <xf numFmtId="43" fontId="1" fillId="0" borderId="0" xfId="53" applyFont="1" applyAlignment="1">
      <alignment horizontal="center" vertical="center"/>
    </xf>
    <xf numFmtId="0" fontId="0" fillId="0" borderId="18" xfId="0" applyBorder="1" applyAlignment="1"/>
    <xf numFmtId="49" fontId="57" fillId="25" borderId="10" xfId="1" applyNumberFormat="1" applyFont="1" applyFill="1" applyBorder="1" applyAlignment="1">
      <alignment horizontal="center" vertical="center" wrapText="1"/>
    </xf>
    <xf numFmtId="178" fontId="28" fillId="25" borderId="18" xfId="1" applyNumberFormat="1" applyFont="1" applyFill="1" applyBorder="1" applyAlignment="1">
      <alignment horizontal="right" vertical="center" wrapText="1"/>
    </xf>
    <xf numFmtId="178" fontId="58" fillId="25" borderId="10" xfId="1" applyNumberFormat="1" applyFont="1" applyFill="1" applyBorder="1" applyAlignment="1" applyProtection="1">
      <alignment horizontal="right" vertical="center"/>
    </xf>
    <xf numFmtId="178" fontId="57" fillId="25" borderId="10" xfId="1" applyNumberFormat="1" applyFont="1" applyFill="1" applyBorder="1" applyAlignment="1" applyProtection="1">
      <alignment horizontal="right" vertical="center"/>
    </xf>
    <xf numFmtId="178" fontId="58" fillId="25" borderId="18" xfId="1" applyNumberFormat="1" applyFont="1" applyFill="1" applyBorder="1" applyAlignment="1" applyProtection="1">
      <alignment horizontal="right" vertical="center"/>
    </xf>
    <xf numFmtId="178" fontId="69" fillId="25" borderId="18" xfId="1" applyNumberFormat="1" applyFont="1" applyFill="1" applyBorder="1" applyAlignment="1">
      <alignment horizontal="right"/>
    </xf>
    <xf numFmtId="178" fontId="67" fillId="25" borderId="18" xfId="1" applyNumberFormat="1" applyFont="1" applyFill="1" applyBorder="1" applyAlignment="1">
      <alignment horizontal="right"/>
    </xf>
    <xf numFmtId="178" fontId="68" fillId="25" borderId="18" xfId="1" applyNumberFormat="1" applyFont="1" applyFill="1" applyBorder="1" applyAlignment="1">
      <alignment horizontal="right"/>
    </xf>
    <xf numFmtId="49" fontId="7" fillId="25" borderId="0" xfId="1" applyNumberFormat="1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43" fontId="4" fillId="0" borderId="0" xfId="53" applyFont="1" applyFill="1" applyAlignment="1">
      <alignment horizontal="center" vertical="center"/>
    </xf>
    <xf numFmtId="0" fontId="48" fillId="0" borderId="18" xfId="0" applyFont="1" applyFill="1" applyBorder="1" applyAlignment="1">
      <alignment horizontal="center" vertical="center"/>
    </xf>
    <xf numFmtId="43" fontId="50" fillId="0" borderId="18" xfId="53" applyFont="1" applyFill="1" applyBorder="1" applyAlignment="1">
      <alignment horizontal="center" vertical="center"/>
    </xf>
    <xf numFmtId="43" fontId="50" fillId="0" borderId="18" xfId="53" applyFont="1" applyFill="1" applyBorder="1" applyAlignment="1">
      <alignment horizontal="center" vertical="center" wrapText="1"/>
    </xf>
    <xf numFmtId="181" fontId="50" fillId="0" borderId="18" xfId="0" applyNumberFormat="1" applyFont="1" applyFill="1" applyBorder="1" applyAlignment="1">
      <alignment horizontal="center" vertical="center" wrapText="1"/>
    </xf>
    <xf numFmtId="0" fontId="4" fillId="0" borderId="18" xfId="0" applyFont="1" applyFill="1" applyBorder="1" applyAlignment="1" applyProtection="1">
      <alignment horizontal="left" vertical="center" wrapText="1"/>
    </xf>
    <xf numFmtId="0" fontId="4" fillId="0" borderId="18" xfId="0" applyFont="1" applyFill="1" applyBorder="1" applyAlignment="1" applyProtection="1">
      <alignment horizontal="center" vertical="center" wrapText="1"/>
    </xf>
    <xf numFmtId="178" fontId="4" fillId="0" borderId="18" xfId="0" applyNumberFormat="1" applyFont="1" applyFill="1" applyBorder="1" applyAlignment="1" applyProtection="1">
      <alignment horizontal="center" vertical="center" wrapText="1"/>
    </xf>
    <xf numFmtId="49" fontId="48" fillId="0" borderId="18" xfId="0" applyNumberFormat="1" applyFont="1" applyFill="1" applyBorder="1" applyAlignment="1" applyProtection="1">
      <alignment horizontal="left" vertical="center" wrapText="1"/>
    </xf>
    <xf numFmtId="49" fontId="48" fillId="0" borderId="18" xfId="0" applyNumberFormat="1" applyFont="1" applyFill="1" applyBorder="1" applyAlignment="1" applyProtection="1">
      <alignment horizontal="center" vertical="center" wrapText="1"/>
    </xf>
    <xf numFmtId="49" fontId="4" fillId="0" borderId="18" xfId="0" applyNumberFormat="1" applyFont="1" applyFill="1" applyBorder="1" applyAlignment="1" applyProtection="1">
      <alignment horizontal="center" vertical="center" wrapText="1"/>
    </xf>
    <xf numFmtId="0" fontId="48" fillId="0" borderId="18" xfId="0" applyFont="1" applyFill="1" applyBorder="1" applyAlignment="1">
      <alignment horizontal="left" vertical="center" wrapText="1"/>
    </xf>
    <xf numFmtId="49" fontId="4" fillId="0" borderId="18" xfId="0" applyNumberFormat="1" applyFont="1" applyFill="1" applyBorder="1" applyAlignment="1" applyProtection="1">
      <alignment horizontal="left" vertical="center" wrapText="1"/>
    </xf>
    <xf numFmtId="49" fontId="48" fillId="0" borderId="18" xfId="28" applyNumberFormat="1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left" vertical="center" wrapText="1"/>
    </xf>
    <xf numFmtId="0" fontId="4" fillId="0" borderId="18" xfId="0" applyFont="1" applyFill="1" applyBorder="1" applyAlignment="1">
      <alignment horizontal="center" vertical="center" wrapText="1"/>
    </xf>
    <xf numFmtId="177" fontId="4" fillId="0" borderId="18" xfId="0" applyNumberFormat="1" applyFont="1" applyFill="1" applyBorder="1" applyAlignment="1">
      <alignment horizontal="center" vertical="center" wrapText="1"/>
    </xf>
    <xf numFmtId="178" fontId="48" fillId="0" borderId="18" xfId="53" applyNumberFormat="1" applyFont="1" applyFill="1" applyBorder="1" applyAlignment="1">
      <alignment horizontal="center" vertical="center" wrapText="1"/>
    </xf>
    <xf numFmtId="178" fontId="48" fillId="0" borderId="18" xfId="53" applyNumberFormat="1" applyFont="1" applyFill="1" applyBorder="1" applyAlignment="1">
      <alignment horizontal="center" vertical="center"/>
    </xf>
    <xf numFmtId="177" fontId="48" fillId="0" borderId="18" xfId="0" applyNumberFormat="1" applyFont="1" applyFill="1" applyBorder="1" applyAlignment="1">
      <alignment horizontal="left" vertical="center" wrapText="1"/>
    </xf>
    <xf numFmtId="178" fontId="4" fillId="0" borderId="18" xfId="0" applyNumberFormat="1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49" fontId="48" fillId="0" borderId="11" xfId="0" applyNumberFormat="1" applyFont="1" applyFill="1" applyBorder="1" applyAlignment="1">
      <alignment horizontal="center" vertical="center" wrapText="1"/>
    </xf>
    <xf numFmtId="0" fontId="48" fillId="0" borderId="11" xfId="0" applyFont="1" applyFill="1" applyBorder="1" applyAlignment="1">
      <alignment horizontal="center" vertical="center" wrapText="1"/>
    </xf>
    <xf numFmtId="0" fontId="48" fillId="0" borderId="13" xfId="0" applyFont="1" applyFill="1" applyBorder="1" applyAlignment="1">
      <alignment horizontal="left" vertical="center" wrapText="1"/>
    </xf>
    <xf numFmtId="178" fontId="48" fillId="0" borderId="13" xfId="53" applyNumberFormat="1" applyFont="1" applyFill="1" applyBorder="1" applyAlignment="1">
      <alignment horizontal="center" vertical="center"/>
    </xf>
    <xf numFmtId="178" fontId="48" fillId="0" borderId="18" xfId="0" applyNumberFormat="1" applyFont="1" applyFill="1" applyBorder="1" applyAlignment="1">
      <alignment horizontal="center" vertical="center" wrapText="1"/>
    </xf>
    <xf numFmtId="178" fontId="57" fillId="0" borderId="18" xfId="0" applyNumberFormat="1" applyFont="1" applyFill="1" applyBorder="1" applyAlignment="1">
      <alignment horizontal="center" vertical="center" wrapText="1"/>
    </xf>
    <xf numFmtId="0" fontId="26" fillId="0" borderId="0" xfId="1" applyFont="1" applyAlignment="1">
      <alignment horizontal="center"/>
    </xf>
    <xf numFmtId="0" fontId="28" fillId="0" borderId="19" xfId="1" applyFont="1" applyBorder="1" applyAlignment="1">
      <alignment horizontal="center" vertical="center" wrapText="1"/>
    </xf>
    <xf numFmtId="0" fontId="43" fillId="0" borderId="13" xfId="1" applyFont="1" applyBorder="1" applyAlignment="1">
      <alignment horizontal="center" vertical="center" wrapText="1"/>
    </xf>
    <xf numFmtId="0" fontId="28" fillId="0" borderId="10" xfId="1" applyFont="1" applyBorder="1" applyAlignment="1">
      <alignment horizontal="center" vertical="center" wrapText="1"/>
    </xf>
    <xf numFmtId="0" fontId="47" fillId="0" borderId="15" xfId="1" applyFont="1" applyBorder="1" applyAlignment="1">
      <alignment horizontal="center" vertical="center" wrapText="1"/>
    </xf>
    <xf numFmtId="0" fontId="28" fillId="0" borderId="16" xfId="1" applyFont="1" applyBorder="1" applyAlignment="1">
      <alignment horizontal="center" vertical="center" wrapText="1"/>
    </xf>
    <xf numFmtId="0" fontId="56" fillId="0" borderId="12" xfId="1" applyFont="1" applyFill="1" applyBorder="1" applyAlignment="1">
      <alignment horizontal="right"/>
    </xf>
    <xf numFmtId="0" fontId="7" fillId="0" borderId="12" xfId="1" applyFont="1" applyFill="1" applyBorder="1" applyAlignment="1">
      <alignment horizontal="right"/>
    </xf>
    <xf numFmtId="0" fontId="26" fillId="0" borderId="0" xfId="1" applyFont="1" applyFill="1" applyAlignment="1">
      <alignment horizontal="center" vertical="center"/>
    </xf>
    <xf numFmtId="0" fontId="42" fillId="0" borderId="10" xfId="1" applyFont="1" applyBorder="1" applyAlignment="1">
      <alignment horizontal="center" vertical="center" wrapText="1"/>
    </xf>
    <xf numFmtId="0" fontId="42" fillId="0" borderId="16" xfId="1" applyFont="1" applyBorder="1" applyAlignment="1">
      <alignment horizontal="center" vertical="center" wrapText="1"/>
    </xf>
    <xf numFmtId="0" fontId="43" fillId="0" borderId="10" xfId="1" applyFont="1" applyBorder="1" applyAlignment="1">
      <alignment horizontal="center" vertical="center" wrapText="1"/>
    </xf>
    <xf numFmtId="0" fontId="42" fillId="0" borderId="11" xfId="0" applyNumberFormat="1" applyFont="1" applyFill="1" applyBorder="1" applyAlignment="1" applyProtection="1">
      <alignment horizontal="center" vertical="center"/>
    </xf>
    <xf numFmtId="0" fontId="42" fillId="0" borderId="17" xfId="0" applyNumberFormat="1" applyFont="1" applyFill="1" applyBorder="1" applyAlignment="1" applyProtection="1">
      <alignment horizontal="center" vertical="center"/>
    </xf>
    <xf numFmtId="0" fontId="42" fillId="0" borderId="14" xfId="0" applyNumberFormat="1" applyFont="1" applyFill="1" applyBorder="1" applyAlignment="1" applyProtection="1">
      <alignment horizontal="center" vertical="center"/>
    </xf>
    <xf numFmtId="0" fontId="0" fillId="0" borderId="12" xfId="0" applyNumberFormat="1" applyFill="1" applyBorder="1" applyAlignment="1" applyProtection="1">
      <alignment horizontal="center" vertical="center"/>
    </xf>
    <xf numFmtId="0" fontId="38" fillId="0" borderId="12" xfId="0" applyNumberFormat="1" applyFont="1" applyFill="1" applyBorder="1" applyAlignment="1" applyProtection="1">
      <alignment horizontal="center" vertical="center"/>
    </xf>
    <xf numFmtId="0" fontId="53" fillId="0" borderId="12" xfId="0" applyNumberFormat="1" applyFont="1" applyFill="1" applyBorder="1" applyAlignment="1" applyProtection="1">
      <alignment horizontal="center" vertical="center"/>
    </xf>
    <xf numFmtId="0" fontId="36" fillId="0" borderId="12" xfId="0" applyNumberFormat="1" applyFont="1" applyFill="1" applyBorder="1" applyAlignment="1" applyProtection="1">
      <alignment horizontal="center" vertical="center"/>
    </xf>
    <xf numFmtId="0" fontId="74" fillId="0" borderId="0" xfId="0" applyFont="1" applyFill="1" applyBorder="1" applyAlignment="1">
      <alignment horizontal="center" vertical="center" wrapText="1"/>
    </xf>
    <xf numFmtId="0" fontId="81" fillId="0" borderId="0" xfId="0" applyFont="1" applyFill="1" applyAlignment="1">
      <alignment horizontal="center" vertical="center"/>
    </xf>
    <xf numFmtId="0" fontId="50" fillId="0" borderId="11" xfId="0" applyFont="1" applyFill="1" applyBorder="1" applyAlignment="1">
      <alignment horizontal="center" vertical="center" wrapText="1"/>
    </xf>
    <xf numFmtId="0" fontId="50" fillId="0" borderId="17" xfId="0" applyFont="1" applyFill="1" applyBorder="1" applyAlignment="1">
      <alignment horizontal="center" vertical="center" wrapText="1"/>
    </xf>
    <xf numFmtId="0" fontId="50" fillId="0" borderId="14" xfId="0" applyFont="1" applyFill="1" applyBorder="1" applyAlignment="1">
      <alignment horizontal="center" vertical="center" wrapText="1"/>
    </xf>
    <xf numFmtId="0" fontId="61" fillId="25" borderId="0" xfId="0" applyFont="1" applyFill="1" applyBorder="1" applyAlignment="1">
      <alignment horizontal="center"/>
    </xf>
    <xf numFmtId="49" fontId="28" fillId="25" borderId="18" xfId="32" applyNumberFormat="1" applyFont="1" applyFill="1" applyBorder="1" applyAlignment="1" applyProtection="1">
      <alignment horizontal="center" vertical="center" wrapText="1"/>
    </xf>
    <xf numFmtId="176" fontId="28" fillId="25" borderId="18" xfId="32" applyNumberFormat="1" applyFont="1" applyFill="1" applyBorder="1" applyAlignment="1" applyProtection="1">
      <alignment horizontal="center" vertical="center" wrapText="1"/>
    </xf>
    <xf numFmtId="49" fontId="28" fillId="25" borderId="19" xfId="32" applyNumberFormat="1" applyFont="1" applyFill="1" applyBorder="1" applyAlignment="1" applyProtection="1">
      <alignment horizontal="center" vertical="center" wrapText="1"/>
    </xf>
    <xf numFmtId="49" fontId="28" fillId="25" borderId="13" xfId="32" applyNumberFormat="1" applyFont="1" applyFill="1" applyBorder="1" applyAlignment="1" applyProtection="1">
      <alignment horizontal="center" vertical="center" wrapText="1"/>
    </xf>
  </cellXfs>
  <cellStyles count="58">
    <cellStyle name="?鹎%U龡&amp;H齲_x0001_C铣_x0014__x0007__x0001__x0001_" xfId="1"/>
    <cellStyle name="_ET_STYLE_NoName_00_" xfId="2"/>
    <cellStyle name="_开源节流方案附表0" xfId="3"/>
    <cellStyle name="20% - 强调文字颜色 1" xfId="4" builtinId="30" customBuiltin="1"/>
    <cellStyle name="20% - 强调文字颜色 2" xfId="5" builtinId="34" customBuiltin="1"/>
    <cellStyle name="20% - 强调文字颜色 3" xfId="6" builtinId="38" customBuiltin="1"/>
    <cellStyle name="20% - 强调文字颜色 4" xfId="7" builtinId="42" customBuiltin="1"/>
    <cellStyle name="20% - 强调文字颜色 5" xfId="8" builtinId="46" customBuiltin="1"/>
    <cellStyle name="20% - 强调文字颜色 6" xfId="9" builtinId="50" customBuiltin="1"/>
    <cellStyle name="40% - 强调文字颜色 1" xfId="10" builtinId="31" customBuiltin="1"/>
    <cellStyle name="40% - 强调文字颜色 2" xfId="11" builtinId="35" customBuiltin="1"/>
    <cellStyle name="40% - 强调文字颜色 3" xfId="12" builtinId="39" customBuiltin="1"/>
    <cellStyle name="40% - 强调文字颜色 4" xfId="13" builtinId="43" customBuiltin="1"/>
    <cellStyle name="40% - 强调文字颜色 5" xfId="14" builtinId="47" customBuiltin="1"/>
    <cellStyle name="40% - 强调文字颜色 6" xfId="15" builtinId="51" customBuiltin="1"/>
    <cellStyle name="60% - 强调文字颜色 1" xfId="16" builtinId="32" customBuiltin="1"/>
    <cellStyle name="60% - 强调文字颜色 2" xfId="17" builtinId="36" customBuiltin="1"/>
    <cellStyle name="60% - 强调文字颜色 3" xfId="18" builtinId="40" customBuiltin="1"/>
    <cellStyle name="60% - 强调文字颜色 4" xfId="19" builtinId="44" customBuiltin="1"/>
    <cellStyle name="60% - 强调文字颜色 5" xfId="20" builtinId="48" customBuiltin="1"/>
    <cellStyle name="60% - 强调文字颜色 6" xfId="21" builtinId="52" customBuiltin="1"/>
    <cellStyle name="标题" xfId="22" builtinId="15" customBuiltin="1"/>
    <cellStyle name="标题 1" xfId="23" builtinId="16" customBuiltin="1"/>
    <cellStyle name="标题 2" xfId="24" builtinId="17" customBuiltin="1"/>
    <cellStyle name="标题 3" xfId="25" builtinId="18" customBuiltin="1"/>
    <cellStyle name="标题 4" xfId="26" builtinId="19" customBuiltin="1"/>
    <cellStyle name="差" xfId="27" builtinId="27" customBuiltin="1"/>
    <cellStyle name="常规" xfId="0" builtinId="0"/>
    <cellStyle name="常规 10" xfId="56"/>
    <cellStyle name="常规 12 2 2 2 2 2" xfId="54"/>
    <cellStyle name="常规 2" xfId="28"/>
    <cellStyle name="常规 2 2" xfId="29"/>
    <cellStyle name="常规 3" xfId="30"/>
    <cellStyle name="常规 3 2 6 4" xfId="31"/>
    <cellStyle name="常规 4" xfId="52"/>
    <cellStyle name="常规 55" xfId="55"/>
    <cellStyle name="常规_exceltmp1" xfId="32"/>
    <cellStyle name="常规_M14" xfId="33"/>
    <cellStyle name="好" xfId="34" builtinId="26" customBuiltin="1"/>
    <cellStyle name="汇总" xfId="35" builtinId="25" customBuiltin="1"/>
    <cellStyle name="计算" xfId="36" builtinId="22" customBuiltin="1"/>
    <cellStyle name="检查单元格" xfId="37" builtinId="23" customBuiltin="1"/>
    <cellStyle name="解释性文本" xfId="38" builtinId="53" customBuiltin="1"/>
    <cellStyle name="警告文本" xfId="39" builtinId="11" customBuiltin="1"/>
    <cellStyle name="链接单元格" xfId="40" builtinId="24" customBuiltin="1"/>
    <cellStyle name="千位分隔" xfId="53" builtinId="3"/>
    <cellStyle name="千位分隔 6" xfId="57"/>
    <cellStyle name="强调文字颜色 1" xfId="41" builtinId="29" customBuiltin="1"/>
    <cellStyle name="强调文字颜色 2" xfId="42" builtinId="33" customBuiltin="1"/>
    <cellStyle name="强调文字颜色 3" xfId="43" builtinId="37" customBuiltin="1"/>
    <cellStyle name="强调文字颜色 4" xfId="44" builtinId="41" customBuiltin="1"/>
    <cellStyle name="强调文字颜色 5" xfId="45" builtinId="45" customBuiltin="1"/>
    <cellStyle name="强调文字颜色 6" xfId="46" builtinId="49" customBuiltin="1"/>
    <cellStyle name="适中" xfId="47" builtinId="28" customBuiltin="1"/>
    <cellStyle name="输出" xfId="48" builtinId="21" customBuiltin="1"/>
    <cellStyle name="输入" xfId="49" builtinId="20" customBuiltin="1"/>
    <cellStyle name="样式 1" xfId="50"/>
    <cellStyle name="注释" xfId="51" builtinId="10" customBuiltin="1"/>
  </cellStyles>
  <dxfs count="3">
    <dxf>
      <font>
        <b val="0"/>
        <i val="0"/>
        <color indexed="37"/>
      </font>
      <fill>
        <patternFill patternType="solid">
          <bgColor indexed="45"/>
        </patternFill>
      </fill>
    </dxf>
    <dxf>
      <font>
        <b val="0"/>
        <i val="0"/>
        <color indexed="37"/>
      </font>
      <fill>
        <patternFill patternType="solid">
          <bgColor indexed="45"/>
        </patternFill>
      </fill>
    </dxf>
    <dxf>
      <font>
        <b val="0"/>
        <i val="0"/>
        <color indexed="37"/>
      </font>
      <fill>
        <patternFill patternType="solid"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showRowColHeaders="0" showZeros="0" showOutlineSymbols="0" topLeftCell="B20" zoomScaleNormal="32" zoomScaleSheetLayoutView="6" workbookViewId="0"/>
  </sheetViews>
  <sheetFormatPr defaultRowHeight="14.25"/>
  <sheetData/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47"/>
  <sheetViews>
    <sheetView showZeros="0" tabSelected="1" zoomScaleSheetLayoutView="90" workbookViewId="0">
      <selection activeCell="B44" sqref="B44"/>
    </sheetView>
  </sheetViews>
  <sheetFormatPr defaultRowHeight="35.25" customHeight="1"/>
  <cols>
    <col min="1" max="1" width="31.375" style="13" customWidth="1"/>
    <col min="2" max="2" width="14.375" style="39" customWidth="1"/>
    <col min="3" max="3" width="9.125" style="39" customWidth="1"/>
    <col min="4" max="4" width="12.5" style="39" customWidth="1"/>
    <col min="5" max="5" width="32.25" style="13" customWidth="1"/>
    <col min="6" max="6" width="12" style="39" customWidth="1"/>
    <col min="7" max="7" width="10.875" style="7" customWidth="1"/>
    <col min="8" max="8" width="11.875" style="7" customWidth="1"/>
  </cols>
  <sheetData>
    <row r="1" spans="1:14" ht="35.25" customHeight="1">
      <c r="A1" s="289" t="s">
        <v>285</v>
      </c>
      <c r="B1" s="289"/>
      <c r="C1" s="289"/>
      <c r="D1" s="289"/>
      <c r="E1" s="289"/>
      <c r="F1" s="289"/>
      <c r="G1" s="289"/>
      <c r="H1" s="289"/>
    </row>
    <row r="2" spans="1:14" ht="26.25" customHeight="1">
      <c r="A2" s="92"/>
      <c r="B2" s="88"/>
      <c r="C2" s="88"/>
      <c r="D2" s="88"/>
      <c r="E2" s="89"/>
      <c r="G2" s="89"/>
      <c r="H2" s="93" t="s">
        <v>185</v>
      </c>
    </row>
    <row r="3" spans="1:14" s="34" customFormat="1" ht="23.1" customHeight="1">
      <c r="A3" s="206" t="s">
        <v>74</v>
      </c>
      <c r="B3" s="206" t="s">
        <v>75</v>
      </c>
      <c r="C3" s="207" t="s">
        <v>76</v>
      </c>
      <c r="D3" s="206" t="s">
        <v>73</v>
      </c>
      <c r="E3" s="206" t="s">
        <v>74</v>
      </c>
      <c r="F3" s="206" t="s">
        <v>75</v>
      </c>
      <c r="G3" s="207" t="s">
        <v>76</v>
      </c>
      <c r="H3" s="206" t="s">
        <v>73</v>
      </c>
    </row>
    <row r="4" spans="1:14" ht="23.1" customHeight="1">
      <c r="A4" s="208" t="s">
        <v>61</v>
      </c>
      <c r="B4" s="226">
        <f>B5+B8++B12+B14+B16</f>
        <v>884235.46</v>
      </c>
      <c r="C4" s="226">
        <f>C12+C13+C15</f>
        <v>152836</v>
      </c>
      <c r="D4" s="226">
        <f>D5+D8+D12+D13+D14+D15</f>
        <v>1037071.46</v>
      </c>
      <c r="E4" s="208" t="s">
        <v>63</v>
      </c>
      <c r="F4" s="226">
        <f>F5+F6</f>
        <v>884235.46</v>
      </c>
      <c r="G4" s="226">
        <f>G12+G13+G5</f>
        <v>152836</v>
      </c>
      <c r="H4" s="226">
        <f>H5+H6+H12+H13</f>
        <v>1037071.46</v>
      </c>
    </row>
    <row r="5" spans="1:14" ht="23.1" customHeight="1">
      <c r="A5" s="209" t="s">
        <v>62</v>
      </c>
      <c r="B5" s="107">
        <f>SUM(B6:B7)</f>
        <v>509531</v>
      </c>
      <c r="C5" s="172"/>
      <c r="D5" s="107">
        <f>B5+C5</f>
        <v>509531</v>
      </c>
      <c r="E5" s="210" t="s">
        <v>188</v>
      </c>
      <c r="F5" s="107">
        <v>879642.46</v>
      </c>
      <c r="G5" s="107">
        <v>35000</v>
      </c>
      <c r="H5" s="107">
        <f>F5+G5</f>
        <v>914642.46</v>
      </c>
      <c r="K5" s="26"/>
      <c r="L5" s="26"/>
      <c r="M5" s="26"/>
      <c r="N5" s="26"/>
    </row>
    <row r="6" spans="1:14" ht="23.1" customHeight="1">
      <c r="A6" s="209" t="s">
        <v>27</v>
      </c>
      <c r="B6" s="107">
        <v>326117</v>
      </c>
      <c r="C6" s="172"/>
      <c r="D6" s="107">
        <f t="shared" ref="D6:D27" si="0">B6+C6</f>
        <v>326117</v>
      </c>
      <c r="E6" s="175" t="s">
        <v>25</v>
      </c>
      <c r="F6" s="107">
        <v>4593</v>
      </c>
      <c r="G6" s="107"/>
      <c r="H6" s="107">
        <f t="shared" ref="H6:H29" si="1">F6+G6</f>
        <v>4593</v>
      </c>
    </row>
    <row r="7" spans="1:14" ht="23.1" customHeight="1">
      <c r="A7" s="209" t="s">
        <v>28</v>
      </c>
      <c r="B7" s="107">
        <v>183414</v>
      </c>
      <c r="C7" s="172"/>
      <c r="D7" s="107">
        <f t="shared" si="0"/>
        <v>183414</v>
      </c>
      <c r="E7" s="211" t="s">
        <v>29</v>
      </c>
      <c r="F7" s="107"/>
      <c r="G7" s="107"/>
      <c r="H7" s="107">
        <f t="shared" si="1"/>
        <v>0</v>
      </c>
    </row>
    <row r="8" spans="1:14" ht="23.1" customHeight="1">
      <c r="A8" s="175" t="s">
        <v>26</v>
      </c>
      <c r="B8" s="107">
        <f>SUM(B9:B11)</f>
        <v>185428.33</v>
      </c>
      <c r="C8" s="172"/>
      <c r="D8" s="107">
        <f t="shared" si="0"/>
        <v>185428.33</v>
      </c>
      <c r="E8" s="211" t="s">
        <v>30</v>
      </c>
      <c r="F8" s="107"/>
      <c r="G8" s="107"/>
      <c r="H8" s="107">
        <f t="shared" si="1"/>
        <v>0</v>
      </c>
    </row>
    <row r="9" spans="1:14" ht="23.1" customHeight="1">
      <c r="A9" s="175" t="s">
        <v>397</v>
      </c>
      <c r="B9" s="107">
        <v>25411</v>
      </c>
      <c r="C9" s="172"/>
      <c r="D9" s="107">
        <f t="shared" si="0"/>
        <v>25411</v>
      </c>
      <c r="E9" s="211" t="s">
        <v>32</v>
      </c>
      <c r="F9" s="107">
        <v>4593</v>
      </c>
      <c r="G9" s="107"/>
      <c r="H9" s="107">
        <f t="shared" si="1"/>
        <v>4593</v>
      </c>
    </row>
    <row r="10" spans="1:14" ht="23.1" customHeight="1">
      <c r="A10" s="175" t="s">
        <v>398</v>
      </c>
      <c r="B10" s="107">
        <v>143616.78</v>
      </c>
      <c r="C10" s="172"/>
      <c r="D10" s="107">
        <f t="shared" si="0"/>
        <v>143616.78</v>
      </c>
      <c r="E10" s="212" t="s">
        <v>31</v>
      </c>
      <c r="F10" s="107"/>
      <c r="G10" s="107"/>
      <c r="H10" s="107">
        <f t="shared" si="1"/>
        <v>0</v>
      </c>
    </row>
    <row r="11" spans="1:14" ht="23.1" customHeight="1">
      <c r="A11" s="175" t="s">
        <v>399</v>
      </c>
      <c r="B11" s="107">
        <v>16400.55</v>
      </c>
      <c r="C11" s="172"/>
      <c r="D11" s="107">
        <f t="shared" si="0"/>
        <v>16400.55</v>
      </c>
      <c r="E11" s="171" t="s">
        <v>414</v>
      </c>
      <c r="F11" s="107"/>
      <c r="G11" s="107"/>
      <c r="H11" s="107">
        <f>F11+G11</f>
        <v>0</v>
      </c>
    </row>
    <row r="12" spans="1:14" ht="23.1" customHeight="1">
      <c r="A12" s="171" t="s">
        <v>412</v>
      </c>
      <c r="B12" s="107"/>
      <c r="C12" s="107">
        <v>43306</v>
      </c>
      <c r="D12" s="107">
        <f>B12+C12</f>
        <v>43306</v>
      </c>
      <c r="E12" s="171" t="s">
        <v>415</v>
      </c>
      <c r="F12" s="107">
        <v>0</v>
      </c>
      <c r="G12" s="107">
        <v>43306</v>
      </c>
      <c r="H12" s="107">
        <f>F12+G12</f>
        <v>43306</v>
      </c>
    </row>
    <row r="13" spans="1:14" ht="23.1" customHeight="1">
      <c r="A13" s="171" t="s">
        <v>413</v>
      </c>
      <c r="B13" s="107"/>
      <c r="C13" s="107">
        <v>74530</v>
      </c>
      <c r="D13" s="107">
        <f>B13+C13</f>
        <v>74530</v>
      </c>
      <c r="E13" s="171" t="s">
        <v>416</v>
      </c>
      <c r="F13" s="107"/>
      <c r="G13" s="107">
        <v>74530</v>
      </c>
      <c r="H13" s="107">
        <f>F13+G13</f>
        <v>74530</v>
      </c>
    </row>
    <row r="14" spans="1:14" ht="23.1" customHeight="1">
      <c r="A14" s="171" t="s">
        <v>407</v>
      </c>
      <c r="B14" s="107">
        <v>189276.13</v>
      </c>
      <c r="C14" s="172"/>
      <c r="D14" s="107">
        <f>B14+C14</f>
        <v>189276.13</v>
      </c>
      <c r="E14" s="127"/>
      <c r="F14" s="107"/>
      <c r="G14" s="107"/>
      <c r="H14" s="107">
        <f t="shared" si="1"/>
        <v>0</v>
      </c>
    </row>
    <row r="15" spans="1:14" ht="23.1" customHeight="1">
      <c r="A15" s="171" t="s">
        <v>408</v>
      </c>
      <c r="B15" s="174"/>
      <c r="C15" s="107">
        <v>35000</v>
      </c>
      <c r="D15" s="107">
        <f>B15+C15</f>
        <v>35000</v>
      </c>
      <c r="E15" s="127"/>
      <c r="F15" s="107"/>
      <c r="G15" s="107"/>
      <c r="H15" s="107">
        <f t="shared" si="1"/>
        <v>0</v>
      </c>
    </row>
    <row r="16" spans="1:14" ht="23.1" customHeight="1">
      <c r="A16" s="205"/>
      <c r="B16" s="107"/>
      <c r="C16" s="172"/>
      <c r="D16" s="107">
        <f t="shared" si="0"/>
        <v>0</v>
      </c>
      <c r="E16" s="127"/>
      <c r="F16" s="107"/>
      <c r="G16" s="107"/>
      <c r="H16" s="107">
        <f t="shared" si="1"/>
        <v>0</v>
      </c>
    </row>
    <row r="17" spans="1:8" ht="23.1" customHeight="1">
      <c r="A17" s="171"/>
      <c r="B17" s="107"/>
      <c r="C17" s="172"/>
      <c r="D17" s="107"/>
      <c r="E17" s="127"/>
      <c r="F17" s="107"/>
      <c r="G17" s="107"/>
      <c r="H17" s="107"/>
    </row>
    <row r="18" spans="1:8" ht="23.1" customHeight="1">
      <c r="A18" s="213" t="s">
        <v>308</v>
      </c>
      <c r="B18" s="227">
        <f>B19</f>
        <v>814950</v>
      </c>
      <c r="C18" s="228">
        <f>C26+C27+C28</f>
        <v>847475</v>
      </c>
      <c r="D18" s="228">
        <f>D19+D25+D26+D27+D28</f>
        <v>1662425</v>
      </c>
      <c r="E18" s="213" t="s">
        <v>309</v>
      </c>
      <c r="F18" s="227">
        <f>F20+F22+F23+F24-F21</f>
        <v>814950</v>
      </c>
      <c r="G18" s="227">
        <f>G26+G27+G28</f>
        <v>847475</v>
      </c>
      <c r="H18" s="226">
        <f t="shared" si="1"/>
        <v>1662425</v>
      </c>
    </row>
    <row r="19" spans="1:8" ht="23.1" customHeight="1">
      <c r="A19" s="214" t="s">
        <v>310</v>
      </c>
      <c r="B19" s="199">
        <f>B20+B22+B23+B24-B21</f>
        <v>814950</v>
      </c>
      <c r="C19" s="198"/>
      <c r="D19" s="158">
        <f t="shared" si="0"/>
        <v>814950</v>
      </c>
      <c r="E19" s="215" t="s">
        <v>64</v>
      </c>
      <c r="F19" s="216"/>
      <c r="G19" s="199"/>
      <c r="H19" s="158">
        <f t="shared" si="1"/>
        <v>0</v>
      </c>
    </row>
    <row r="20" spans="1:8" ht="30" customHeight="1">
      <c r="A20" s="171" t="s">
        <v>307</v>
      </c>
      <c r="B20" s="159">
        <f>836500</f>
        <v>836500</v>
      </c>
      <c r="C20" s="198"/>
      <c r="D20" s="158">
        <f t="shared" si="0"/>
        <v>836500</v>
      </c>
      <c r="E20" s="163" t="s">
        <v>580</v>
      </c>
      <c r="F20" s="159">
        <v>836500</v>
      </c>
      <c r="G20" s="199"/>
      <c r="H20" s="217">
        <f>F20+G20</f>
        <v>836500</v>
      </c>
    </row>
    <row r="21" spans="1:8" ht="31.5" customHeight="1">
      <c r="A21" s="171" t="s">
        <v>400</v>
      </c>
      <c r="B21" s="159">
        <v>30000</v>
      </c>
      <c r="C21" s="198"/>
      <c r="D21" s="158">
        <v>30000</v>
      </c>
      <c r="E21" s="171" t="s">
        <v>400</v>
      </c>
      <c r="F21" s="159">
        <v>30000</v>
      </c>
      <c r="G21" s="199"/>
      <c r="H21" s="158">
        <v>30000</v>
      </c>
    </row>
    <row r="22" spans="1:8" ht="23.1" customHeight="1">
      <c r="A22" s="171" t="s">
        <v>306</v>
      </c>
      <c r="B22" s="199">
        <v>6000</v>
      </c>
      <c r="C22" s="198"/>
      <c r="D22" s="158">
        <f t="shared" si="0"/>
        <v>6000</v>
      </c>
      <c r="E22" s="215" t="s">
        <v>20</v>
      </c>
      <c r="F22" s="216">
        <v>6000</v>
      </c>
      <c r="G22" s="199"/>
      <c r="H22" s="158">
        <f t="shared" si="1"/>
        <v>6000</v>
      </c>
    </row>
    <row r="23" spans="1:8" ht="23.1" customHeight="1">
      <c r="A23" s="218" t="s">
        <v>304</v>
      </c>
      <c r="B23" s="199">
        <v>1250</v>
      </c>
      <c r="C23" s="199">
        <f>C24+C29</f>
        <v>0</v>
      </c>
      <c r="D23" s="158">
        <f t="shared" si="0"/>
        <v>1250</v>
      </c>
      <c r="E23" s="215" t="s">
        <v>18</v>
      </c>
      <c r="F23" s="216">
        <v>1250</v>
      </c>
      <c r="G23" s="199"/>
      <c r="H23" s="158">
        <f t="shared" si="1"/>
        <v>1250</v>
      </c>
    </row>
    <row r="24" spans="1:8" ht="23.1" customHeight="1">
      <c r="A24" s="171" t="s">
        <v>305</v>
      </c>
      <c r="B24" s="199">
        <v>1200</v>
      </c>
      <c r="C24" s="199">
        <f>C25+C30</f>
        <v>0</v>
      </c>
      <c r="D24" s="158">
        <f t="shared" si="0"/>
        <v>1200</v>
      </c>
      <c r="E24" s="215" t="s">
        <v>65</v>
      </c>
      <c r="F24" s="216">
        <v>1200</v>
      </c>
      <c r="G24" s="199"/>
      <c r="H24" s="158">
        <f t="shared" si="1"/>
        <v>1200</v>
      </c>
    </row>
    <row r="25" spans="1:8" ht="23.1" customHeight="1">
      <c r="A25" s="171" t="s">
        <v>311</v>
      </c>
      <c r="B25" s="161"/>
      <c r="C25" s="161">
        <f>C29+C31</f>
        <v>0</v>
      </c>
      <c r="D25" s="158">
        <f t="shared" si="0"/>
        <v>0</v>
      </c>
      <c r="E25" s="163" t="s">
        <v>322</v>
      </c>
      <c r="F25" s="164"/>
      <c r="G25" s="161"/>
      <c r="H25" s="158">
        <f t="shared" si="1"/>
        <v>0</v>
      </c>
    </row>
    <row r="26" spans="1:8" ht="23.1" customHeight="1">
      <c r="A26" s="171" t="s">
        <v>409</v>
      </c>
      <c r="B26" s="161"/>
      <c r="C26" s="161">
        <v>165000</v>
      </c>
      <c r="D26" s="158">
        <f t="shared" si="0"/>
        <v>165000</v>
      </c>
      <c r="E26" s="163" t="s">
        <v>321</v>
      </c>
      <c r="F26" s="164"/>
      <c r="G26" s="161">
        <v>165000</v>
      </c>
      <c r="H26" s="158">
        <f t="shared" si="1"/>
        <v>165000</v>
      </c>
    </row>
    <row r="27" spans="1:8" ht="23.1" customHeight="1">
      <c r="A27" s="171" t="s">
        <v>405</v>
      </c>
      <c r="B27" s="161"/>
      <c r="C27" s="161">
        <v>662970</v>
      </c>
      <c r="D27" s="158">
        <f t="shared" si="0"/>
        <v>662970</v>
      </c>
      <c r="E27" s="173" t="s">
        <v>406</v>
      </c>
      <c r="F27" s="164"/>
      <c r="G27" s="161">
        <v>662970</v>
      </c>
      <c r="H27" s="158">
        <f t="shared" si="1"/>
        <v>662970</v>
      </c>
    </row>
    <row r="28" spans="1:8" ht="23.1" customHeight="1">
      <c r="A28" s="171" t="s">
        <v>323</v>
      </c>
      <c r="B28" s="161"/>
      <c r="C28" s="161">
        <v>19505</v>
      </c>
      <c r="D28" s="162">
        <v>19505</v>
      </c>
      <c r="E28" s="163" t="s">
        <v>324</v>
      </c>
      <c r="F28" s="164"/>
      <c r="G28" s="161">
        <v>19505</v>
      </c>
      <c r="H28" s="107">
        <v>19505</v>
      </c>
    </row>
    <row r="29" spans="1:8" ht="23.1" customHeight="1">
      <c r="A29" s="219"/>
      <c r="B29" s="161"/>
      <c r="C29" s="161">
        <f t="shared" ref="C29" si="2">C30+C32</f>
        <v>0</v>
      </c>
      <c r="D29" s="162">
        <f t="shared" ref="D29" si="3">SUM(B29:C29)</f>
        <v>0</v>
      </c>
      <c r="E29" s="205"/>
      <c r="F29" s="174"/>
      <c r="G29" s="161"/>
      <c r="H29" s="107">
        <f t="shared" si="1"/>
        <v>0</v>
      </c>
    </row>
    <row r="30" spans="1:8" ht="30" customHeight="1">
      <c r="A30" s="213" t="s">
        <v>21</v>
      </c>
      <c r="B30" s="229">
        <f>B31+B32</f>
        <v>190277.72</v>
      </c>
      <c r="C30" s="230"/>
      <c r="D30" s="229">
        <f>B30+C30</f>
        <v>190277.72</v>
      </c>
      <c r="E30" s="220" t="s">
        <v>22</v>
      </c>
      <c r="F30" s="229">
        <f>F31+F32</f>
        <v>190277.72</v>
      </c>
      <c r="G30" s="234"/>
      <c r="H30" s="229">
        <f>F30+G30</f>
        <v>190277.72</v>
      </c>
    </row>
    <row r="31" spans="1:8" ht="23.1" customHeight="1">
      <c r="A31" s="214" t="s">
        <v>312</v>
      </c>
      <c r="B31" s="166">
        <v>1430.85</v>
      </c>
      <c r="C31" s="221"/>
      <c r="D31" s="222"/>
      <c r="E31" s="223" t="s">
        <v>33</v>
      </c>
      <c r="F31" s="166">
        <v>1001.59</v>
      </c>
      <c r="G31" s="167"/>
      <c r="H31" s="167">
        <f t="shared" ref="H31:H32" si="4">F31+G31</f>
        <v>1001.59</v>
      </c>
    </row>
    <row r="32" spans="1:8" ht="23.1" customHeight="1">
      <c r="A32" s="165" t="s">
        <v>313</v>
      </c>
      <c r="B32" s="166">
        <v>188846.87</v>
      </c>
      <c r="C32" s="161"/>
      <c r="D32" s="167"/>
      <c r="E32" s="168" t="s">
        <v>186</v>
      </c>
      <c r="F32" s="166">
        <v>189276.13</v>
      </c>
      <c r="G32" s="167"/>
      <c r="H32" s="167">
        <f t="shared" si="4"/>
        <v>189276.13</v>
      </c>
    </row>
    <row r="33" spans="1:8" ht="23.1" customHeight="1">
      <c r="A33" s="165"/>
      <c r="B33" s="166"/>
      <c r="C33" s="161"/>
      <c r="D33" s="167"/>
      <c r="E33" s="168"/>
      <c r="F33" s="166"/>
      <c r="G33" s="167"/>
      <c r="H33" s="167"/>
    </row>
    <row r="34" spans="1:8" ht="27" customHeight="1">
      <c r="A34" s="220" t="s">
        <v>23</v>
      </c>
      <c r="B34" s="231">
        <f>B35+B36+B37+B38+B39+B40+B41</f>
        <v>107839.29999999999</v>
      </c>
      <c r="C34" s="227">
        <f>C35+C36+C37+C38+C39+C40+C41</f>
        <v>0</v>
      </c>
      <c r="D34" s="231">
        <f>B34+C34</f>
        <v>107839.29999999999</v>
      </c>
      <c r="E34" s="220" t="s">
        <v>24</v>
      </c>
      <c r="F34" s="235">
        <f>F35+F36+F37+F38+F39+F40+F41</f>
        <v>95125.38</v>
      </c>
      <c r="G34" s="227">
        <f>G35+G36+G37+G38+G39+G40+G41</f>
        <v>0</v>
      </c>
      <c r="H34" s="235">
        <f>F34+G34</f>
        <v>95125.38</v>
      </c>
    </row>
    <row r="35" spans="1:8" ht="23.1" customHeight="1">
      <c r="A35" s="214" t="s">
        <v>314</v>
      </c>
      <c r="B35" s="169">
        <v>16399.48</v>
      </c>
      <c r="C35" s="170"/>
      <c r="D35" s="169">
        <f>B35</f>
        <v>16399.48</v>
      </c>
      <c r="E35" s="223" t="s">
        <v>40</v>
      </c>
      <c r="F35" s="169">
        <v>12174.6</v>
      </c>
      <c r="G35" s="224"/>
      <c r="H35" s="169">
        <f t="shared" ref="H35:H41" si="5">F35+G35</f>
        <v>12174.6</v>
      </c>
    </row>
    <row r="36" spans="1:8" ht="23.1" customHeight="1">
      <c r="A36" s="214" t="s">
        <v>315</v>
      </c>
      <c r="B36" s="169">
        <v>24852.78</v>
      </c>
      <c r="C36" s="170"/>
      <c r="D36" s="169">
        <f t="shared" ref="D36:D41" si="6">B36</f>
        <v>24852.78</v>
      </c>
      <c r="E36" s="223" t="s">
        <v>41</v>
      </c>
      <c r="F36" s="169">
        <v>20777.400000000001</v>
      </c>
      <c r="G36" s="224"/>
      <c r="H36" s="169">
        <f t="shared" si="5"/>
        <v>20777.400000000001</v>
      </c>
    </row>
    <row r="37" spans="1:8" ht="23.1" customHeight="1">
      <c r="A37" s="214" t="s">
        <v>316</v>
      </c>
      <c r="B37" s="169">
        <v>30330</v>
      </c>
      <c r="C37" s="170"/>
      <c r="D37" s="169">
        <f t="shared" si="6"/>
        <v>30330</v>
      </c>
      <c r="E37" s="223" t="s">
        <v>42</v>
      </c>
      <c r="F37" s="169">
        <v>28873.21</v>
      </c>
      <c r="G37" s="224"/>
      <c r="H37" s="169">
        <f t="shared" si="5"/>
        <v>28873.21</v>
      </c>
    </row>
    <row r="38" spans="1:8" ht="23.1" customHeight="1">
      <c r="A38" s="214" t="s">
        <v>317</v>
      </c>
      <c r="B38" s="169">
        <v>1037.29</v>
      </c>
      <c r="C38" s="170"/>
      <c r="D38" s="169">
        <f t="shared" si="6"/>
        <v>1037.29</v>
      </c>
      <c r="E38" s="223" t="s">
        <v>43</v>
      </c>
      <c r="F38" s="169">
        <v>246.61</v>
      </c>
      <c r="G38" s="224"/>
      <c r="H38" s="169">
        <f t="shared" si="5"/>
        <v>246.61</v>
      </c>
    </row>
    <row r="39" spans="1:8" ht="23.1" customHeight="1">
      <c r="A39" s="214" t="s">
        <v>318</v>
      </c>
      <c r="B39" s="169">
        <v>1073.4000000000001</v>
      </c>
      <c r="C39" s="170"/>
      <c r="D39" s="169">
        <f t="shared" si="6"/>
        <v>1073.4000000000001</v>
      </c>
      <c r="E39" s="223" t="s">
        <v>44</v>
      </c>
      <c r="F39" s="169">
        <v>682.76</v>
      </c>
      <c r="G39" s="224"/>
      <c r="H39" s="169">
        <f t="shared" si="5"/>
        <v>682.76</v>
      </c>
    </row>
    <row r="40" spans="1:8" ht="23.1" customHeight="1">
      <c r="A40" s="214" t="s">
        <v>319</v>
      </c>
      <c r="B40" s="169">
        <v>0</v>
      </c>
      <c r="C40" s="170"/>
      <c r="D40" s="169">
        <v>0</v>
      </c>
      <c r="E40" s="223" t="s">
        <v>45</v>
      </c>
      <c r="F40" s="169">
        <v>0</v>
      </c>
      <c r="G40" s="224"/>
      <c r="H40" s="169">
        <f t="shared" si="5"/>
        <v>0</v>
      </c>
    </row>
    <row r="41" spans="1:8" ht="23.1" customHeight="1">
      <c r="A41" s="165" t="s">
        <v>320</v>
      </c>
      <c r="B41" s="169">
        <v>34146.35</v>
      </c>
      <c r="C41" s="170"/>
      <c r="D41" s="169">
        <f t="shared" si="6"/>
        <v>34146.35</v>
      </c>
      <c r="E41" s="165" t="s">
        <v>66</v>
      </c>
      <c r="F41" s="169">
        <v>32370.799999999999</v>
      </c>
      <c r="G41" s="161"/>
      <c r="H41" s="169">
        <f t="shared" si="5"/>
        <v>32370.799999999999</v>
      </c>
    </row>
    <row r="42" spans="1:8" ht="23.1" customHeight="1">
      <c r="A42" s="165"/>
      <c r="B42" s="169"/>
      <c r="C42" s="170"/>
      <c r="D42" s="169"/>
      <c r="E42" s="165"/>
      <c r="F42" s="169"/>
      <c r="G42" s="161"/>
      <c r="H42" s="169"/>
    </row>
    <row r="43" spans="1:8" ht="23.1" customHeight="1">
      <c r="A43" s="165"/>
      <c r="B43" s="169"/>
      <c r="C43" s="170"/>
      <c r="D43" s="169"/>
      <c r="E43" s="165"/>
      <c r="F43" s="169"/>
      <c r="G43" s="161"/>
      <c r="H43" s="169"/>
    </row>
    <row r="44" spans="1:8" ht="23.1" customHeight="1">
      <c r="A44" s="225" t="s">
        <v>57</v>
      </c>
      <c r="B44" s="232">
        <f>B4+B18+B30+B34</f>
        <v>1997302.48</v>
      </c>
      <c r="C44" s="233">
        <f>C4+C18+C30+C34</f>
        <v>1000311</v>
      </c>
      <c r="D44" s="232">
        <f>D4+D18+D30+D34</f>
        <v>2997613.48</v>
      </c>
      <c r="E44" s="225" t="s">
        <v>58</v>
      </c>
      <c r="F44" s="232">
        <f>F4+F18+F30+F34</f>
        <v>1984588.56</v>
      </c>
      <c r="G44" s="233">
        <f>G4+G18+G30+G34</f>
        <v>1000311</v>
      </c>
      <c r="H44" s="232">
        <f>H4+H18+H30+H34</f>
        <v>2984899.56</v>
      </c>
    </row>
    <row r="47" spans="1:8" ht="35.25" customHeight="1">
      <c r="G47" s="75"/>
      <c r="H47" s="75"/>
    </row>
  </sheetData>
  <protectedRanges>
    <protectedRange password="CF6E" sqref="B32:B33" name="区域1_3_3_1"/>
  </protectedRanges>
  <mergeCells count="1">
    <mergeCell ref="A1:H1"/>
  </mergeCells>
  <phoneticPr fontId="25" type="noConversion"/>
  <printOptions horizontalCentered="1"/>
  <pageMargins left="0.15748031496062992" right="0.15748031496062992" top="0.59055118110236227" bottom="0.78740157480314965" header="0.51181102362204722" footer="0.59055118110236227"/>
  <pageSetup paperSize="9" scale="68" orientation="portrait" r:id="rId1"/>
  <headerFooter alignWithMargins="0">
    <oddFooter>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E50"/>
  <sheetViews>
    <sheetView showZeros="0" view="pageBreakPreview" topLeftCell="A37" zoomScaleSheetLayoutView="100" workbookViewId="0">
      <selection activeCell="C45" sqref="C45"/>
    </sheetView>
  </sheetViews>
  <sheetFormatPr defaultRowHeight="14.25"/>
  <cols>
    <col min="1" max="1" width="32.75" style="142" customWidth="1"/>
    <col min="2" max="5" width="20.625" style="39" customWidth="1"/>
    <col min="6" max="16384" width="9" style="58"/>
  </cols>
  <sheetData>
    <row r="1" spans="1:5" ht="22.5">
      <c r="A1" s="289" t="s">
        <v>258</v>
      </c>
      <c r="B1" s="289"/>
      <c r="C1" s="289"/>
      <c r="D1" s="289"/>
      <c r="E1" s="289"/>
    </row>
    <row r="2" spans="1:5" ht="24" customHeight="1">
      <c r="A2" s="136" t="s">
        <v>173</v>
      </c>
      <c r="B2" s="59"/>
      <c r="C2" s="59"/>
      <c r="D2" s="59"/>
      <c r="E2" s="72" t="s">
        <v>68</v>
      </c>
    </row>
    <row r="3" spans="1:5" s="60" customFormat="1">
      <c r="A3" s="290" t="s">
        <v>55</v>
      </c>
      <c r="B3" s="292" t="s">
        <v>0</v>
      </c>
      <c r="C3" s="292" t="s">
        <v>2</v>
      </c>
      <c r="D3" s="292" t="s">
        <v>73</v>
      </c>
      <c r="E3" s="293" t="s">
        <v>175</v>
      </c>
    </row>
    <row r="4" spans="1:5" s="60" customFormat="1">
      <c r="A4" s="291"/>
      <c r="B4" s="292"/>
      <c r="C4" s="292"/>
      <c r="D4" s="292"/>
      <c r="E4" s="294"/>
    </row>
    <row r="5" spans="1:5" s="62" customFormat="1" ht="21" customHeight="1">
      <c r="A5" s="137" t="s">
        <v>79</v>
      </c>
      <c r="B5" s="61">
        <f>B6+B23</f>
        <v>509531</v>
      </c>
      <c r="C5" s="61"/>
      <c r="D5" s="61">
        <f>B5+C5</f>
        <v>509531</v>
      </c>
      <c r="E5" s="131">
        <f>C5/B5</f>
        <v>0</v>
      </c>
    </row>
    <row r="6" spans="1:5" s="62" customFormat="1" ht="21" customHeight="1">
      <c r="A6" s="109" t="s">
        <v>80</v>
      </c>
      <c r="B6" s="63">
        <f>SUM(B7:B22)</f>
        <v>326117</v>
      </c>
      <c r="C6" s="63"/>
      <c r="D6" s="160">
        <f t="shared" ref="D6:D50" si="0">B6+C6</f>
        <v>326117</v>
      </c>
      <c r="E6" s="131">
        <f t="shared" ref="E6:E50" si="1">C6/B6</f>
        <v>0</v>
      </c>
    </row>
    <row r="7" spans="1:5" s="62" customFormat="1" ht="21" customHeight="1">
      <c r="A7" s="109" t="s">
        <v>253</v>
      </c>
      <c r="B7" s="63">
        <v>112472</v>
      </c>
      <c r="C7" s="63"/>
      <c r="D7" s="160">
        <f t="shared" si="0"/>
        <v>112472</v>
      </c>
      <c r="E7" s="131">
        <f t="shared" si="1"/>
        <v>0</v>
      </c>
    </row>
    <row r="8" spans="1:5" s="62" customFormat="1" ht="21" customHeight="1">
      <c r="A8" s="109" t="s">
        <v>254</v>
      </c>
      <c r="B8" s="63"/>
      <c r="C8" s="63"/>
      <c r="D8" s="160">
        <f t="shared" si="0"/>
        <v>0</v>
      </c>
      <c r="E8" s="131"/>
    </row>
    <row r="9" spans="1:5" s="62" customFormat="1" ht="21" customHeight="1">
      <c r="A9" s="109" t="s">
        <v>5</v>
      </c>
      <c r="B9" s="63">
        <v>67583</v>
      </c>
      <c r="C9" s="63"/>
      <c r="D9" s="160">
        <f t="shared" si="0"/>
        <v>67583</v>
      </c>
      <c r="E9" s="131">
        <f t="shared" si="1"/>
        <v>0</v>
      </c>
    </row>
    <row r="10" spans="1:5" s="62" customFormat="1" ht="21" customHeight="1">
      <c r="A10" s="109" t="s">
        <v>257</v>
      </c>
      <c r="B10" s="135"/>
      <c r="C10" s="135"/>
      <c r="D10" s="160">
        <f t="shared" si="0"/>
        <v>0</v>
      </c>
      <c r="E10" s="131"/>
    </row>
    <row r="11" spans="1:5" s="62" customFormat="1" ht="21" customHeight="1">
      <c r="A11" s="109" t="s">
        <v>6</v>
      </c>
      <c r="B11" s="63">
        <v>35220</v>
      </c>
      <c r="C11" s="63"/>
      <c r="D11" s="160">
        <f t="shared" si="0"/>
        <v>35220</v>
      </c>
      <c r="E11" s="131">
        <f t="shared" si="1"/>
        <v>0</v>
      </c>
    </row>
    <row r="12" spans="1:5" s="62" customFormat="1" ht="21" customHeight="1">
      <c r="A12" s="109" t="s">
        <v>7</v>
      </c>
      <c r="B12" s="63">
        <v>76</v>
      </c>
      <c r="C12" s="63"/>
      <c r="D12" s="160">
        <f t="shared" si="0"/>
        <v>76</v>
      </c>
      <c r="E12" s="131">
        <f t="shared" si="1"/>
        <v>0</v>
      </c>
    </row>
    <row r="13" spans="1:5" s="62" customFormat="1" ht="21" customHeight="1">
      <c r="A13" s="109" t="s">
        <v>8</v>
      </c>
      <c r="B13" s="63">
        <v>18555</v>
      </c>
      <c r="C13" s="63"/>
      <c r="D13" s="160">
        <f t="shared" si="0"/>
        <v>18555</v>
      </c>
      <c r="E13" s="131">
        <f t="shared" si="1"/>
        <v>0</v>
      </c>
    </row>
    <row r="14" spans="1:5" s="62" customFormat="1" ht="21" customHeight="1">
      <c r="A14" s="109" t="s">
        <v>9</v>
      </c>
      <c r="B14" s="63">
        <v>4000</v>
      </c>
      <c r="C14" s="63"/>
      <c r="D14" s="160">
        <f t="shared" si="0"/>
        <v>4000</v>
      </c>
      <c r="E14" s="131">
        <f t="shared" si="1"/>
        <v>0</v>
      </c>
    </row>
    <row r="15" spans="1:5" s="62" customFormat="1" ht="21" customHeight="1">
      <c r="A15" s="109" t="s">
        <v>10</v>
      </c>
      <c r="B15" s="63">
        <v>7500</v>
      </c>
      <c r="C15" s="63"/>
      <c r="D15" s="160">
        <f t="shared" si="0"/>
        <v>7500</v>
      </c>
      <c r="E15" s="131">
        <f t="shared" si="1"/>
        <v>0</v>
      </c>
    </row>
    <row r="16" spans="1:5" s="62" customFormat="1" ht="21" customHeight="1">
      <c r="A16" s="109" t="s">
        <v>11</v>
      </c>
      <c r="B16" s="63">
        <v>10000</v>
      </c>
      <c r="C16" s="63"/>
      <c r="D16" s="160">
        <f t="shared" si="0"/>
        <v>10000</v>
      </c>
      <c r="E16" s="131">
        <f t="shared" si="1"/>
        <v>0</v>
      </c>
    </row>
    <row r="17" spans="1:5" s="62" customFormat="1" ht="21" customHeight="1">
      <c r="A17" s="109" t="s">
        <v>12</v>
      </c>
      <c r="B17" s="63">
        <v>40000</v>
      </c>
      <c r="C17" s="63"/>
      <c r="D17" s="160">
        <f t="shared" si="0"/>
        <v>40000</v>
      </c>
      <c r="E17" s="131">
        <f t="shared" si="1"/>
        <v>0</v>
      </c>
    </row>
    <row r="18" spans="1:5" s="62" customFormat="1" ht="21" customHeight="1">
      <c r="A18" s="109" t="s">
        <v>81</v>
      </c>
      <c r="B18" s="63">
        <v>3181</v>
      </c>
      <c r="C18" s="63"/>
      <c r="D18" s="160">
        <f t="shared" si="0"/>
        <v>3181</v>
      </c>
      <c r="E18" s="131">
        <f t="shared" si="1"/>
        <v>0</v>
      </c>
    </row>
    <row r="19" spans="1:5" s="62" customFormat="1" ht="21" customHeight="1">
      <c r="A19" s="109" t="s">
        <v>13</v>
      </c>
      <c r="B19" s="63">
        <v>15000</v>
      </c>
      <c r="C19" s="63"/>
      <c r="D19" s="160">
        <f t="shared" si="0"/>
        <v>15000</v>
      </c>
      <c r="E19" s="131">
        <f t="shared" si="1"/>
        <v>0</v>
      </c>
    </row>
    <row r="20" spans="1:5" s="62" customFormat="1" ht="21" customHeight="1">
      <c r="A20" s="109" t="s">
        <v>14</v>
      </c>
      <c r="B20" s="63">
        <v>12500</v>
      </c>
      <c r="C20" s="63"/>
      <c r="D20" s="160">
        <f t="shared" si="0"/>
        <v>12500</v>
      </c>
      <c r="E20" s="131">
        <f t="shared" si="1"/>
        <v>0</v>
      </c>
    </row>
    <row r="21" spans="1:5" s="62" customFormat="1" ht="21" customHeight="1">
      <c r="A21" s="138" t="s">
        <v>255</v>
      </c>
      <c r="B21" s="135"/>
      <c r="C21" s="135"/>
      <c r="D21" s="160">
        <f t="shared" si="0"/>
        <v>0</v>
      </c>
      <c r="E21" s="131"/>
    </row>
    <row r="22" spans="1:5" s="62" customFormat="1" ht="21" customHeight="1">
      <c r="A22" s="109" t="s">
        <v>256</v>
      </c>
      <c r="B22" s="63">
        <v>30</v>
      </c>
      <c r="C22" s="63"/>
      <c r="D22" s="160">
        <f t="shared" si="0"/>
        <v>30</v>
      </c>
      <c r="E22" s="131">
        <f t="shared" si="1"/>
        <v>0</v>
      </c>
    </row>
    <row r="23" spans="1:5" s="62" customFormat="1" ht="21" customHeight="1">
      <c r="A23" s="109" t="s">
        <v>82</v>
      </c>
      <c r="B23" s="64">
        <f>B24+B25+B26+B27+B28+B30+B31</f>
        <v>183414</v>
      </c>
      <c r="C23" s="64"/>
      <c r="D23" s="160">
        <f t="shared" si="0"/>
        <v>183414</v>
      </c>
      <c r="E23" s="131">
        <f t="shared" si="1"/>
        <v>0</v>
      </c>
    </row>
    <row r="24" spans="1:5" s="62" customFormat="1" ht="21" customHeight="1">
      <c r="A24" s="109" t="s">
        <v>15</v>
      </c>
      <c r="B24" s="63">
        <v>30702</v>
      </c>
      <c r="C24" s="63"/>
      <c r="D24" s="160">
        <f t="shared" si="0"/>
        <v>30702</v>
      </c>
      <c r="E24" s="131">
        <f t="shared" si="1"/>
        <v>0</v>
      </c>
    </row>
    <row r="25" spans="1:5" s="62" customFormat="1" ht="21" customHeight="1">
      <c r="A25" s="66" t="s">
        <v>83</v>
      </c>
      <c r="B25" s="65">
        <v>5223</v>
      </c>
      <c r="C25" s="65"/>
      <c r="D25" s="160">
        <f t="shared" si="0"/>
        <v>5223</v>
      </c>
      <c r="E25" s="131">
        <f t="shared" si="1"/>
        <v>0</v>
      </c>
    </row>
    <row r="26" spans="1:5" s="62" customFormat="1" ht="21" customHeight="1">
      <c r="A26" s="66" t="s">
        <v>84</v>
      </c>
      <c r="B26" s="65">
        <v>83448</v>
      </c>
      <c r="C26" s="65"/>
      <c r="D26" s="160">
        <f t="shared" si="0"/>
        <v>83448</v>
      </c>
      <c r="E26" s="131">
        <f t="shared" si="1"/>
        <v>0</v>
      </c>
    </row>
    <row r="27" spans="1:5" s="62" customFormat="1" ht="21" customHeight="1">
      <c r="A27" s="66" t="s">
        <v>85</v>
      </c>
      <c r="B27" s="65"/>
      <c r="C27" s="65"/>
      <c r="D27" s="160">
        <f t="shared" si="0"/>
        <v>0</v>
      </c>
      <c r="E27" s="131"/>
    </row>
    <row r="28" spans="1:5" s="62" customFormat="1" ht="21" customHeight="1">
      <c r="A28" s="66" t="s">
        <v>259</v>
      </c>
      <c r="B28" s="65">
        <v>57884</v>
      </c>
      <c r="C28" s="65"/>
      <c r="D28" s="160">
        <f t="shared" si="0"/>
        <v>57884</v>
      </c>
      <c r="E28" s="131">
        <f t="shared" si="1"/>
        <v>0</v>
      </c>
    </row>
    <row r="29" spans="1:5" s="62" customFormat="1" ht="21" customHeight="1">
      <c r="A29" s="111" t="s">
        <v>260</v>
      </c>
      <c r="B29" s="112"/>
      <c r="C29" s="112"/>
      <c r="D29" s="160">
        <f t="shared" si="0"/>
        <v>0</v>
      </c>
      <c r="E29" s="131"/>
    </row>
    <row r="30" spans="1:5" s="62" customFormat="1" ht="21" customHeight="1">
      <c r="A30" s="66" t="s">
        <v>86</v>
      </c>
      <c r="B30" s="65">
        <v>1126</v>
      </c>
      <c r="C30" s="65"/>
      <c r="D30" s="160">
        <f t="shared" si="0"/>
        <v>1126</v>
      </c>
      <c r="E30" s="131">
        <f t="shared" si="1"/>
        <v>0</v>
      </c>
    </row>
    <row r="31" spans="1:5" s="62" customFormat="1" ht="21" customHeight="1">
      <c r="A31" s="109" t="s">
        <v>16</v>
      </c>
      <c r="B31" s="65">
        <v>5031</v>
      </c>
      <c r="C31" s="65"/>
      <c r="D31" s="160">
        <f t="shared" si="0"/>
        <v>5031</v>
      </c>
      <c r="E31" s="131">
        <f t="shared" si="1"/>
        <v>0</v>
      </c>
    </row>
    <row r="32" spans="1:5" s="62" customFormat="1" ht="21" customHeight="1">
      <c r="A32" s="139" t="s">
        <v>49</v>
      </c>
      <c r="B32" s="67">
        <f>SUM(B33:B42)</f>
        <v>374704.45999999996</v>
      </c>
      <c r="C32" s="67">
        <f t="shared" ref="C32" si="2">SUM(C33:C42)</f>
        <v>152836</v>
      </c>
      <c r="D32" s="67">
        <f t="shared" si="0"/>
        <v>527540.46</v>
      </c>
      <c r="E32" s="131">
        <f t="shared" si="1"/>
        <v>0.40788412286312264</v>
      </c>
    </row>
    <row r="33" spans="1:5" s="62" customFormat="1" ht="21" customHeight="1">
      <c r="A33" s="140" t="s">
        <v>87</v>
      </c>
      <c r="B33" s="68">
        <v>25411</v>
      </c>
      <c r="C33" s="65"/>
      <c r="D33" s="68">
        <f t="shared" si="0"/>
        <v>25411</v>
      </c>
      <c r="E33" s="131">
        <f t="shared" si="1"/>
        <v>0</v>
      </c>
    </row>
    <row r="34" spans="1:5" s="62" customFormat="1" ht="21" customHeight="1">
      <c r="A34" s="140" t="s">
        <v>88</v>
      </c>
      <c r="B34" s="68">
        <v>143616.78</v>
      </c>
      <c r="C34" s="65"/>
      <c r="D34" s="68">
        <f t="shared" si="0"/>
        <v>143616.78</v>
      </c>
      <c r="E34" s="131">
        <f t="shared" si="1"/>
        <v>0</v>
      </c>
    </row>
    <row r="35" spans="1:5" s="62" customFormat="1" ht="21" customHeight="1">
      <c r="A35" s="140" t="s">
        <v>190</v>
      </c>
      <c r="B35" s="68">
        <v>16400.55</v>
      </c>
      <c r="C35" s="65"/>
      <c r="D35" s="68">
        <f t="shared" si="0"/>
        <v>16400.55</v>
      </c>
      <c r="E35" s="131">
        <f t="shared" si="1"/>
        <v>0</v>
      </c>
    </row>
    <row r="36" spans="1:5" s="62" customFormat="1" ht="21" customHeight="1">
      <c r="A36" s="140" t="s">
        <v>191</v>
      </c>
      <c r="B36" s="68"/>
      <c r="C36" s="65"/>
      <c r="D36" s="68">
        <f t="shared" si="0"/>
        <v>0</v>
      </c>
      <c r="E36" s="131"/>
    </row>
    <row r="37" spans="1:5" s="62" customFormat="1" ht="21" customHeight="1">
      <c r="A37" s="140" t="s">
        <v>192</v>
      </c>
      <c r="B37" s="68"/>
      <c r="C37" s="65"/>
      <c r="D37" s="68">
        <f t="shared" si="0"/>
        <v>0</v>
      </c>
      <c r="E37" s="131"/>
    </row>
    <row r="38" spans="1:5" s="62" customFormat="1" ht="21" customHeight="1">
      <c r="A38" s="140" t="s">
        <v>193</v>
      </c>
      <c r="B38" s="68"/>
      <c r="C38" s="65"/>
      <c r="D38" s="68">
        <f t="shared" si="0"/>
        <v>0</v>
      </c>
      <c r="E38" s="131"/>
    </row>
    <row r="39" spans="1:5" s="62" customFormat="1" ht="21" customHeight="1">
      <c r="A39" s="140" t="s">
        <v>189</v>
      </c>
      <c r="B39" s="68">
        <v>189276.13</v>
      </c>
      <c r="C39" s="84"/>
      <c r="D39" s="68">
        <f t="shared" si="0"/>
        <v>189276.13</v>
      </c>
      <c r="E39" s="131">
        <f t="shared" si="1"/>
        <v>0</v>
      </c>
    </row>
    <row r="40" spans="1:5" s="62" customFormat="1" ht="21" customHeight="1">
      <c r="A40" s="140" t="s">
        <v>251</v>
      </c>
      <c r="B40" s="85"/>
      <c r="C40" s="65">
        <v>35000</v>
      </c>
      <c r="D40" s="68">
        <f t="shared" si="0"/>
        <v>35000</v>
      </c>
      <c r="E40" s="131"/>
    </row>
    <row r="41" spans="1:5" s="62" customFormat="1" ht="21" customHeight="1">
      <c r="A41" s="176" t="s">
        <v>410</v>
      </c>
      <c r="B41" s="128"/>
      <c r="C41" s="107">
        <v>43306</v>
      </c>
      <c r="D41" s="68">
        <f t="shared" si="0"/>
        <v>43306</v>
      </c>
      <c r="E41" s="131"/>
    </row>
    <row r="42" spans="1:5" s="62" customFormat="1" ht="21" customHeight="1">
      <c r="A42" s="176" t="s">
        <v>411</v>
      </c>
      <c r="B42" s="128"/>
      <c r="C42" s="107">
        <v>74530</v>
      </c>
      <c r="D42" s="68">
        <f t="shared" si="0"/>
        <v>74530</v>
      </c>
      <c r="E42" s="131"/>
    </row>
    <row r="43" spans="1:5" s="62" customFormat="1" ht="21" customHeight="1">
      <c r="A43" s="139" t="s">
        <v>89</v>
      </c>
      <c r="B43" s="110">
        <f>B5+B32</f>
        <v>884235.46</v>
      </c>
      <c r="C43" s="67">
        <f>C5+C32</f>
        <v>152836</v>
      </c>
      <c r="D43" s="110">
        <f t="shared" si="0"/>
        <v>1037071.46</v>
      </c>
      <c r="E43" s="131">
        <f t="shared" si="1"/>
        <v>0.17284536406173986</v>
      </c>
    </row>
    <row r="44" spans="1:5" s="62" customFormat="1" ht="21" customHeight="1">
      <c r="A44" s="141" t="s">
        <v>90</v>
      </c>
      <c r="B44" s="113">
        <f>B45+B46+B47+B48+B49</f>
        <v>277829</v>
      </c>
      <c r="C44" s="114"/>
      <c r="D44" s="61">
        <f t="shared" si="0"/>
        <v>277829</v>
      </c>
      <c r="E44" s="131">
        <f t="shared" si="1"/>
        <v>0</v>
      </c>
    </row>
    <row r="45" spans="1:5" s="62" customFormat="1" ht="21" customHeight="1">
      <c r="A45" s="66" t="s">
        <v>91</v>
      </c>
      <c r="B45" s="65">
        <v>112472</v>
      </c>
      <c r="C45" s="65"/>
      <c r="D45" s="65">
        <f t="shared" si="0"/>
        <v>112472</v>
      </c>
      <c r="E45" s="131">
        <f t="shared" si="1"/>
        <v>0</v>
      </c>
    </row>
    <row r="46" spans="1:5" s="62" customFormat="1" ht="21" customHeight="1">
      <c r="A46" s="66" t="s">
        <v>92</v>
      </c>
      <c r="B46" s="65">
        <v>50</v>
      </c>
      <c r="C46" s="65"/>
      <c r="D46" s="65">
        <f t="shared" si="0"/>
        <v>50</v>
      </c>
      <c r="E46" s="131">
        <f t="shared" si="1"/>
        <v>0</v>
      </c>
    </row>
    <row r="47" spans="1:5" s="62" customFormat="1" ht="21" customHeight="1">
      <c r="A47" s="66" t="s">
        <v>93</v>
      </c>
      <c r="B47" s="65">
        <v>101375</v>
      </c>
      <c r="C47" s="65"/>
      <c r="D47" s="65">
        <f t="shared" si="0"/>
        <v>101375</v>
      </c>
      <c r="E47" s="131">
        <f t="shared" si="1"/>
        <v>0</v>
      </c>
    </row>
    <row r="48" spans="1:5" s="62" customFormat="1" ht="21" customHeight="1">
      <c r="A48" s="66" t="s">
        <v>94</v>
      </c>
      <c r="B48" s="65">
        <v>52830</v>
      </c>
      <c r="C48" s="65"/>
      <c r="D48" s="65">
        <f t="shared" si="0"/>
        <v>52830</v>
      </c>
      <c r="E48" s="131">
        <f t="shared" si="1"/>
        <v>0</v>
      </c>
    </row>
    <row r="49" spans="1:5" s="62" customFormat="1" ht="21" customHeight="1">
      <c r="A49" s="111" t="s">
        <v>194</v>
      </c>
      <c r="B49" s="112">
        <v>11102</v>
      </c>
      <c r="C49" s="112"/>
      <c r="D49" s="65">
        <f t="shared" si="0"/>
        <v>11102</v>
      </c>
      <c r="E49" s="131">
        <f t="shared" si="1"/>
        <v>0</v>
      </c>
    </row>
    <row r="50" spans="1:5" s="62" customFormat="1" ht="21" customHeight="1">
      <c r="A50" s="137" t="s">
        <v>95</v>
      </c>
      <c r="B50" s="113">
        <f>B5+B44</f>
        <v>787360</v>
      </c>
      <c r="C50" s="113"/>
      <c r="D50" s="61">
        <f t="shared" si="0"/>
        <v>787360</v>
      </c>
      <c r="E50" s="131">
        <f t="shared" si="1"/>
        <v>0</v>
      </c>
    </row>
  </sheetData>
  <protectedRanges>
    <protectedRange password="CF6E" sqref="B44:B49 B7:B22 B24:C31" name="区域1_2"/>
    <protectedRange password="CF6E" sqref="B44:C44 B23:C23" name="区域1_1_1"/>
  </protectedRanges>
  <mergeCells count="6">
    <mergeCell ref="A1:E1"/>
    <mergeCell ref="A3:A4"/>
    <mergeCell ref="B3:B4"/>
    <mergeCell ref="C3:C4"/>
    <mergeCell ref="D3:D4"/>
    <mergeCell ref="E3:E4"/>
  </mergeCells>
  <phoneticPr fontId="2" type="noConversion"/>
  <pageMargins left="0.70866141732283472" right="0.70866141732283472" top="0.59055118110236227" bottom="0.78740157480314965" header="0.31496062992125984" footer="0.59055118110236227"/>
  <pageSetup paperSize="9" scale="69" orientation="portrait" verticalDpi="0" r:id="rId1"/>
  <headerFooter>
    <oddFooter>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N165"/>
  <sheetViews>
    <sheetView showZeros="0" topLeftCell="A46" workbookViewId="0">
      <selection activeCell="A69" sqref="A69:XFD69"/>
    </sheetView>
  </sheetViews>
  <sheetFormatPr defaultRowHeight="12.75"/>
  <cols>
    <col min="1" max="1" width="43.25" style="69" customWidth="1"/>
    <col min="2" max="2" width="13.25" style="83" customWidth="1"/>
    <col min="3" max="3" width="13.25" style="258" customWidth="1"/>
    <col min="4" max="4" width="13.25" style="70" customWidth="1"/>
    <col min="5" max="5" width="13.25" style="69" customWidth="1"/>
    <col min="6" max="6" width="9" style="69"/>
    <col min="7" max="7" width="17.875" style="81" customWidth="1"/>
    <col min="8" max="8" width="9" style="101"/>
    <col min="9" max="9" width="15.375" style="101" customWidth="1"/>
    <col min="10" max="10" width="9" style="101"/>
    <col min="11" max="11" width="9" style="81" customWidth="1"/>
    <col min="12" max="12" width="9" style="69"/>
    <col min="13" max="14" width="9" style="81"/>
    <col min="15" max="16384" width="9" style="69"/>
  </cols>
  <sheetData>
    <row r="1" spans="1:10" ht="38.25" customHeight="1">
      <c r="A1" s="297" t="s">
        <v>284</v>
      </c>
      <c r="B1" s="297"/>
      <c r="C1" s="297"/>
      <c r="D1" s="297"/>
      <c r="E1" s="297"/>
      <c r="H1" s="81"/>
      <c r="I1" s="81"/>
      <c r="J1" s="81"/>
    </row>
    <row r="2" spans="1:10" ht="27" customHeight="1">
      <c r="A2" s="82"/>
      <c r="C2" s="295"/>
      <c r="D2" s="296"/>
      <c r="E2" s="97" t="s">
        <v>1</v>
      </c>
      <c r="H2" s="81"/>
      <c r="I2" s="81"/>
      <c r="J2" s="81"/>
    </row>
    <row r="3" spans="1:10" ht="21" customHeight="1">
      <c r="A3" s="91" t="s">
        <v>180</v>
      </c>
      <c r="B3" s="98" t="s">
        <v>181</v>
      </c>
      <c r="C3" s="250" t="s">
        <v>182</v>
      </c>
      <c r="D3" s="99" t="s">
        <v>183</v>
      </c>
      <c r="E3" s="90" t="s">
        <v>184</v>
      </c>
      <c r="G3" s="102"/>
      <c r="H3" s="103"/>
      <c r="I3" s="104"/>
      <c r="J3" s="105"/>
    </row>
    <row r="4" spans="1:10" ht="15">
      <c r="A4" s="115" t="s">
        <v>195</v>
      </c>
      <c r="B4" s="117">
        <v>879642.45999999985</v>
      </c>
      <c r="C4" s="251">
        <v>152836</v>
      </c>
      <c r="D4" s="117">
        <v>1032478.46</v>
      </c>
      <c r="E4" s="130">
        <f>C4/B4</f>
        <v>0.17374786569534176</v>
      </c>
    </row>
    <row r="5" spans="1:10" ht="15">
      <c r="A5" s="115" t="s">
        <v>196</v>
      </c>
      <c r="B5" s="117">
        <v>850593.68999999983</v>
      </c>
      <c r="C5" s="251">
        <v>151186</v>
      </c>
      <c r="D5" s="117">
        <v>1001779.69</v>
      </c>
      <c r="E5" s="130">
        <f t="shared" ref="E5:E53" si="0">C5/B5</f>
        <v>0.17774173706837637</v>
      </c>
      <c r="G5" s="106"/>
    </row>
    <row r="6" spans="1:10" ht="15">
      <c r="A6" s="115" t="s">
        <v>96</v>
      </c>
      <c r="B6" s="117">
        <v>87334.489999999991</v>
      </c>
      <c r="C6" s="251">
        <v>8640.93</v>
      </c>
      <c r="D6" s="117">
        <v>95975.419999999984</v>
      </c>
      <c r="E6" s="130">
        <f t="shared" si="0"/>
        <v>9.8940636167910309E-2</v>
      </c>
    </row>
    <row r="7" spans="1:10" ht="15">
      <c r="A7" s="116" t="s">
        <v>97</v>
      </c>
      <c r="B7" s="143">
        <v>744.54</v>
      </c>
      <c r="C7" s="252"/>
      <c r="D7" s="124">
        <f>B7+C7</f>
        <v>744.54</v>
      </c>
      <c r="E7" s="130">
        <f t="shared" si="0"/>
        <v>0</v>
      </c>
    </row>
    <row r="8" spans="1:10" ht="15">
      <c r="A8" s="116" t="s">
        <v>98</v>
      </c>
      <c r="B8" s="144">
        <v>544.16</v>
      </c>
      <c r="C8" s="252"/>
      <c r="D8" s="124">
        <f t="shared" ref="D8:D37" si="1">B8+C8</f>
        <v>544.16</v>
      </c>
      <c r="E8" s="130">
        <f t="shared" si="0"/>
        <v>0</v>
      </c>
      <c r="G8" s="100"/>
    </row>
    <row r="9" spans="1:10" ht="15">
      <c r="A9" s="116" t="s">
        <v>197</v>
      </c>
      <c r="B9" s="144">
        <v>25841.95</v>
      </c>
      <c r="C9" s="178"/>
      <c r="D9" s="124">
        <f t="shared" si="1"/>
        <v>25841.95</v>
      </c>
      <c r="E9" s="130">
        <f t="shared" si="0"/>
        <v>0</v>
      </c>
    </row>
    <row r="10" spans="1:10" ht="15">
      <c r="A10" s="116" t="s">
        <v>99</v>
      </c>
      <c r="B10" s="144">
        <v>4956.22</v>
      </c>
      <c r="C10" s="252">
        <v>-761.32</v>
      </c>
      <c r="D10" s="124">
        <f t="shared" si="1"/>
        <v>4194.9000000000005</v>
      </c>
      <c r="E10" s="130">
        <f t="shared" si="0"/>
        <v>-0.15360900040756867</v>
      </c>
    </row>
    <row r="11" spans="1:10" ht="15">
      <c r="A11" s="116" t="s">
        <v>100</v>
      </c>
      <c r="B11" s="144">
        <v>507.2</v>
      </c>
      <c r="C11" s="178"/>
      <c r="D11" s="124">
        <f t="shared" si="1"/>
        <v>507.2</v>
      </c>
      <c r="E11" s="130">
        <f t="shared" si="0"/>
        <v>0</v>
      </c>
    </row>
    <row r="12" spans="1:10" ht="15">
      <c r="A12" s="116" t="s">
        <v>101</v>
      </c>
      <c r="B12" s="144">
        <v>2789.58</v>
      </c>
      <c r="C12" s="178">
        <v>-212</v>
      </c>
      <c r="D12" s="124">
        <f t="shared" si="1"/>
        <v>2577.58</v>
      </c>
      <c r="E12" s="130">
        <f t="shared" si="0"/>
        <v>-7.5997103506621075E-2</v>
      </c>
    </row>
    <row r="13" spans="1:10" ht="15">
      <c r="A13" s="116" t="s">
        <v>102</v>
      </c>
      <c r="B13" s="144">
        <v>2506.5</v>
      </c>
      <c r="C13" s="178"/>
      <c r="D13" s="124">
        <f t="shared" si="1"/>
        <v>2506.5</v>
      </c>
      <c r="E13" s="130">
        <f t="shared" si="0"/>
        <v>0</v>
      </c>
    </row>
    <row r="14" spans="1:10" ht="15">
      <c r="A14" s="116" t="s">
        <v>103</v>
      </c>
      <c r="B14" s="145">
        <v>128.37</v>
      </c>
      <c r="C14" s="178"/>
      <c r="D14" s="124">
        <f t="shared" si="1"/>
        <v>128.37</v>
      </c>
      <c r="E14" s="130">
        <f t="shared" si="0"/>
        <v>0</v>
      </c>
    </row>
    <row r="15" spans="1:10" ht="15">
      <c r="A15" s="116" t="s">
        <v>104</v>
      </c>
      <c r="B15" s="144">
        <v>2747.8</v>
      </c>
      <c r="C15" s="252"/>
      <c r="D15" s="124">
        <f t="shared" si="1"/>
        <v>2747.8</v>
      </c>
      <c r="E15" s="130">
        <f t="shared" si="0"/>
        <v>0</v>
      </c>
    </row>
    <row r="16" spans="1:10" ht="15">
      <c r="A16" s="116" t="s">
        <v>105</v>
      </c>
      <c r="B16" s="143">
        <v>11083.82</v>
      </c>
      <c r="C16" s="178"/>
      <c r="D16" s="124">
        <f t="shared" si="1"/>
        <v>11083.82</v>
      </c>
      <c r="E16" s="130">
        <f t="shared" si="0"/>
        <v>0</v>
      </c>
    </row>
    <row r="17" spans="1:7" ht="15">
      <c r="A17" s="116" t="s">
        <v>106</v>
      </c>
      <c r="B17" s="144">
        <v>3726.06</v>
      </c>
      <c r="C17" s="178"/>
      <c r="D17" s="124">
        <f t="shared" si="1"/>
        <v>3726.06</v>
      </c>
      <c r="E17" s="130">
        <f t="shared" si="0"/>
        <v>0</v>
      </c>
    </row>
    <row r="18" spans="1:7" ht="15">
      <c r="A18" s="116" t="s">
        <v>107</v>
      </c>
      <c r="B18" s="144">
        <v>915.49</v>
      </c>
      <c r="C18" s="252">
        <v>-54</v>
      </c>
      <c r="D18" s="124">
        <f t="shared" si="1"/>
        <v>861.49</v>
      </c>
      <c r="E18" s="130">
        <f t="shared" si="0"/>
        <v>-5.8984805950911531E-2</v>
      </c>
    </row>
    <row r="19" spans="1:7" ht="15">
      <c r="A19" s="116" t="s">
        <v>178</v>
      </c>
      <c r="B19" s="144">
        <v>1.2</v>
      </c>
      <c r="C19" s="252"/>
      <c r="D19" s="124">
        <f t="shared" si="1"/>
        <v>1.2</v>
      </c>
      <c r="E19" s="130">
        <f t="shared" si="0"/>
        <v>0</v>
      </c>
    </row>
    <row r="20" spans="1:7" ht="15">
      <c r="A20" s="116" t="s">
        <v>108</v>
      </c>
      <c r="B20" s="144">
        <v>321.45</v>
      </c>
      <c r="C20" s="178"/>
      <c r="D20" s="124">
        <f t="shared" si="1"/>
        <v>321.45</v>
      </c>
      <c r="E20" s="130">
        <f t="shared" si="0"/>
        <v>0</v>
      </c>
    </row>
    <row r="21" spans="1:7" ht="15">
      <c r="A21" s="116" t="s">
        <v>109</v>
      </c>
      <c r="B21" s="143">
        <v>384.97</v>
      </c>
      <c r="C21" s="178"/>
      <c r="D21" s="124">
        <f t="shared" si="1"/>
        <v>384.97</v>
      </c>
      <c r="E21" s="130">
        <f t="shared" si="0"/>
        <v>0</v>
      </c>
    </row>
    <row r="22" spans="1:7" ht="15">
      <c r="A22" s="116" t="s">
        <v>110</v>
      </c>
      <c r="B22" s="144">
        <v>805.86</v>
      </c>
      <c r="C22" s="178"/>
      <c r="D22" s="124">
        <f t="shared" si="1"/>
        <v>805.86</v>
      </c>
      <c r="E22" s="130">
        <f t="shared" si="0"/>
        <v>0</v>
      </c>
    </row>
    <row r="23" spans="1:7" ht="15">
      <c r="A23" s="116" t="s">
        <v>111</v>
      </c>
      <c r="B23" s="144">
        <v>1300.4000000000001</v>
      </c>
      <c r="C23" s="178"/>
      <c r="D23" s="124">
        <f t="shared" si="1"/>
        <v>1300.4000000000001</v>
      </c>
      <c r="E23" s="130">
        <f t="shared" si="0"/>
        <v>0</v>
      </c>
    </row>
    <row r="24" spans="1:7" ht="15">
      <c r="A24" s="116" t="s">
        <v>112</v>
      </c>
      <c r="B24" s="144">
        <v>3507.34</v>
      </c>
      <c r="C24" s="178">
        <v>-137</v>
      </c>
      <c r="D24" s="124">
        <f t="shared" si="1"/>
        <v>3370.34</v>
      </c>
      <c r="E24" s="130">
        <f t="shared" si="0"/>
        <v>-3.9060940769928207E-2</v>
      </c>
      <c r="G24" s="100"/>
    </row>
    <row r="25" spans="1:7" ht="15">
      <c r="A25" s="116" t="s">
        <v>113</v>
      </c>
      <c r="B25" s="144">
        <v>4111.95</v>
      </c>
      <c r="C25" s="178">
        <v>580</v>
      </c>
      <c r="D25" s="124">
        <f t="shared" si="1"/>
        <v>4691.95</v>
      </c>
      <c r="E25" s="130">
        <f t="shared" si="0"/>
        <v>0.14105229878767983</v>
      </c>
    </row>
    <row r="26" spans="1:7" ht="15">
      <c r="A26" s="116" t="s">
        <v>114</v>
      </c>
      <c r="B26" s="145">
        <v>15</v>
      </c>
      <c r="C26" s="178"/>
      <c r="D26" s="124">
        <f t="shared" si="1"/>
        <v>15</v>
      </c>
      <c r="E26" s="130">
        <f t="shared" si="0"/>
        <v>0</v>
      </c>
    </row>
    <row r="27" spans="1:7" ht="15">
      <c r="A27" s="116" t="s">
        <v>198</v>
      </c>
      <c r="B27" s="144">
        <v>2.76</v>
      </c>
      <c r="C27" s="178"/>
      <c r="D27" s="124">
        <f t="shared" si="1"/>
        <v>2.76</v>
      </c>
      <c r="E27" s="130">
        <f t="shared" si="0"/>
        <v>0</v>
      </c>
    </row>
    <row r="28" spans="1:7" ht="15">
      <c r="A28" s="116" t="s">
        <v>199</v>
      </c>
      <c r="B28" s="145">
        <v>3914.53</v>
      </c>
      <c r="C28" s="178">
        <v>45</v>
      </c>
      <c r="D28" s="124">
        <f t="shared" si="1"/>
        <v>3959.53</v>
      </c>
      <c r="E28" s="130">
        <f t="shared" si="0"/>
        <v>1.1495632936776573E-2</v>
      </c>
    </row>
    <row r="29" spans="1:7" ht="15">
      <c r="A29" s="116" t="s">
        <v>248</v>
      </c>
      <c r="B29" s="143">
        <v>12413.46</v>
      </c>
      <c r="C29" s="178">
        <v>9980.25</v>
      </c>
      <c r="D29" s="124">
        <f t="shared" si="1"/>
        <v>22393.71</v>
      </c>
      <c r="E29" s="130">
        <f t="shared" si="0"/>
        <v>0.80398615696187858</v>
      </c>
    </row>
    <row r="30" spans="1:7" ht="15">
      <c r="A30" s="115" t="s">
        <v>115</v>
      </c>
      <c r="B30" s="118">
        <f>SUM(B31:B37)</f>
        <v>89544.34</v>
      </c>
      <c r="C30" s="177">
        <f>C31+C37+C32</f>
        <v>-2425</v>
      </c>
      <c r="D30" s="124">
        <f t="shared" si="1"/>
        <v>87119.34</v>
      </c>
      <c r="E30" s="130">
        <f t="shared" si="0"/>
        <v>-2.7081555350120398E-2</v>
      </c>
    </row>
    <row r="31" spans="1:7" ht="15">
      <c r="A31" s="116" t="s">
        <v>116</v>
      </c>
      <c r="B31" s="144">
        <v>4535.5</v>
      </c>
      <c r="C31" s="252">
        <v>-2000</v>
      </c>
      <c r="D31" s="124">
        <f t="shared" si="1"/>
        <v>2535.5</v>
      </c>
      <c r="E31" s="130">
        <f t="shared" si="0"/>
        <v>-0.44096571491566533</v>
      </c>
    </row>
    <row r="32" spans="1:7" ht="15">
      <c r="A32" s="116" t="s">
        <v>117</v>
      </c>
      <c r="B32" s="143">
        <v>72758.509999999995</v>
      </c>
      <c r="C32" s="178">
        <v>29</v>
      </c>
      <c r="D32" s="124">
        <f t="shared" si="1"/>
        <v>72787.509999999995</v>
      </c>
      <c r="E32" s="130">
        <f t="shared" si="0"/>
        <v>3.9857880542083671E-4</v>
      </c>
    </row>
    <row r="33" spans="1:5" ht="15">
      <c r="A33" s="116" t="s">
        <v>118</v>
      </c>
      <c r="B33" s="144">
        <v>1307.6500000000001</v>
      </c>
      <c r="C33" s="252"/>
      <c r="D33" s="124">
        <f t="shared" si="1"/>
        <v>1307.6500000000001</v>
      </c>
      <c r="E33" s="130">
        <f t="shared" si="0"/>
        <v>0</v>
      </c>
    </row>
    <row r="34" spans="1:5" ht="15">
      <c r="A34" s="116" t="s">
        <v>119</v>
      </c>
      <c r="B34" s="143">
        <v>453.27</v>
      </c>
      <c r="C34" s="252"/>
      <c r="D34" s="124">
        <f t="shared" si="1"/>
        <v>453.27</v>
      </c>
      <c r="E34" s="130">
        <f t="shared" si="0"/>
        <v>0</v>
      </c>
    </row>
    <row r="35" spans="1:5" ht="15">
      <c r="A35" s="116" t="s">
        <v>120</v>
      </c>
      <c r="B35" s="144">
        <v>1054.4100000000001</v>
      </c>
      <c r="C35" s="253"/>
      <c r="D35" s="124">
        <f t="shared" si="1"/>
        <v>1054.4100000000001</v>
      </c>
      <c r="E35" s="130">
        <f t="shared" si="0"/>
        <v>0</v>
      </c>
    </row>
    <row r="36" spans="1:5" ht="15">
      <c r="A36" s="116" t="s">
        <v>121</v>
      </c>
      <c r="B36" s="144">
        <v>3995</v>
      </c>
      <c r="C36" s="252"/>
      <c r="D36" s="124">
        <f t="shared" si="1"/>
        <v>3995</v>
      </c>
      <c r="E36" s="130">
        <f t="shared" si="0"/>
        <v>0</v>
      </c>
    </row>
    <row r="37" spans="1:5" ht="15">
      <c r="A37" s="116" t="s">
        <v>200</v>
      </c>
      <c r="B37" s="143">
        <v>5440</v>
      </c>
      <c r="C37" s="252">
        <v>-454</v>
      </c>
      <c r="D37" s="124">
        <f t="shared" si="1"/>
        <v>4986</v>
      </c>
      <c r="E37" s="130">
        <f t="shared" si="0"/>
        <v>-8.3455882352941171E-2</v>
      </c>
    </row>
    <row r="38" spans="1:5" ht="15">
      <c r="A38" s="115" t="s">
        <v>122</v>
      </c>
      <c r="B38" s="118">
        <f>B39+B40+B41+B42+B43+B44</f>
        <v>160513.44</v>
      </c>
      <c r="C38" s="177">
        <f>C44</f>
        <v>35000</v>
      </c>
      <c r="D38" s="118">
        <f>D39+D40+D41+D42+D43+D44</f>
        <v>195513.44</v>
      </c>
      <c r="E38" s="130">
        <f t="shared" si="0"/>
        <v>0.21805027666219104</v>
      </c>
    </row>
    <row r="39" spans="1:5" ht="15">
      <c r="A39" s="116" t="s">
        <v>123</v>
      </c>
      <c r="B39" s="144">
        <v>219.66</v>
      </c>
      <c r="C39" s="252"/>
      <c r="D39" s="124">
        <f>B39+C39</f>
        <v>219.66</v>
      </c>
      <c r="E39" s="130">
        <f t="shared" si="0"/>
        <v>0</v>
      </c>
    </row>
    <row r="40" spans="1:5" ht="15">
      <c r="A40" s="116" t="s">
        <v>124</v>
      </c>
      <c r="B40" s="144">
        <v>293.77999999999997</v>
      </c>
      <c r="C40" s="252"/>
      <c r="D40" s="124">
        <f t="shared" ref="D40:D44" si="2">B40+C40</f>
        <v>293.77999999999997</v>
      </c>
      <c r="E40" s="130">
        <f t="shared" si="0"/>
        <v>0</v>
      </c>
    </row>
    <row r="41" spans="1:5" ht="15">
      <c r="A41" s="116" t="s">
        <v>179</v>
      </c>
      <c r="B41" s="144"/>
      <c r="C41" s="252"/>
      <c r="D41" s="124">
        <f t="shared" si="2"/>
        <v>0</v>
      </c>
      <c r="E41" s="130"/>
    </row>
    <row r="42" spans="1:5" ht="15">
      <c r="A42" s="116" t="s">
        <v>247</v>
      </c>
      <c r="B42" s="144"/>
      <c r="C42" s="178"/>
      <c r="D42" s="124">
        <f t="shared" si="2"/>
        <v>0</v>
      </c>
      <c r="E42" s="130"/>
    </row>
    <row r="43" spans="1:5" ht="15">
      <c r="A43" s="116" t="s">
        <v>201</v>
      </c>
      <c r="B43" s="144"/>
      <c r="C43" s="178"/>
      <c r="D43" s="124">
        <f t="shared" si="2"/>
        <v>0</v>
      </c>
      <c r="E43" s="130"/>
    </row>
    <row r="44" spans="1:5" ht="15">
      <c r="A44" s="116" t="s">
        <v>250</v>
      </c>
      <c r="B44" s="144">
        <v>160000</v>
      </c>
      <c r="C44" s="178">
        <v>35000</v>
      </c>
      <c r="D44" s="124">
        <f t="shared" si="2"/>
        <v>195000</v>
      </c>
      <c r="E44" s="130">
        <f t="shared" si="0"/>
        <v>0.21875</v>
      </c>
    </row>
    <row r="45" spans="1:5" ht="15">
      <c r="A45" s="115" t="s">
        <v>202</v>
      </c>
      <c r="B45" s="118">
        <f>B46+B47+B48+B49+B51+B50</f>
        <v>29320.809999999998</v>
      </c>
      <c r="C45" s="177">
        <f>C46+C48</f>
        <v>-40</v>
      </c>
      <c r="D45" s="118">
        <f>D46+D47+D48+D49+D51+D50</f>
        <v>29280.809999999998</v>
      </c>
      <c r="E45" s="130">
        <f t="shared" si="0"/>
        <v>-1.3642187920456495E-3</v>
      </c>
    </row>
    <row r="46" spans="1:5" ht="15">
      <c r="A46" s="116" t="s">
        <v>203</v>
      </c>
      <c r="B46" s="144">
        <v>20169.28</v>
      </c>
      <c r="C46" s="178">
        <v>60</v>
      </c>
      <c r="D46" s="124">
        <f>B46+C46</f>
        <v>20229.28</v>
      </c>
      <c r="E46" s="130">
        <f t="shared" si="0"/>
        <v>2.9748211140903395E-3</v>
      </c>
    </row>
    <row r="47" spans="1:5" ht="15">
      <c r="A47" s="116" t="s">
        <v>125</v>
      </c>
      <c r="B47" s="144">
        <v>435.9</v>
      </c>
      <c r="C47" s="178"/>
      <c r="D47" s="124">
        <f t="shared" ref="D47:D51" si="3">B47+C47</f>
        <v>435.9</v>
      </c>
      <c r="E47" s="130">
        <f t="shared" si="0"/>
        <v>0</v>
      </c>
    </row>
    <row r="48" spans="1:5" ht="15">
      <c r="A48" s="116" t="s">
        <v>126</v>
      </c>
      <c r="B48" s="144">
        <v>1951.62</v>
      </c>
      <c r="C48" s="178">
        <v>-100</v>
      </c>
      <c r="D48" s="124">
        <f t="shared" si="3"/>
        <v>1851.62</v>
      </c>
      <c r="E48" s="130">
        <f t="shared" si="0"/>
        <v>-5.1239483096094531E-2</v>
      </c>
    </row>
    <row r="49" spans="1:5" ht="15">
      <c r="A49" s="116" t="s">
        <v>261</v>
      </c>
      <c r="B49" s="144">
        <v>1471</v>
      </c>
      <c r="C49" s="252"/>
      <c r="D49" s="124">
        <f t="shared" si="3"/>
        <v>1471</v>
      </c>
      <c r="E49" s="130">
        <f t="shared" si="0"/>
        <v>0</v>
      </c>
    </row>
    <row r="50" spans="1:5" ht="15">
      <c r="A50" s="116" t="s">
        <v>262</v>
      </c>
      <c r="B50" s="144">
        <v>3477.5</v>
      </c>
      <c r="C50" s="254"/>
      <c r="D50" s="124">
        <f t="shared" si="3"/>
        <v>3477.5</v>
      </c>
      <c r="E50" s="130">
        <f t="shared" si="0"/>
        <v>0</v>
      </c>
    </row>
    <row r="51" spans="1:5" ht="15">
      <c r="A51" s="116" t="s">
        <v>204</v>
      </c>
      <c r="B51" s="144">
        <v>1815.51</v>
      </c>
      <c r="C51" s="252"/>
      <c r="D51" s="124">
        <f t="shared" si="3"/>
        <v>1815.51</v>
      </c>
      <c r="E51" s="130">
        <f t="shared" si="0"/>
        <v>0</v>
      </c>
    </row>
    <row r="52" spans="1:5" ht="15">
      <c r="A52" s="115" t="s">
        <v>127</v>
      </c>
      <c r="B52" s="118">
        <v>69230.11</v>
      </c>
      <c r="C52" s="177">
        <v>-2228.6999999999998</v>
      </c>
      <c r="D52" s="118">
        <v>67001.41</v>
      </c>
      <c r="E52" s="130">
        <f t="shared" si="0"/>
        <v>-3.2192639878804177E-2</v>
      </c>
    </row>
    <row r="53" spans="1:5" ht="15">
      <c r="A53" s="116" t="s">
        <v>128</v>
      </c>
      <c r="B53" s="143">
        <v>904.29</v>
      </c>
      <c r="C53" s="252"/>
      <c r="D53" s="124">
        <f>B53+C53</f>
        <v>904.29</v>
      </c>
      <c r="E53" s="130">
        <f t="shared" si="0"/>
        <v>0</v>
      </c>
    </row>
    <row r="54" spans="1:5" ht="15">
      <c r="A54" s="116" t="s">
        <v>129</v>
      </c>
      <c r="B54" s="143">
        <v>1698.32</v>
      </c>
      <c r="C54" s="252">
        <v>-373</v>
      </c>
      <c r="D54" s="124">
        <f>B54+C54</f>
        <v>1325.32</v>
      </c>
      <c r="E54" s="130">
        <f>C54/B54</f>
        <v>-0.21962880964718076</v>
      </c>
    </row>
    <row r="55" spans="1:5" ht="15">
      <c r="A55" s="116" t="s">
        <v>249</v>
      </c>
      <c r="B55" s="144">
        <v>45842</v>
      </c>
      <c r="C55" s="178"/>
      <c r="D55" s="124">
        <f t="shared" ref="D55:D112" si="4">B55+C55</f>
        <v>45842</v>
      </c>
      <c r="E55" s="130">
        <f t="shared" ref="E55:E117" si="5">C55/B55</f>
        <v>0</v>
      </c>
    </row>
    <row r="56" spans="1:5" ht="15">
      <c r="A56" s="116" t="s">
        <v>205</v>
      </c>
      <c r="B56" s="144">
        <v>1000</v>
      </c>
      <c r="C56" s="252"/>
      <c r="D56" s="124">
        <f t="shared" si="4"/>
        <v>1000</v>
      </c>
      <c r="E56" s="130">
        <f t="shared" si="5"/>
        <v>0</v>
      </c>
    </row>
    <row r="57" spans="1:5" ht="15">
      <c r="A57" s="116" t="s">
        <v>263</v>
      </c>
      <c r="B57" s="143">
        <v>75</v>
      </c>
      <c r="C57" s="254"/>
      <c r="D57" s="124">
        <f t="shared" si="4"/>
        <v>75</v>
      </c>
      <c r="E57" s="130">
        <f t="shared" si="5"/>
        <v>0</v>
      </c>
    </row>
    <row r="58" spans="1:5" ht="15">
      <c r="A58" s="116" t="s">
        <v>130</v>
      </c>
      <c r="B58" s="143">
        <v>1905.43</v>
      </c>
      <c r="C58" s="252"/>
      <c r="D58" s="124">
        <f t="shared" si="4"/>
        <v>1905.43</v>
      </c>
      <c r="E58" s="130">
        <f t="shared" si="5"/>
        <v>0</v>
      </c>
    </row>
    <row r="59" spans="1:5" ht="15">
      <c r="A59" s="116" t="s">
        <v>131</v>
      </c>
      <c r="B59" s="144">
        <v>592.76</v>
      </c>
      <c r="C59" s="252"/>
      <c r="D59" s="124">
        <f t="shared" si="4"/>
        <v>592.76</v>
      </c>
      <c r="E59" s="130">
        <f t="shared" si="5"/>
        <v>0</v>
      </c>
    </row>
    <row r="60" spans="1:5" ht="15">
      <c r="A60" s="116" t="s">
        <v>132</v>
      </c>
      <c r="B60" s="143">
        <v>4234.97</v>
      </c>
      <c r="C60" s="252"/>
      <c r="D60" s="124">
        <f t="shared" si="4"/>
        <v>4234.97</v>
      </c>
      <c r="E60" s="130">
        <f t="shared" si="5"/>
        <v>0</v>
      </c>
    </row>
    <row r="61" spans="1:5" ht="15">
      <c r="A61" s="116" t="s">
        <v>133</v>
      </c>
      <c r="B61" s="144">
        <v>912.61</v>
      </c>
      <c r="C61" s="252"/>
      <c r="D61" s="124">
        <f t="shared" si="4"/>
        <v>912.61</v>
      </c>
      <c r="E61" s="130">
        <f t="shared" si="5"/>
        <v>0</v>
      </c>
    </row>
    <row r="62" spans="1:5" ht="15">
      <c r="A62" s="116" t="s">
        <v>134</v>
      </c>
      <c r="B62" s="144">
        <v>60.85</v>
      </c>
      <c r="C62" s="252"/>
      <c r="D62" s="124">
        <f t="shared" si="4"/>
        <v>60.85</v>
      </c>
      <c r="E62" s="130">
        <f t="shared" si="5"/>
        <v>0</v>
      </c>
    </row>
    <row r="63" spans="1:5" ht="15">
      <c r="A63" s="116" t="s">
        <v>206</v>
      </c>
      <c r="B63" s="144">
        <v>2570.7399999999998</v>
      </c>
      <c r="C63" s="252">
        <v>-1273.7</v>
      </c>
      <c r="D63" s="124">
        <f t="shared" si="4"/>
        <v>1297.0399999999997</v>
      </c>
      <c r="E63" s="130">
        <f t="shared" si="5"/>
        <v>-0.49546045107634384</v>
      </c>
    </row>
    <row r="64" spans="1:5" ht="15">
      <c r="A64" s="116" t="s">
        <v>207</v>
      </c>
      <c r="B64" s="144">
        <v>63</v>
      </c>
      <c r="C64" s="252">
        <v>27</v>
      </c>
      <c r="D64" s="124">
        <f t="shared" si="4"/>
        <v>90</v>
      </c>
      <c r="E64" s="130">
        <f t="shared" si="5"/>
        <v>0.42857142857142855</v>
      </c>
    </row>
    <row r="65" spans="1:5" ht="15">
      <c r="A65" s="116" t="s">
        <v>208</v>
      </c>
      <c r="B65" s="144">
        <v>326.10000000000002</v>
      </c>
      <c r="C65" s="178"/>
      <c r="D65" s="124">
        <f>B65+C65</f>
        <v>326.10000000000002</v>
      </c>
      <c r="E65" s="130">
        <f>C65/B65</f>
        <v>0</v>
      </c>
    </row>
    <row r="66" spans="1:5" ht="15">
      <c r="A66" s="116" t="s">
        <v>209</v>
      </c>
      <c r="B66" s="144">
        <v>144.74</v>
      </c>
      <c r="C66" s="252"/>
      <c r="D66" s="124">
        <f t="shared" si="4"/>
        <v>144.74</v>
      </c>
      <c r="E66" s="130">
        <f t="shared" si="5"/>
        <v>0</v>
      </c>
    </row>
    <row r="67" spans="1:5" ht="15">
      <c r="A67" s="116" t="s">
        <v>210</v>
      </c>
      <c r="B67" s="144">
        <v>5637.2</v>
      </c>
      <c r="C67" s="252"/>
      <c r="D67" s="124">
        <f t="shared" si="4"/>
        <v>5637.2</v>
      </c>
      <c r="E67" s="130">
        <f t="shared" si="5"/>
        <v>0</v>
      </c>
    </row>
    <row r="68" spans="1:5" ht="15">
      <c r="A68" s="116" t="s">
        <v>211</v>
      </c>
      <c r="B68" s="144">
        <v>5.28</v>
      </c>
      <c r="C68" s="252"/>
      <c r="D68" s="124">
        <f t="shared" si="4"/>
        <v>5.28</v>
      </c>
      <c r="E68" s="130">
        <f t="shared" si="5"/>
        <v>0</v>
      </c>
    </row>
    <row r="69" spans="1:5" ht="15">
      <c r="A69" s="116" t="s">
        <v>212</v>
      </c>
      <c r="B69" s="143">
        <v>3211.82</v>
      </c>
      <c r="C69" s="252">
        <v>-609</v>
      </c>
      <c r="D69" s="124">
        <f t="shared" si="4"/>
        <v>2602.8200000000002</v>
      </c>
      <c r="E69" s="130">
        <f t="shared" si="5"/>
        <v>-0.1896121202308971</v>
      </c>
    </row>
    <row r="70" spans="1:5" ht="15">
      <c r="A70" s="115" t="s">
        <v>213</v>
      </c>
      <c r="B70" s="118">
        <f>SUM(B71:B79)</f>
        <v>42573.18</v>
      </c>
      <c r="C70" s="177">
        <f>C71+C72+C74</f>
        <v>9011.119999999999</v>
      </c>
      <c r="D70" s="118">
        <f t="shared" si="4"/>
        <v>51584.3</v>
      </c>
      <c r="E70" s="130">
        <f t="shared" si="5"/>
        <v>0.21166189605756486</v>
      </c>
    </row>
    <row r="71" spans="1:5" ht="15">
      <c r="A71" s="116" t="s">
        <v>214</v>
      </c>
      <c r="B71" s="143">
        <v>5781.68</v>
      </c>
      <c r="C71" s="252">
        <v>1011.12</v>
      </c>
      <c r="D71" s="124">
        <f t="shared" si="4"/>
        <v>6792.8</v>
      </c>
      <c r="E71" s="130">
        <f t="shared" si="5"/>
        <v>0.17488342488688408</v>
      </c>
    </row>
    <row r="72" spans="1:5" ht="15">
      <c r="A72" s="116" t="s">
        <v>135</v>
      </c>
      <c r="B72" s="144">
        <v>17134.13</v>
      </c>
      <c r="C72" s="252">
        <v>5000</v>
      </c>
      <c r="D72" s="124">
        <f t="shared" si="4"/>
        <v>22134.13</v>
      </c>
      <c r="E72" s="130">
        <f t="shared" si="5"/>
        <v>0.29181522493409351</v>
      </c>
    </row>
    <row r="73" spans="1:5" ht="15">
      <c r="A73" s="116" t="s">
        <v>136</v>
      </c>
      <c r="B73" s="144">
        <v>6786.79</v>
      </c>
      <c r="C73" s="252"/>
      <c r="D73" s="124">
        <f t="shared" si="4"/>
        <v>6786.79</v>
      </c>
      <c r="E73" s="130">
        <f t="shared" si="5"/>
        <v>0</v>
      </c>
    </row>
    <row r="74" spans="1:5" ht="15">
      <c r="A74" s="116" t="s">
        <v>137</v>
      </c>
      <c r="B74" s="143">
        <v>3589.23</v>
      </c>
      <c r="C74" s="252">
        <v>3000</v>
      </c>
      <c r="D74" s="124">
        <f t="shared" si="4"/>
        <v>6589.23</v>
      </c>
      <c r="E74" s="130">
        <f t="shared" si="5"/>
        <v>0.83583386966006634</v>
      </c>
    </row>
    <row r="75" spans="1:5" ht="14.25" customHeight="1">
      <c r="A75" s="116" t="s">
        <v>138</v>
      </c>
      <c r="B75" s="144">
        <v>694.27</v>
      </c>
      <c r="C75" s="252"/>
      <c r="D75" s="124">
        <f t="shared" si="4"/>
        <v>694.27</v>
      </c>
      <c r="E75" s="130">
        <f t="shared" si="5"/>
        <v>0</v>
      </c>
    </row>
    <row r="76" spans="1:5" ht="15">
      <c r="A76" s="116" t="s">
        <v>216</v>
      </c>
      <c r="B76" s="144">
        <v>398.26</v>
      </c>
      <c r="C76" s="252"/>
      <c r="D76" s="124">
        <f t="shared" si="4"/>
        <v>398.26</v>
      </c>
      <c r="E76" s="130">
        <f t="shared" si="5"/>
        <v>0</v>
      </c>
    </row>
    <row r="77" spans="1:5" ht="15">
      <c r="A77" s="116" t="s">
        <v>217</v>
      </c>
      <c r="B77" s="144">
        <v>5475</v>
      </c>
      <c r="C77" s="252"/>
      <c r="D77" s="124">
        <f t="shared" si="4"/>
        <v>5475</v>
      </c>
      <c r="E77" s="130">
        <f t="shared" si="5"/>
        <v>0</v>
      </c>
    </row>
    <row r="78" spans="1:5" ht="15">
      <c r="A78" s="116" t="s">
        <v>218</v>
      </c>
      <c r="B78" s="143">
        <v>1895.82</v>
      </c>
      <c r="C78" s="252"/>
      <c r="D78" s="124">
        <f t="shared" si="4"/>
        <v>1895.82</v>
      </c>
      <c r="E78" s="130">
        <f t="shared" si="5"/>
        <v>0</v>
      </c>
    </row>
    <row r="79" spans="1:5" ht="15">
      <c r="A79" s="116" t="s">
        <v>219</v>
      </c>
      <c r="B79" s="143">
        <v>818</v>
      </c>
      <c r="C79" s="252"/>
      <c r="D79" s="124">
        <f t="shared" si="4"/>
        <v>818</v>
      </c>
      <c r="E79" s="130">
        <f t="shared" si="5"/>
        <v>0</v>
      </c>
    </row>
    <row r="80" spans="1:5" ht="15">
      <c r="A80" s="115" t="s">
        <v>139</v>
      </c>
      <c r="B80" s="118">
        <f>B81+B82+B83</f>
        <v>10960.810000000001</v>
      </c>
      <c r="C80" s="177">
        <f>C83</f>
        <v>4000</v>
      </c>
      <c r="D80" s="118">
        <f t="shared" si="4"/>
        <v>14960.810000000001</v>
      </c>
      <c r="E80" s="130">
        <f t="shared" si="5"/>
        <v>0.36493653297520889</v>
      </c>
    </row>
    <row r="81" spans="1:5" ht="15">
      <c r="A81" s="116" t="s">
        <v>140</v>
      </c>
      <c r="B81" s="144">
        <v>10339.86</v>
      </c>
      <c r="C81" s="178"/>
      <c r="D81" s="124">
        <f t="shared" si="4"/>
        <v>10339.86</v>
      </c>
      <c r="E81" s="130">
        <f t="shared" si="5"/>
        <v>0</v>
      </c>
    </row>
    <row r="82" spans="1:5" ht="15">
      <c r="A82" s="116" t="s">
        <v>141</v>
      </c>
      <c r="B82" s="144">
        <v>177</v>
      </c>
      <c r="C82" s="178"/>
      <c r="D82" s="124">
        <f t="shared" si="4"/>
        <v>177</v>
      </c>
      <c r="E82" s="130">
        <f t="shared" si="5"/>
        <v>0</v>
      </c>
    </row>
    <row r="83" spans="1:5" ht="15">
      <c r="A83" s="116" t="s">
        <v>142</v>
      </c>
      <c r="B83" s="144">
        <v>443.95</v>
      </c>
      <c r="C83" s="178">
        <v>4000</v>
      </c>
      <c r="D83" s="124">
        <f t="shared" si="4"/>
        <v>4443.95</v>
      </c>
      <c r="E83" s="130">
        <f t="shared" si="5"/>
        <v>9.0100236513120855</v>
      </c>
    </row>
    <row r="84" spans="1:5" ht="15">
      <c r="A84" s="115" t="s">
        <v>143</v>
      </c>
      <c r="B84" s="118">
        <f>SUM(B85:B88)</f>
        <v>59187.289999999994</v>
      </c>
      <c r="C84" s="177">
        <f>C85+C88+C87</f>
        <v>25875</v>
      </c>
      <c r="D84" s="118">
        <f t="shared" si="4"/>
        <v>85062.29</v>
      </c>
      <c r="E84" s="130">
        <f t="shared" si="5"/>
        <v>0.43717156166467502</v>
      </c>
    </row>
    <row r="85" spans="1:5" ht="12.75" customHeight="1">
      <c r="A85" s="116" t="s">
        <v>144</v>
      </c>
      <c r="B85" s="144">
        <v>21788.48</v>
      </c>
      <c r="C85" s="178">
        <v>-4555</v>
      </c>
      <c r="D85" s="124">
        <f t="shared" si="4"/>
        <v>17233.48</v>
      </c>
      <c r="E85" s="130">
        <f t="shared" si="5"/>
        <v>-0.20905542745524242</v>
      </c>
    </row>
    <row r="86" spans="1:5" ht="12.75" customHeight="1">
      <c r="A86" s="116" t="s">
        <v>220</v>
      </c>
      <c r="B86" s="144">
        <v>2050</v>
      </c>
      <c r="C86" s="178"/>
      <c r="D86" s="124">
        <f t="shared" si="4"/>
        <v>2050</v>
      </c>
      <c r="E86" s="130">
        <f t="shared" si="5"/>
        <v>0</v>
      </c>
    </row>
    <row r="87" spans="1:5" ht="15">
      <c r="A87" s="116" t="s">
        <v>145</v>
      </c>
      <c r="B87" s="144">
        <v>24982.58</v>
      </c>
      <c r="C87" s="178">
        <v>29800</v>
      </c>
      <c r="D87" s="124">
        <f t="shared" si="4"/>
        <v>54782.58</v>
      </c>
      <c r="E87" s="130">
        <f t="shared" si="5"/>
        <v>1.1928311647556016</v>
      </c>
    </row>
    <row r="88" spans="1:5" ht="15">
      <c r="A88" s="116" t="s">
        <v>221</v>
      </c>
      <c r="B88" s="144">
        <v>10366.23</v>
      </c>
      <c r="C88" s="178">
        <v>630</v>
      </c>
      <c r="D88" s="124">
        <f t="shared" si="4"/>
        <v>10996.23</v>
      </c>
      <c r="E88" s="130">
        <f t="shared" si="5"/>
        <v>6.0774264124951891E-2</v>
      </c>
    </row>
    <row r="89" spans="1:5" ht="15">
      <c r="A89" s="115" t="s">
        <v>146</v>
      </c>
      <c r="B89" s="118">
        <f>SUM(B90:B97)</f>
        <v>12933.09</v>
      </c>
      <c r="C89" s="177"/>
      <c r="D89" s="118">
        <f t="shared" si="4"/>
        <v>12933.09</v>
      </c>
      <c r="E89" s="130">
        <f t="shared" si="5"/>
        <v>0</v>
      </c>
    </row>
    <row r="90" spans="1:5" ht="15">
      <c r="A90" s="116" t="s">
        <v>147</v>
      </c>
      <c r="B90" s="143">
        <v>5897.3</v>
      </c>
      <c r="C90" s="252"/>
      <c r="D90" s="124">
        <f t="shared" si="4"/>
        <v>5897.3</v>
      </c>
      <c r="E90" s="130">
        <f t="shared" si="5"/>
        <v>0</v>
      </c>
    </row>
    <row r="91" spans="1:5" ht="15">
      <c r="A91" s="116" t="s">
        <v>222</v>
      </c>
      <c r="B91" s="146">
        <v>3409.86</v>
      </c>
      <c r="C91" s="252"/>
      <c r="D91" s="124">
        <f t="shared" si="4"/>
        <v>3409.86</v>
      </c>
      <c r="E91" s="130">
        <f t="shared" si="5"/>
        <v>0</v>
      </c>
    </row>
    <row r="92" spans="1:5" ht="15">
      <c r="A92" s="116" t="s">
        <v>148</v>
      </c>
      <c r="B92" s="144">
        <v>1878.93</v>
      </c>
      <c r="C92" s="252"/>
      <c r="D92" s="124">
        <f t="shared" si="4"/>
        <v>1878.93</v>
      </c>
      <c r="E92" s="130">
        <f t="shared" si="5"/>
        <v>0</v>
      </c>
    </row>
    <row r="93" spans="1:5" ht="15">
      <c r="A93" s="116" t="s">
        <v>223</v>
      </c>
      <c r="B93" s="144"/>
      <c r="C93" s="252"/>
      <c r="D93" s="124">
        <f t="shared" si="4"/>
        <v>0</v>
      </c>
      <c r="E93" s="130"/>
    </row>
    <row r="94" spans="1:5" ht="15">
      <c r="A94" s="116" t="s">
        <v>149</v>
      </c>
      <c r="B94" s="143">
        <v>15</v>
      </c>
      <c r="C94" s="252"/>
      <c r="D94" s="124">
        <f t="shared" si="4"/>
        <v>15</v>
      </c>
      <c r="E94" s="130">
        <f t="shared" si="5"/>
        <v>0</v>
      </c>
    </row>
    <row r="95" spans="1:5" ht="15">
      <c r="A95" s="116" t="s">
        <v>150</v>
      </c>
      <c r="B95" s="143">
        <v>1732</v>
      </c>
      <c r="C95" s="252"/>
      <c r="D95" s="124">
        <f t="shared" si="4"/>
        <v>1732</v>
      </c>
      <c r="E95" s="130">
        <f t="shared" si="5"/>
        <v>0</v>
      </c>
    </row>
    <row r="96" spans="1:5" ht="15">
      <c r="A96" s="116" t="s">
        <v>224</v>
      </c>
      <c r="B96" s="144"/>
      <c r="C96" s="252"/>
      <c r="D96" s="124">
        <f t="shared" si="4"/>
        <v>0</v>
      </c>
      <c r="E96" s="130"/>
    </row>
    <row r="97" spans="1:5" ht="15">
      <c r="A97" s="116" t="s">
        <v>225</v>
      </c>
      <c r="B97" s="144"/>
      <c r="C97" s="253"/>
      <c r="D97" s="124">
        <f t="shared" si="4"/>
        <v>0</v>
      </c>
      <c r="E97" s="130"/>
    </row>
    <row r="98" spans="1:5" ht="15">
      <c r="A98" s="115" t="s">
        <v>151</v>
      </c>
      <c r="B98" s="118">
        <f>B99+B100+B101+B102</f>
        <v>13076.51</v>
      </c>
      <c r="C98" s="177">
        <f>C102</f>
        <v>-500</v>
      </c>
      <c r="D98" s="118">
        <f t="shared" si="4"/>
        <v>12576.51</v>
      </c>
      <c r="E98" s="130">
        <f t="shared" si="5"/>
        <v>-3.8236501941267202E-2</v>
      </c>
    </row>
    <row r="99" spans="1:5" ht="15">
      <c r="A99" s="116" t="s">
        <v>152</v>
      </c>
      <c r="B99" s="144">
        <v>8075.69</v>
      </c>
      <c r="C99" s="178"/>
      <c r="D99" s="124">
        <f t="shared" si="4"/>
        <v>8075.69</v>
      </c>
      <c r="E99" s="130">
        <f t="shared" si="5"/>
        <v>0</v>
      </c>
    </row>
    <row r="100" spans="1:5" ht="15">
      <c r="A100" s="116" t="s">
        <v>153</v>
      </c>
      <c r="B100" s="144"/>
      <c r="C100" s="252"/>
      <c r="D100" s="124">
        <f t="shared" si="4"/>
        <v>0</v>
      </c>
      <c r="E100" s="130"/>
    </row>
    <row r="101" spans="1:5" ht="15">
      <c r="A101" s="116" t="s">
        <v>226</v>
      </c>
      <c r="B101" s="144">
        <v>82.76</v>
      </c>
      <c r="C101" s="252"/>
      <c r="D101" s="124">
        <f t="shared" si="4"/>
        <v>82.76</v>
      </c>
      <c r="E101" s="130">
        <f t="shared" si="5"/>
        <v>0</v>
      </c>
    </row>
    <row r="102" spans="1:5" ht="15">
      <c r="A102" s="116" t="s">
        <v>227</v>
      </c>
      <c r="B102" s="144">
        <v>4918.0600000000004</v>
      </c>
      <c r="C102" s="252">
        <v>-500</v>
      </c>
      <c r="D102" s="124">
        <f t="shared" si="4"/>
        <v>4418.0600000000004</v>
      </c>
      <c r="E102" s="130">
        <f t="shared" si="5"/>
        <v>-0.10166610411422389</v>
      </c>
    </row>
    <row r="103" spans="1:5" ht="15">
      <c r="A103" s="115" t="s">
        <v>154</v>
      </c>
      <c r="B103" s="118">
        <f>B104+B105+B106+B107</f>
        <v>25367.89</v>
      </c>
      <c r="C103" s="177"/>
      <c r="D103" s="118">
        <f t="shared" si="4"/>
        <v>25367.89</v>
      </c>
      <c r="E103" s="130">
        <f t="shared" si="5"/>
        <v>0</v>
      </c>
    </row>
    <row r="104" spans="1:5" ht="15">
      <c r="A104" s="116" t="s">
        <v>265</v>
      </c>
      <c r="B104" s="144">
        <v>3.35</v>
      </c>
      <c r="C104" s="252"/>
      <c r="D104" s="124">
        <f t="shared" si="4"/>
        <v>3.35</v>
      </c>
      <c r="E104" s="130">
        <f t="shared" si="5"/>
        <v>0</v>
      </c>
    </row>
    <row r="105" spans="1:5" ht="15">
      <c r="A105" s="116" t="s">
        <v>264</v>
      </c>
      <c r="B105" s="144">
        <v>10000</v>
      </c>
      <c r="C105" s="252"/>
      <c r="D105" s="124">
        <f t="shared" si="4"/>
        <v>10000</v>
      </c>
      <c r="E105" s="130">
        <f t="shared" si="5"/>
        <v>0</v>
      </c>
    </row>
    <row r="106" spans="1:5" ht="15">
      <c r="A106" s="116" t="s">
        <v>155</v>
      </c>
      <c r="B106" s="144">
        <v>364.54</v>
      </c>
      <c r="C106" s="252"/>
      <c r="D106" s="124">
        <f t="shared" si="4"/>
        <v>364.54</v>
      </c>
      <c r="E106" s="130">
        <f t="shared" si="5"/>
        <v>0</v>
      </c>
    </row>
    <row r="107" spans="1:5" ht="15">
      <c r="A107" s="116" t="s">
        <v>252</v>
      </c>
      <c r="B107" s="144">
        <v>15000</v>
      </c>
      <c r="C107" s="252"/>
      <c r="D107" s="124">
        <f t="shared" si="4"/>
        <v>15000</v>
      </c>
      <c r="E107" s="130">
        <f t="shared" si="5"/>
        <v>0</v>
      </c>
    </row>
    <row r="108" spans="1:5" ht="15">
      <c r="A108" s="115" t="s">
        <v>156</v>
      </c>
      <c r="B108" s="118">
        <f>B109+B110+B111+B112</f>
        <v>2149.8200000000002</v>
      </c>
      <c r="C108" s="253"/>
      <c r="D108" s="118">
        <f t="shared" si="4"/>
        <v>2149.8200000000002</v>
      </c>
      <c r="E108" s="130">
        <f t="shared" si="5"/>
        <v>0</v>
      </c>
    </row>
    <row r="109" spans="1:5" ht="15">
      <c r="A109" s="116" t="s">
        <v>157</v>
      </c>
      <c r="B109" s="144">
        <v>2149.8200000000002</v>
      </c>
      <c r="C109" s="252"/>
      <c r="D109" s="124">
        <f t="shared" si="4"/>
        <v>2149.8200000000002</v>
      </c>
      <c r="E109" s="130">
        <f t="shared" si="5"/>
        <v>0</v>
      </c>
    </row>
    <row r="110" spans="1:5" ht="15">
      <c r="A110" s="116" t="s">
        <v>158</v>
      </c>
      <c r="B110" s="124"/>
      <c r="C110" s="252"/>
      <c r="D110" s="124">
        <f t="shared" si="4"/>
        <v>0</v>
      </c>
      <c r="E110" s="130"/>
    </row>
    <row r="111" spans="1:5" ht="15">
      <c r="A111" s="116" t="s">
        <v>159</v>
      </c>
      <c r="B111" s="124"/>
      <c r="C111" s="253"/>
      <c r="D111" s="124">
        <f t="shared" si="4"/>
        <v>0</v>
      </c>
      <c r="E111" s="130"/>
    </row>
    <row r="112" spans="1:5" ht="15">
      <c r="A112" s="116" t="s">
        <v>228</v>
      </c>
      <c r="B112" s="124"/>
      <c r="C112" s="252"/>
      <c r="D112" s="124">
        <f t="shared" si="4"/>
        <v>0</v>
      </c>
      <c r="E112" s="130"/>
    </row>
    <row r="113" spans="1:5" ht="15">
      <c r="A113" s="115" t="s">
        <v>160</v>
      </c>
      <c r="B113" s="118">
        <f>B114+B115+B116</f>
        <v>180</v>
      </c>
      <c r="C113" s="253"/>
      <c r="D113" s="118">
        <f t="shared" ref="D113:D143" si="6">B113+C113</f>
        <v>180</v>
      </c>
      <c r="E113" s="130">
        <f t="shared" si="5"/>
        <v>0</v>
      </c>
    </row>
    <row r="114" spans="1:5" ht="15">
      <c r="A114" s="116" t="s">
        <v>161</v>
      </c>
      <c r="B114" s="144">
        <v>180</v>
      </c>
      <c r="C114" s="252"/>
      <c r="D114" s="124">
        <f t="shared" si="6"/>
        <v>180</v>
      </c>
      <c r="E114" s="130">
        <f t="shared" si="5"/>
        <v>0</v>
      </c>
    </row>
    <row r="115" spans="1:5" ht="15">
      <c r="A115" s="116" t="s">
        <v>229</v>
      </c>
      <c r="B115" s="124"/>
      <c r="C115" s="252"/>
      <c r="D115" s="124">
        <f t="shared" si="6"/>
        <v>0</v>
      </c>
      <c r="E115" s="130"/>
    </row>
    <row r="116" spans="1:5" ht="15">
      <c r="A116" s="116" t="s">
        <v>230</v>
      </c>
      <c r="B116" s="124"/>
      <c r="C116" s="252"/>
      <c r="D116" s="124">
        <f t="shared" si="6"/>
        <v>0</v>
      </c>
      <c r="E116" s="130"/>
    </row>
    <row r="117" spans="1:5" ht="15">
      <c r="A117" s="115" t="s">
        <v>231</v>
      </c>
      <c r="B117" s="118">
        <f>B118+B119+B120+B121+B122</f>
        <v>11019.739999999998</v>
      </c>
      <c r="C117" s="177">
        <f>C118</f>
        <v>-1014.71</v>
      </c>
      <c r="D117" s="118">
        <f t="shared" si="6"/>
        <v>10005.029999999999</v>
      </c>
      <c r="E117" s="130">
        <f t="shared" si="5"/>
        <v>-9.2081119881231341E-2</v>
      </c>
    </row>
    <row r="118" spans="1:5" ht="15">
      <c r="A118" s="116" t="s">
        <v>232</v>
      </c>
      <c r="B118" s="124">
        <v>9821.2999999999993</v>
      </c>
      <c r="C118" s="252">
        <v>-1014.71</v>
      </c>
      <c r="D118" s="124">
        <f t="shared" si="6"/>
        <v>8806.59</v>
      </c>
      <c r="E118" s="130">
        <f t="shared" ref="E118:E165" si="7">C118/B118</f>
        <v>-0.10331727978984453</v>
      </c>
    </row>
    <row r="119" spans="1:5" ht="15">
      <c r="A119" s="116" t="s">
        <v>162</v>
      </c>
      <c r="B119" s="124">
        <v>120.3</v>
      </c>
      <c r="C119" s="178"/>
      <c r="D119" s="124">
        <f t="shared" si="6"/>
        <v>120.3</v>
      </c>
      <c r="E119" s="130">
        <f t="shared" si="7"/>
        <v>0</v>
      </c>
    </row>
    <row r="120" spans="1:5" ht="15">
      <c r="A120" s="116" t="s">
        <v>233</v>
      </c>
      <c r="B120" s="124"/>
      <c r="C120" s="178"/>
      <c r="D120" s="124">
        <f t="shared" si="6"/>
        <v>0</v>
      </c>
      <c r="E120" s="130"/>
    </row>
    <row r="121" spans="1:5" ht="15">
      <c r="A121" s="116" t="s">
        <v>163</v>
      </c>
      <c r="B121" s="124"/>
      <c r="C121" s="178"/>
      <c r="D121" s="124">
        <f t="shared" si="6"/>
        <v>0</v>
      </c>
      <c r="E121" s="130"/>
    </row>
    <row r="122" spans="1:5" ht="15">
      <c r="A122" s="116" t="s">
        <v>164</v>
      </c>
      <c r="B122" s="124">
        <v>1078.1400000000001</v>
      </c>
      <c r="C122" s="252"/>
      <c r="D122" s="124">
        <f t="shared" si="6"/>
        <v>1078.1400000000001</v>
      </c>
      <c r="E122" s="130">
        <f t="shared" si="7"/>
        <v>0</v>
      </c>
    </row>
    <row r="123" spans="1:5" ht="15">
      <c r="A123" s="115" t="s">
        <v>165</v>
      </c>
      <c r="B123" s="118">
        <f>B124+B125</f>
        <v>14491.59</v>
      </c>
      <c r="C123" s="253">
        <v>5332</v>
      </c>
      <c r="D123" s="118">
        <f t="shared" si="6"/>
        <v>19823.59</v>
      </c>
      <c r="E123" s="130">
        <f t="shared" si="7"/>
        <v>0.36793754170522353</v>
      </c>
    </row>
    <row r="124" spans="1:5" ht="15">
      <c r="A124" s="116" t="s">
        <v>166</v>
      </c>
      <c r="B124" s="124">
        <v>500</v>
      </c>
      <c r="C124" s="178">
        <v>5332</v>
      </c>
      <c r="D124" s="124">
        <f t="shared" si="6"/>
        <v>5832</v>
      </c>
      <c r="E124" s="130">
        <f t="shared" si="7"/>
        <v>10.664</v>
      </c>
    </row>
    <row r="125" spans="1:5" ht="15">
      <c r="A125" s="116" t="s">
        <v>167</v>
      </c>
      <c r="B125" s="124">
        <v>13991.59</v>
      </c>
      <c r="C125" s="252"/>
      <c r="D125" s="124">
        <f t="shared" si="6"/>
        <v>13991.59</v>
      </c>
      <c r="E125" s="130">
        <f t="shared" si="7"/>
        <v>0</v>
      </c>
    </row>
    <row r="126" spans="1:5" ht="15">
      <c r="A126" s="115" t="s">
        <v>168</v>
      </c>
      <c r="B126" s="118">
        <f>B127+B128</f>
        <v>2001.98</v>
      </c>
      <c r="C126" s="253"/>
      <c r="D126" s="118">
        <f t="shared" si="6"/>
        <v>2001.98</v>
      </c>
      <c r="E126" s="130">
        <f t="shared" si="7"/>
        <v>0</v>
      </c>
    </row>
    <row r="127" spans="1:5" ht="15">
      <c r="A127" s="116" t="s">
        <v>169</v>
      </c>
      <c r="B127" s="124">
        <v>2001.98</v>
      </c>
      <c r="C127" s="252"/>
      <c r="D127" s="124">
        <f t="shared" si="6"/>
        <v>2001.98</v>
      </c>
      <c r="E127" s="130">
        <f t="shared" si="7"/>
        <v>0</v>
      </c>
    </row>
    <row r="128" spans="1:5" ht="15">
      <c r="A128" s="116" t="s">
        <v>170</v>
      </c>
      <c r="B128" s="124"/>
      <c r="C128" s="252"/>
      <c r="D128" s="124">
        <f t="shared" si="6"/>
        <v>0</v>
      </c>
      <c r="E128" s="130"/>
    </row>
    <row r="129" spans="1:5" ht="15">
      <c r="A129" s="115" t="s">
        <v>234</v>
      </c>
      <c r="B129" s="118">
        <f>B130+B131+B132+B133</f>
        <v>7284.65</v>
      </c>
      <c r="C129" s="177"/>
      <c r="D129" s="124">
        <f t="shared" si="6"/>
        <v>7284.65</v>
      </c>
      <c r="E129" s="130">
        <f t="shared" si="7"/>
        <v>0</v>
      </c>
    </row>
    <row r="130" spans="1:5" ht="15">
      <c r="A130" s="116" t="s">
        <v>235</v>
      </c>
      <c r="B130" s="124">
        <v>3534.33</v>
      </c>
      <c r="C130" s="252"/>
      <c r="D130" s="124">
        <f t="shared" si="6"/>
        <v>3534.33</v>
      </c>
      <c r="E130" s="130">
        <f t="shared" si="7"/>
        <v>0</v>
      </c>
    </row>
    <row r="131" spans="1:5" ht="15">
      <c r="A131" s="116" t="s">
        <v>236</v>
      </c>
      <c r="B131" s="124">
        <v>3419.5</v>
      </c>
      <c r="C131" s="252"/>
      <c r="D131" s="124">
        <f t="shared" si="6"/>
        <v>3419.5</v>
      </c>
      <c r="E131" s="130">
        <f t="shared" si="7"/>
        <v>0</v>
      </c>
    </row>
    <row r="132" spans="1:5" ht="15">
      <c r="A132" s="116" t="s">
        <v>163</v>
      </c>
      <c r="B132" s="124">
        <v>165.82</v>
      </c>
      <c r="C132" s="252"/>
      <c r="D132" s="124">
        <f t="shared" si="6"/>
        <v>165.82</v>
      </c>
      <c r="E132" s="130">
        <f t="shared" si="7"/>
        <v>0</v>
      </c>
    </row>
    <row r="133" spans="1:5" ht="15">
      <c r="A133" s="116" t="s">
        <v>266</v>
      </c>
      <c r="B133" s="124">
        <v>165</v>
      </c>
      <c r="C133" s="253"/>
      <c r="D133" s="124">
        <f t="shared" si="6"/>
        <v>165</v>
      </c>
      <c r="E133" s="130">
        <f t="shared" si="7"/>
        <v>0</v>
      </c>
    </row>
    <row r="134" spans="1:5" ht="15">
      <c r="A134" s="115" t="s">
        <v>237</v>
      </c>
      <c r="B134" s="118">
        <v>21000</v>
      </c>
      <c r="C134" s="252"/>
      <c r="D134" s="118">
        <f t="shared" si="6"/>
        <v>21000</v>
      </c>
      <c r="E134" s="130">
        <f t="shared" si="7"/>
        <v>0</v>
      </c>
    </row>
    <row r="135" spans="1:5" ht="15">
      <c r="A135" s="115" t="s">
        <v>238</v>
      </c>
      <c r="B135" s="118">
        <v>102340.46</v>
      </c>
      <c r="C135" s="118">
        <v>74530</v>
      </c>
      <c r="D135" s="118">
        <f t="shared" si="6"/>
        <v>176870.46000000002</v>
      </c>
      <c r="E135" s="130">
        <f t="shared" si="7"/>
        <v>0.72825547198048546</v>
      </c>
    </row>
    <row r="136" spans="1:5" ht="15">
      <c r="A136" s="116" t="s">
        <v>239</v>
      </c>
      <c r="B136" s="124">
        <v>102340.46</v>
      </c>
      <c r="C136" s="252">
        <v>74530</v>
      </c>
      <c r="D136" s="124">
        <f t="shared" si="6"/>
        <v>176870.46000000002</v>
      </c>
      <c r="E136" s="130">
        <f t="shared" si="7"/>
        <v>0.72825547198048546</v>
      </c>
    </row>
    <row r="137" spans="1:5" ht="15">
      <c r="A137" s="115" t="s">
        <v>240</v>
      </c>
      <c r="B137" s="118">
        <f>B138</f>
        <v>26295.38</v>
      </c>
      <c r="C137" s="253"/>
      <c r="D137" s="118">
        <f t="shared" si="6"/>
        <v>26295.38</v>
      </c>
      <c r="E137" s="130">
        <f t="shared" si="7"/>
        <v>0</v>
      </c>
    </row>
    <row r="138" spans="1:5" ht="15">
      <c r="A138" s="116" t="s">
        <v>241</v>
      </c>
      <c r="B138" s="124">
        <v>26295.38</v>
      </c>
      <c r="C138" s="252"/>
      <c r="D138" s="124">
        <f t="shared" si="6"/>
        <v>26295.38</v>
      </c>
      <c r="E138" s="130">
        <f t="shared" si="7"/>
        <v>0</v>
      </c>
    </row>
    <row r="139" spans="1:5" ht="15">
      <c r="A139" s="115" t="s">
        <v>242</v>
      </c>
      <c r="B139" s="118">
        <v>866.25</v>
      </c>
      <c r="C139" s="253"/>
      <c r="D139" s="118">
        <f t="shared" si="6"/>
        <v>866.25</v>
      </c>
      <c r="E139" s="130">
        <f t="shared" si="7"/>
        <v>0</v>
      </c>
    </row>
    <row r="140" spans="1:5" ht="15">
      <c r="A140" s="116" t="s">
        <v>243</v>
      </c>
      <c r="B140" s="124">
        <v>866.25</v>
      </c>
      <c r="C140" s="252"/>
      <c r="D140" s="124">
        <f t="shared" si="6"/>
        <v>866.25</v>
      </c>
      <c r="E140" s="130">
        <f t="shared" si="7"/>
        <v>0</v>
      </c>
    </row>
    <row r="141" spans="1:5" ht="15">
      <c r="A141" s="115" t="s">
        <v>171</v>
      </c>
      <c r="B141" s="118">
        <f>B142+B143</f>
        <v>35785.4</v>
      </c>
      <c r="C141" s="177">
        <f>C142</f>
        <v>-5157.4399999999996</v>
      </c>
      <c r="D141" s="118">
        <f t="shared" si="6"/>
        <v>30627.960000000003</v>
      </c>
      <c r="E141" s="130">
        <f t="shared" si="7"/>
        <v>-0.14412134557668768</v>
      </c>
    </row>
    <row r="142" spans="1:5" ht="15">
      <c r="A142" s="116" t="s">
        <v>172</v>
      </c>
      <c r="B142" s="124">
        <v>35785.4</v>
      </c>
      <c r="C142" s="252">
        <v>-5157.4399999999996</v>
      </c>
      <c r="D142" s="124">
        <f t="shared" si="6"/>
        <v>30627.960000000003</v>
      </c>
      <c r="E142" s="130">
        <f t="shared" si="7"/>
        <v>-0.14412134557668768</v>
      </c>
    </row>
    <row r="143" spans="1:5" ht="15">
      <c r="A143" s="116" t="s">
        <v>244</v>
      </c>
      <c r="B143" s="124"/>
      <c r="C143" s="253"/>
      <c r="D143" s="118">
        <f t="shared" si="6"/>
        <v>0</v>
      </c>
      <c r="E143" s="130"/>
    </row>
    <row r="144" spans="1:5" ht="15">
      <c r="A144" s="115" t="s">
        <v>283</v>
      </c>
      <c r="B144" s="177">
        <f>B145+B149+B151+B154+B156+B158+B162+B164</f>
        <v>29048.77</v>
      </c>
      <c r="C144" s="254">
        <v>1650</v>
      </c>
      <c r="D144" s="118">
        <f>B144+C144</f>
        <v>30698.77</v>
      </c>
      <c r="E144" s="130">
        <f t="shared" si="7"/>
        <v>5.6801028064183093E-2</v>
      </c>
    </row>
    <row r="145" spans="1:5" ht="15">
      <c r="A145" s="115" t="s">
        <v>96</v>
      </c>
      <c r="B145" s="177">
        <f>B146+B147+B148</f>
        <v>14906.04</v>
      </c>
      <c r="C145" s="254">
        <v>1650</v>
      </c>
      <c r="D145" s="118">
        <f t="shared" ref="D145:D165" si="8">B145+C145</f>
        <v>16556.04</v>
      </c>
      <c r="E145" s="130">
        <f t="shared" si="7"/>
        <v>0.11069338335332522</v>
      </c>
    </row>
    <row r="146" spans="1:5" ht="15">
      <c r="A146" s="116" t="s">
        <v>197</v>
      </c>
      <c r="B146" s="178">
        <v>14415.35</v>
      </c>
      <c r="C146" s="254">
        <v>1650</v>
      </c>
      <c r="D146" s="124">
        <f t="shared" si="8"/>
        <v>16065.35</v>
      </c>
      <c r="E146" s="130">
        <f t="shared" si="7"/>
        <v>0.1144613207449004</v>
      </c>
    </row>
    <row r="147" spans="1:5" ht="15">
      <c r="A147" s="116" t="s">
        <v>101</v>
      </c>
      <c r="B147" s="178">
        <v>405.54</v>
      </c>
      <c r="C147" s="255"/>
      <c r="D147" s="124">
        <f t="shared" si="8"/>
        <v>405.54</v>
      </c>
      <c r="E147" s="130">
        <f t="shared" si="7"/>
        <v>0</v>
      </c>
    </row>
    <row r="148" spans="1:5" ht="15">
      <c r="A148" s="116" t="s">
        <v>325</v>
      </c>
      <c r="B148" s="178">
        <v>85.15</v>
      </c>
      <c r="C148" s="255"/>
      <c r="D148" s="124">
        <f t="shared" si="8"/>
        <v>85.15</v>
      </c>
      <c r="E148" s="130">
        <f t="shared" si="7"/>
        <v>0</v>
      </c>
    </row>
    <row r="149" spans="1:5" ht="15">
      <c r="A149" s="115" t="s">
        <v>326</v>
      </c>
      <c r="B149" s="177">
        <f>B150</f>
        <v>129.26</v>
      </c>
      <c r="C149" s="255"/>
      <c r="D149" s="118">
        <f t="shared" si="8"/>
        <v>129.26</v>
      </c>
      <c r="E149" s="130">
        <f t="shared" si="7"/>
        <v>0</v>
      </c>
    </row>
    <row r="150" spans="1:5" ht="15">
      <c r="A150" s="116" t="s">
        <v>327</v>
      </c>
      <c r="B150" s="178">
        <v>129.26</v>
      </c>
      <c r="C150" s="255"/>
      <c r="D150" s="124">
        <f t="shared" si="8"/>
        <v>129.26</v>
      </c>
      <c r="E150" s="130">
        <f t="shared" si="7"/>
        <v>0</v>
      </c>
    </row>
    <row r="151" spans="1:5" ht="15">
      <c r="A151" s="115" t="s">
        <v>127</v>
      </c>
      <c r="B151" s="177">
        <f>B152+B153</f>
        <v>789.59999999999991</v>
      </c>
      <c r="C151" s="255"/>
      <c r="D151" s="118">
        <f t="shared" si="8"/>
        <v>789.59999999999991</v>
      </c>
      <c r="E151" s="130">
        <f t="shared" si="7"/>
        <v>0</v>
      </c>
    </row>
    <row r="152" spans="1:5" ht="15">
      <c r="A152" s="116" t="s">
        <v>328</v>
      </c>
      <c r="B152" s="178">
        <v>736.42</v>
      </c>
      <c r="C152" s="255"/>
      <c r="D152" s="124">
        <f t="shared" si="8"/>
        <v>736.42</v>
      </c>
      <c r="E152" s="130">
        <f t="shared" si="7"/>
        <v>0</v>
      </c>
    </row>
    <row r="153" spans="1:5" ht="15">
      <c r="A153" s="116" t="s">
        <v>329</v>
      </c>
      <c r="B153" s="178">
        <v>53.18</v>
      </c>
      <c r="C153" s="255"/>
      <c r="D153" s="124">
        <f t="shared" si="8"/>
        <v>53.18</v>
      </c>
      <c r="E153" s="130">
        <f t="shared" si="7"/>
        <v>0</v>
      </c>
    </row>
    <row r="154" spans="1:5" ht="15">
      <c r="A154" s="115" t="s">
        <v>213</v>
      </c>
      <c r="B154" s="177">
        <f>B155</f>
        <v>1190.22</v>
      </c>
      <c r="C154" s="255"/>
      <c r="D154" s="118">
        <f t="shared" si="8"/>
        <v>1190.22</v>
      </c>
      <c r="E154" s="130">
        <f t="shared" si="7"/>
        <v>0</v>
      </c>
    </row>
    <row r="155" spans="1:5" ht="15">
      <c r="A155" s="116" t="s">
        <v>215</v>
      </c>
      <c r="B155" s="178">
        <v>1190.22</v>
      </c>
      <c r="C155" s="255"/>
      <c r="D155" s="124">
        <f t="shared" si="8"/>
        <v>1190.22</v>
      </c>
      <c r="E155" s="130">
        <f t="shared" si="7"/>
        <v>0</v>
      </c>
    </row>
    <row r="156" spans="1:5" ht="15">
      <c r="A156" s="115" t="s">
        <v>143</v>
      </c>
      <c r="B156" s="177">
        <f>B157</f>
        <v>4837.37</v>
      </c>
      <c r="C156" s="256"/>
      <c r="D156" s="118">
        <f t="shared" si="8"/>
        <v>4837.37</v>
      </c>
      <c r="E156" s="130">
        <f t="shared" si="7"/>
        <v>0</v>
      </c>
    </row>
    <row r="157" spans="1:5" ht="15">
      <c r="A157" s="116" t="s">
        <v>330</v>
      </c>
      <c r="B157" s="178">
        <v>4837.37</v>
      </c>
      <c r="C157" s="257"/>
      <c r="D157" s="124">
        <f t="shared" si="8"/>
        <v>4837.37</v>
      </c>
      <c r="E157" s="130">
        <f t="shared" si="7"/>
        <v>0</v>
      </c>
    </row>
    <row r="158" spans="1:5" ht="15">
      <c r="A158" s="115" t="s">
        <v>146</v>
      </c>
      <c r="B158" s="177">
        <f>B159+B160+B161</f>
        <v>5511.76</v>
      </c>
      <c r="C158" s="255"/>
      <c r="D158" s="118">
        <f t="shared" si="8"/>
        <v>5511.76</v>
      </c>
      <c r="E158" s="130">
        <f t="shared" si="7"/>
        <v>0</v>
      </c>
    </row>
    <row r="159" spans="1:5" ht="15">
      <c r="A159" s="116" t="s">
        <v>331</v>
      </c>
      <c r="B159" s="178">
        <v>953.81</v>
      </c>
      <c r="C159" s="255"/>
      <c r="D159" s="124">
        <f t="shared" si="8"/>
        <v>953.81</v>
      </c>
      <c r="E159" s="130">
        <f t="shared" si="7"/>
        <v>0</v>
      </c>
    </row>
    <row r="160" spans="1:5" ht="15">
      <c r="A160" s="116" t="s">
        <v>222</v>
      </c>
      <c r="B160" s="178">
        <v>19.91</v>
      </c>
      <c r="C160" s="255"/>
      <c r="D160" s="124">
        <f t="shared" si="8"/>
        <v>19.91</v>
      </c>
      <c r="E160" s="130">
        <f t="shared" si="7"/>
        <v>0</v>
      </c>
    </row>
    <row r="161" spans="1:5" ht="15">
      <c r="A161" s="116" t="s">
        <v>150</v>
      </c>
      <c r="B161" s="178">
        <v>4538.04</v>
      </c>
      <c r="C161" s="255"/>
      <c r="D161" s="124">
        <f t="shared" si="8"/>
        <v>4538.04</v>
      </c>
      <c r="E161" s="130">
        <f t="shared" si="7"/>
        <v>0</v>
      </c>
    </row>
    <row r="162" spans="1:5" ht="15">
      <c r="A162" s="115" t="s">
        <v>245</v>
      </c>
      <c r="B162" s="177">
        <f>B163</f>
        <v>69.5</v>
      </c>
      <c r="C162" s="255"/>
      <c r="D162" s="118">
        <f t="shared" si="8"/>
        <v>69.5</v>
      </c>
      <c r="E162" s="130">
        <f t="shared" si="7"/>
        <v>0</v>
      </c>
    </row>
    <row r="163" spans="1:5" ht="15">
      <c r="A163" s="116" t="s">
        <v>332</v>
      </c>
      <c r="B163" s="178">
        <v>69.5</v>
      </c>
      <c r="C163" s="255"/>
      <c r="D163" s="124">
        <f t="shared" si="8"/>
        <v>69.5</v>
      </c>
      <c r="E163" s="130">
        <f t="shared" si="7"/>
        <v>0</v>
      </c>
    </row>
    <row r="164" spans="1:5" ht="15">
      <c r="A164" s="115" t="s">
        <v>165</v>
      </c>
      <c r="B164" s="177">
        <f>B165</f>
        <v>1615.02</v>
      </c>
      <c r="C164" s="255"/>
      <c r="D164" s="118">
        <f t="shared" si="8"/>
        <v>1615.02</v>
      </c>
      <c r="E164" s="130">
        <f t="shared" si="7"/>
        <v>0</v>
      </c>
    </row>
    <row r="165" spans="1:5" ht="15">
      <c r="A165" s="116" t="s">
        <v>167</v>
      </c>
      <c r="B165" s="178">
        <v>1615.02</v>
      </c>
      <c r="C165" s="255"/>
      <c r="D165" s="124">
        <f t="shared" si="8"/>
        <v>1615.02</v>
      </c>
      <c r="E165" s="130">
        <f t="shared" si="7"/>
        <v>0</v>
      </c>
    </row>
  </sheetData>
  <mergeCells count="2">
    <mergeCell ref="C2:D2"/>
    <mergeCell ref="A1:E1"/>
  </mergeCells>
  <phoneticPr fontId="2" type="noConversion"/>
  <pageMargins left="0.70866141732283472" right="0.70866141732283472" top="0.59055118110236227" bottom="0.78740157480314965" header="0.31496062992125984" footer="0.59055118110236227"/>
  <pageSetup paperSize="9" scale="82" orientation="portrait" verticalDpi="0" r:id="rId1"/>
  <headerFooter>
    <oddFooter>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21"/>
  <sheetViews>
    <sheetView showZeros="0" topLeftCell="A16" workbookViewId="0">
      <selection activeCell="A13" sqref="A13"/>
    </sheetView>
  </sheetViews>
  <sheetFormatPr defaultRowHeight="14.25"/>
  <cols>
    <col min="1" max="1" width="40.375" style="1" customWidth="1"/>
    <col min="2" max="5" width="18.625" style="44" customWidth="1"/>
    <col min="6" max="16384" width="9" style="1"/>
  </cols>
  <sheetData>
    <row r="1" spans="1:5" ht="22.5">
      <c r="A1" s="289" t="s">
        <v>302</v>
      </c>
      <c r="B1" s="289"/>
      <c r="C1" s="289"/>
      <c r="D1" s="289"/>
      <c r="E1" s="289"/>
    </row>
    <row r="2" spans="1:5" ht="22.5">
      <c r="A2" s="86"/>
      <c r="B2" s="86"/>
      <c r="C2" s="86"/>
      <c r="D2" s="86"/>
      <c r="E2" s="86"/>
    </row>
    <row r="3" spans="1:5" s="2" customFormat="1" ht="22.5" customHeight="1">
      <c r="A3" s="71" t="s">
        <v>174</v>
      </c>
      <c r="B3" s="40"/>
      <c r="C3" s="40"/>
      <c r="D3" s="40"/>
      <c r="E3" s="73" t="s">
        <v>68</v>
      </c>
    </row>
    <row r="4" spans="1:5" s="35" customFormat="1" ht="33.950000000000003" customHeight="1">
      <c r="A4" s="298" t="s">
        <v>4</v>
      </c>
      <c r="B4" s="298" t="s">
        <v>71</v>
      </c>
      <c r="C4" s="298" t="s">
        <v>69</v>
      </c>
      <c r="D4" s="298" t="s">
        <v>70</v>
      </c>
      <c r="E4" s="293" t="s">
        <v>176</v>
      </c>
    </row>
    <row r="5" spans="1:5" s="35" customFormat="1" ht="33.950000000000003" customHeight="1">
      <c r="A5" s="300"/>
      <c r="B5" s="298"/>
      <c r="C5" s="298"/>
      <c r="D5" s="298"/>
      <c r="E5" s="299"/>
    </row>
    <row r="6" spans="1:5" s="9" customFormat="1" ht="33.950000000000003" customHeight="1">
      <c r="A6" s="17" t="s">
        <v>48</v>
      </c>
      <c r="B6" s="41">
        <v>814950</v>
      </c>
      <c r="C6" s="42">
        <v>0</v>
      </c>
      <c r="D6" s="42">
        <f>B6+C6</f>
        <v>814950</v>
      </c>
      <c r="E6" s="119">
        <f>C6/B6</f>
        <v>0</v>
      </c>
    </row>
    <row r="7" spans="1:5" s="9" customFormat="1" ht="33.950000000000003" customHeight="1">
      <c r="A7" s="150" t="s">
        <v>269</v>
      </c>
      <c r="B7" s="151"/>
      <c r="C7" s="43"/>
      <c r="D7" s="42">
        <f t="shared" ref="D7:D19" si="0">B7+C7</f>
        <v>0</v>
      </c>
      <c r="E7" s="119"/>
    </row>
    <row r="8" spans="1:5" s="9" customFormat="1" ht="33.950000000000003" customHeight="1">
      <c r="A8" s="150" t="s">
        <v>270</v>
      </c>
      <c r="B8" s="151"/>
      <c r="C8" s="43"/>
      <c r="D8" s="42">
        <f t="shared" si="0"/>
        <v>0</v>
      </c>
      <c r="E8" s="119"/>
    </row>
    <row r="9" spans="1:5" s="9" customFormat="1" ht="33.950000000000003" customHeight="1">
      <c r="A9" s="150" t="s">
        <v>271</v>
      </c>
      <c r="B9" s="151"/>
      <c r="C9" s="43"/>
      <c r="D9" s="42">
        <f t="shared" si="0"/>
        <v>0</v>
      </c>
      <c r="E9" s="119"/>
    </row>
    <row r="10" spans="1:5" s="9" customFormat="1" ht="33.950000000000003" customHeight="1">
      <c r="A10" s="150" t="s">
        <v>272</v>
      </c>
      <c r="B10" s="151"/>
      <c r="C10" s="43"/>
      <c r="D10" s="42">
        <f t="shared" si="0"/>
        <v>0</v>
      </c>
      <c r="E10" s="119"/>
    </row>
    <row r="11" spans="1:5" s="9" customFormat="1" ht="33.950000000000003" customHeight="1">
      <c r="A11" s="150" t="s">
        <v>273</v>
      </c>
      <c r="B11" s="151">
        <f>836500</f>
        <v>836500</v>
      </c>
      <c r="C11" s="43"/>
      <c r="D11" s="152">
        <f t="shared" si="0"/>
        <v>836500</v>
      </c>
      <c r="E11" s="119">
        <f t="shared" ref="E11:E17" si="1">C11/B11</f>
        <v>0</v>
      </c>
    </row>
    <row r="12" spans="1:5" s="9" customFormat="1" ht="33.950000000000003" customHeight="1">
      <c r="A12" s="200" t="s">
        <v>401</v>
      </c>
      <c r="B12" s="151">
        <v>30000</v>
      </c>
      <c r="C12" s="43"/>
      <c r="D12" s="152">
        <f t="shared" si="0"/>
        <v>30000</v>
      </c>
      <c r="E12" s="119">
        <f t="shared" si="1"/>
        <v>0</v>
      </c>
    </row>
    <row r="13" spans="1:5" s="9" customFormat="1" ht="33.950000000000003" customHeight="1">
      <c r="A13" s="150" t="s">
        <v>274</v>
      </c>
      <c r="B13" s="151">
        <v>1250</v>
      </c>
      <c r="C13" s="43"/>
      <c r="D13" s="152">
        <f t="shared" si="0"/>
        <v>1250</v>
      </c>
      <c r="E13" s="119">
        <f t="shared" si="1"/>
        <v>0</v>
      </c>
    </row>
    <row r="14" spans="1:5" s="9" customFormat="1" ht="33.950000000000003" customHeight="1">
      <c r="A14" s="150" t="s">
        <v>275</v>
      </c>
      <c r="B14" s="151">
        <v>6000</v>
      </c>
      <c r="C14" s="43"/>
      <c r="D14" s="152">
        <f t="shared" si="0"/>
        <v>6000</v>
      </c>
      <c r="E14" s="119">
        <f t="shared" si="1"/>
        <v>0</v>
      </c>
    </row>
    <row r="15" spans="1:5" s="9" customFormat="1" ht="33.950000000000003" customHeight="1">
      <c r="A15" s="150" t="s">
        <v>276</v>
      </c>
      <c r="B15" s="151"/>
      <c r="C15" s="43"/>
      <c r="D15" s="152">
        <f t="shared" si="0"/>
        <v>0</v>
      </c>
      <c r="E15" s="119"/>
    </row>
    <row r="16" spans="1:5" s="9" customFormat="1" ht="33.950000000000003" customHeight="1">
      <c r="A16" s="150" t="s">
        <v>277</v>
      </c>
      <c r="B16" s="151"/>
      <c r="C16" s="43"/>
      <c r="D16" s="152">
        <f t="shared" si="0"/>
        <v>0</v>
      </c>
      <c r="E16" s="119"/>
    </row>
    <row r="17" spans="1:5" s="9" customFormat="1" ht="33.950000000000003" customHeight="1">
      <c r="A17" s="150" t="s">
        <v>278</v>
      </c>
      <c r="B17" s="151">
        <v>1200</v>
      </c>
      <c r="C17" s="43"/>
      <c r="D17" s="152">
        <f t="shared" si="0"/>
        <v>1200</v>
      </c>
      <c r="E17" s="119">
        <f t="shared" si="1"/>
        <v>0</v>
      </c>
    </row>
    <row r="18" spans="1:5" s="9" customFormat="1" ht="33.950000000000003" customHeight="1">
      <c r="A18" s="150" t="s">
        <v>279</v>
      </c>
      <c r="B18" s="151"/>
      <c r="C18" s="43"/>
      <c r="D18" s="42">
        <f t="shared" si="0"/>
        <v>0</v>
      </c>
      <c r="E18" s="119"/>
    </row>
    <row r="19" spans="1:5" s="9" customFormat="1" ht="33.950000000000003" customHeight="1">
      <c r="A19" s="150" t="s">
        <v>280</v>
      </c>
      <c r="B19" s="151"/>
      <c r="C19" s="43"/>
      <c r="D19" s="42">
        <f t="shared" si="0"/>
        <v>0</v>
      </c>
      <c r="E19" s="119"/>
    </row>
    <row r="20" spans="1:5" s="9" customFormat="1" ht="33.950000000000003" customHeight="1">
      <c r="A20" s="149" t="s">
        <v>268</v>
      </c>
      <c r="B20" s="147"/>
      <c r="C20" s="147"/>
      <c r="D20" s="148"/>
      <c r="E20" s="119"/>
    </row>
    <row r="21" spans="1:5" s="9" customFormat="1" ht="33.950000000000003" customHeight="1">
      <c r="A21" s="149" t="s">
        <v>267</v>
      </c>
      <c r="B21" s="42">
        <v>0</v>
      </c>
      <c r="C21" s="42">
        <f>C23+C24+C26+C25</f>
        <v>847475</v>
      </c>
      <c r="D21" s="42">
        <f>B21+C21</f>
        <v>847475</v>
      </c>
      <c r="E21" s="119"/>
    </row>
    <row r="22" spans="1:5" s="9" customFormat="1" ht="33.950000000000003" customHeight="1">
      <c r="A22" s="179" t="s">
        <v>50</v>
      </c>
      <c r="B22" s="43"/>
      <c r="C22" s="43">
        <v>0</v>
      </c>
      <c r="D22" s="42">
        <f t="shared" ref="D22:D25" si="2">B22+C22</f>
        <v>0</v>
      </c>
      <c r="E22" s="119"/>
    </row>
    <row r="23" spans="1:5" s="9" customFormat="1" ht="33.950000000000003" customHeight="1">
      <c r="A23" s="179" t="s">
        <v>417</v>
      </c>
      <c r="B23" s="43"/>
      <c r="C23" s="43">
        <v>165000</v>
      </c>
      <c r="D23" s="43">
        <f t="shared" si="2"/>
        <v>165000</v>
      </c>
      <c r="E23" s="119"/>
    </row>
    <row r="24" spans="1:5" s="9" customFormat="1" ht="33.950000000000003" customHeight="1">
      <c r="A24" s="179" t="s">
        <v>333</v>
      </c>
      <c r="B24" s="43"/>
      <c r="C24" s="43">
        <v>662970</v>
      </c>
      <c r="D24" s="43">
        <f t="shared" si="2"/>
        <v>662970</v>
      </c>
      <c r="E24" s="119"/>
    </row>
    <row r="25" spans="1:5" ht="33.950000000000003" customHeight="1">
      <c r="A25" s="179" t="s">
        <v>334</v>
      </c>
      <c r="B25" s="43">
        <v>0</v>
      </c>
      <c r="C25" s="43">
        <v>19505</v>
      </c>
      <c r="D25" s="43">
        <f t="shared" si="2"/>
        <v>19505</v>
      </c>
      <c r="E25" s="119"/>
    </row>
    <row r="26" spans="1:5" ht="33.950000000000003" customHeight="1">
      <c r="A26" s="18" t="s">
        <v>51</v>
      </c>
      <c r="B26" s="43">
        <v>0</v>
      </c>
      <c r="C26" s="43"/>
      <c r="D26" s="42">
        <f t="shared" ref="D26" si="3">B26+C26</f>
        <v>0</v>
      </c>
      <c r="E26" s="119"/>
    </row>
    <row r="27" spans="1:5" ht="33.950000000000003" customHeight="1">
      <c r="A27" s="19" t="s">
        <v>52</v>
      </c>
      <c r="B27" s="42">
        <f>B6+B21</f>
        <v>814950</v>
      </c>
      <c r="C27" s="42">
        <f>C21+C6</f>
        <v>847475</v>
      </c>
      <c r="D27" s="42">
        <f>D6+D21</f>
        <v>1662425</v>
      </c>
      <c r="E27" s="119">
        <f t="shared" ref="E27" si="4">C27/B27</f>
        <v>1.0399104239523898</v>
      </c>
    </row>
    <row r="121" spans="1:1">
      <c r="A121" s="6"/>
    </row>
  </sheetData>
  <mergeCells count="6">
    <mergeCell ref="D4:D5"/>
    <mergeCell ref="E4:E5"/>
    <mergeCell ref="C4:C5"/>
    <mergeCell ref="A4:A5"/>
    <mergeCell ref="A1:E1"/>
    <mergeCell ref="B4:B5"/>
  </mergeCells>
  <phoneticPr fontId="2" type="noConversion"/>
  <printOptions horizontalCentered="1"/>
  <pageMargins left="0.15748031496062992" right="0.15748031496062992" top="0.59055118110236227" bottom="0.78740157480314965" header="0.31496062992125984" footer="0.59055118110236227"/>
  <pageSetup paperSize="9" scale="81" orientation="portrait" r:id="rId1"/>
  <headerFooter alignWithMargins="0">
    <oddFooter>第 &amp;P 页，共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21"/>
  <sheetViews>
    <sheetView showZeros="0" topLeftCell="A16" workbookViewId="0">
      <selection activeCell="C27" sqref="C27:C28"/>
    </sheetView>
  </sheetViews>
  <sheetFormatPr defaultRowHeight="14.25"/>
  <cols>
    <col min="1" max="1" width="34.375" style="3" customWidth="1"/>
    <col min="2" max="5" width="16.625" style="47" customWidth="1"/>
    <col min="6" max="16384" width="9" style="3"/>
  </cols>
  <sheetData>
    <row r="1" spans="1:5" ht="31.5" customHeight="1">
      <c r="A1" s="289" t="s">
        <v>300</v>
      </c>
      <c r="B1" s="289"/>
      <c r="C1" s="289"/>
      <c r="D1" s="289"/>
      <c r="E1" s="289"/>
    </row>
    <row r="2" spans="1:5" ht="31.5" customHeight="1">
      <c r="A2" s="86"/>
      <c r="B2" s="86"/>
      <c r="C2" s="86"/>
      <c r="D2" s="86"/>
      <c r="E2" s="86"/>
    </row>
    <row r="3" spans="1:5" ht="19.5" customHeight="1">
      <c r="A3" s="15"/>
      <c r="B3" s="45"/>
      <c r="C3" s="8"/>
      <c r="D3" s="45"/>
      <c r="E3" s="74" t="s">
        <v>77</v>
      </c>
    </row>
    <row r="4" spans="1:5" s="33" customFormat="1" ht="19.5" customHeight="1">
      <c r="A4" s="298" t="s">
        <v>4</v>
      </c>
      <c r="B4" s="298" t="s">
        <v>71</v>
      </c>
      <c r="C4" s="298" t="s">
        <v>69</v>
      </c>
      <c r="D4" s="298" t="s">
        <v>70</v>
      </c>
      <c r="E4" s="293" t="s">
        <v>177</v>
      </c>
    </row>
    <row r="5" spans="1:5" s="36" customFormat="1" ht="18" customHeight="1">
      <c r="A5" s="300"/>
      <c r="B5" s="298"/>
      <c r="C5" s="298"/>
      <c r="D5" s="298"/>
      <c r="E5" s="299"/>
    </row>
    <row r="6" spans="1:5" s="10" customFormat="1" ht="23.1" customHeight="1">
      <c r="A6" s="20" t="s">
        <v>46</v>
      </c>
      <c r="B6" s="16">
        <f>SUM(B7:B24)</f>
        <v>602752.62</v>
      </c>
      <c r="C6" s="16">
        <f t="shared" ref="C6:D6" si="0">SUM(C7:C24)</f>
        <v>0</v>
      </c>
      <c r="D6" s="16">
        <f t="shared" si="0"/>
        <v>602752.62</v>
      </c>
      <c r="E6" s="125">
        <f>C6/B6</f>
        <v>0</v>
      </c>
    </row>
    <row r="7" spans="1:5" s="10" customFormat="1" ht="23.1" customHeight="1">
      <c r="A7" s="154" t="s">
        <v>288</v>
      </c>
      <c r="B7" s="151"/>
      <c r="C7" s="87">
        <v>0</v>
      </c>
      <c r="D7" s="87">
        <f t="shared" ref="D7:D31" si="1">B7+C7</f>
        <v>0</v>
      </c>
      <c r="E7" s="125"/>
    </row>
    <row r="8" spans="1:5" s="10" customFormat="1" ht="23.1" customHeight="1">
      <c r="A8" s="155" t="s">
        <v>289</v>
      </c>
      <c r="B8" s="151"/>
      <c r="C8" s="87">
        <v>0</v>
      </c>
      <c r="D8" s="87">
        <f t="shared" si="1"/>
        <v>0</v>
      </c>
      <c r="E8" s="125"/>
    </row>
    <row r="9" spans="1:5" s="10" customFormat="1" ht="23.1" customHeight="1">
      <c r="A9" s="156" t="s">
        <v>290</v>
      </c>
      <c r="B9" s="151"/>
      <c r="C9" s="87">
        <v>0</v>
      </c>
      <c r="D9" s="87">
        <f t="shared" si="1"/>
        <v>0</v>
      </c>
      <c r="E9" s="125"/>
    </row>
    <row r="10" spans="1:5" s="10" customFormat="1" ht="23.1" customHeight="1">
      <c r="A10" s="155" t="s">
        <v>291</v>
      </c>
      <c r="B10" s="151"/>
      <c r="C10" s="87">
        <v>0</v>
      </c>
      <c r="D10" s="87">
        <f t="shared" si="1"/>
        <v>0</v>
      </c>
      <c r="E10" s="125"/>
    </row>
    <row r="11" spans="1:5" s="10" customFormat="1" ht="30" customHeight="1">
      <c r="A11" s="155" t="s">
        <v>292</v>
      </c>
      <c r="B11" s="151">
        <v>594302.62</v>
      </c>
      <c r="C11" s="87"/>
      <c r="D11" s="87">
        <f t="shared" si="1"/>
        <v>594302.62</v>
      </c>
      <c r="E11" s="125">
        <f t="shared" ref="E11:E31" si="2">C11/B11</f>
        <v>0</v>
      </c>
    </row>
    <row r="12" spans="1:5" s="10" customFormat="1" ht="30" customHeight="1">
      <c r="A12" s="155" t="s">
        <v>19</v>
      </c>
      <c r="B12" s="151"/>
      <c r="C12" s="157"/>
      <c r="D12" s="87">
        <f t="shared" si="1"/>
        <v>0</v>
      </c>
      <c r="E12" s="125"/>
    </row>
    <row r="13" spans="1:5" s="10" customFormat="1" ht="30" customHeight="1">
      <c r="A13" s="155" t="s">
        <v>286</v>
      </c>
      <c r="B13" s="151"/>
      <c r="C13" s="157"/>
      <c r="D13" s="87">
        <f t="shared" si="1"/>
        <v>0</v>
      </c>
      <c r="E13" s="125"/>
    </row>
    <row r="14" spans="1:5" s="10" customFormat="1" ht="30" customHeight="1">
      <c r="A14" s="155" t="s">
        <v>64</v>
      </c>
      <c r="B14" s="151"/>
      <c r="C14" s="157"/>
      <c r="D14" s="87">
        <f t="shared" si="1"/>
        <v>0</v>
      </c>
      <c r="E14" s="125"/>
    </row>
    <row r="15" spans="1:5" s="10" customFormat="1" ht="30" customHeight="1">
      <c r="A15" s="155" t="s">
        <v>20</v>
      </c>
      <c r="B15" s="151">
        <v>6000</v>
      </c>
      <c r="C15" s="157"/>
      <c r="D15" s="87">
        <f t="shared" si="1"/>
        <v>6000</v>
      </c>
      <c r="E15" s="125">
        <f t="shared" si="2"/>
        <v>0</v>
      </c>
    </row>
    <row r="16" spans="1:5" s="10" customFormat="1" ht="30" customHeight="1">
      <c r="A16" s="155" t="s">
        <v>303</v>
      </c>
      <c r="B16" s="151">
        <v>1200</v>
      </c>
      <c r="C16" s="157"/>
      <c r="D16" s="87">
        <f t="shared" si="1"/>
        <v>1200</v>
      </c>
      <c r="E16" s="125">
        <f t="shared" si="2"/>
        <v>0</v>
      </c>
    </row>
    <row r="17" spans="1:5" s="10" customFormat="1" ht="30" customHeight="1">
      <c r="A17" s="155" t="s">
        <v>293</v>
      </c>
      <c r="B17" s="151"/>
      <c r="C17" s="157"/>
      <c r="D17" s="87">
        <f t="shared" si="1"/>
        <v>0</v>
      </c>
      <c r="E17" s="125"/>
    </row>
    <row r="18" spans="1:5" s="10" customFormat="1" ht="23.1" customHeight="1">
      <c r="A18" s="155" t="s">
        <v>294</v>
      </c>
      <c r="B18" s="151"/>
      <c r="C18" s="87"/>
      <c r="D18" s="87">
        <f t="shared" si="1"/>
        <v>0</v>
      </c>
      <c r="E18" s="125"/>
    </row>
    <row r="19" spans="1:5" s="10" customFormat="1" ht="23.1" customHeight="1">
      <c r="A19" s="155" t="s">
        <v>287</v>
      </c>
      <c r="B19" s="151"/>
      <c r="C19" s="87"/>
      <c r="D19" s="87">
        <f t="shared" si="1"/>
        <v>0</v>
      </c>
      <c r="E19" s="125"/>
    </row>
    <row r="20" spans="1:5" s="10" customFormat="1" ht="23.1" customHeight="1">
      <c r="A20" s="155" t="s">
        <v>295</v>
      </c>
      <c r="B20" s="151"/>
      <c r="C20" s="87"/>
      <c r="D20" s="87">
        <f t="shared" si="1"/>
        <v>0</v>
      </c>
      <c r="E20" s="125"/>
    </row>
    <row r="21" spans="1:5" s="10" customFormat="1" ht="23.1" customHeight="1">
      <c r="A21" s="155" t="s">
        <v>296</v>
      </c>
      <c r="B21" s="151"/>
      <c r="C21" s="87"/>
      <c r="D21" s="87">
        <f t="shared" si="1"/>
        <v>0</v>
      </c>
      <c r="E21" s="125"/>
    </row>
    <row r="22" spans="1:5" s="10" customFormat="1" ht="23.1" customHeight="1">
      <c r="A22" s="155" t="s">
        <v>297</v>
      </c>
      <c r="B22" s="151">
        <v>1250</v>
      </c>
      <c r="C22" s="87"/>
      <c r="D22" s="87">
        <f t="shared" si="1"/>
        <v>1250</v>
      </c>
      <c r="E22" s="125">
        <f t="shared" si="2"/>
        <v>0</v>
      </c>
    </row>
    <row r="23" spans="1:5" s="10" customFormat="1" ht="23.1" customHeight="1">
      <c r="A23" s="155" t="s">
        <v>298</v>
      </c>
      <c r="B23" s="151"/>
      <c r="C23" s="87"/>
      <c r="D23" s="87"/>
      <c r="E23" s="125"/>
    </row>
    <row r="24" spans="1:5" s="10" customFormat="1" ht="23.1" customHeight="1">
      <c r="A24" s="155" t="s">
        <v>299</v>
      </c>
      <c r="B24" s="151"/>
      <c r="C24" s="87">
        <v>0</v>
      </c>
      <c r="D24" s="87">
        <f t="shared" si="1"/>
        <v>0</v>
      </c>
      <c r="E24" s="125"/>
    </row>
    <row r="25" spans="1:5" s="11" customFormat="1" ht="23.1" customHeight="1">
      <c r="A25" s="21" t="s">
        <v>17</v>
      </c>
      <c r="B25" s="16"/>
      <c r="C25" s="181">
        <f>C26+C27+C28</f>
        <v>847475</v>
      </c>
      <c r="D25" s="182">
        <f t="shared" si="1"/>
        <v>847475</v>
      </c>
      <c r="E25" s="125"/>
    </row>
    <row r="26" spans="1:5" s="10" customFormat="1" ht="23.1" customHeight="1">
      <c r="A26" s="153" t="s">
        <v>336</v>
      </c>
      <c r="B26" s="46"/>
      <c r="C26" s="161">
        <v>165000</v>
      </c>
      <c r="D26" s="87">
        <f t="shared" si="1"/>
        <v>165000</v>
      </c>
      <c r="E26" s="125"/>
    </row>
    <row r="27" spans="1:5" s="10" customFormat="1" ht="23.1" customHeight="1">
      <c r="A27" s="180" t="s">
        <v>418</v>
      </c>
      <c r="B27" s="164"/>
      <c r="C27" s="161">
        <v>662970</v>
      </c>
      <c r="D27" s="87">
        <f t="shared" si="1"/>
        <v>662970</v>
      </c>
      <c r="E27" s="125"/>
    </row>
    <row r="28" spans="1:5" s="10" customFormat="1" ht="23.1" customHeight="1">
      <c r="A28" s="180" t="s">
        <v>337</v>
      </c>
      <c r="B28" s="164"/>
      <c r="C28" s="161">
        <v>19505</v>
      </c>
      <c r="D28" s="87">
        <f t="shared" si="1"/>
        <v>19505</v>
      </c>
      <c r="E28" s="125"/>
    </row>
    <row r="29" spans="1:5" s="10" customFormat="1" ht="23.1" customHeight="1">
      <c r="A29" s="153" t="s">
        <v>335</v>
      </c>
      <c r="B29" s="46"/>
      <c r="C29" s="16">
        <v>0</v>
      </c>
      <c r="D29" s="87">
        <f t="shared" si="1"/>
        <v>0</v>
      </c>
      <c r="E29" s="125"/>
    </row>
    <row r="30" spans="1:5" s="10" customFormat="1" ht="23.1" customHeight="1">
      <c r="A30" s="153" t="s">
        <v>281</v>
      </c>
      <c r="B30" s="46"/>
      <c r="C30" s="16">
        <v>0</v>
      </c>
      <c r="D30" s="87">
        <f t="shared" si="1"/>
        <v>0</v>
      </c>
      <c r="E30" s="125"/>
    </row>
    <row r="31" spans="1:5" s="10" customFormat="1" ht="23.1" customHeight="1">
      <c r="A31" s="57" t="s">
        <v>78</v>
      </c>
      <c r="B31" s="182">
        <v>212197.38</v>
      </c>
      <c r="C31" s="182"/>
      <c r="D31" s="182">
        <f t="shared" si="1"/>
        <v>212197.38</v>
      </c>
      <c r="E31" s="125">
        <f t="shared" si="2"/>
        <v>0</v>
      </c>
    </row>
    <row r="32" spans="1:5" s="10" customFormat="1" ht="23.1" customHeight="1">
      <c r="A32" s="16" t="s">
        <v>47</v>
      </c>
      <c r="B32" s="16">
        <f>B6+B25+B31</f>
        <v>814950</v>
      </c>
      <c r="C32" s="16">
        <f t="shared" ref="C32:D32" si="3">C6+C25+C31</f>
        <v>847475</v>
      </c>
      <c r="D32" s="16">
        <f t="shared" si="3"/>
        <v>1662425</v>
      </c>
      <c r="E32" s="125">
        <f>C32/B32</f>
        <v>1.0399104239523898</v>
      </c>
    </row>
    <row r="121" spans="1:1">
      <c r="A121" s="5"/>
    </row>
  </sheetData>
  <mergeCells count="6">
    <mergeCell ref="E4:E5"/>
    <mergeCell ref="C4:C5"/>
    <mergeCell ref="A1:E1"/>
    <mergeCell ref="A4:A5"/>
    <mergeCell ref="B4:B5"/>
    <mergeCell ref="D4:D5"/>
  </mergeCells>
  <phoneticPr fontId="2" type="noConversion"/>
  <printOptions horizontalCentered="1"/>
  <pageMargins left="0.15748031496062992" right="0.15748031496062992" top="0.59055118110236227" bottom="0.78740157480314965" header="0.31496062992125984" footer="0.59055118110236227"/>
  <pageSetup paperSize="9" scale="91" orientation="portrait" r:id="rId1"/>
  <headerFooter alignWithMargins="0">
    <oddFooter>第 &amp;P 页，共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9"/>
  <sheetViews>
    <sheetView showZeros="0" workbookViewId="0">
      <selection activeCell="F6" sqref="F6"/>
    </sheetView>
  </sheetViews>
  <sheetFormatPr defaultRowHeight="15.75"/>
  <cols>
    <col min="1" max="1" width="22.875" style="4" customWidth="1"/>
    <col min="2" max="2" width="13.125" style="51" customWidth="1"/>
    <col min="3" max="3" width="8.625" style="51" customWidth="1"/>
    <col min="4" max="4" width="13" style="51" customWidth="1"/>
    <col min="5" max="5" width="22.75" style="51" customWidth="1"/>
    <col min="6" max="6" width="12.25" style="51" customWidth="1"/>
    <col min="7" max="7" width="8.625" style="51" customWidth="1"/>
    <col min="8" max="8" width="12.875" style="51" customWidth="1"/>
    <col min="9" max="16384" width="9" style="4"/>
  </cols>
  <sheetData>
    <row r="1" spans="1:9" ht="28.5" customHeight="1">
      <c r="A1" s="289" t="s">
        <v>301</v>
      </c>
      <c r="B1" s="289"/>
      <c r="C1" s="289"/>
      <c r="D1" s="289"/>
      <c r="E1" s="289"/>
      <c r="F1" s="289"/>
      <c r="G1" s="289"/>
      <c r="H1" s="289"/>
      <c r="I1" s="12"/>
    </row>
    <row r="2" spans="1:9" ht="28.5" customHeight="1">
      <c r="A2" s="86"/>
      <c r="B2" s="86"/>
      <c r="C2" s="86"/>
      <c r="D2" s="86"/>
      <c r="E2" s="86"/>
      <c r="F2" s="86"/>
      <c r="G2" s="86"/>
      <c r="H2" s="86"/>
      <c r="I2" s="12"/>
    </row>
    <row r="3" spans="1:9" ht="20.25" customHeight="1">
      <c r="A3" s="22"/>
      <c r="B3" s="48"/>
      <c r="C3" s="48"/>
      <c r="D3" s="48"/>
      <c r="E3" s="48"/>
      <c r="F3" s="304"/>
      <c r="G3" s="305"/>
      <c r="H3" s="94" t="s">
        <v>1</v>
      </c>
    </row>
    <row r="4" spans="1:9" s="37" customFormat="1" ht="20.25" customHeight="1">
      <c r="A4" s="301" t="s">
        <v>53</v>
      </c>
      <c r="B4" s="302"/>
      <c r="C4" s="302"/>
      <c r="D4" s="303"/>
      <c r="E4" s="301" t="s">
        <v>54</v>
      </c>
      <c r="F4" s="302"/>
      <c r="G4" s="302"/>
      <c r="H4" s="303"/>
    </row>
    <row r="5" spans="1:9" s="37" customFormat="1" ht="20.100000000000001" customHeight="1">
      <c r="A5" s="38" t="s">
        <v>55</v>
      </c>
      <c r="B5" s="38" t="s">
        <v>0</v>
      </c>
      <c r="C5" s="38" t="s">
        <v>2</v>
      </c>
      <c r="D5" s="38" t="s">
        <v>3</v>
      </c>
      <c r="E5" s="38" t="s">
        <v>55</v>
      </c>
      <c r="F5" s="38" t="s">
        <v>0</v>
      </c>
      <c r="G5" s="38" t="s">
        <v>2</v>
      </c>
      <c r="H5" s="38" t="s">
        <v>3</v>
      </c>
    </row>
    <row r="6" spans="1:9" ht="23.1" customHeight="1">
      <c r="A6" s="32" t="s">
        <v>72</v>
      </c>
      <c r="B6" s="121">
        <v>1430.85</v>
      </c>
      <c r="C6" s="54"/>
      <c r="D6" s="121">
        <v>1430.85</v>
      </c>
      <c r="E6" s="96" t="s">
        <v>56</v>
      </c>
      <c r="F6" s="121">
        <v>1001.59</v>
      </c>
      <c r="G6" s="54"/>
      <c r="H6" s="121">
        <v>1001.59</v>
      </c>
    </row>
    <row r="7" spans="1:9" ht="23.1" customHeight="1">
      <c r="A7" s="120" t="s">
        <v>246</v>
      </c>
      <c r="B7" s="121">
        <v>188846.87</v>
      </c>
      <c r="C7" s="54"/>
      <c r="D7" s="121">
        <v>188846.87</v>
      </c>
      <c r="E7" s="96" t="s">
        <v>187</v>
      </c>
      <c r="F7" s="121">
        <v>189276.13</v>
      </c>
      <c r="G7" s="121"/>
      <c r="H7" s="121">
        <v>189276.13</v>
      </c>
    </row>
    <row r="8" spans="1:9" ht="23.1" customHeight="1">
      <c r="A8" s="23"/>
      <c r="B8" s="95"/>
      <c r="C8" s="95"/>
      <c r="D8" s="95"/>
      <c r="E8" s="50"/>
      <c r="F8" s="95"/>
      <c r="G8" s="95"/>
      <c r="H8" s="95"/>
    </row>
    <row r="9" spans="1:9" ht="23.1" customHeight="1">
      <c r="A9" s="24" t="s">
        <v>59</v>
      </c>
      <c r="B9" s="122">
        <f>SUM(B6:B8)</f>
        <v>190277.72</v>
      </c>
      <c r="C9" s="122">
        <f>SUM(C6:C8)</f>
        <v>0</v>
      </c>
      <c r="D9" s="122">
        <f>SUM(D6:D8)</f>
        <v>190277.72</v>
      </c>
      <c r="E9" s="24" t="s">
        <v>60</v>
      </c>
      <c r="F9" s="122">
        <f>SUM(F6:F8)</f>
        <v>190277.72</v>
      </c>
      <c r="G9" s="122"/>
      <c r="H9" s="122">
        <f>SUM(H6:H8)</f>
        <v>190277.72</v>
      </c>
    </row>
  </sheetData>
  <protectedRanges>
    <protectedRange password="CF6E" sqref="B7 D7" name="区域1_3_3"/>
  </protectedRanges>
  <mergeCells count="4">
    <mergeCell ref="A4:D4"/>
    <mergeCell ref="E4:H4"/>
    <mergeCell ref="A1:H1"/>
    <mergeCell ref="F3:G3"/>
  </mergeCells>
  <phoneticPr fontId="2" type="noConversion"/>
  <pageMargins left="0.74803149606299213" right="0.23622047244094491" top="0.59055118110236227" bottom="0.78740157480314965" header="0.51181102362204722" footer="0.59055118110236227"/>
  <pageSetup paperSize="9" scale="76" orientation="portrait" r:id="rId1"/>
  <headerFooter alignWithMargins="0">
    <oddFooter>第 &amp;P 页，共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1"/>
  <sheetViews>
    <sheetView workbookViewId="0">
      <selection activeCell="E16" sqref="E16"/>
    </sheetView>
  </sheetViews>
  <sheetFormatPr defaultRowHeight="15.75"/>
  <cols>
    <col min="1" max="1" width="33.375" style="4" customWidth="1"/>
    <col min="2" max="2" width="12.875" style="51" customWidth="1"/>
    <col min="3" max="3" width="8.625" style="51" customWidth="1"/>
    <col min="4" max="4" width="12.625" style="51" customWidth="1"/>
    <col min="5" max="5" width="36.5" style="51" customWidth="1"/>
    <col min="6" max="6" width="11.375" style="51" customWidth="1"/>
    <col min="7" max="7" width="8.625" style="51" customWidth="1"/>
    <col min="8" max="8" width="12" style="51" customWidth="1"/>
    <col min="9" max="16384" width="9" style="4"/>
  </cols>
  <sheetData>
    <row r="1" spans="1:9" ht="28.5" customHeight="1">
      <c r="A1" s="289" t="s">
        <v>282</v>
      </c>
      <c r="B1" s="289"/>
      <c r="C1" s="289"/>
      <c r="D1" s="289"/>
      <c r="E1" s="289"/>
      <c r="F1" s="289"/>
      <c r="G1" s="289"/>
      <c r="H1" s="289"/>
      <c r="I1" s="12"/>
    </row>
    <row r="2" spans="1:9" ht="20.25" customHeight="1">
      <c r="A2" s="22"/>
      <c r="B2" s="48"/>
      <c r="C2" s="48"/>
      <c r="D2" s="48"/>
      <c r="E2" s="48"/>
      <c r="F2" s="306"/>
      <c r="G2" s="307"/>
      <c r="H2" s="94" t="s">
        <v>1</v>
      </c>
    </row>
    <row r="3" spans="1:9" s="37" customFormat="1" ht="20.25" customHeight="1">
      <c r="A3" s="301" t="s">
        <v>53</v>
      </c>
      <c r="B3" s="302"/>
      <c r="C3" s="302"/>
      <c r="D3" s="303"/>
      <c r="E3" s="301" t="s">
        <v>54</v>
      </c>
      <c r="F3" s="302"/>
      <c r="G3" s="302"/>
      <c r="H3" s="303"/>
    </row>
    <row r="4" spans="1:9" s="37" customFormat="1" ht="20.100000000000001" customHeight="1">
      <c r="A4" s="38" t="s">
        <v>55</v>
      </c>
      <c r="B4" s="38" t="s">
        <v>0</v>
      </c>
      <c r="C4" s="38" t="s">
        <v>2</v>
      </c>
      <c r="D4" s="38" t="s">
        <v>3</v>
      </c>
      <c r="E4" s="38" t="s">
        <v>55</v>
      </c>
      <c r="F4" s="38" t="s">
        <v>0</v>
      </c>
      <c r="G4" s="38" t="s">
        <v>2</v>
      </c>
      <c r="H4" s="38" t="s">
        <v>3</v>
      </c>
    </row>
    <row r="5" spans="1:9" customFormat="1" ht="23.1" customHeight="1">
      <c r="A5" s="14" t="s">
        <v>38</v>
      </c>
      <c r="B5" s="108">
        <v>16399.48</v>
      </c>
      <c r="C5" s="52"/>
      <c r="D5" s="108">
        <v>16399.48</v>
      </c>
      <c r="E5" s="53" t="s">
        <v>40</v>
      </c>
      <c r="F5" s="108">
        <v>12174.6</v>
      </c>
      <c r="G5" s="54"/>
      <c r="H5" s="108">
        <v>12174.6</v>
      </c>
    </row>
    <row r="6" spans="1:9" customFormat="1" ht="23.1" customHeight="1">
      <c r="A6" s="14" t="s">
        <v>39</v>
      </c>
      <c r="B6" s="108">
        <v>24852.78</v>
      </c>
      <c r="C6" s="52"/>
      <c r="D6" s="108">
        <v>24852.78</v>
      </c>
      <c r="E6" s="53" t="s">
        <v>41</v>
      </c>
      <c r="F6" s="108">
        <v>20777.400000000001</v>
      </c>
      <c r="G6" s="54"/>
      <c r="H6" s="108">
        <v>20777.400000000001</v>
      </c>
    </row>
    <row r="7" spans="1:9" customFormat="1" ht="23.1" customHeight="1">
      <c r="A7" s="14" t="s">
        <v>34</v>
      </c>
      <c r="B7" s="108">
        <v>30330</v>
      </c>
      <c r="C7" s="52"/>
      <c r="D7" s="108">
        <v>30330</v>
      </c>
      <c r="E7" s="53" t="s">
        <v>42</v>
      </c>
      <c r="F7" s="108">
        <v>28873.21</v>
      </c>
      <c r="G7" s="54"/>
      <c r="H7" s="108">
        <v>28873.21</v>
      </c>
    </row>
    <row r="8" spans="1:9" customFormat="1" ht="23.1" customHeight="1">
      <c r="A8" s="14" t="s">
        <v>35</v>
      </c>
      <c r="B8" s="108">
        <v>1037.29</v>
      </c>
      <c r="C8" s="52"/>
      <c r="D8" s="108">
        <v>1037.29</v>
      </c>
      <c r="E8" s="53" t="s">
        <v>43</v>
      </c>
      <c r="F8" s="108">
        <v>246.61</v>
      </c>
      <c r="G8" s="54"/>
      <c r="H8" s="108">
        <v>246.61</v>
      </c>
    </row>
    <row r="9" spans="1:9" customFormat="1" ht="23.1" customHeight="1">
      <c r="A9" s="14" t="s">
        <v>36</v>
      </c>
      <c r="B9" s="108">
        <v>1073.4000000000001</v>
      </c>
      <c r="C9" s="52"/>
      <c r="D9" s="108">
        <v>1073.4000000000001</v>
      </c>
      <c r="E9" s="53" t="s">
        <v>44</v>
      </c>
      <c r="F9" s="108">
        <v>682.76</v>
      </c>
      <c r="G9" s="54"/>
      <c r="H9" s="108">
        <v>682.76</v>
      </c>
    </row>
    <row r="10" spans="1:9" customFormat="1" ht="23.1" customHeight="1">
      <c r="A10" s="14" t="s">
        <v>37</v>
      </c>
      <c r="B10" s="108">
        <v>0</v>
      </c>
      <c r="C10" s="52"/>
      <c r="D10" s="108">
        <v>0</v>
      </c>
      <c r="E10" s="53" t="s">
        <v>45</v>
      </c>
      <c r="F10" s="108">
        <v>0</v>
      </c>
      <c r="G10" s="54"/>
      <c r="H10" s="108">
        <v>0</v>
      </c>
    </row>
    <row r="11" spans="1:9" customFormat="1" ht="23.1" customHeight="1">
      <c r="A11" s="25" t="s">
        <v>66</v>
      </c>
      <c r="B11" s="108">
        <v>34146.35</v>
      </c>
      <c r="C11" s="52"/>
      <c r="D11" s="108">
        <v>34146.35</v>
      </c>
      <c r="E11" s="55" t="s">
        <v>66</v>
      </c>
      <c r="F11" s="108">
        <v>32370.799999999999</v>
      </c>
      <c r="G11" s="49"/>
      <c r="H11" s="108">
        <v>32370.799999999999</v>
      </c>
    </row>
    <row r="12" spans="1:9" ht="23.1" customHeight="1">
      <c r="A12" s="24" t="s">
        <v>59</v>
      </c>
      <c r="B12" s="123">
        <f>SUM(B5:B11)</f>
        <v>107839.29999999999</v>
      </c>
      <c r="C12" s="56"/>
      <c r="D12" s="123">
        <f>SUM(D5:D11)</f>
        <v>107839.29999999999</v>
      </c>
      <c r="E12" s="24" t="s">
        <v>60</v>
      </c>
      <c r="F12" s="123">
        <f>SUM(F5:F11)</f>
        <v>95125.38</v>
      </c>
      <c r="G12" s="56"/>
      <c r="H12" s="123">
        <f>SUM(H5:H11)</f>
        <v>95125.38</v>
      </c>
    </row>
    <row r="14" spans="1:9">
      <c r="A14" s="76"/>
      <c r="B14" s="77"/>
      <c r="C14" s="77"/>
      <c r="D14" s="77"/>
    </row>
    <row r="15" spans="1:9">
      <c r="A15" s="78"/>
      <c r="B15" s="79"/>
      <c r="C15" s="79"/>
      <c r="D15" s="77"/>
    </row>
    <row r="16" spans="1:9">
      <c r="A16" s="78"/>
      <c r="B16" s="79"/>
      <c r="C16" s="79"/>
      <c r="D16" s="77"/>
    </row>
    <row r="17" spans="1:4">
      <c r="A17" s="78"/>
      <c r="B17" s="79"/>
      <c r="C17" s="79"/>
      <c r="D17" s="77"/>
    </row>
    <row r="18" spans="1:4">
      <c r="A18" s="78"/>
      <c r="B18" s="79"/>
      <c r="C18" s="79"/>
      <c r="D18" s="77"/>
    </row>
    <row r="19" spans="1:4">
      <c r="A19" s="78"/>
      <c r="B19" s="79"/>
      <c r="C19" s="79"/>
      <c r="D19" s="77"/>
    </row>
    <row r="20" spans="1:4">
      <c r="A20" s="78"/>
      <c r="B20" s="79"/>
      <c r="C20" s="79"/>
      <c r="D20" s="77"/>
    </row>
    <row r="21" spans="1:4">
      <c r="A21" s="80"/>
      <c r="B21" s="79"/>
      <c r="C21" s="79"/>
      <c r="D21" s="77"/>
    </row>
  </sheetData>
  <mergeCells count="4">
    <mergeCell ref="A1:H1"/>
    <mergeCell ref="A3:D3"/>
    <mergeCell ref="E3:H3"/>
    <mergeCell ref="F2:G2"/>
  </mergeCells>
  <phoneticPr fontId="2" type="noConversion"/>
  <pageMargins left="0.70866141732283472" right="0.70866141732283472" top="0.59055118110236227" bottom="0.78740157480314965" header="0.31496062992125984" footer="0.59055118110236227"/>
  <pageSetup paperSize="9" scale="60" orientation="portrait" verticalDpi="0" r:id="rId1"/>
  <headerFooter>
    <oddFooter>第 &amp;P 页，共 &amp;N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P113"/>
  <sheetViews>
    <sheetView topLeftCell="A16" zoomScale="90" zoomScaleNormal="90" workbookViewId="0">
      <selection activeCell="B41" sqref="B41"/>
    </sheetView>
  </sheetViews>
  <sheetFormatPr defaultColWidth="9" defaultRowHeight="20.100000000000001" customHeight="1"/>
  <cols>
    <col min="1" max="1" width="5.875" style="58" customWidth="1"/>
    <col min="2" max="2" width="41.75" style="58" customWidth="1"/>
    <col min="3" max="3" width="24.375" style="39" customWidth="1"/>
    <col min="4" max="4" width="19.375" style="58" customWidth="1"/>
    <col min="5" max="5" width="16.125" style="58" customWidth="1"/>
    <col min="6" max="6" width="13.375" style="202" customWidth="1"/>
    <col min="7" max="7" width="15.625" style="202" customWidth="1"/>
    <col min="8" max="8" width="13" style="58" hidden="1" customWidth="1"/>
    <col min="9" max="16384" width="9" style="58"/>
  </cols>
  <sheetData>
    <row r="1" spans="1:8" ht="20.100000000000001" customHeight="1">
      <c r="A1" s="308" t="s">
        <v>429</v>
      </c>
      <c r="B1" s="308"/>
      <c r="C1" s="308"/>
      <c r="D1" s="308"/>
      <c r="E1" s="308"/>
      <c r="F1" s="308"/>
      <c r="G1" s="308"/>
    </row>
    <row r="2" spans="1:8" ht="20.100000000000001" customHeight="1">
      <c r="A2" s="308"/>
      <c r="B2" s="308"/>
      <c r="C2" s="308"/>
      <c r="D2" s="308"/>
      <c r="E2" s="308"/>
      <c r="F2" s="308"/>
      <c r="G2" s="308"/>
    </row>
    <row r="3" spans="1:8" ht="24" customHeight="1">
      <c r="G3" s="237" t="s">
        <v>68</v>
      </c>
    </row>
    <row r="4" spans="1:8" ht="30" customHeight="1">
      <c r="A4" s="241" t="s">
        <v>430</v>
      </c>
      <c r="B4" s="242" t="s">
        <v>67</v>
      </c>
      <c r="C4" s="242" t="s">
        <v>431</v>
      </c>
      <c r="D4" s="242" t="s">
        <v>432</v>
      </c>
      <c r="E4" s="242" t="s">
        <v>578</v>
      </c>
      <c r="F4" s="243" t="s">
        <v>433</v>
      </c>
      <c r="G4" s="242" t="s">
        <v>434</v>
      </c>
      <c r="H4" s="236" t="s">
        <v>435</v>
      </c>
    </row>
    <row r="5" spans="1:8" ht="30" customHeight="1">
      <c r="A5" s="241" t="s">
        <v>436</v>
      </c>
      <c r="B5" s="241" t="s">
        <v>437</v>
      </c>
      <c r="C5" s="241"/>
      <c r="D5" s="242"/>
      <c r="E5" s="288">
        <f>E6</f>
        <v>83195.38</v>
      </c>
      <c r="F5" s="288">
        <f>F6</f>
        <v>0</v>
      </c>
      <c r="G5" s="288">
        <f>E5+F5</f>
        <v>83195.38</v>
      </c>
    </row>
    <row r="6" spans="1:8" s="203" customFormat="1" ht="30" customHeight="1">
      <c r="A6" s="241"/>
      <c r="B6" s="244" t="s">
        <v>438</v>
      </c>
      <c r="C6" s="244"/>
      <c r="D6" s="242"/>
      <c r="E6" s="288">
        <f>SUM(E8:E52)</f>
        <v>83195.38</v>
      </c>
      <c r="F6" s="288">
        <f>SUM(F7:F52)</f>
        <v>0</v>
      </c>
      <c r="G6" s="288">
        <f>E6+F6</f>
        <v>83195.38</v>
      </c>
    </row>
    <row r="7" spans="1:8" s="203" customFormat="1" ht="30" customHeight="1">
      <c r="A7" s="245">
        <v>1</v>
      </c>
      <c r="B7" s="126" t="s">
        <v>549</v>
      </c>
      <c r="C7" s="129" t="s">
        <v>443</v>
      </c>
      <c r="D7" s="246" t="s">
        <v>441</v>
      </c>
      <c r="E7" s="288">
        <v>0</v>
      </c>
      <c r="F7" s="288">
        <v>10000</v>
      </c>
      <c r="G7" s="288">
        <v>10000</v>
      </c>
    </row>
    <row r="8" spans="1:8" ht="30" customHeight="1">
      <c r="A8" s="245">
        <v>2</v>
      </c>
      <c r="B8" s="126" t="s">
        <v>439</v>
      </c>
      <c r="C8" s="247" t="s">
        <v>440</v>
      </c>
      <c r="D8" s="246" t="s">
        <v>441</v>
      </c>
      <c r="E8" s="288">
        <v>10000</v>
      </c>
      <c r="F8" s="288">
        <v>3500</v>
      </c>
      <c r="G8" s="288">
        <f t="shared" ref="G8:G29" si="0">E8+F8</f>
        <v>13500</v>
      </c>
      <c r="H8" s="204"/>
    </row>
    <row r="9" spans="1:8" ht="30" customHeight="1">
      <c r="A9" s="245">
        <v>3</v>
      </c>
      <c r="B9" s="126" t="s">
        <v>442</v>
      </c>
      <c r="C9" s="129" t="s">
        <v>443</v>
      </c>
      <c r="D9" s="246" t="s">
        <v>441</v>
      </c>
      <c r="E9" s="288">
        <v>0</v>
      </c>
      <c r="F9" s="288">
        <v>1000</v>
      </c>
      <c r="G9" s="288">
        <f t="shared" si="0"/>
        <v>1000</v>
      </c>
    </row>
    <row r="10" spans="1:8" ht="30" customHeight="1">
      <c r="A10" s="245">
        <v>4</v>
      </c>
      <c r="B10" s="126" t="s">
        <v>444</v>
      </c>
      <c r="C10" s="129" t="s">
        <v>443</v>
      </c>
      <c r="D10" s="246" t="s">
        <v>441</v>
      </c>
      <c r="E10" s="288">
        <v>1500</v>
      </c>
      <c r="F10" s="288">
        <v>300</v>
      </c>
      <c r="G10" s="288">
        <f t="shared" si="0"/>
        <v>1800</v>
      </c>
    </row>
    <row r="11" spans="1:8" ht="30" customHeight="1">
      <c r="A11" s="245">
        <v>5</v>
      </c>
      <c r="B11" s="126" t="s">
        <v>445</v>
      </c>
      <c r="C11" s="129" t="s">
        <v>443</v>
      </c>
      <c r="D11" s="246" t="s">
        <v>441</v>
      </c>
      <c r="E11" s="288">
        <v>1200</v>
      </c>
      <c r="F11" s="288">
        <v>1000</v>
      </c>
      <c r="G11" s="288">
        <f t="shared" si="0"/>
        <v>2200</v>
      </c>
    </row>
    <row r="12" spans="1:8" ht="30" customHeight="1">
      <c r="A12" s="245">
        <v>6</v>
      </c>
      <c r="B12" s="126" t="s">
        <v>446</v>
      </c>
      <c r="C12" s="129" t="s">
        <v>443</v>
      </c>
      <c r="D12" s="246" t="s">
        <v>441</v>
      </c>
      <c r="E12" s="288">
        <v>700</v>
      </c>
      <c r="F12" s="288">
        <v>200</v>
      </c>
      <c r="G12" s="288">
        <f t="shared" si="0"/>
        <v>900</v>
      </c>
    </row>
    <row r="13" spans="1:8" ht="30" customHeight="1">
      <c r="A13" s="245">
        <v>7</v>
      </c>
      <c r="B13" s="126" t="s">
        <v>447</v>
      </c>
      <c r="C13" s="129" t="s">
        <v>443</v>
      </c>
      <c r="D13" s="246" t="s">
        <v>441</v>
      </c>
      <c r="E13" s="288">
        <v>700</v>
      </c>
      <c r="F13" s="288">
        <v>500</v>
      </c>
      <c r="G13" s="288">
        <f t="shared" si="0"/>
        <v>1200</v>
      </c>
    </row>
    <row r="14" spans="1:8" ht="30" customHeight="1">
      <c r="A14" s="245">
        <v>8</v>
      </c>
      <c r="B14" s="126" t="s">
        <v>448</v>
      </c>
      <c r="C14" s="129" t="s">
        <v>443</v>
      </c>
      <c r="D14" s="246" t="s">
        <v>441</v>
      </c>
      <c r="E14" s="288">
        <v>1000</v>
      </c>
      <c r="F14" s="288">
        <v>1000</v>
      </c>
      <c r="G14" s="288">
        <f t="shared" si="0"/>
        <v>2000</v>
      </c>
    </row>
    <row r="15" spans="1:8" ht="30" customHeight="1">
      <c r="A15" s="245">
        <v>9</v>
      </c>
      <c r="B15" s="126" t="s">
        <v>449</v>
      </c>
      <c r="C15" s="129" t="s">
        <v>443</v>
      </c>
      <c r="D15" s="246" t="s">
        <v>441</v>
      </c>
      <c r="E15" s="288">
        <v>0</v>
      </c>
      <c r="F15" s="288">
        <v>500</v>
      </c>
      <c r="G15" s="288">
        <f t="shared" si="0"/>
        <v>500</v>
      </c>
    </row>
    <row r="16" spans="1:8" ht="30" customHeight="1">
      <c r="A16" s="245">
        <v>10</v>
      </c>
      <c r="B16" s="126" t="s">
        <v>450</v>
      </c>
      <c r="C16" s="129" t="s">
        <v>443</v>
      </c>
      <c r="D16" s="246" t="s">
        <v>441</v>
      </c>
      <c r="E16" s="288">
        <v>800</v>
      </c>
      <c r="F16" s="288">
        <v>300</v>
      </c>
      <c r="G16" s="288">
        <f t="shared" si="0"/>
        <v>1100</v>
      </c>
    </row>
    <row r="17" spans="1:8" ht="30" customHeight="1">
      <c r="A17" s="245">
        <v>11</v>
      </c>
      <c r="B17" s="126" t="s">
        <v>451</v>
      </c>
      <c r="C17" s="129" t="s">
        <v>443</v>
      </c>
      <c r="D17" s="246" t="s">
        <v>441</v>
      </c>
      <c r="E17" s="288">
        <v>0</v>
      </c>
      <c r="F17" s="288">
        <v>200</v>
      </c>
      <c r="G17" s="288">
        <f t="shared" si="0"/>
        <v>200</v>
      </c>
    </row>
    <row r="18" spans="1:8" ht="30" customHeight="1">
      <c r="A18" s="245">
        <v>12</v>
      </c>
      <c r="B18" s="126" t="s">
        <v>452</v>
      </c>
      <c r="C18" s="129" t="s">
        <v>443</v>
      </c>
      <c r="D18" s="246" t="s">
        <v>441</v>
      </c>
      <c r="E18" s="288">
        <v>0</v>
      </c>
      <c r="F18" s="288">
        <v>200</v>
      </c>
      <c r="G18" s="288">
        <f t="shared" si="0"/>
        <v>200</v>
      </c>
    </row>
    <row r="19" spans="1:8" ht="30" customHeight="1">
      <c r="A19" s="245">
        <v>13</v>
      </c>
      <c r="B19" s="126" t="s">
        <v>453</v>
      </c>
      <c r="C19" s="129" t="s">
        <v>443</v>
      </c>
      <c r="D19" s="246" t="s">
        <v>441</v>
      </c>
      <c r="E19" s="288">
        <v>0</v>
      </c>
      <c r="F19" s="288">
        <v>100</v>
      </c>
      <c r="G19" s="288">
        <f t="shared" si="0"/>
        <v>100</v>
      </c>
    </row>
    <row r="20" spans="1:8" s="238" customFormat="1" ht="30" customHeight="1">
      <c r="A20" s="245">
        <v>14</v>
      </c>
      <c r="B20" s="126" t="s">
        <v>454</v>
      </c>
      <c r="C20" s="129" t="s">
        <v>443</v>
      </c>
      <c r="D20" s="246" t="s">
        <v>441</v>
      </c>
      <c r="E20" s="288">
        <v>0</v>
      </c>
      <c r="F20" s="288">
        <v>750</v>
      </c>
      <c r="G20" s="288">
        <f t="shared" si="0"/>
        <v>750</v>
      </c>
      <c r="H20" s="238">
        <v>6000</v>
      </c>
    </row>
    <row r="21" spans="1:8" s="238" customFormat="1" ht="30" customHeight="1">
      <c r="A21" s="245">
        <v>15</v>
      </c>
      <c r="B21" s="126" t="s">
        <v>455</v>
      </c>
      <c r="C21" s="129" t="s">
        <v>443</v>
      </c>
      <c r="D21" s="246" t="s">
        <v>441</v>
      </c>
      <c r="E21" s="288">
        <v>0</v>
      </c>
      <c r="F21" s="288">
        <v>750</v>
      </c>
      <c r="G21" s="288">
        <f t="shared" si="0"/>
        <v>750</v>
      </c>
    </row>
    <row r="22" spans="1:8" s="238" customFormat="1" ht="30" customHeight="1">
      <c r="A22" s="245">
        <v>16</v>
      </c>
      <c r="B22" s="126" t="s">
        <v>456</v>
      </c>
      <c r="C22" s="129" t="s">
        <v>443</v>
      </c>
      <c r="D22" s="246" t="s">
        <v>441</v>
      </c>
      <c r="E22" s="288">
        <v>1500</v>
      </c>
      <c r="F22" s="288">
        <v>1000</v>
      </c>
      <c r="G22" s="288">
        <f t="shared" si="0"/>
        <v>2500</v>
      </c>
    </row>
    <row r="23" spans="1:8" ht="30" customHeight="1">
      <c r="A23" s="245">
        <v>17</v>
      </c>
      <c r="B23" s="126" t="s">
        <v>457</v>
      </c>
      <c r="C23" s="129" t="s">
        <v>443</v>
      </c>
      <c r="D23" s="246" t="s">
        <v>441</v>
      </c>
      <c r="E23" s="288">
        <v>300</v>
      </c>
      <c r="F23" s="288">
        <v>200</v>
      </c>
      <c r="G23" s="288">
        <f t="shared" si="0"/>
        <v>500</v>
      </c>
    </row>
    <row r="24" spans="1:8" ht="30" customHeight="1">
      <c r="A24" s="245">
        <v>18</v>
      </c>
      <c r="B24" s="126" t="s">
        <v>550</v>
      </c>
      <c r="C24" s="129" t="s">
        <v>443</v>
      </c>
      <c r="D24" s="246" t="s">
        <v>441</v>
      </c>
      <c r="E24" s="288">
        <v>0</v>
      </c>
      <c r="F24" s="288">
        <v>1000</v>
      </c>
      <c r="G24" s="288">
        <f t="shared" si="0"/>
        <v>1000</v>
      </c>
    </row>
    <row r="25" spans="1:8" ht="30" customHeight="1">
      <c r="A25" s="245">
        <v>19</v>
      </c>
      <c r="B25" s="126" t="s">
        <v>458</v>
      </c>
      <c r="C25" s="129" t="s">
        <v>443</v>
      </c>
      <c r="D25" s="246" t="s">
        <v>441</v>
      </c>
      <c r="E25" s="288">
        <v>0</v>
      </c>
      <c r="F25" s="288">
        <v>130</v>
      </c>
      <c r="G25" s="288">
        <f t="shared" si="0"/>
        <v>130</v>
      </c>
    </row>
    <row r="26" spans="1:8" ht="30" customHeight="1">
      <c r="A26" s="245">
        <v>20</v>
      </c>
      <c r="B26" s="126" t="s">
        <v>459</v>
      </c>
      <c r="C26" s="129" t="s">
        <v>443</v>
      </c>
      <c r="D26" s="246" t="s">
        <v>441</v>
      </c>
      <c r="E26" s="288">
        <v>0</v>
      </c>
      <c r="F26" s="288">
        <v>132</v>
      </c>
      <c r="G26" s="288">
        <f t="shared" si="0"/>
        <v>132</v>
      </c>
    </row>
    <row r="27" spans="1:8" s="238" customFormat="1" ht="30" customHeight="1">
      <c r="A27" s="245">
        <v>21</v>
      </c>
      <c r="B27" s="126" t="s">
        <v>460</v>
      </c>
      <c r="C27" s="129" t="s">
        <v>443</v>
      </c>
      <c r="D27" s="246" t="s">
        <v>441</v>
      </c>
      <c r="E27" s="288">
        <v>0</v>
      </c>
      <c r="F27" s="288">
        <v>2076</v>
      </c>
      <c r="G27" s="288">
        <f t="shared" si="0"/>
        <v>2076</v>
      </c>
    </row>
    <row r="28" spans="1:8" ht="30" customHeight="1">
      <c r="A28" s="245">
        <v>22</v>
      </c>
      <c r="B28" s="126" t="s">
        <v>461</v>
      </c>
      <c r="C28" s="129" t="s">
        <v>443</v>
      </c>
      <c r="D28" s="246" t="s">
        <v>441</v>
      </c>
      <c r="E28" s="288">
        <v>0</v>
      </c>
      <c r="F28" s="288">
        <v>240</v>
      </c>
      <c r="G28" s="288">
        <f t="shared" si="0"/>
        <v>240</v>
      </c>
    </row>
    <row r="29" spans="1:8" s="238" customFormat="1" ht="30" customHeight="1">
      <c r="A29" s="245">
        <v>23</v>
      </c>
      <c r="B29" s="126" t="s">
        <v>462</v>
      </c>
      <c r="C29" s="129" t="s">
        <v>443</v>
      </c>
      <c r="D29" s="246" t="s">
        <v>441</v>
      </c>
      <c r="E29" s="288">
        <v>0</v>
      </c>
      <c r="F29" s="288">
        <v>30</v>
      </c>
      <c r="G29" s="288">
        <f t="shared" si="0"/>
        <v>30</v>
      </c>
    </row>
    <row r="30" spans="1:8" s="238" customFormat="1" ht="30" customHeight="1">
      <c r="A30" s="245">
        <v>24</v>
      </c>
      <c r="B30" s="126" t="s">
        <v>463</v>
      </c>
      <c r="C30" s="129" t="s">
        <v>443</v>
      </c>
      <c r="D30" s="246" t="s">
        <v>441</v>
      </c>
      <c r="E30" s="288">
        <v>0</v>
      </c>
      <c r="F30" s="288">
        <v>500</v>
      </c>
      <c r="G30" s="288">
        <f>E30+F30</f>
        <v>500</v>
      </c>
    </row>
    <row r="31" spans="1:8" ht="30" customHeight="1">
      <c r="A31" s="245">
        <v>25</v>
      </c>
      <c r="B31" s="126" t="s">
        <v>464</v>
      </c>
      <c r="C31" s="129" t="s">
        <v>443</v>
      </c>
      <c r="D31" s="246" t="s">
        <v>441</v>
      </c>
      <c r="E31" s="288">
        <v>500</v>
      </c>
      <c r="F31" s="288">
        <v>1500</v>
      </c>
      <c r="G31" s="288">
        <f>E31+F31</f>
        <v>2000</v>
      </c>
    </row>
    <row r="32" spans="1:8" ht="27.95" customHeight="1">
      <c r="A32" s="245">
        <v>26</v>
      </c>
      <c r="B32" s="126" t="s">
        <v>551</v>
      </c>
      <c r="C32" s="129" t="s">
        <v>443</v>
      </c>
      <c r="D32" s="246" t="s">
        <v>441</v>
      </c>
      <c r="E32" s="288">
        <v>0</v>
      </c>
      <c r="F32" s="288">
        <v>1000</v>
      </c>
      <c r="G32" s="288">
        <f>E32+F32</f>
        <v>1000</v>
      </c>
    </row>
    <row r="33" spans="1:16" ht="27.95" customHeight="1">
      <c r="A33" s="245">
        <v>27</v>
      </c>
      <c r="B33" s="126" t="s">
        <v>552</v>
      </c>
      <c r="C33" s="129" t="s">
        <v>553</v>
      </c>
      <c r="D33" s="246" t="s">
        <v>441</v>
      </c>
      <c r="E33" s="288">
        <v>26295.38</v>
      </c>
      <c r="F33" s="288">
        <v>-4728</v>
      </c>
      <c r="G33" s="288">
        <f>E33+F33</f>
        <v>21567.38</v>
      </c>
    </row>
    <row r="34" spans="1:16" s="238" customFormat="1" ht="27.95" customHeight="1">
      <c r="A34" s="245">
        <v>28</v>
      </c>
      <c r="B34" s="126" t="s">
        <v>465</v>
      </c>
      <c r="C34" s="129" t="s">
        <v>443</v>
      </c>
      <c r="D34" s="246" t="s">
        <v>441</v>
      </c>
      <c r="E34" s="288">
        <v>300</v>
      </c>
      <c r="F34" s="288">
        <v>-130</v>
      </c>
      <c r="G34" s="288">
        <f t="shared" ref="G34:G52" si="1">E34+F34</f>
        <v>170</v>
      </c>
    </row>
    <row r="35" spans="1:16" ht="27.95" customHeight="1">
      <c r="A35" s="245">
        <v>29</v>
      </c>
      <c r="B35" s="126" t="s">
        <v>466</v>
      </c>
      <c r="C35" s="129" t="s">
        <v>443</v>
      </c>
      <c r="D35" s="246" t="s">
        <v>441</v>
      </c>
      <c r="E35" s="288">
        <v>500</v>
      </c>
      <c r="F35" s="288">
        <v>-350</v>
      </c>
      <c r="G35" s="288">
        <f t="shared" si="1"/>
        <v>150</v>
      </c>
    </row>
    <row r="36" spans="1:16" ht="27.95" customHeight="1">
      <c r="A36" s="245">
        <v>30</v>
      </c>
      <c r="B36" s="126" t="s">
        <v>467</v>
      </c>
      <c r="C36" s="129" t="s">
        <v>443</v>
      </c>
      <c r="D36" s="246" t="s">
        <v>441</v>
      </c>
      <c r="E36" s="288">
        <v>1500</v>
      </c>
      <c r="F36" s="288">
        <v>-1200</v>
      </c>
      <c r="G36" s="288">
        <f t="shared" si="1"/>
        <v>300</v>
      </c>
    </row>
    <row r="37" spans="1:16" ht="27.95" customHeight="1">
      <c r="A37" s="245">
        <v>31</v>
      </c>
      <c r="B37" s="126" t="s">
        <v>554</v>
      </c>
      <c r="C37" s="129" t="s">
        <v>443</v>
      </c>
      <c r="D37" s="246" t="s">
        <v>441</v>
      </c>
      <c r="E37" s="288">
        <v>3500</v>
      </c>
      <c r="F37" s="288">
        <v>-2500</v>
      </c>
      <c r="G37" s="288">
        <f t="shared" si="1"/>
        <v>1000</v>
      </c>
    </row>
    <row r="38" spans="1:16" ht="27.95" customHeight="1">
      <c r="A38" s="245">
        <v>32</v>
      </c>
      <c r="B38" s="126" t="s">
        <v>468</v>
      </c>
      <c r="C38" s="129" t="s">
        <v>443</v>
      </c>
      <c r="D38" s="246" t="s">
        <v>441</v>
      </c>
      <c r="E38" s="288">
        <v>500</v>
      </c>
      <c r="F38" s="288">
        <v>-300</v>
      </c>
      <c r="G38" s="288">
        <f t="shared" si="1"/>
        <v>200</v>
      </c>
    </row>
    <row r="39" spans="1:16" ht="27.95" customHeight="1">
      <c r="A39" s="245">
        <v>33</v>
      </c>
      <c r="B39" s="126" t="s">
        <v>469</v>
      </c>
      <c r="C39" s="129" t="s">
        <v>443</v>
      </c>
      <c r="D39" s="246" t="s">
        <v>441</v>
      </c>
      <c r="E39" s="288">
        <v>200</v>
      </c>
      <c r="F39" s="288">
        <v>-200</v>
      </c>
      <c r="G39" s="288">
        <f t="shared" si="1"/>
        <v>0</v>
      </c>
    </row>
    <row r="40" spans="1:16" ht="27.95" customHeight="1">
      <c r="A40" s="245">
        <v>34</v>
      </c>
      <c r="B40" s="126" t="s">
        <v>470</v>
      </c>
      <c r="C40" s="129" t="s">
        <v>443</v>
      </c>
      <c r="D40" s="246" t="s">
        <v>441</v>
      </c>
      <c r="E40" s="288">
        <v>200</v>
      </c>
      <c r="F40" s="288">
        <v>-200</v>
      </c>
      <c r="G40" s="288">
        <f t="shared" si="1"/>
        <v>0</v>
      </c>
    </row>
    <row r="41" spans="1:16" ht="27.95" customHeight="1">
      <c r="A41" s="245">
        <v>35</v>
      </c>
      <c r="B41" s="126" t="s">
        <v>471</v>
      </c>
      <c r="C41" s="129" t="s">
        <v>443</v>
      </c>
      <c r="D41" s="246" t="s">
        <v>441</v>
      </c>
      <c r="E41" s="288">
        <v>200</v>
      </c>
      <c r="F41" s="288">
        <v>-200</v>
      </c>
      <c r="G41" s="288">
        <f t="shared" si="1"/>
        <v>0</v>
      </c>
    </row>
    <row r="42" spans="1:16" ht="27.95" customHeight="1">
      <c r="A42" s="245">
        <v>36</v>
      </c>
      <c r="B42" s="126" t="s">
        <v>472</v>
      </c>
      <c r="C42" s="129" t="s">
        <v>443</v>
      </c>
      <c r="D42" s="246" t="s">
        <v>441</v>
      </c>
      <c r="E42" s="288">
        <v>1000</v>
      </c>
      <c r="F42" s="288">
        <v>-1000</v>
      </c>
      <c r="G42" s="288">
        <f t="shared" si="1"/>
        <v>0</v>
      </c>
    </row>
    <row r="43" spans="1:16" ht="27.95" customHeight="1">
      <c r="A43" s="245">
        <v>37</v>
      </c>
      <c r="B43" s="126" t="s">
        <v>473</v>
      </c>
      <c r="C43" s="129" t="s">
        <v>443</v>
      </c>
      <c r="D43" s="246" t="s">
        <v>441</v>
      </c>
      <c r="E43" s="288">
        <v>2500</v>
      </c>
      <c r="F43" s="288">
        <v>-2500</v>
      </c>
      <c r="G43" s="288">
        <f t="shared" si="1"/>
        <v>0</v>
      </c>
    </row>
    <row r="44" spans="1:16" ht="27.95" customHeight="1">
      <c r="A44" s="245">
        <v>38</v>
      </c>
      <c r="B44" s="126" t="s">
        <v>474</v>
      </c>
      <c r="C44" s="129" t="s">
        <v>443</v>
      </c>
      <c r="D44" s="246" t="s">
        <v>441</v>
      </c>
      <c r="E44" s="288">
        <v>11000</v>
      </c>
      <c r="F44" s="288">
        <v>-4000</v>
      </c>
      <c r="G44" s="288">
        <f t="shared" si="1"/>
        <v>7000</v>
      </c>
    </row>
    <row r="45" spans="1:16" ht="27.95" customHeight="1">
      <c r="A45" s="245">
        <v>39</v>
      </c>
      <c r="B45" s="126" t="s">
        <v>475</v>
      </c>
      <c r="C45" s="129" t="s">
        <v>443</v>
      </c>
      <c r="D45" s="246" t="s">
        <v>441</v>
      </c>
      <c r="E45" s="288">
        <v>10000</v>
      </c>
      <c r="F45" s="288">
        <v>-3500</v>
      </c>
      <c r="G45" s="288">
        <f t="shared" si="1"/>
        <v>6500</v>
      </c>
    </row>
    <row r="46" spans="1:16" ht="27.95" customHeight="1">
      <c r="A46" s="245">
        <v>40</v>
      </c>
      <c r="B46" s="126" t="s">
        <v>476</v>
      </c>
      <c r="C46" s="129" t="s">
        <v>443</v>
      </c>
      <c r="D46" s="246" t="s">
        <v>441</v>
      </c>
      <c r="E46" s="288">
        <v>1500</v>
      </c>
      <c r="F46" s="288">
        <v>-1500</v>
      </c>
      <c r="G46" s="288">
        <f t="shared" si="1"/>
        <v>0</v>
      </c>
    </row>
    <row r="47" spans="1:16" ht="27.95" customHeight="1">
      <c r="A47" s="245">
        <v>41</v>
      </c>
      <c r="B47" s="126" t="s">
        <v>477</v>
      </c>
      <c r="C47" s="129" t="s">
        <v>443</v>
      </c>
      <c r="D47" s="246" t="s">
        <v>441</v>
      </c>
      <c r="E47" s="288">
        <v>1000</v>
      </c>
      <c r="F47" s="288">
        <v>-1000</v>
      </c>
      <c r="G47" s="288">
        <f t="shared" si="1"/>
        <v>0</v>
      </c>
      <c r="P47" s="249"/>
    </row>
    <row r="48" spans="1:16" ht="27.95" customHeight="1">
      <c r="A48" s="245">
        <v>42</v>
      </c>
      <c r="B48" s="126" t="s">
        <v>478</v>
      </c>
      <c r="C48" s="129" t="s">
        <v>443</v>
      </c>
      <c r="D48" s="246" t="s">
        <v>441</v>
      </c>
      <c r="E48" s="288">
        <v>1000</v>
      </c>
      <c r="F48" s="288">
        <v>-1000</v>
      </c>
      <c r="G48" s="288">
        <f t="shared" si="1"/>
        <v>0</v>
      </c>
    </row>
    <row r="49" spans="1:7" ht="27.95" customHeight="1">
      <c r="A49" s="245">
        <v>43</v>
      </c>
      <c r="B49" s="126" t="s">
        <v>479</v>
      </c>
      <c r="C49" s="129" t="s">
        <v>443</v>
      </c>
      <c r="D49" s="246" t="s">
        <v>441</v>
      </c>
      <c r="E49" s="288">
        <v>300</v>
      </c>
      <c r="F49" s="288">
        <v>-300</v>
      </c>
      <c r="G49" s="288">
        <f t="shared" si="1"/>
        <v>0</v>
      </c>
    </row>
    <row r="50" spans="1:7" ht="27.95" customHeight="1">
      <c r="A50" s="245">
        <v>44</v>
      </c>
      <c r="B50" s="126" t="s">
        <v>480</v>
      </c>
      <c r="C50" s="129" t="s">
        <v>443</v>
      </c>
      <c r="D50" s="246" t="s">
        <v>441</v>
      </c>
      <c r="E50" s="288">
        <v>1500</v>
      </c>
      <c r="F50" s="288">
        <v>-1500</v>
      </c>
      <c r="G50" s="288">
        <f t="shared" si="1"/>
        <v>0</v>
      </c>
    </row>
    <row r="51" spans="1:7" ht="27.95" customHeight="1">
      <c r="A51" s="245">
        <v>45</v>
      </c>
      <c r="B51" s="126" t="s">
        <v>481</v>
      </c>
      <c r="C51" s="129" t="s">
        <v>443</v>
      </c>
      <c r="D51" s="246" t="s">
        <v>441</v>
      </c>
      <c r="E51" s="288">
        <v>500</v>
      </c>
      <c r="F51" s="288">
        <v>-500</v>
      </c>
      <c r="G51" s="288">
        <f t="shared" si="1"/>
        <v>0</v>
      </c>
    </row>
    <row r="52" spans="1:7" s="202" customFormat="1" ht="27.95" customHeight="1">
      <c r="A52" s="245">
        <v>46</v>
      </c>
      <c r="B52" s="126" t="s">
        <v>482</v>
      </c>
      <c r="C52" s="129" t="s">
        <v>443</v>
      </c>
      <c r="D52" s="246" t="s">
        <v>441</v>
      </c>
      <c r="E52" s="288">
        <v>1500</v>
      </c>
      <c r="F52" s="288">
        <v>-1500</v>
      </c>
      <c r="G52" s="288">
        <f t="shared" si="1"/>
        <v>0</v>
      </c>
    </row>
    <row r="53" spans="1:7" ht="27.95" customHeight="1"/>
    <row r="54" spans="1:7" ht="27.95" customHeight="1"/>
    <row r="55" spans="1:7" ht="27.95" customHeight="1"/>
    <row r="56" spans="1:7" ht="27.95" customHeight="1"/>
    <row r="57" spans="1:7" ht="27.95" customHeight="1"/>
    <row r="58" spans="1:7" ht="27.95" customHeight="1"/>
    <row r="59" spans="1:7" ht="27.95" customHeight="1"/>
    <row r="60" spans="1:7" ht="27.95" customHeight="1"/>
    <row r="61" spans="1:7" ht="27.95" customHeight="1"/>
    <row r="62" spans="1:7" ht="27.95" customHeight="1"/>
    <row r="63" spans="1:7" ht="27.95" customHeight="1"/>
    <row r="64" spans="1:7" ht="27.95" customHeight="1"/>
    <row r="65" ht="27.95" customHeight="1"/>
    <row r="66" ht="27.95" customHeight="1"/>
    <row r="67" ht="27.95" customHeight="1"/>
    <row r="68" ht="27.95" customHeight="1"/>
    <row r="69" ht="27.95" customHeight="1"/>
    <row r="70" ht="27.95" customHeight="1"/>
    <row r="71" ht="27.95" customHeight="1"/>
    <row r="72" ht="27.95" customHeight="1"/>
    <row r="73" ht="27.95" customHeight="1"/>
    <row r="74" ht="27.95" customHeight="1"/>
    <row r="75" ht="27.95" customHeight="1"/>
    <row r="76" ht="27.95" customHeight="1"/>
    <row r="77" ht="27.95" customHeight="1"/>
    <row r="78" ht="27.95" customHeight="1"/>
    <row r="79" ht="27.95" customHeight="1"/>
    <row r="80" ht="27.95" customHeight="1"/>
    <row r="81" ht="27.95" customHeight="1"/>
    <row r="82" ht="27.95" customHeight="1"/>
    <row r="83" ht="27.95" customHeight="1"/>
    <row r="84" ht="27.95" customHeight="1"/>
    <row r="85" ht="27.95" customHeight="1"/>
    <row r="86" ht="27.95" customHeight="1"/>
    <row r="87" ht="27.95" customHeight="1"/>
    <row r="88" ht="27.95" customHeight="1"/>
    <row r="89" ht="27.95" customHeight="1"/>
    <row r="90" ht="27.95" customHeight="1"/>
    <row r="91" ht="27.95" customHeight="1"/>
    <row r="92" ht="27.95" customHeight="1"/>
    <row r="93" ht="27.95" customHeight="1"/>
    <row r="94" ht="27.95" customHeight="1"/>
    <row r="95" ht="27.95" customHeight="1"/>
    <row r="96" ht="27.95" customHeight="1"/>
    <row r="97" ht="27.95" customHeight="1"/>
    <row r="98" ht="27.95" customHeight="1"/>
    <row r="99" ht="27.95" customHeight="1"/>
    <row r="100" ht="27.95" customHeight="1"/>
    <row r="101" ht="27.95" customHeight="1"/>
    <row r="102" ht="27.95" customHeight="1"/>
    <row r="103" ht="27.95" customHeight="1"/>
    <row r="104" ht="27.95" customHeight="1"/>
    <row r="105" ht="27.95" customHeight="1"/>
    <row r="106" ht="27.95" customHeight="1"/>
    <row r="107" ht="27.95" customHeight="1"/>
    <row r="108" ht="27.95" customHeight="1"/>
    <row r="109" ht="27.95" customHeight="1"/>
    <row r="110" ht="27.95" customHeight="1"/>
    <row r="111" ht="27.95" customHeight="1"/>
    <row r="112" ht="27.95" customHeight="1"/>
    <row r="113" ht="27.95" customHeight="1"/>
  </sheetData>
  <sortState ref="A118:G133">
    <sortCondition descending="1" ref="F118:F133"/>
  </sortState>
  <mergeCells count="1">
    <mergeCell ref="A1:G2"/>
  </mergeCells>
  <phoneticPr fontId="2" type="noConversion"/>
  <conditionalFormatting sqref="B27 B29">
    <cfRule type="expression" dxfId="2" priority="1" stopIfTrue="1">
      <formula>AND(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&gt;1,NOT(ISBLANK(B27)))</formula>
    </cfRule>
    <cfRule type="expression" dxfId="1" priority="2" stopIfTrue="1">
      <formula>AND(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&gt;1,NOT(ISBLANK(B27)))</formula>
    </cfRule>
    <cfRule type="expression" dxfId="0" priority="3" stopIfTrue="1">
      <formula>AND(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+COUNTIF(#REF!,B27)&gt;1,NOT(ISBLANK(B27)))</formula>
    </cfRule>
  </conditionalFormatting>
  <pageMargins left="0.70866141732283472" right="0.70866141732283472" top="0.59055118110236227" bottom="0.78740157480314965" header="0.31496062992125984" footer="0.59055118110236227"/>
  <pageSetup paperSize="9" scale="60" orientation="portrait" r:id="rId1"/>
  <headerFooter>
    <oddFooter>第 &amp;P 页，共 &amp;N 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58"/>
  <sheetViews>
    <sheetView workbookViewId="0">
      <selection activeCell="A47" sqref="A47:XFD47"/>
    </sheetView>
  </sheetViews>
  <sheetFormatPr defaultRowHeight="20.100000000000001" customHeight="1"/>
  <cols>
    <col min="1" max="1" width="6.5" style="201" customWidth="1"/>
    <col min="2" max="2" width="29.875" style="240" customWidth="1"/>
    <col min="3" max="3" width="22.75" style="240" customWidth="1"/>
    <col min="4" max="4" width="15.75" style="240" customWidth="1"/>
    <col min="5" max="5" width="12.625" style="248" customWidth="1"/>
    <col min="6" max="6" width="15.125" style="240" customWidth="1"/>
    <col min="7" max="16384" width="9" style="201"/>
  </cols>
  <sheetData>
    <row r="1" spans="1:6" ht="36.75" customHeight="1">
      <c r="A1" s="309" t="s">
        <v>511</v>
      </c>
      <c r="B1" s="309"/>
      <c r="C1" s="309"/>
      <c r="D1" s="309"/>
      <c r="E1" s="309"/>
      <c r="F1" s="309"/>
    </row>
    <row r="2" spans="1:6" ht="20.100000000000001" customHeight="1">
      <c r="A2" s="259"/>
      <c r="B2" s="260"/>
      <c r="C2" s="260"/>
      <c r="D2" s="260"/>
      <c r="E2" s="261"/>
      <c r="F2" s="260" t="s">
        <v>512</v>
      </c>
    </row>
    <row r="3" spans="1:6" s="239" customFormat="1" ht="27.95" customHeight="1">
      <c r="A3" s="262" t="s">
        <v>339</v>
      </c>
      <c r="B3" s="186" t="s">
        <v>513</v>
      </c>
      <c r="C3" s="186" t="s">
        <v>514</v>
      </c>
      <c r="D3" s="186" t="s">
        <v>578</v>
      </c>
      <c r="E3" s="263" t="s">
        <v>420</v>
      </c>
      <c r="F3" s="264" t="s">
        <v>515</v>
      </c>
    </row>
    <row r="4" spans="1:6" s="239" customFormat="1" ht="27.95" customHeight="1">
      <c r="A4" s="262"/>
      <c r="B4" s="186" t="s">
        <v>404</v>
      </c>
      <c r="C4" s="186"/>
      <c r="D4" s="265">
        <v>255299.31759999998</v>
      </c>
      <c r="E4" s="265">
        <v>35000.003400000001</v>
      </c>
      <c r="F4" s="265">
        <v>290299.321</v>
      </c>
    </row>
    <row r="5" spans="1:6" s="239" customFormat="1" ht="27">
      <c r="A5" s="262">
        <v>1</v>
      </c>
      <c r="B5" s="266" t="s">
        <v>516</v>
      </c>
      <c r="C5" s="267" t="s">
        <v>484</v>
      </c>
      <c r="D5" s="268">
        <v>155000</v>
      </c>
      <c r="E5" s="268">
        <v>35000</v>
      </c>
      <c r="F5" s="268">
        <f t="shared" ref="F5:F34" si="0">D5+E5</f>
        <v>190000</v>
      </c>
    </row>
    <row r="6" spans="1:6" s="239" customFormat="1" ht="36" customHeight="1">
      <c r="A6" s="262">
        <v>2</v>
      </c>
      <c r="B6" s="266" t="s">
        <v>485</v>
      </c>
      <c r="C6" s="132" t="s">
        <v>486</v>
      </c>
      <c r="D6" s="268">
        <v>30000</v>
      </c>
      <c r="E6" s="268">
        <v>10000</v>
      </c>
      <c r="F6" s="268">
        <f t="shared" si="0"/>
        <v>40000</v>
      </c>
    </row>
    <row r="7" spans="1:6" s="239" customFormat="1" ht="53.25" customHeight="1">
      <c r="A7" s="262">
        <v>3</v>
      </c>
      <c r="B7" s="266" t="s">
        <v>487</v>
      </c>
      <c r="C7" s="267" t="s">
        <v>561</v>
      </c>
      <c r="D7" s="268">
        <v>0</v>
      </c>
      <c r="E7" s="268">
        <v>4000</v>
      </c>
      <c r="F7" s="268">
        <f t="shared" si="0"/>
        <v>4000</v>
      </c>
    </row>
    <row r="8" spans="1:6" s="239" customFormat="1" ht="36" customHeight="1">
      <c r="A8" s="262">
        <v>4</v>
      </c>
      <c r="B8" s="266" t="s">
        <v>421</v>
      </c>
      <c r="C8" s="132" t="s">
        <v>517</v>
      </c>
      <c r="D8" s="268">
        <v>2200</v>
      </c>
      <c r="E8" s="268">
        <v>800</v>
      </c>
      <c r="F8" s="268">
        <f t="shared" si="0"/>
        <v>3000</v>
      </c>
    </row>
    <row r="9" spans="1:6" s="239" customFormat="1" ht="36" customHeight="1">
      <c r="A9" s="262">
        <v>5</v>
      </c>
      <c r="B9" s="266" t="s">
        <v>510</v>
      </c>
      <c r="C9" s="132" t="s">
        <v>517</v>
      </c>
      <c r="D9" s="268">
        <v>0</v>
      </c>
      <c r="E9" s="268">
        <v>800</v>
      </c>
      <c r="F9" s="268">
        <f t="shared" si="0"/>
        <v>800</v>
      </c>
    </row>
    <row r="10" spans="1:6" s="239" customFormat="1" ht="36" customHeight="1">
      <c r="A10" s="262">
        <v>6</v>
      </c>
      <c r="B10" s="266" t="s">
        <v>564</v>
      </c>
      <c r="C10" s="132" t="s">
        <v>565</v>
      </c>
      <c r="D10" s="268">
        <v>1080</v>
      </c>
      <c r="E10" s="268">
        <v>700</v>
      </c>
      <c r="F10" s="268">
        <f t="shared" si="0"/>
        <v>1780</v>
      </c>
    </row>
    <row r="11" spans="1:6" s="239" customFormat="1" ht="27">
      <c r="A11" s="262">
        <v>7</v>
      </c>
      <c r="B11" s="273" t="s">
        <v>519</v>
      </c>
      <c r="C11" s="271" t="s">
        <v>518</v>
      </c>
      <c r="D11" s="268">
        <v>750</v>
      </c>
      <c r="E11" s="268">
        <v>560</v>
      </c>
      <c r="F11" s="268">
        <f t="shared" si="0"/>
        <v>1310</v>
      </c>
    </row>
    <row r="12" spans="1:6" s="239" customFormat="1" ht="27">
      <c r="A12" s="262">
        <v>8</v>
      </c>
      <c r="B12" s="272" t="s">
        <v>522</v>
      </c>
      <c r="C12" s="274" t="s">
        <v>488</v>
      </c>
      <c r="D12" s="268">
        <v>300</v>
      </c>
      <c r="E12" s="268">
        <v>445</v>
      </c>
      <c r="F12" s="268">
        <f t="shared" si="0"/>
        <v>745</v>
      </c>
    </row>
    <row r="13" spans="1:6" s="239" customFormat="1" ht="40.5">
      <c r="A13" s="262">
        <v>9</v>
      </c>
      <c r="B13" s="273" t="s">
        <v>520</v>
      </c>
      <c r="C13" s="271" t="s">
        <v>521</v>
      </c>
      <c r="D13" s="268">
        <v>500</v>
      </c>
      <c r="E13" s="268">
        <v>200</v>
      </c>
      <c r="F13" s="268">
        <f t="shared" si="0"/>
        <v>700</v>
      </c>
    </row>
    <row r="14" spans="1:6" s="239" customFormat="1" ht="36" customHeight="1">
      <c r="A14" s="262">
        <v>10</v>
      </c>
      <c r="B14" s="266" t="s">
        <v>422</v>
      </c>
      <c r="C14" s="132" t="s">
        <v>523</v>
      </c>
      <c r="D14" s="268">
        <v>0</v>
      </c>
      <c r="E14" s="268">
        <v>200</v>
      </c>
      <c r="F14" s="268">
        <f t="shared" si="0"/>
        <v>200</v>
      </c>
    </row>
    <row r="15" spans="1:6" s="239" customFormat="1" ht="36" customHeight="1">
      <c r="A15" s="262">
        <v>11</v>
      </c>
      <c r="B15" s="266" t="s">
        <v>524</v>
      </c>
      <c r="C15" s="132" t="s">
        <v>523</v>
      </c>
      <c r="D15" s="268">
        <v>0</v>
      </c>
      <c r="E15" s="268">
        <v>200</v>
      </c>
      <c r="F15" s="268">
        <f t="shared" si="0"/>
        <v>200</v>
      </c>
    </row>
    <row r="16" spans="1:6" s="239" customFormat="1" ht="36" customHeight="1">
      <c r="A16" s="262">
        <v>12</v>
      </c>
      <c r="B16" s="266" t="s">
        <v>489</v>
      </c>
      <c r="C16" s="132" t="s">
        <v>560</v>
      </c>
      <c r="D16" s="268">
        <v>0</v>
      </c>
      <c r="E16" s="268">
        <v>107.12</v>
      </c>
      <c r="F16" s="268">
        <f t="shared" si="0"/>
        <v>107.12</v>
      </c>
    </row>
    <row r="17" spans="1:6" s="239" customFormat="1" ht="36" customHeight="1">
      <c r="A17" s="262">
        <v>13</v>
      </c>
      <c r="B17" s="266" t="s">
        <v>576</v>
      </c>
      <c r="C17" s="132" t="s">
        <v>523</v>
      </c>
      <c r="D17" s="268">
        <v>0</v>
      </c>
      <c r="E17" s="268">
        <v>100</v>
      </c>
      <c r="F17" s="268">
        <f t="shared" si="0"/>
        <v>100</v>
      </c>
    </row>
    <row r="18" spans="1:6" s="239" customFormat="1" ht="36" customHeight="1">
      <c r="A18" s="262">
        <v>14</v>
      </c>
      <c r="B18" s="266" t="s">
        <v>423</v>
      </c>
      <c r="C18" s="132" t="s">
        <v>523</v>
      </c>
      <c r="D18" s="268">
        <v>0</v>
      </c>
      <c r="E18" s="268">
        <v>100</v>
      </c>
      <c r="F18" s="268">
        <f t="shared" si="0"/>
        <v>100</v>
      </c>
    </row>
    <row r="19" spans="1:6" s="239" customFormat="1" ht="36" customHeight="1">
      <c r="A19" s="262">
        <v>15</v>
      </c>
      <c r="B19" s="266" t="s">
        <v>483</v>
      </c>
      <c r="C19" s="132" t="s">
        <v>559</v>
      </c>
      <c r="D19" s="268">
        <v>0</v>
      </c>
      <c r="E19" s="268">
        <v>60</v>
      </c>
      <c r="F19" s="268">
        <f t="shared" si="0"/>
        <v>60</v>
      </c>
    </row>
    <row r="20" spans="1:6" s="239" customFormat="1" ht="36" customHeight="1">
      <c r="A20" s="262">
        <v>16</v>
      </c>
      <c r="B20" s="266" t="s">
        <v>525</v>
      </c>
      <c r="C20" s="132" t="s">
        <v>517</v>
      </c>
      <c r="D20" s="268">
        <v>0</v>
      </c>
      <c r="E20" s="268">
        <v>50</v>
      </c>
      <c r="F20" s="268">
        <f t="shared" si="0"/>
        <v>50</v>
      </c>
    </row>
    <row r="21" spans="1:6" s="239" customFormat="1" ht="27">
      <c r="A21" s="262">
        <v>17</v>
      </c>
      <c r="B21" s="269" t="s">
        <v>563</v>
      </c>
      <c r="C21" s="270" t="s">
        <v>528</v>
      </c>
      <c r="D21" s="268">
        <v>0</v>
      </c>
      <c r="E21" s="268">
        <v>46</v>
      </c>
      <c r="F21" s="268">
        <f t="shared" si="0"/>
        <v>46</v>
      </c>
    </row>
    <row r="22" spans="1:6" s="239" customFormat="1" ht="27">
      <c r="A22" s="262">
        <v>18</v>
      </c>
      <c r="B22" s="269" t="s">
        <v>490</v>
      </c>
      <c r="C22" s="270" t="s">
        <v>491</v>
      </c>
      <c r="D22" s="268">
        <v>470</v>
      </c>
      <c r="E22" s="268">
        <v>45</v>
      </c>
      <c r="F22" s="268">
        <f t="shared" si="0"/>
        <v>515</v>
      </c>
    </row>
    <row r="23" spans="1:6" s="239" customFormat="1" ht="36" customHeight="1">
      <c r="A23" s="262">
        <v>19</v>
      </c>
      <c r="B23" s="266" t="s">
        <v>526</v>
      </c>
      <c r="C23" s="132" t="s">
        <v>527</v>
      </c>
      <c r="D23" s="268">
        <v>50</v>
      </c>
      <c r="E23" s="268">
        <v>30</v>
      </c>
      <c r="F23" s="268">
        <f t="shared" si="0"/>
        <v>80</v>
      </c>
    </row>
    <row r="24" spans="1:6" s="239" customFormat="1" ht="36" customHeight="1">
      <c r="A24" s="262">
        <v>20</v>
      </c>
      <c r="B24" s="266" t="s">
        <v>424</v>
      </c>
      <c r="C24" s="132" t="s">
        <v>523</v>
      </c>
      <c r="D24" s="268">
        <v>0</v>
      </c>
      <c r="E24" s="268">
        <v>30</v>
      </c>
      <c r="F24" s="268">
        <f t="shared" si="0"/>
        <v>30</v>
      </c>
    </row>
    <row r="25" spans="1:6" s="239" customFormat="1" ht="27">
      <c r="A25" s="262">
        <v>21</v>
      </c>
      <c r="B25" s="269" t="s">
        <v>492</v>
      </c>
      <c r="C25" s="271" t="s">
        <v>528</v>
      </c>
      <c r="D25" s="268">
        <v>70</v>
      </c>
      <c r="E25" s="268">
        <v>29</v>
      </c>
      <c r="F25" s="268">
        <f t="shared" si="0"/>
        <v>99</v>
      </c>
    </row>
    <row r="26" spans="1:6" s="239" customFormat="1" ht="36" customHeight="1">
      <c r="A26" s="262">
        <v>22</v>
      </c>
      <c r="B26" s="266" t="s">
        <v>493</v>
      </c>
      <c r="C26" s="132" t="s">
        <v>494</v>
      </c>
      <c r="D26" s="268">
        <v>0</v>
      </c>
      <c r="E26" s="268">
        <v>27</v>
      </c>
      <c r="F26" s="268">
        <f t="shared" si="0"/>
        <v>27</v>
      </c>
    </row>
    <row r="27" spans="1:6" s="239" customFormat="1" ht="36" customHeight="1">
      <c r="A27" s="262">
        <v>23</v>
      </c>
      <c r="B27" s="266" t="s">
        <v>402</v>
      </c>
      <c r="C27" s="132" t="s">
        <v>555</v>
      </c>
      <c r="D27" s="268">
        <v>0</v>
      </c>
      <c r="E27" s="268">
        <v>20</v>
      </c>
      <c r="F27" s="268">
        <f t="shared" si="0"/>
        <v>20</v>
      </c>
    </row>
    <row r="28" spans="1:6" customFormat="1" ht="29.25" customHeight="1">
      <c r="A28" s="262">
        <v>24</v>
      </c>
      <c r="B28" s="275" t="s">
        <v>546</v>
      </c>
      <c r="C28" s="276" t="s">
        <v>547</v>
      </c>
      <c r="D28" s="268">
        <v>35514.9</v>
      </c>
      <c r="E28" s="268">
        <f>-5157.44</f>
        <v>-5157.4399999999996</v>
      </c>
      <c r="F28" s="268">
        <f t="shared" si="0"/>
        <v>30357.460000000003</v>
      </c>
    </row>
    <row r="29" spans="1:6" s="239" customFormat="1" ht="36" customHeight="1">
      <c r="A29" s="262">
        <v>25</v>
      </c>
      <c r="B29" s="266" t="s">
        <v>548</v>
      </c>
      <c r="C29" s="132" t="s">
        <v>488</v>
      </c>
      <c r="D29" s="268">
        <v>10000</v>
      </c>
      <c r="E29" s="268">
        <v>-5000</v>
      </c>
      <c r="F29" s="268">
        <f t="shared" si="0"/>
        <v>5000</v>
      </c>
    </row>
    <row r="30" spans="1:6" s="239" customFormat="1" ht="36" customHeight="1">
      <c r="A30" s="262">
        <v>26</v>
      </c>
      <c r="B30" s="266" t="s">
        <v>495</v>
      </c>
      <c r="C30" s="132" t="s">
        <v>529</v>
      </c>
      <c r="D30" s="268">
        <v>3000</v>
      </c>
      <c r="E30" s="268">
        <v>-2000</v>
      </c>
      <c r="F30" s="268">
        <f t="shared" si="0"/>
        <v>1000</v>
      </c>
    </row>
    <row r="31" spans="1:6" s="239" customFormat="1" ht="36" customHeight="1">
      <c r="A31" s="262">
        <v>27</v>
      </c>
      <c r="B31" s="266" t="s">
        <v>530</v>
      </c>
      <c r="C31" s="132" t="s">
        <v>531</v>
      </c>
      <c r="D31" s="268">
        <v>2091.33</v>
      </c>
      <c r="E31" s="268">
        <v>-1249.51</v>
      </c>
      <c r="F31" s="268">
        <f t="shared" si="0"/>
        <v>841.81999999999994</v>
      </c>
    </row>
    <row r="32" spans="1:6" customFormat="1" ht="54">
      <c r="A32" s="262">
        <v>28</v>
      </c>
      <c r="B32" s="269" t="s">
        <v>425</v>
      </c>
      <c r="C32" s="271" t="s">
        <v>562</v>
      </c>
      <c r="D32" s="268">
        <v>816.53959999999995</v>
      </c>
      <c r="E32" s="268">
        <v>-814.70659999999998</v>
      </c>
      <c r="F32" s="268">
        <f t="shared" si="0"/>
        <v>1.83299999999997</v>
      </c>
    </row>
    <row r="33" spans="1:6" customFormat="1" ht="27">
      <c r="A33" s="262">
        <v>30</v>
      </c>
      <c r="B33" s="269" t="s">
        <v>496</v>
      </c>
      <c r="C33" s="271" t="s">
        <v>532</v>
      </c>
      <c r="D33" s="268">
        <v>4758.0600000000004</v>
      </c>
      <c r="E33" s="268">
        <v>-500</v>
      </c>
      <c r="F33" s="268">
        <f t="shared" si="0"/>
        <v>4258.0600000000004</v>
      </c>
    </row>
    <row r="34" spans="1:6" s="239" customFormat="1" ht="36" customHeight="1">
      <c r="A34" s="262">
        <v>32</v>
      </c>
      <c r="B34" s="266" t="s">
        <v>566</v>
      </c>
      <c r="C34" s="132" t="s">
        <v>567</v>
      </c>
      <c r="D34" s="268">
        <v>2000</v>
      </c>
      <c r="E34" s="268">
        <v>-500</v>
      </c>
      <c r="F34" s="268">
        <f t="shared" si="0"/>
        <v>1500</v>
      </c>
    </row>
    <row r="35" spans="1:6" customFormat="1" ht="27">
      <c r="A35" s="262">
        <v>33</v>
      </c>
      <c r="B35" s="280" t="s">
        <v>497</v>
      </c>
      <c r="C35" s="276" t="s">
        <v>533</v>
      </c>
      <c r="D35" s="277">
        <v>420</v>
      </c>
      <c r="E35" s="281">
        <v>-410</v>
      </c>
      <c r="F35" s="268">
        <f t="shared" ref="F35:F58" si="1">D35+E35</f>
        <v>10</v>
      </c>
    </row>
    <row r="36" spans="1:6" s="239" customFormat="1" ht="36" customHeight="1">
      <c r="A36" s="262">
        <v>34</v>
      </c>
      <c r="B36" s="266" t="s">
        <v>498</v>
      </c>
      <c r="C36" s="132" t="s">
        <v>499</v>
      </c>
      <c r="D36" s="268">
        <v>1000</v>
      </c>
      <c r="E36" s="268">
        <v>-283</v>
      </c>
      <c r="F36" s="268">
        <f t="shared" si="1"/>
        <v>717</v>
      </c>
    </row>
    <row r="37" spans="1:6" customFormat="1" ht="27">
      <c r="A37" s="262">
        <v>36</v>
      </c>
      <c r="B37" s="269" t="s">
        <v>500</v>
      </c>
      <c r="C37" s="271" t="s">
        <v>501</v>
      </c>
      <c r="D37" s="268">
        <v>200</v>
      </c>
      <c r="E37" s="268">
        <v>-200</v>
      </c>
      <c r="F37" s="268">
        <f t="shared" si="1"/>
        <v>0</v>
      </c>
    </row>
    <row r="38" spans="1:6" customFormat="1" ht="27">
      <c r="A38" s="262">
        <v>37</v>
      </c>
      <c r="B38" s="275" t="s">
        <v>545</v>
      </c>
      <c r="C38" s="282" t="s">
        <v>533</v>
      </c>
      <c r="D38" s="277">
        <v>180</v>
      </c>
      <c r="E38" s="279">
        <v>-140</v>
      </c>
      <c r="F38" s="268">
        <f t="shared" si="1"/>
        <v>40</v>
      </c>
    </row>
    <row r="39" spans="1:6" s="239" customFormat="1" ht="36" customHeight="1">
      <c r="A39" s="262">
        <v>38</v>
      </c>
      <c r="B39" s="266" t="s">
        <v>557</v>
      </c>
      <c r="C39" s="132" t="s">
        <v>558</v>
      </c>
      <c r="D39" s="268">
        <v>200</v>
      </c>
      <c r="E39" s="268">
        <v>-137</v>
      </c>
      <c r="F39" s="268">
        <f t="shared" si="1"/>
        <v>63</v>
      </c>
    </row>
    <row r="40" spans="1:6" s="239" customFormat="1" ht="36" customHeight="1">
      <c r="A40" s="262">
        <v>39</v>
      </c>
      <c r="B40" s="266" t="s">
        <v>534</v>
      </c>
      <c r="C40" s="132" t="s">
        <v>502</v>
      </c>
      <c r="D40" s="268">
        <v>100</v>
      </c>
      <c r="E40" s="268">
        <v>-100</v>
      </c>
      <c r="F40" s="268">
        <f t="shared" si="1"/>
        <v>0</v>
      </c>
    </row>
    <row r="41" spans="1:6" s="239" customFormat="1" ht="36" customHeight="1">
      <c r="A41" s="262">
        <v>40</v>
      </c>
      <c r="B41" s="266" t="s">
        <v>568</v>
      </c>
      <c r="C41" s="132" t="s">
        <v>535</v>
      </c>
      <c r="D41" s="268">
        <v>342</v>
      </c>
      <c r="E41" s="268">
        <v>-92</v>
      </c>
      <c r="F41" s="268">
        <f t="shared" si="1"/>
        <v>250</v>
      </c>
    </row>
    <row r="42" spans="1:6" customFormat="1" ht="27">
      <c r="A42" s="262">
        <v>41</v>
      </c>
      <c r="B42" s="272" t="s">
        <v>403</v>
      </c>
      <c r="C42" s="283" t="s">
        <v>499</v>
      </c>
      <c r="D42" s="277">
        <v>185.7</v>
      </c>
      <c r="E42" s="278">
        <v>-90</v>
      </c>
      <c r="F42" s="268">
        <f t="shared" si="1"/>
        <v>95.699999999999989</v>
      </c>
    </row>
    <row r="43" spans="1:6" customFormat="1" ht="14.25">
      <c r="A43" s="262">
        <v>42</v>
      </c>
      <c r="B43" s="272" t="s">
        <v>536</v>
      </c>
      <c r="C43" s="284" t="s">
        <v>503</v>
      </c>
      <c r="D43" s="277">
        <v>120</v>
      </c>
      <c r="E43" s="279">
        <v>-58</v>
      </c>
      <c r="F43" s="268">
        <f t="shared" si="1"/>
        <v>62</v>
      </c>
    </row>
    <row r="44" spans="1:6" customFormat="1" ht="40.5">
      <c r="A44" s="262">
        <v>43</v>
      </c>
      <c r="B44" s="275" t="s">
        <v>577</v>
      </c>
      <c r="C44" s="282" t="s">
        <v>533</v>
      </c>
      <c r="D44" s="277">
        <v>149.108</v>
      </c>
      <c r="E44" s="279">
        <v>-50</v>
      </c>
      <c r="F44" s="268">
        <f t="shared" si="1"/>
        <v>99.108000000000004</v>
      </c>
    </row>
    <row r="45" spans="1:6" s="239" customFormat="1" ht="36" customHeight="1">
      <c r="A45" s="262">
        <v>45</v>
      </c>
      <c r="B45" s="266" t="s">
        <v>426</v>
      </c>
      <c r="C45" s="132" t="s">
        <v>570</v>
      </c>
      <c r="D45" s="268">
        <v>98</v>
      </c>
      <c r="E45" s="268">
        <v>-49.32</v>
      </c>
      <c r="F45" s="268">
        <f t="shared" si="1"/>
        <v>48.68</v>
      </c>
    </row>
    <row r="46" spans="1:6" s="239" customFormat="1" ht="36" customHeight="1">
      <c r="A46" s="262">
        <v>46</v>
      </c>
      <c r="B46" s="266" t="s">
        <v>504</v>
      </c>
      <c r="C46" s="132" t="s">
        <v>569</v>
      </c>
      <c r="D46" s="268">
        <v>60</v>
      </c>
      <c r="E46" s="268">
        <v>-45</v>
      </c>
      <c r="F46" s="268">
        <f t="shared" si="1"/>
        <v>15</v>
      </c>
    </row>
    <row r="47" spans="1:6" customFormat="1" ht="14.25">
      <c r="A47" s="262">
        <v>47</v>
      </c>
      <c r="B47" s="275" t="s">
        <v>537</v>
      </c>
      <c r="C47" s="132" t="s">
        <v>538</v>
      </c>
      <c r="D47" s="277">
        <v>74</v>
      </c>
      <c r="E47" s="279">
        <v>-37.200000000000003</v>
      </c>
      <c r="F47" s="268">
        <f t="shared" si="1"/>
        <v>36.799999999999997</v>
      </c>
    </row>
    <row r="48" spans="1:6" customFormat="1" ht="14.25">
      <c r="A48" s="262">
        <v>48</v>
      </c>
      <c r="B48" s="285" t="s">
        <v>505</v>
      </c>
      <c r="C48" s="132" t="s">
        <v>506</v>
      </c>
      <c r="D48" s="277">
        <v>34</v>
      </c>
      <c r="E48" s="286">
        <v>-34</v>
      </c>
      <c r="F48" s="268">
        <f t="shared" si="1"/>
        <v>0</v>
      </c>
    </row>
    <row r="49" spans="1:6" s="239" customFormat="1" ht="36" customHeight="1">
      <c r="A49" s="262">
        <v>49</v>
      </c>
      <c r="B49" s="266" t="s">
        <v>427</v>
      </c>
      <c r="C49" s="132" t="s">
        <v>571</v>
      </c>
      <c r="D49" s="268">
        <v>50</v>
      </c>
      <c r="E49" s="268">
        <v>-29</v>
      </c>
      <c r="F49" s="268">
        <f t="shared" si="1"/>
        <v>21</v>
      </c>
    </row>
    <row r="50" spans="1:6" s="239" customFormat="1" ht="36" customHeight="1">
      <c r="A50" s="262">
        <v>50</v>
      </c>
      <c r="B50" s="266" t="s">
        <v>572</v>
      </c>
      <c r="C50" s="132" t="s">
        <v>571</v>
      </c>
      <c r="D50" s="268">
        <v>100</v>
      </c>
      <c r="E50" s="268">
        <v>-25</v>
      </c>
      <c r="F50" s="268">
        <f t="shared" si="1"/>
        <v>75</v>
      </c>
    </row>
    <row r="51" spans="1:6" s="239" customFormat="1" ht="36" customHeight="1">
      <c r="A51" s="262">
        <v>51</v>
      </c>
      <c r="B51" s="266" t="s">
        <v>507</v>
      </c>
      <c r="C51" s="132" t="s">
        <v>540</v>
      </c>
      <c r="D51" s="268">
        <v>79.41</v>
      </c>
      <c r="E51" s="268">
        <v>-24.19</v>
      </c>
      <c r="F51" s="268">
        <f t="shared" si="1"/>
        <v>55.22</v>
      </c>
    </row>
    <row r="52" spans="1:6" customFormat="1" ht="27">
      <c r="A52" s="262">
        <v>52</v>
      </c>
      <c r="B52" s="272" t="s">
        <v>508</v>
      </c>
      <c r="C52" s="132" t="s">
        <v>539</v>
      </c>
      <c r="D52" s="277">
        <v>50</v>
      </c>
      <c r="E52" s="279">
        <v>-20</v>
      </c>
      <c r="F52" s="268">
        <f t="shared" si="1"/>
        <v>30</v>
      </c>
    </row>
    <row r="53" spans="1:6" customFormat="1" ht="33.75" customHeight="1">
      <c r="A53" s="262">
        <v>53</v>
      </c>
      <c r="B53" s="272" t="s">
        <v>541</v>
      </c>
      <c r="C53" s="132" t="s">
        <v>542</v>
      </c>
      <c r="D53" s="277">
        <v>131</v>
      </c>
      <c r="E53" s="287">
        <v>-20</v>
      </c>
      <c r="F53" s="268">
        <f t="shared" si="1"/>
        <v>111</v>
      </c>
    </row>
    <row r="54" spans="1:6" s="239" customFormat="1" ht="36" customHeight="1">
      <c r="A54" s="262">
        <v>54</v>
      </c>
      <c r="B54" s="266" t="s">
        <v>573</v>
      </c>
      <c r="C54" s="132" t="s">
        <v>533</v>
      </c>
      <c r="D54" s="268">
        <v>20</v>
      </c>
      <c r="E54" s="268">
        <v>-20</v>
      </c>
      <c r="F54" s="268">
        <f t="shared" si="1"/>
        <v>0</v>
      </c>
    </row>
    <row r="55" spans="1:6" s="239" customFormat="1" ht="36" customHeight="1">
      <c r="A55" s="262">
        <v>55</v>
      </c>
      <c r="B55" s="266" t="s">
        <v>509</v>
      </c>
      <c r="C55" s="132" t="s">
        <v>486</v>
      </c>
      <c r="D55" s="268">
        <v>20</v>
      </c>
      <c r="E55" s="268">
        <v>-19.75</v>
      </c>
      <c r="F55" s="268">
        <f t="shared" si="1"/>
        <v>0.25</v>
      </c>
    </row>
    <row r="56" spans="1:6" s="239" customFormat="1" ht="36" customHeight="1">
      <c r="A56" s="262">
        <v>56</v>
      </c>
      <c r="B56" s="266" t="s">
        <v>543</v>
      </c>
      <c r="C56" s="132" t="s">
        <v>574</v>
      </c>
      <c r="D56" s="268">
        <v>15</v>
      </c>
      <c r="E56" s="268">
        <v>-15</v>
      </c>
      <c r="F56" s="268">
        <f t="shared" si="1"/>
        <v>0</v>
      </c>
    </row>
    <row r="57" spans="1:6" s="239" customFormat="1" ht="36" customHeight="1">
      <c r="A57" s="262">
        <v>57</v>
      </c>
      <c r="B57" s="266" t="s">
        <v>575</v>
      </c>
      <c r="C57" s="132" t="s">
        <v>544</v>
      </c>
      <c r="D57" s="268">
        <v>15</v>
      </c>
      <c r="E57" s="268">
        <v>-15</v>
      </c>
      <c r="F57" s="268">
        <f t="shared" si="1"/>
        <v>0</v>
      </c>
    </row>
    <row r="58" spans="1:6" s="239" customFormat="1" ht="36" customHeight="1">
      <c r="A58" s="262">
        <v>58</v>
      </c>
      <c r="B58" s="266" t="s">
        <v>556</v>
      </c>
      <c r="C58" s="132" t="s">
        <v>544</v>
      </c>
      <c r="D58" s="268">
        <v>5</v>
      </c>
      <c r="E58" s="268">
        <v>-5</v>
      </c>
      <c r="F58" s="268">
        <f t="shared" si="1"/>
        <v>0</v>
      </c>
    </row>
  </sheetData>
  <sortState ref="A4:G62">
    <sortCondition descending="1" ref="E5"/>
  </sortState>
  <mergeCells count="1">
    <mergeCell ref="A1:F1"/>
  </mergeCells>
  <phoneticPr fontId="2" type="noConversion"/>
  <pageMargins left="0.70866141732283472" right="0.70866141732283472" top="0.59055118110236227" bottom="0.78740157480314965" header="0.31496062992125984" footer="0.59055118110236227"/>
  <pageSetup paperSize="9" scale="79" fitToHeight="10" orientation="portrait" verticalDpi="0" r:id="rId1"/>
  <headerFooter>
    <oddFooter>第 &amp;P 页，共 &amp;N 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F53"/>
  <sheetViews>
    <sheetView topLeftCell="B1" zoomScaleSheetLayoutView="90" workbookViewId="0">
      <selection activeCell="F18" sqref="F18:F23"/>
    </sheetView>
  </sheetViews>
  <sheetFormatPr defaultRowHeight="14.25"/>
  <cols>
    <col min="1" max="1" width="7.5" customWidth="1"/>
    <col min="2" max="2" width="11.75" customWidth="1"/>
    <col min="3" max="3" width="34.75" customWidth="1"/>
    <col min="4" max="4" width="15.125" customWidth="1"/>
    <col min="5" max="5" width="18.75" customWidth="1"/>
    <col min="6" max="6" width="18.125" customWidth="1"/>
  </cols>
  <sheetData>
    <row r="1" spans="1:6" s="29" customFormat="1" ht="14.25" customHeight="1">
      <c r="A1" s="313" t="s">
        <v>351</v>
      </c>
      <c r="B1" s="313"/>
      <c r="C1" s="313"/>
      <c r="D1" s="313"/>
      <c r="E1" s="313"/>
      <c r="F1" s="313"/>
    </row>
    <row r="2" spans="1:6" s="29" customFormat="1" ht="14.25" customHeight="1">
      <c r="A2" s="313"/>
      <c r="B2" s="313"/>
      <c r="C2" s="313"/>
      <c r="D2" s="313"/>
      <c r="E2" s="313"/>
      <c r="F2" s="313"/>
    </row>
    <row r="3" spans="1:6" s="29" customFormat="1" ht="20.25">
      <c r="A3" s="27"/>
      <c r="B3" s="27"/>
      <c r="C3" s="28"/>
      <c r="D3" s="28"/>
      <c r="E3" s="28"/>
      <c r="F3" s="134" t="s">
        <v>338</v>
      </c>
    </row>
    <row r="4" spans="1:6" s="29" customFormat="1">
      <c r="A4" s="314" t="s">
        <v>339</v>
      </c>
      <c r="B4" s="316" t="s">
        <v>340</v>
      </c>
      <c r="C4" s="314" t="s">
        <v>341</v>
      </c>
      <c r="D4" s="314" t="s">
        <v>342</v>
      </c>
      <c r="E4" s="314" t="s">
        <v>343</v>
      </c>
      <c r="F4" s="315" t="s">
        <v>344</v>
      </c>
    </row>
    <row r="5" spans="1:6" s="29" customFormat="1">
      <c r="A5" s="314"/>
      <c r="B5" s="317"/>
      <c r="C5" s="314"/>
      <c r="D5" s="314"/>
      <c r="E5" s="314"/>
      <c r="F5" s="315"/>
    </row>
    <row r="6" spans="1:6" s="30" customFormat="1" ht="30" customHeight="1">
      <c r="A6" s="310" t="s">
        <v>345</v>
      </c>
      <c r="B6" s="311"/>
      <c r="C6" s="312"/>
      <c r="D6" s="133"/>
      <c r="E6" s="133"/>
      <c r="F6" s="197">
        <f>F7+F8+F9+F10</f>
        <v>0</v>
      </c>
    </row>
    <row r="7" spans="1:6" s="31" customFormat="1" ht="30" customHeight="1">
      <c r="A7" s="132">
        <v>1</v>
      </c>
      <c r="B7" s="132">
        <v>2018</v>
      </c>
      <c r="C7" s="183" t="s">
        <v>346</v>
      </c>
      <c r="D7" s="184" t="s">
        <v>347</v>
      </c>
      <c r="E7" s="184" t="s">
        <v>396</v>
      </c>
      <c r="F7" s="185">
        <v>3500</v>
      </c>
    </row>
    <row r="8" spans="1:6" s="29" customFormat="1" ht="30" customHeight="1">
      <c r="A8" s="132">
        <v>2</v>
      </c>
      <c r="B8" s="132">
        <v>2018</v>
      </c>
      <c r="C8" s="183" t="s">
        <v>348</v>
      </c>
      <c r="D8" s="184" t="s">
        <v>347</v>
      </c>
      <c r="E8" s="184" t="s">
        <v>396</v>
      </c>
      <c r="F8" s="185">
        <v>1500</v>
      </c>
    </row>
    <row r="9" spans="1:6" s="29" customFormat="1" ht="30" customHeight="1">
      <c r="A9" s="132">
        <v>3</v>
      </c>
      <c r="B9" s="132">
        <v>2018</v>
      </c>
      <c r="C9" s="183" t="s">
        <v>349</v>
      </c>
      <c r="D9" s="184" t="s">
        <v>347</v>
      </c>
      <c r="E9" s="184" t="s">
        <v>396</v>
      </c>
      <c r="F9" s="185">
        <v>1500</v>
      </c>
    </row>
    <row r="10" spans="1:6" s="29" customFormat="1" ht="30" customHeight="1">
      <c r="A10" s="132">
        <v>4</v>
      </c>
      <c r="B10" s="132">
        <v>2018</v>
      </c>
      <c r="C10" s="183" t="s">
        <v>350</v>
      </c>
      <c r="D10" s="184" t="s">
        <v>347</v>
      </c>
      <c r="E10" s="184" t="s">
        <v>396</v>
      </c>
      <c r="F10" s="185">
        <v>-6500</v>
      </c>
    </row>
    <row r="11" spans="1:6" s="30" customFormat="1" ht="30" customHeight="1">
      <c r="A11" s="310" t="s">
        <v>419</v>
      </c>
      <c r="B11" s="311"/>
      <c r="C11" s="312"/>
      <c r="D11" s="186"/>
      <c r="E11" s="186"/>
      <c r="F11" s="196">
        <v>227811</v>
      </c>
    </row>
    <row r="12" spans="1:6" s="30" customFormat="1" ht="30" customHeight="1">
      <c r="A12" s="132">
        <v>1</v>
      </c>
      <c r="B12" s="132">
        <v>2020</v>
      </c>
      <c r="C12" s="187" t="s">
        <v>352</v>
      </c>
      <c r="D12" s="184" t="s">
        <v>347</v>
      </c>
      <c r="E12" s="184" t="s">
        <v>354</v>
      </c>
      <c r="F12" s="185">
        <v>6000</v>
      </c>
    </row>
    <row r="13" spans="1:6" s="30" customFormat="1" ht="30" customHeight="1">
      <c r="A13" s="132">
        <v>2</v>
      </c>
      <c r="B13" s="132">
        <v>2020</v>
      </c>
      <c r="C13" s="187" t="s">
        <v>353</v>
      </c>
      <c r="D13" s="184" t="s">
        <v>347</v>
      </c>
      <c r="E13" s="184" t="s">
        <v>354</v>
      </c>
      <c r="F13" s="190">
        <v>5500</v>
      </c>
    </row>
    <row r="14" spans="1:6" s="30" customFormat="1" ht="30" customHeight="1">
      <c r="A14" s="132">
        <v>3</v>
      </c>
      <c r="B14" s="132">
        <v>2020</v>
      </c>
      <c r="C14" s="191" t="s">
        <v>358</v>
      </c>
      <c r="D14" s="184" t="s">
        <v>347</v>
      </c>
      <c r="E14" s="184" t="s">
        <v>354</v>
      </c>
      <c r="F14" s="192">
        <v>5800</v>
      </c>
    </row>
    <row r="15" spans="1:6" s="30" customFormat="1" ht="30" customHeight="1">
      <c r="A15" s="132">
        <v>4</v>
      </c>
      <c r="B15" s="132">
        <v>2020</v>
      </c>
      <c r="C15" s="191" t="s">
        <v>355</v>
      </c>
      <c r="D15" s="184" t="s">
        <v>347</v>
      </c>
      <c r="E15" s="184" t="s">
        <v>354</v>
      </c>
      <c r="F15" s="192">
        <v>2200</v>
      </c>
    </row>
    <row r="16" spans="1:6" s="31" customFormat="1" ht="30" customHeight="1">
      <c r="A16" s="132">
        <v>5</v>
      </c>
      <c r="B16" s="132">
        <v>2020</v>
      </c>
      <c r="C16" s="191" t="s">
        <v>579</v>
      </c>
      <c r="D16" s="184" t="s">
        <v>347</v>
      </c>
      <c r="E16" s="184" t="s">
        <v>354</v>
      </c>
      <c r="F16" s="192">
        <v>4500</v>
      </c>
    </row>
    <row r="17" spans="1:6" s="31" customFormat="1" ht="30" customHeight="1">
      <c r="A17" s="132">
        <v>6</v>
      </c>
      <c r="B17" s="132">
        <v>2020</v>
      </c>
      <c r="C17" s="191" t="s">
        <v>356</v>
      </c>
      <c r="D17" s="184" t="s">
        <v>347</v>
      </c>
      <c r="E17" s="184" t="s">
        <v>354</v>
      </c>
      <c r="F17" s="192">
        <v>5332</v>
      </c>
    </row>
    <row r="18" spans="1:6" s="31" customFormat="1" ht="30" customHeight="1">
      <c r="A18" s="132">
        <v>7</v>
      </c>
      <c r="B18" s="132">
        <v>2020</v>
      </c>
      <c r="C18" s="191" t="s">
        <v>357</v>
      </c>
      <c r="D18" s="184" t="s">
        <v>347</v>
      </c>
      <c r="E18" s="184" t="s">
        <v>354</v>
      </c>
      <c r="F18" s="192">
        <v>2000</v>
      </c>
    </row>
    <row r="19" spans="1:6" s="29" customFormat="1" ht="30" customHeight="1">
      <c r="A19" s="132">
        <v>8</v>
      </c>
      <c r="B19" s="132">
        <v>2020</v>
      </c>
      <c r="C19" s="191" t="s">
        <v>359</v>
      </c>
      <c r="D19" s="184" t="s">
        <v>347</v>
      </c>
      <c r="E19" s="184" t="s">
        <v>354</v>
      </c>
      <c r="F19" s="192">
        <v>3800</v>
      </c>
    </row>
    <row r="20" spans="1:6" s="29" customFormat="1" ht="30" customHeight="1">
      <c r="A20" s="132">
        <v>9</v>
      </c>
      <c r="B20" s="132">
        <v>2020</v>
      </c>
      <c r="C20" s="191" t="s">
        <v>392</v>
      </c>
      <c r="D20" s="184" t="s">
        <v>347</v>
      </c>
      <c r="E20" s="184" t="s">
        <v>354</v>
      </c>
      <c r="F20" s="192">
        <v>174</v>
      </c>
    </row>
    <row r="21" spans="1:6" s="29" customFormat="1" ht="30" customHeight="1">
      <c r="A21" s="132">
        <v>10</v>
      </c>
      <c r="B21" s="132">
        <v>2020</v>
      </c>
      <c r="C21" s="191" t="s">
        <v>360</v>
      </c>
      <c r="D21" s="184" t="s">
        <v>347</v>
      </c>
      <c r="E21" s="184" t="s">
        <v>362</v>
      </c>
      <c r="F21" s="185">
        <v>5000</v>
      </c>
    </row>
    <row r="22" spans="1:6" s="29" customFormat="1" ht="30" customHeight="1">
      <c r="A22" s="132">
        <v>11</v>
      </c>
      <c r="B22" s="132">
        <v>2020</v>
      </c>
      <c r="C22" s="191" t="s">
        <v>361</v>
      </c>
      <c r="D22" s="184" t="s">
        <v>347</v>
      </c>
      <c r="E22" s="184" t="s">
        <v>362</v>
      </c>
      <c r="F22" s="190">
        <v>3000</v>
      </c>
    </row>
    <row r="23" spans="1:6" s="29" customFormat="1" ht="30" customHeight="1">
      <c r="A23" s="132">
        <v>12</v>
      </c>
      <c r="B23" s="132">
        <v>2020</v>
      </c>
      <c r="C23" s="193" t="s">
        <v>363</v>
      </c>
      <c r="D23" s="184" t="s">
        <v>347</v>
      </c>
      <c r="E23" s="188" t="s">
        <v>377</v>
      </c>
      <c r="F23" s="192">
        <v>4000</v>
      </c>
    </row>
    <row r="24" spans="1:6" s="29" customFormat="1" ht="30" customHeight="1">
      <c r="A24" s="132">
        <v>13</v>
      </c>
      <c r="B24" s="132">
        <v>2020</v>
      </c>
      <c r="C24" s="191" t="s">
        <v>364</v>
      </c>
      <c r="D24" s="184" t="s">
        <v>347</v>
      </c>
      <c r="E24" s="188" t="s">
        <v>377</v>
      </c>
      <c r="F24" s="192">
        <v>10400</v>
      </c>
    </row>
    <row r="25" spans="1:6" s="29" customFormat="1" ht="30" customHeight="1">
      <c r="A25" s="132">
        <v>14</v>
      </c>
      <c r="B25" s="132">
        <v>2020</v>
      </c>
      <c r="C25" s="191" t="s">
        <v>365</v>
      </c>
      <c r="D25" s="184" t="s">
        <v>347</v>
      </c>
      <c r="E25" s="188" t="s">
        <v>377</v>
      </c>
      <c r="F25" s="192">
        <v>17600</v>
      </c>
    </row>
    <row r="26" spans="1:6" s="29" customFormat="1" ht="30" customHeight="1">
      <c r="A26" s="132">
        <v>15</v>
      </c>
      <c r="B26" s="132">
        <v>2020</v>
      </c>
      <c r="C26" s="191" t="s">
        <v>366</v>
      </c>
      <c r="D26" s="184" t="s">
        <v>347</v>
      </c>
      <c r="E26" s="188" t="s">
        <v>377</v>
      </c>
      <c r="F26" s="192">
        <v>12000</v>
      </c>
    </row>
    <row r="27" spans="1:6" s="189" customFormat="1" ht="30" customHeight="1">
      <c r="A27" s="132">
        <v>16</v>
      </c>
      <c r="B27" s="132">
        <v>2020</v>
      </c>
      <c r="C27" s="191" t="s">
        <v>367</v>
      </c>
      <c r="D27" s="184" t="s">
        <v>347</v>
      </c>
      <c r="E27" s="188" t="s">
        <v>377</v>
      </c>
      <c r="F27" s="192">
        <v>1000</v>
      </c>
    </row>
    <row r="28" spans="1:6" ht="30" customHeight="1">
      <c r="A28" s="132">
        <v>17</v>
      </c>
      <c r="B28" s="132">
        <v>2020</v>
      </c>
      <c r="C28" s="191" t="s">
        <v>368</v>
      </c>
      <c r="D28" s="184" t="s">
        <v>347</v>
      </c>
      <c r="E28" s="188" t="s">
        <v>377</v>
      </c>
      <c r="F28" s="192">
        <v>10000</v>
      </c>
    </row>
    <row r="29" spans="1:6" ht="30" customHeight="1">
      <c r="A29" s="132">
        <v>18</v>
      </c>
      <c r="B29" s="132">
        <v>2020</v>
      </c>
      <c r="C29" s="191" t="s">
        <v>369</v>
      </c>
      <c r="D29" s="184" t="s">
        <v>347</v>
      </c>
      <c r="E29" s="188" t="s">
        <v>377</v>
      </c>
      <c r="F29" s="192">
        <v>5000</v>
      </c>
    </row>
    <row r="30" spans="1:6" ht="30" customHeight="1">
      <c r="A30" s="132">
        <v>19</v>
      </c>
      <c r="B30" s="132">
        <v>2020</v>
      </c>
      <c r="C30" s="191" t="s">
        <v>370</v>
      </c>
      <c r="D30" s="184" t="s">
        <v>347</v>
      </c>
      <c r="E30" s="188" t="s">
        <v>377</v>
      </c>
      <c r="F30" s="192">
        <v>6000</v>
      </c>
    </row>
    <row r="31" spans="1:6" ht="30" customHeight="1">
      <c r="A31" s="132">
        <v>20</v>
      </c>
      <c r="B31" s="132">
        <v>2020</v>
      </c>
      <c r="C31" s="191" t="s">
        <v>371</v>
      </c>
      <c r="D31" s="184" t="s">
        <v>347</v>
      </c>
      <c r="E31" s="188" t="s">
        <v>377</v>
      </c>
      <c r="F31" s="192">
        <v>8500</v>
      </c>
    </row>
    <row r="32" spans="1:6" ht="30" customHeight="1">
      <c r="A32" s="132">
        <v>21</v>
      </c>
      <c r="B32" s="132">
        <v>2020</v>
      </c>
      <c r="C32" s="194" t="s">
        <v>372</v>
      </c>
      <c r="D32" s="184" t="s">
        <v>347</v>
      </c>
      <c r="E32" s="188" t="s">
        <v>377</v>
      </c>
      <c r="F32" s="192">
        <v>5000</v>
      </c>
    </row>
    <row r="33" spans="1:6" ht="30" customHeight="1">
      <c r="A33" s="132">
        <v>22</v>
      </c>
      <c r="B33" s="132">
        <v>2020</v>
      </c>
      <c r="C33" s="194" t="s">
        <v>373</v>
      </c>
      <c r="D33" s="184" t="s">
        <v>347</v>
      </c>
      <c r="E33" s="188" t="s">
        <v>377</v>
      </c>
      <c r="F33" s="192">
        <v>1200</v>
      </c>
    </row>
    <row r="34" spans="1:6" ht="30" customHeight="1">
      <c r="A34" s="132">
        <v>23</v>
      </c>
      <c r="B34" s="132">
        <v>2020</v>
      </c>
      <c r="C34" s="194" t="s">
        <v>374</v>
      </c>
      <c r="D34" s="184" t="s">
        <v>347</v>
      </c>
      <c r="E34" s="188" t="s">
        <v>377</v>
      </c>
      <c r="F34" s="192">
        <v>5300</v>
      </c>
    </row>
    <row r="35" spans="1:6" ht="30" customHeight="1">
      <c r="A35" s="132">
        <v>24</v>
      </c>
      <c r="B35" s="132">
        <v>2020</v>
      </c>
      <c r="C35" s="194" t="s">
        <v>375</v>
      </c>
      <c r="D35" s="184" t="s">
        <v>347</v>
      </c>
      <c r="E35" s="188" t="s">
        <v>377</v>
      </c>
      <c r="F35" s="192">
        <v>4700</v>
      </c>
    </row>
    <row r="36" spans="1:6" ht="30" customHeight="1">
      <c r="A36" s="132">
        <v>25</v>
      </c>
      <c r="B36" s="132">
        <v>2020</v>
      </c>
      <c r="C36" s="194" t="s">
        <v>376</v>
      </c>
      <c r="D36" s="184" t="s">
        <v>347</v>
      </c>
      <c r="E36" s="188" t="s">
        <v>377</v>
      </c>
      <c r="F36" s="192">
        <v>20000</v>
      </c>
    </row>
    <row r="37" spans="1:6" ht="30" customHeight="1">
      <c r="A37" s="132">
        <v>26</v>
      </c>
      <c r="B37" s="132">
        <v>2020</v>
      </c>
      <c r="C37" s="194" t="s">
        <v>378</v>
      </c>
      <c r="D37" s="184" t="s">
        <v>347</v>
      </c>
      <c r="E37" s="188" t="s">
        <v>377</v>
      </c>
      <c r="F37" s="192">
        <v>10000</v>
      </c>
    </row>
    <row r="38" spans="1:6" s="29" customFormat="1" ht="30" customHeight="1">
      <c r="A38" s="132">
        <v>27</v>
      </c>
      <c r="B38" s="132">
        <v>2020</v>
      </c>
      <c r="C38" s="194" t="s">
        <v>379</v>
      </c>
      <c r="D38" s="184" t="s">
        <v>347</v>
      </c>
      <c r="E38" s="188" t="s">
        <v>377</v>
      </c>
      <c r="F38" s="192">
        <v>3000</v>
      </c>
    </row>
    <row r="39" spans="1:6" s="189" customFormat="1" ht="30" customHeight="1">
      <c r="A39" s="132">
        <v>28</v>
      </c>
      <c r="B39" s="132">
        <v>2020</v>
      </c>
      <c r="C39" s="194" t="s">
        <v>380</v>
      </c>
      <c r="D39" s="184" t="s">
        <v>347</v>
      </c>
      <c r="E39" s="188" t="s">
        <v>377</v>
      </c>
      <c r="F39" s="192">
        <v>24300</v>
      </c>
    </row>
    <row r="40" spans="1:6" ht="30" customHeight="1">
      <c r="A40" s="132">
        <v>29</v>
      </c>
      <c r="B40" s="132">
        <v>2020</v>
      </c>
      <c r="C40" s="194" t="s">
        <v>381</v>
      </c>
      <c r="D40" s="184" t="s">
        <v>347</v>
      </c>
      <c r="E40" s="188" t="s">
        <v>377</v>
      </c>
      <c r="F40" s="192">
        <v>3000</v>
      </c>
    </row>
    <row r="41" spans="1:6" ht="30" customHeight="1">
      <c r="A41" s="132">
        <v>30</v>
      </c>
      <c r="B41" s="132">
        <v>2020</v>
      </c>
      <c r="C41" s="194" t="s">
        <v>382</v>
      </c>
      <c r="D41" s="184" t="s">
        <v>347</v>
      </c>
      <c r="E41" s="188" t="s">
        <v>377</v>
      </c>
      <c r="F41" s="192">
        <v>2000</v>
      </c>
    </row>
    <row r="42" spans="1:6" ht="30" customHeight="1">
      <c r="A42" s="132">
        <v>31</v>
      </c>
      <c r="B42" s="132">
        <v>2020</v>
      </c>
      <c r="C42" s="194" t="s">
        <v>383</v>
      </c>
      <c r="D42" s="184" t="s">
        <v>347</v>
      </c>
      <c r="E42" s="188" t="s">
        <v>377</v>
      </c>
      <c r="F42" s="192">
        <v>2000</v>
      </c>
    </row>
    <row r="43" spans="1:6" ht="30" customHeight="1">
      <c r="A43" s="132">
        <v>32</v>
      </c>
      <c r="B43" s="132">
        <v>2020</v>
      </c>
      <c r="C43" s="194" t="s">
        <v>384</v>
      </c>
      <c r="D43" s="184" t="s">
        <v>347</v>
      </c>
      <c r="E43" s="188" t="s">
        <v>377</v>
      </c>
      <c r="F43" s="192">
        <v>1000</v>
      </c>
    </row>
    <row r="44" spans="1:6" ht="30" customHeight="1">
      <c r="A44" s="132">
        <v>33</v>
      </c>
      <c r="B44" s="132">
        <v>2020</v>
      </c>
      <c r="C44" s="194" t="s">
        <v>385</v>
      </c>
      <c r="D44" s="184" t="s">
        <v>347</v>
      </c>
      <c r="E44" s="188" t="s">
        <v>377</v>
      </c>
      <c r="F44" s="192">
        <v>2000</v>
      </c>
    </row>
    <row r="45" spans="1:6" ht="30" customHeight="1">
      <c r="A45" s="132">
        <v>34</v>
      </c>
      <c r="B45" s="132">
        <v>2020</v>
      </c>
      <c r="C45" s="194" t="s">
        <v>386</v>
      </c>
      <c r="D45" s="184" t="s">
        <v>347</v>
      </c>
      <c r="E45" s="188" t="s">
        <v>377</v>
      </c>
      <c r="F45" s="192">
        <v>1000</v>
      </c>
    </row>
    <row r="46" spans="1:6" ht="30" customHeight="1">
      <c r="A46" s="132">
        <v>35</v>
      </c>
      <c r="B46" s="132">
        <v>2020</v>
      </c>
      <c r="C46" s="194" t="s">
        <v>387</v>
      </c>
      <c r="D46" s="184" t="s">
        <v>347</v>
      </c>
      <c r="E46" s="188" t="s">
        <v>377</v>
      </c>
      <c r="F46" s="192">
        <v>3000</v>
      </c>
    </row>
    <row r="47" spans="1:6" s="189" customFormat="1" ht="30" customHeight="1">
      <c r="A47" s="132">
        <v>36</v>
      </c>
      <c r="B47" s="132">
        <v>2020</v>
      </c>
      <c r="C47" s="194" t="s">
        <v>388</v>
      </c>
      <c r="D47" s="184" t="s">
        <v>347</v>
      </c>
      <c r="E47" s="188" t="s">
        <v>377</v>
      </c>
      <c r="F47" s="192">
        <v>3000</v>
      </c>
    </row>
    <row r="48" spans="1:6" ht="30" customHeight="1">
      <c r="A48" s="132">
        <v>37</v>
      </c>
      <c r="B48" s="132">
        <v>2020</v>
      </c>
      <c r="C48" s="194" t="s">
        <v>363</v>
      </c>
      <c r="D48" s="184" t="s">
        <v>347</v>
      </c>
      <c r="E48" s="188" t="s">
        <v>391</v>
      </c>
      <c r="F48" s="195">
        <v>10000</v>
      </c>
    </row>
    <row r="49" spans="1:6" ht="30" customHeight="1">
      <c r="A49" s="132">
        <v>38</v>
      </c>
      <c r="B49" s="132">
        <v>2020</v>
      </c>
      <c r="C49" s="194" t="s">
        <v>389</v>
      </c>
      <c r="D49" s="184" t="s">
        <v>347</v>
      </c>
      <c r="E49" s="188" t="s">
        <v>391</v>
      </c>
      <c r="F49" s="195">
        <v>4105</v>
      </c>
    </row>
    <row r="50" spans="1:6" ht="30" customHeight="1">
      <c r="A50" s="132">
        <v>39</v>
      </c>
      <c r="B50" s="132">
        <v>2020</v>
      </c>
      <c r="C50" s="194" t="s">
        <v>390</v>
      </c>
      <c r="D50" s="184" t="s">
        <v>347</v>
      </c>
      <c r="E50" s="188" t="s">
        <v>391</v>
      </c>
      <c r="F50" s="195">
        <v>5400</v>
      </c>
    </row>
    <row r="51" spans="1:6" ht="30" customHeight="1">
      <c r="A51" s="310" t="s">
        <v>428</v>
      </c>
      <c r="B51" s="311"/>
      <c r="C51" s="311"/>
      <c r="D51" s="312"/>
      <c r="E51" s="188"/>
      <c r="F51" s="196">
        <v>737500</v>
      </c>
    </row>
    <row r="52" spans="1:6" ht="30" customHeight="1">
      <c r="A52" s="132">
        <v>1</v>
      </c>
      <c r="B52" s="132">
        <v>2020</v>
      </c>
      <c r="C52" s="194" t="s">
        <v>394</v>
      </c>
      <c r="D52" s="184" t="s">
        <v>347</v>
      </c>
      <c r="E52" s="188" t="s">
        <v>393</v>
      </c>
      <c r="F52" s="192">
        <v>74530</v>
      </c>
    </row>
    <row r="53" spans="1:6" ht="30" customHeight="1">
      <c r="A53" s="132">
        <v>2</v>
      </c>
      <c r="B53" s="132">
        <v>2020</v>
      </c>
      <c r="C53" s="194" t="s">
        <v>395</v>
      </c>
      <c r="D53" s="184" t="s">
        <v>347</v>
      </c>
      <c r="E53" s="188" t="s">
        <v>393</v>
      </c>
      <c r="F53" s="192">
        <v>662970</v>
      </c>
    </row>
  </sheetData>
  <mergeCells count="10">
    <mergeCell ref="A51:D51"/>
    <mergeCell ref="A11:C11"/>
    <mergeCell ref="A6:C6"/>
    <mergeCell ref="A1:F2"/>
    <mergeCell ref="A4:A5"/>
    <mergeCell ref="C4:C5"/>
    <mergeCell ref="D4:D5"/>
    <mergeCell ref="E4:E5"/>
    <mergeCell ref="F4:F5"/>
    <mergeCell ref="B4:B5"/>
  </mergeCells>
  <phoneticPr fontId="39" type="noConversion"/>
  <dataValidations count="4">
    <dataValidation type="list" allowBlank="1" showInputMessage="1" showErrorMessage="1" sqref="IO16:IO18 IO6:IO7">
      <formula1>"是,否"</formula1>
    </dataValidation>
    <dataValidation type="list" allowBlank="1" showInputMessage="1" showErrorMessage="1" sqref="IL16:IL18 IL6:IL7">
      <formula1>"一般债务,专项债务"</formula1>
    </dataValidation>
    <dataValidation type="list" allowBlank="1" showInputMessage="1" showErrorMessage="1" sqref="IR16:IR18 IR6:IR7">
      <formula1>"第一季度,第二季度,第三季度,第四季度"</formula1>
    </dataValidation>
    <dataValidation type="date" allowBlank="1" showInputMessage="1" showErrorMessage="1" sqref="IS3 IN4:IN5">
      <formula1>36526</formula1>
      <formula2>401767</formula2>
    </dataValidation>
  </dataValidations>
  <pageMargins left="0.70866141732283472" right="0.70866141732283472" top="0.59055118110236227" bottom="0.78740157480314965" header="0.31496062992125984" footer="0.59055118110236227"/>
  <pageSetup paperSize="9" scale="77" orientation="portrait" verticalDpi="0" r:id="rId1"/>
  <headerFooter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5</vt:i4>
      </vt:variant>
    </vt:vector>
  </HeadingPairs>
  <TitlesOfParts>
    <vt:vector size="16" baseType="lpstr">
      <vt:lpstr>JFEQDPS</vt:lpstr>
      <vt:lpstr>(一）汇总</vt:lpstr>
      <vt:lpstr>（二）一般收</vt:lpstr>
      <vt:lpstr>（三）一般支</vt:lpstr>
      <vt:lpstr>（四）基金收</vt:lpstr>
      <vt:lpstr>（五）基金支</vt:lpstr>
      <vt:lpstr>（六）国资收支</vt:lpstr>
      <vt:lpstr>(七)社保收支</vt:lpstr>
      <vt:lpstr>(八）重点项目</vt:lpstr>
      <vt:lpstr>（九）部门经费</vt:lpstr>
      <vt:lpstr>（十）地方政府债券</vt:lpstr>
      <vt:lpstr>'(八）重点项目'!Print_Area</vt:lpstr>
      <vt:lpstr>'(八）重点项目'!Print_Titles</vt:lpstr>
      <vt:lpstr>'（九）部门经费'!Print_Titles</vt:lpstr>
      <vt:lpstr>'（三）一般支'!Print_Titles</vt:lpstr>
      <vt:lpstr>'（十）地方政府债券'!Print_Titles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</dc:creator>
  <cp:lastModifiedBy>lenovo</cp:lastModifiedBy>
  <cp:lastPrinted>2020-10-12T02:36:12Z</cp:lastPrinted>
  <dcterms:created xsi:type="dcterms:W3CDTF">2007-09-26T00:43:50Z</dcterms:created>
  <dcterms:modified xsi:type="dcterms:W3CDTF">2020-10-12T02:39:46Z</dcterms:modified>
</cp:coreProperties>
</file>