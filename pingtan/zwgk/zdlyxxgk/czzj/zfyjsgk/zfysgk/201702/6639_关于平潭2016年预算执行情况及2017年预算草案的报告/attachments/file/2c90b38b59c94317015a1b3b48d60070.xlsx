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J7" i="1"/>
  <c r="H8"/>
  <c r="H7" s="1"/>
  <c r="H9"/>
  <c r="H10"/>
  <c r="H11"/>
  <c r="H12"/>
  <c r="H13"/>
  <c r="H14"/>
  <c r="H15"/>
  <c r="D15" s="1"/>
  <c r="H16"/>
  <c r="H17"/>
  <c r="H18"/>
  <c r="C18"/>
  <c r="B18"/>
  <c r="F18" s="1"/>
  <c r="C17"/>
  <c r="B17"/>
  <c r="B16"/>
  <c r="F16" s="1"/>
  <c r="B15"/>
  <c r="F15" s="1"/>
  <c r="D14"/>
  <c r="B14"/>
  <c r="G14" s="1"/>
  <c r="C13"/>
  <c r="B13"/>
  <c r="B12"/>
  <c r="F12" s="1"/>
  <c r="F11"/>
  <c r="B11"/>
  <c r="C10"/>
  <c r="B10"/>
  <c r="F10" s="1"/>
  <c r="C9"/>
  <c r="C7" s="1"/>
  <c r="B9"/>
  <c r="D8"/>
  <c r="B8"/>
  <c r="F8" s="1"/>
  <c r="E7"/>
  <c r="B7" l="1"/>
  <c r="F7" s="1"/>
  <c r="G8"/>
  <c r="G15"/>
  <c r="D7"/>
  <c r="G7"/>
  <c r="F14"/>
  <c r="G16"/>
</calcChain>
</file>

<file path=xl/sharedStrings.xml><?xml version="1.0" encoding="utf-8"?>
<sst xmlns="http://schemas.openxmlformats.org/spreadsheetml/2006/main" count="34" uniqueCount="28">
  <si>
    <t>年度预算</t>
    <phoneticPr fontId="4" type="noConversion"/>
  </si>
  <si>
    <t>完成数</t>
    <phoneticPr fontId="4" type="noConversion"/>
  </si>
  <si>
    <t>比上年增长(％)</t>
    <phoneticPr fontId="4" type="noConversion"/>
  </si>
  <si>
    <t>预算数</t>
    <phoneticPr fontId="4" type="noConversion"/>
  </si>
  <si>
    <t>比上年预算数增减</t>
    <phoneticPr fontId="4" type="noConversion"/>
  </si>
  <si>
    <t>比上年预算       增长(％)</t>
    <phoneticPr fontId="4" type="noConversion"/>
  </si>
  <si>
    <t>2015年实际完成数</t>
    <phoneticPr fontId="4" type="noConversion"/>
  </si>
  <si>
    <t>__</t>
    <phoneticPr fontId="4" type="noConversion"/>
  </si>
  <si>
    <t xml:space="preserve">  城镇公用事业附加收入</t>
  </si>
  <si>
    <t>单位：万元</t>
    <phoneticPr fontId="1" type="noConversion"/>
  </si>
  <si>
    <t>2017年平潭政府性基金收入预算表</t>
    <phoneticPr fontId="1" type="noConversion"/>
  </si>
  <si>
    <t xml:space="preserve">  土地使用权出让金收入</t>
    <phoneticPr fontId="4" type="noConversion"/>
  </si>
  <si>
    <t xml:space="preserve">  扣减:土地收益金提取的教育资金和农田水利建设资金</t>
    <phoneticPr fontId="4" type="noConversion"/>
  </si>
  <si>
    <t>　农业土地开发资金收入</t>
    <phoneticPr fontId="4" type="noConversion"/>
  </si>
  <si>
    <t xml:space="preserve">  福利彩票公益金收入</t>
    <phoneticPr fontId="4" type="noConversion"/>
  </si>
  <si>
    <t xml:space="preserve">  体育彩票公益金收入</t>
    <phoneticPr fontId="4" type="noConversion"/>
  </si>
  <si>
    <t xml:space="preserve">  政府住房基金收入</t>
    <phoneticPr fontId="4" type="noConversion"/>
  </si>
  <si>
    <t>__</t>
    <phoneticPr fontId="4" type="noConversion"/>
  </si>
  <si>
    <t>转列一般预算</t>
    <phoneticPr fontId="4" type="noConversion"/>
  </si>
  <si>
    <t xml:space="preserve">  城市基础设施配套费</t>
    <phoneticPr fontId="4" type="noConversion"/>
  </si>
  <si>
    <t xml:space="preserve">  污水处理费收入</t>
    <phoneticPr fontId="4" type="noConversion"/>
  </si>
  <si>
    <t xml:space="preserve">  水土保持补偿费收入</t>
    <phoneticPr fontId="4" type="noConversion"/>
  </si>
  <si>
    <t xml:space="preserve">  价格调节基金收入</t>
    <phoneticPr fontId="4" type="noConversion"/>
  </si>
  <si>
    <t>2016.3起停征</t>
    <phoneticPr fontId="4" type="noConversion"/>
  </si>
  <si>
    <r>
      <t>项</t>
    </r>
    <r>
      <rPr>
        <b/>
        <sz val="11"/>
        <rFont val="Times New Roman"/>
        <family val="1"/>
      </rPr>
      <t xml:space="preserve">                     </t>
    </r>
    <r>
      <rPr>
        <b/>
        <sz val="11"/>
        <rFont val="宋体"/>
        <family val="3"/>
        <charset val="134"/>
      </rPr>
      <t>目</t>
    </r>
    <phoneticPr fontId="4" type="noConversion"/>
  </si>
  <si>
    <r>
      <t>2016</t>
    </r>
    <r>
      <rPr>
        <b/>
        <sz val="12"/>
        <rFont val="宋体"/>
        <family val="3"/>
        <charset val="134"/>
      </rPr>
      <t>年收入执行情况</t>
    </r>
    <phoneticPr fontId="4" type="noConversion"/>
  </si>
  <si>
    <r>
      <t>2017</t>
    </r>
    <r>
      <rPr>
        <b/>
        <sz val="12"/>
        <rFont val="宋体"/>
        <family val="3"/>
        <charset val="134"/>
      </rPr>
      <t>年收入预算情况</t>
    </r>
    <phoneticPr fontId="4" type="noConversion"/>
  </si>
  <si>
    <t>政府性基金预算收入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</si>
</sst>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1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sz val="12"/>
      <name val="黑体"/>
      <family val="3"/>
      <charset val="134"/>
    </font>
    <font>
      <b/>
      <sz val="12"/>
      <name val="黑体"/>
      <family val="3"/>
      <charset val="134"/>
    </font>
    <font>
      <b/>
      <sz val="11"/>
      <name val="黑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20"/>
      <color theme="1"/>
      <name val="宋体"/>
      <family val="3"/>
      <charset val="134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4">
    <xf numFmtId="0" fontId="0" fillId="0" borderId="0" xfId="0">
      <alignment vertical="center"/>
    </xf>
    <xf numFmtId="0" fontId="5" fillId="0" borderId="0" xfId="1" applyFont="1" applyFill="1"/>
    <xf numFmtId="0" fontId="6" fillId="0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vertical="center"/>
    </xf>
    <xf numFmtId="0" fontId="8" fillId="3" borderId="3" xfId="1" applyFont="1" applyFill="1" applyBorder="1" applyAlignment="1">
      <alignment horizontal="right"/>
    </xf>
    <xf numFmtId="176" fontId="8" fillId="0" borderId="3" xfId="1" applyNumberFormat="1" applyFont="1" applyFill="1" applyBorder="1" applyAlignment="1">
      <alignment horizontal="right" vertical="center"/>
    </xf>
    <xf numFmtId="0" fontId="9" fillId="0" borderId="3" xfId="1" applyFont="1" applyFill="1" applyBorder="1" applyAlignment="1">
      <alignment vertical="center"/>
    </xf>
    <xf numFmtId="0" fontId="8" fillId="0" borderId="3" xfId="1" applyNumberFormat="1" applyFont="1" applyFill="1" applyBorder="1" applyAlignment="1">
      <alignment horizontal="right" vertical="center"/>
    </xf>
    <xf numFmtId="176" fontId="8" fillId="0" borderId="4" xfId="1" applyNumberFormat="1" applyFont="1" applyFill="1" applyBorder="1" applyAlignment="1">
      <alignment horizontal="right" vertical="center"/>
    </xf>
    <xf numFmtId="0" fontId="10" fillId="0" borderId="3" xfId="1" applyFont="1" applyFill="1" applyBorder="1" applyAlignment="1">
      <alignment vertical="center"/>
    </xf>
    <xf numFmtId="0" fontId="11" fillId="0" borderId="3" xfId="1" applyNumberFormat="1" applyFont="1" applyFill="1" applyBorder="1" applyAlignment="1">
      <alignment horizontal="right" vertical="center"/>
    </xf>
    <xf numFmtId="0" fontId="8" fillId="3" borderId="3" xfId="1" applyFont="1" applyFill="1" applyBorder="1" applyAlignment="1">
      <alignment horizontal="center" vertical="center"/>
    </xf>
    <xf numFmtId="176" fontId="12" fillId="0" borderId="3" xfId="1" applyNumberFormat="1" applyFont="1" applyFill="1" applyBorder="1" applyAlignment="1">
      <alignment horizontal="right" vertical="center"/>
    </xf>
    <xf numFmtId="0" fontId="8" fillId="3" borderId="5" xfId="1" applyFont="1" applyFill="1" applyBorder="1" applyAlignment="1">
      <alignment horizontal="right"/>
    </xf>
    <xf numFmtId="176" fontId="8" fillId="0" borderId="5" xfId="1" applyNumberFormat="1" applyFont="1" applyFill="1" applyBorder="1" applyAlignment="1">
      <alignment horizontal="right" vertical="center"/>
    </xf>
    <xf numFmtId="0" fontId="9" fillId="0" borderId="5" xfId="1" applyFont="1" applyFill="1" applyBorder="1" applyAlignment="1">
      <alignment vertical="center"/>
    </xf>
    <xf numFmtId="0" fontId="6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3" xfId="1" applyNumberFormat="1" applyFont="1" applyFill="1" applyBorder="1" applyAlignment="1" applyProtection="1">
      <alignment horizontal="left" vertical="center"/>
    </xf>
    <xf numFmtId="0" fontId="8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right"/>
    </xf>
    <xf numFmtId="0" fontId="7" fillId="0" borderId="3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right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1" fillId="0" borderId="3" xfId="1" applyFont="1" applyFill="1" applyBorder="1" applyAlignment="1">
      <alignment vertical="center"/>
    </xf>
    <xf numFmtId="0" fontId="8" fillId="0" borderId="5" xfId="1" applyFont="1" applyFill="1" applyBorder="1" applyAlignment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/>
    </xf>
    <xf numFmtId="0" fontId="16" fillId="0" borderId="2" xfId="1" applyFont="1" applyFill="1" applyBorder="1" applyAlignment="1">
      <alignment horizontal="center" vertical="center"/>
    </xf>
    <xf numFmtId="0" fontId="17" fillId="0" borderId="0" xfId="1" applyFont="1" applyFill="1"/>
    <xf numFmtId="0" fontId="14" fillId="0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18" fillId="0" borderId="7" xfId="1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center" vertical="center"/>
    </xf>
    <xf numFmtId="0" fontId="18" fillId="0" borderId="8" xfId="1" applyFont="1" applyFill="1" applyBorder="1" applyAlignment="1">
      <alignment horizontal="center" vertical="center" wrapText="1"/>
    </xf>
    <xf numFmtId="176" fontId="9" fillId="0" borderId="3" xfId="1" applyNumberFormat="1" applyFont="1" applyFill="1" applyBorder="1" applyAlignment="1">
      <alignment horizontal="right" vertical="center"/>
    </xf>
    <xf numFmtId="0" fontId="9" fillId="0" borderId="3" xfId="1" applyNumberFormat="1" applyFont="1" applyFill="1" applyBorder="1" applyAlignment="1">
      <alignment horizontal="right" vertical="center"/>
    </xf>
    <xf numFmtId="176" fontId="9" fillId="0" borderId="4" xfId="1" applyNumberFormat="1" applyFont="1" applyFill="1" applyBorder="1" applyAlignment="1">
      <alignment horizontal="right" vertical="center"/>
    </xf>
  </cellXfs>
  <cellStyles count="2">
    <cellStyle name="?鹎%U龡&amp;H齲_x0001_C铣_x0014__x0007__x0001__x0001_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2017&#39044;&#31639;/2017&#39044;&#31639;&#33609;&#26696;/&#24179;&#28525;2016&#24180;&#39044;&#31639;&#25191;&#34892;&#21450;2017&#24180;&#39044;&#31639;&#33609;&#26696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Sheet1"/>
      <sheetName val="Sheet2"/>
      <sheetName val="Sheet3"/>
      <sheetName val="Sheet4 "/>
      <sheetName val="Sheet5"/>
      <sheetName val="Sheet6"/>
    </sheetNames>
    <sheetDataSet>
      <sheetData sheetId="0"/>
      <sheetData sheetId="1">
        <row r="8">
          <cell r="B8">
            <v>3210</v>
          </cell>
          <cell r="E8">
            <v>6300</v>
          </cell>
        </row>
        <row r="9">
          <cell r="B9">
            <v>9861</v>
          </cell>
          <cell r="E9">
            <v>37300</v>
          </cell>
          <cell r="G9">
            <v>42834</v>
          </cell>
        </row>
        <row r="10">
          <cell r="B10">
            <v>62638</v>
          </cell>
          <cell r="E10">
            <v>33300</v>
          </cell>
          <cell r="G10">
            <v>33275</v>
          </cell>
        </row>
        <row r="11">
          <cell r="B11">
            <v>21768</v>
          </cell>
          <cell r="E11">
            <v>28020</v>
          </cell>
        </row>
        <row r="12">
          <cell r="B12">
            <v>8295</v>
          </cell>
          <cell r="E12">
            <v>10500</v>
          </cell>
        </row>
        <row r="13">
          <cell r="B13">
            <v>67</v>
          </cell>
          <cell r="E13">
            <v>70</v>
          </cell>
          <cell r="G13">
            <v>54</v>
          </cell>
        </row>
        <row r="14">
          <cell r="B14">
            <v>6432</v>
          </cell>
          <cell r="E14">
            <v>8920</v>
          </cell>
        </row>
        <row r="15">
          <cell r="B15">
            <v>1872</v>
          </cell>
          <cell r="E15">
            <v>2115</v>
          </cell>
        </row>
        <row r="16">
          <cell r="B16">
            <v>2296</v>
          </cell>
          <cell r="E16">
            <v>3500</v>
          </cell>
        </row>
        <row r="17">
          <cell r="B17">
            <v>4554</v>
          </cell>
          <cell r="E17">
            <v>5070</v>
          </cell>
          <cell r="G17">
            <v>5720</v>
          </cell>
        </row>
        <row r="18">
          <cell r="B18">
            <v>16199</v>
          </cell>
          <cell r="E18">
            <v>19500</v>
          </cell>
          <cell r="G18">
            <v>25162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D23" sqref="D23"/>
    </sheetView>
  </sheetViews>
  <sheetFormatPr defaultRowHeight="13.5"/>
  <cols>
    <col min="1" max="1" width="25.875" customWidth="1"/>
    <col min="2" max="7" width="12.625" customWidth="1"/>
    <col min="8" max="10" width="0" hidden="1" customWidth="1"/>
  </cols>
  <sheetData>
    <row r="1" spans="1:10">
      <c r="A1" s="28" t="s">
        <v>10</v>
      </c>
      <c r="B1" s="28"/>
      <c r="C1" s="28"/>
      <c r="D1" s="28"/>
      <c r="E1" s="28"/>
      <c r="F1" s="28"/>
      <c r="G1" s="28"/>
    </row>
    <row r="2" spans="1:10">
      <c r="A2" s="28"/>
      <c r="B2" s="28"/>
      <c r="C2" s="28"/>
      <c r="D2" s="28"/>
      <c r="E2" s="28"/>
      <c r="F2" s="28"/>
      <c r="G2" s="28"/>
    </row>
    <row r="3" spans="1:10" ht="14.25" thickBot="1">
      <c r="G3" s="27" t="s">
        <v>9</v>
      </c>
    </row>
    <row r="4" spans="1:10" s="34" customFormat="1" ht="15.75">
      <c r="A4" s="31" t="s">
        <v>24</v>
      </c>
      <c r="B4" s="32" t="s">
        <v>25</v>
      </c>
      <c r="C4" s="32"/>
      <c r="D4" s="32"/>
      <c r="E4" s="32" t="s">
        <v>26</v>
      </c>
      <c r="F4" s="32"/>
      <c r="G4" s="33"/>
    </row>
    <row r="5" spans="1:10" s="34" customFormat="1" ht="12.75" customHeight="1">
      <c r="A5" s="35"/>
      <c r="B5" s="36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37" t="s">
        <v>5</v>
      </c>
      <c r="H5" s="38" t="s">
        <v>6</v>
      </c>
      <c r="J5" s="16" t="s">
        <v>3</v>
      </c>
    </row>
    <row r="6" spans="1:10" s="34" customFormat="1" ht="12.75" customHeight="1">
      <c r="A6" s="35"/>
      <c r="B6" s="39"/>
      <c r="C6" s="35"/>
      <c r="D6" s="2"/>
      <c r="E6" s="2"/>
      <c r="F6" s="2"/>
      <c r="G6" s="37"/>
      <c r="H6" s="40"/>
      <c r="J6" s="17"/>
    </row>
    <row r="7" spans="1:10" s="34" customFormat="1" ht="14.25">
      <c r="A7" s="18" t="s">
        <v>27</v>
      </c>
      <c r="B7" s="6">
        <f>SUM(B8:B18)</f>
        <v>154595</v>
      </c>
      <c r="C7" s="6">
        <f>SUM(C8:C18)</f>
        <v>283892</v>
      </c>
      <c r="D7" s="41">
        <f>(C7/H7-1)*100</f>
        <v>106.93043326141466</v>
      </c>
      <c r="E7" s="6">
        <f>SUM(E8:E18)</f>
        <v>302600</v>
      </c>
      <c r="F7" s="42">
        <f>E7-B7</f>
        <v>148005</v>
      </c>
      <c r="G7" s="43">
        <f>(E7/B7-1)*100</f>
        <v>95.737248940780745</v>
      </c>
      <c r="H7" s="3">
        <f>SUM(H8:H18)</f>
        <v>137192</v>
      </c>
      <c r="J7" s="3">
        <f>SUM(J8:J18)</f>
        <v>302600</v>
      </c>
    </row>
    <row r="8" spans="1:10" s="1" customFormat="1" ht="20.100000000000001" customHeight="1">
      <c r="A8" s="20" t="s">
        <v>11</v>
      </c>
      <c r="B8" s="21">
        <f>[1]Sheet1!E8</f>
        <v>6300</v>
      </c>
      <c r="C8" s="21">
        <v>168468</v>
      </c>
      <c r="D8" s="5">
        <f>(C8/H8-1)*100</f>
        <v>5148.2242990654204</v>
      </c>
      <c r="E8" s="19">
        <v>300000</v>
      </c>
      <c r="F8" s="7">
        <f>E8-B8</f>
        <v>293700</v>
      </c>
      <c r="G8" s="8">
        <f>(E8/B8-1)*100</f>
        <v>4661.9047619047624</v>
      </c>
      <c r="H8" s="4">
        <f>[1]Sheet1!B8</f>
        <v>3210</v>
      </c>
      <c r="J8" s="6">
        <v>300000</v>
      </c>
    </row>
    <row r="9" spans="1:10" s="1" customFormat="1" ht="20.100000000000001" customHeight="1">
      <c r="A9" s="22" t="s">
        <v>12</v>
      </c>
      <c r="B9" s="21">
        <f>[1]Sheet1!E9</f>
        <v>37300</v>
      </c>
      <c r="C9" s="21">
        <f>[1]Sheet1!G9</f>
        <v>42834</v>
      </c>
      <c r="D9" s="5"/>
      <c r="E9" s="29">
        <v>-10000</v>
      </c>
      <c r="F9" s="10"/>
      <c r="G9" s="8"/>
      <c r="H9" s="4">
        <f>[1]Sheet1!B9</f>
        <v>9861</v>
      </c>
      <c r="J9" s="9">
        <v>-10000</v>
      </c>
    </row>
    <row r="10" spans="1:10" s="1" customFormat="1" ht="20.100000000000001" customHeight="1">
      <c r="A10" s="20" t="s">
        <v>13</v>
      </c>
      <c r="B10" s="21">
        <f>[1]Sheet1!E10</f>
        <v>33300</v>
      </c>
      <c r="C10" s="21">
        <f>[1]Sheet1!G10</f>
        <v>33275</v>
      </c>
      <c r="D10" s="5"/>
      <c r="E10" s="19">
        <v>0</v>
      </c>
      <c r="F10" s="7">
        <f>E10-B10</f>
        <v>-33300</v>
      </c>
      <c r="G10" s="8"/>
      <c r="H10" s="4">
        <f>[1]Sheet1!B10</f>
        <v>62638</v>
      </c>
      <c r="J10" s="6">
        <v>0</v>
      </c>
    </row>
    <row r="11" spans="1:10" s="1" customFormat="1" ht="20.100000000000001" customHeight="1">
      <c r="A11" s="20" t="s">
        <v>14</v>
      </c>
      <c r="B11" s="21">
        <f>[1]Sheet1!E11</f>
        <v>28020</v>
      </c>
      <c r="C11" s="21">
        <v>363</v>
      </c>
      <c r="D11" s="5"/>
      <c r="E11" s="19">
        <v>450</v>
      </c>
      <c r="F11" s="7">
        <f>E11-B11</f>
        <v>-27570</v>
      </c>
      <c r="G11" s="8"/>
      <c r="H11" s="4">
        <f>[1]Sheet1!B11</f>
        <v>21768</v>
      </c>
      <c r="J11" s="6">
        <v>600</v>
      </c>
    </row>
    <row r="12" spans="1:10" s="1" customFormat="1" ht="20.100000000000001" customHeight="1">
      <c r="A12" s="20" t="s">
        <v>15</v>
      </c>
      <c r="B12" s="21">
        <f>[1]Sheet1!E12</f>
        <v>10500</v>
      </c>
      <c r="C12" s="21">
        <v>759</v>
      </c>
      <c r="D12" s="5"/>
      <c r="E12" s="19">
        <v>750</v>
      </c>
      <c r="F12" s="7">
        <f>E12-B12</f>
        <v>-9750</v>
      </c>
      <c r="G12" s="8"/>
      <c r="H12" s="4">
        <f>[1]Sheet1!B12</f>
        <v>8295</v>
      </c>
      <c r="J12" s="6">
        <v>700</v>
      </c>
    </row>
    <row r="13" spans="1:10" s="1" customFormat="1" ht="20.100000000000001" customHeight="1">
      <c r="A13" s="20" t="s">
        <v>16</v>
      </c>
      <c r="B13" s="21">
        <f>[1]Sheet1!E13</f>
        <v>70</v>
      </c>
      <c r="C13" s="21">
        <f>[1]Sheet1!G13</f>
        <v>54</v>
      </c>
      <c r="D13" s="5"/>
      <c r="E13" s="23" t="s">
        <v>17</v>
      </c>
      <c r="F13" s="23" t="s">
        <v>17</v>
      </c>
      <c r="G13" s="24" t="s">
        <v>18</v>
      </c>
      <c r="H13" s="4">
        <f>[1]Sheet1!B13</f>
        <v>67</v>
      </c>
      <c r="J13" s="11" t="s">
        <v>7</v>
      </c>
    </row>
    <row r="14" spans="1:10" s="1" customFormat="1" ht="20.100000000000001" customHeight="1">
      <c r="A14" s="20" t="s">
        <v>8</v>
      </c>
      <c r="B14" s="21">
        <f>[1]Sheet1!E14</f>
        <v>8920</v>
      </c>
      <c r="C14" s="21">
        <v>622</v>
      </c>
      <c r="D14" s="5">
        <f>(C14/H14-1)*100</f>
        <v>-90.329601990049753</v>
      </c>
      <c r="E14" s="19">
        <v>600</v>
      </c>
      <c r="F14" s="7">
        <f>E14-B14</f>
        <v>-8320</v>
      </c>
      <c r="G14" s="8">
        <f>(E14/B14-1)*100</f>
        <v>-93.27354260089686</v>
      </c>
      <c r="H14" s="4">
        <f>[1]Sheet1!B14</f>
        <v>6432</v>
      </c>
      <c r="J14" s="6">
        <v>600</v>
      </c>
    </row>
    <row r="15" spans="1:10" s="1" customFormat="1" ht="20.100000000000001" customHeight="1">
      <c r="A15" s="20" t="s">
        <v>19</v>
      </c>
      <c r="B15" s="21">
        <f>[1]Sheet1!E15</f>
        <v>2115</v>
      </c>
      <c r="C15" s="21">
        <v>5645</v>
      </c>
      <c r="D15" s="12">
        <f>(C15/H15-1)*100</f>
        <v>201.54914529914532</v>
      </c>
      <c r="E15" s="19">
        <v>10000</v>
      </c>
      <c r="F15" s="7">
        <f>E15-B15</f>
        <v>7885</v>
      </c>
      <c r="G15" s="8">
        <f>(E15/B15-1)*100</f>
        <v>372.81323877068553</v>
      </c>
      <c r="H15" s="4">
        <f>[1]Sheet1!B15</f>
        <v>1872</v>
      </c>
      <c r="J15" s="6">
        <v>10000</v>
      </c>
    </row>
    <row r="16" spans="1:10" s="1" customFormat="1" ht="20.100000000000001" customHeight="1">
      <c r="A16" s="25" t="s">
        <v>20</v>
      </c>
      <c r="B16" s="26">
        <f>[1]Sheet1!E16</f>
        <v>3500</v>
      </c>
      <c r="C16" s="26">
        <v>990</v>
      </c>
      <c r="D16" s="14"/>
      <c r="E16" s="30">
        <v>800</v>
      </c>
      <c r="F16" s="7">
        <f>E16-B16</f>
        <v>-2700</v>
      </c>
      <c r="G16" s="8">
        <f>(E16/B16-1)*100</f>
        <v>-77.142857142857153</v>
      </c>
      <c r="H16" s="13">
        <f>[1]Sheet1!B16</f>
        <v>2296</v>
      </c>
      <c r="J16" s="15">
        <v>700</v>
      </c>
    </row>
    <row r="17" spans="1:10" s="1" customFormat="1" ht="20.100000000000001" customHeight="1">
      <c r="A17" s="20" t="s">
        <v>21</v>
      </c>
      <c r="B17" s="21">
        <f>[1]Sheet1!E17</f>
        <v>5070</v>
      </c>
      <c r="C17" s="21">
        <f>[1]Sheet1!G17</f>
        <v>5720</v>
      </c>
      <c r="D17" s="5"/>
      <c r="E17" s="23" t="s">
        <v>17</v>
      </c>
      <c r="F17" s="23" t="s">
        <v>17</v>
      </c>
      <c r="G17" s="24" t="s">
        <v>18</v>
      </c>
      <c r="H17" s="4">
        <f>[1]Sheet1!B17</f>
        <v>4554</v>
      </c>
      <c r="J17" s="11" t="s">
        <v>7</v>
      </c>
    </row>
    <row r="18" spans="1:10" s="1" customFormat="1" ht="20.100000000000001" customHeight="1">
      <c r="A18" s="20" t="s">
        <v>22</v>
      </c>
      <c r="B18" s="21">
        <f>[1]Sheet1!E18</f>
        <v>19500</v>
      </c>
      <c r="C18" s="21">
        <f>[1]Sheet1!G18</f>
        <v>25162</v>
      </c>
      <c r="D18" s="5"/>
      <c r="E18" s="19">
        <v>0</v>
      </c>
      <c r="F18" s="7">
        <f>E18-B18</f>
        <v>-19500</v>
      </c>
      <c r="G18" s="24" t="s">
        <v>23</v>
      </c>
      <c r="H18" s="4">
        <f>[1]Sheet1!B18</f>
        <v>16199</v>
      </c>
      <c r="J18" s="6">
        <v>0</v>
      </c>
    </row>
  </sheetData>
  <protectedRanges>
    <protectedRange password="CF6E" sqref="H8:H18" name="区域1_3"/>
    <protectedRange password="CF6E" sqref="J7" name="区域1_1"/>
    <protectedRange password="CF6E" sqref="J13 J17" name="区域1_3_1"/>
    <protectedRange password="CF6E" sqref="E7" name="区域1_4"/>
    <protectedRange password="CF6E" sqref="C8:C18" name="区域1_1_3"/>
    <protectedRange password="CF6E" sqref="B8:B18" name="区域1_3_3"/>
    <protectedRange password="CF6E" sqref="E13:G13 E17:G17 G18" name="区域1_3_1_1"/>
  </protectedRanges>
  <mergeCells count="12">
    <mergeCell ref="H5:H6"/>
    <mergeCell ref="J5:J6"/>
    <mergeCell ref="A1:G2"/>
    <mergeCell ref="A4:A6"/>
    <mergeCell ref="B4:D4"/>
    <mergeCell ref="E4:G4"/>
    <mergeCell ref="B5:B6"/>
    <mergeCell ref="C5:C6"/>
    <mergeCell ref="D5:D6"/>
    <mergeCell ref="E5:E6"/>
    <mergeCell ref="F5:F6"/>
    <mergeCell ref="G5:G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2017-02-04T03:47:14Z</dcterms:modified>
</cp:coreProperties>
</file>