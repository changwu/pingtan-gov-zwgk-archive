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F44" i="1"/>
  <c r="E44"/>
  <c r="C44"/>
  <c r="B44"/>
  <c r="E40"/>
  <c r="C40"/>
  <c r="B40"/>
  <c r="F36"/>
  <c r="E36"/>
  <c r="C36"/>
  <c r="B36"/>
  <c r="C29"/>
  <c r="B23"/>
  <c r="C18"/>
  <c r="C12" s="1"/>
  <c r="B18"/>
  <c r="F15"/>
  <c r="F9" s="1"/>
  <c r="F31" s="1"/>
  <c r="C13"/>
  <c r="B13"/>
  <c r="B12"/>
  <c r="C11"/>
  <c r="B11"/>
  <c r="C10"/>
  <c r="B10"/>
  <c r="B9" s="1"/>
  <c r="B31" s="1"/>
  <c r="E9"/>
  <c r="E31" s="1"/>
  <c r="C9"/>
  <c r="C31" l="1"/>
</calcChain>
</file>

<file path=xl/sharedStrings.xml><?xml version="1.0" encoding="utf-8"?>
<sst xmlns="http://schemas.openxmlformats.org/spreadsheetml/2006/main" count="71" uniqueCount="68">
  <si>
    <t>收        入</t>
    <phoneticPr fontId="4" type="noConversion"/>
  </si>
  <si>
    <t>支         出</t>
    <phoneticPr fontId="4" type="noConversion"/>
  </si>
  <si>
    <t>项目</t>
    <phoneticPr fontId="4" type="noConversion"/>
  </si>
  <si>
    <t>2017年预算</t>
    <phoneticPr fontId="4" type="noConversion"/>
  </si>
  <si>
    <t>2016年预算</t>
    <phoneticPr fontId="4" type="noConversion"/>
  </si>
  <si>
    <t>一般公共预算部分</t>
    <phoneticPr fontId="4" type="noConversion"/>
  </si>
  <si>
    <t>(一)一般公共预算收入</t>
    <phoneticPr fontId="4" type="noConversion"/>
  </si>
  <si>
    <t>(一)一般公共预算支出</t>
    <phoneticPr fontId="4" type="noConversion"/>
  </si>
  <si>
    <t xml:space="preserve">  税收收入</t>
    <phoneticPr fontId="4" type="noConversion"/>
  </si>
  <si>
    <t xml:space="preserve">  工资福利支出</t>
    <phoneticPr fontId="4" type="noConversion"/>
  </si>
  <si>
    <t xml:space="preserve">  非税收入</t>
    <phoneticPr fontId="4" type="noConversion"/>
  </si>
  <si>
    <t xml:space="preserve">  商品和服务支出</t>
    <phoneticPr fontId="4" type="noConversion"/>
  </si>
  <si>
    <t>(二)上级财力性转移补助收入</t>
    <phoneticPr fontId="4" type="noConversion"/>
  </si>
  <si>
    <t xml:space="preserve">  对个人和家庭的补助</t>
    <phoneticPr fontId="4" type="noConversion"/>
  </si>
  <si>
    <t>1.返还性收入</t>
    <phoneticPr fontId="4" type="noConversion"/>
  </si>
  <si>
    <t xml:space="preserve">  对企事业单位的补助</t>
    <phoneticPr fontId="4" type="noConversion"/>
  </si>
  <si>
    <t xml:space="preserve">  增值税、消费税返还收入</t>
    <phoneticPr fontId="4" type="noConversion"/>
  </si>
  <si>
    <t xml:space="preserve">  债务利息支出</t>
    <phoneticPr fontId="4" type="noConversion"/>
  </si>
  <si>
    <t xml:space="preserve">  所得税基数返还收入</t>
    <phoneticPr fontId="4" type="noConversion"/>
  </si>
  <si>
    <t xml:space="preserve">  基本建设支出</t>
    <phoneticPr fontId="4" type="noConversion"/>
  </si>
  <si>
    <t xml:space="preserve">  车辆燃油税改革返还收入</t>
    <phoneticPr fontId="4" type="noConversion"/>
  </si>
  <si>
    <t xml:space="preserve">  其他资本性支出</t>
    <phoneticPr fontId="4" type="noConversion"/>
  </si>
  <si>
    <t xml:space="preserve">  营改增税收返还基数</t>
    <phoneticPr fontId="4" type="noConversion"/>
  </si>
  <si>
    <t xml:space="preserve">  其他支出</t>
    <phoneticPr fontId="4" type="noConversion"/>
  </si>
  <si>
    <t>2.一般转移支付补助</t>
    <phoneticPr fontId="4" type="noConversion"/>
  </si>
  <si>
    <t xml:space="preserve">  体制补助收入</t>
    <phoneticPr fontId="4" type="noConversion"/>
  </si>
  <si>
    <t>(二)地方政府债券还本支出</t>
    <phoneticPr fontId="4" type="noConversion"/>
  </si>
  <si>
    <t xml:space="preserve">  均衡性(含调资)转移补助</t>
    <phoneticPr fontId="4" type="noConversion"/>
  </si>
  <si>
    <t>(三)上解支出(省结算)</t>
    <phoneticPr fontId="4" type="noConversion"/>
  </si>
  <si>
    <t xml:space="preserve">  农村税费改革转移补助</t>
    <phoneticPr fontId="4" type="noConversion"/>
  </si>
  <si>
    <t>(四)安排预算稳定调节基金</t>
    <phoneticPr fontId="4" type="noConversion"/>
  </si>
  <si>
    <t xml:space="preserve">  县级基本财力保障机制奖补</t>
    <phoneticPr fontId="4" type="noConversion"/>
  </si>
  <si>
    <t>(五)调出资金</t>
    <phoneticPr fontId="4" type="noConversion"/>
  </si>
  <si>
    <t xml:space="preserve">  其他转移支付补助</t>
    <phoneticPr fontId="4" type="noConversion"/>
  </si>
  <si>
    <t>(三)上级对实验区专项补助</t>
    <phoneticPr fontId="4" type="noConversion"/>
  </si>
  <si>
    <t>(六)年终结余</t>
    <phoneticPr fontId="4" type="noConversion"/>
  </si>
  <si>
    <t>(四)省级税费返还收入</t>
    <phoneticPr fontId="4" type="noConversion"/>
  </si>
  <si>
    <t>(五)地方政府一般债券收入</t>
    <phoneticPr fontId="4" type="noConversion"/>
  </si>
  <si>
    <t>(六)福州市补助</t>
    <phoneticPr fontId="4" type="noConversion"/>
  </si>
  <si>
    <t>(七)动用上年结余</t>
    <phoneticPr fontId="4" type="noConversion"/>
  </si>
  <si>
    <t>(八)动用预算稳定调节基金</t>
    <phoneticPr fontId="4" type="noConversion"/>
  </si>
  <si>
    <t>(九)调入资金</t>
    <phoneticPr fontId="4" type="noConversion"/>
  </si>
  <si>
    <t>一般公共预算收入合计</t>
    <phoneticPr fontId="4" type="noConversion"/>
  </si>
  <si>
    <t>一般公共预算支出合计</t>
    <phoneticPr fontId="4" type="noConversion"/>
  </si>
  <si>
    <t>2017年平潭收支预算总表</t>
    <phoneticPr fontId="4" type="noConversion"/>
  </si>
  <si>
    <t>单位：万元</t>
    <phoneticPr fontId="1" type="noConversion"/>
  </si>
  <si>
    <t>政府性基金预算部分</t>
    <phoneticPr fontId="4" type="noConversion"/>
  </si>
  <si>
    <t>(一)政府性基金预算收入</t>
    <phoneticPr fontId="4" type="noConversion"/>
  </si>
  <si>
    <t>(一)政府性基金预算支出</t>
    <phoneticPr fontId="4" type="noConversion"/>
  </si>
  <si>
    <t>(二)上年政府性基金结余</t>
    <phoneticPr fontId="4" type="noConversion"/>
  </si>
  <si>
    <t>(三)专项置换债券转贷收入</t>
    <phoneticPr fontId="4" type="noConversion"/>
  </si>
  <si>
    <t>(二)专项置换债券还本</t>
    <phoneticPr fontId="4" type="noConversion"/>
  </si>
  <si>
    <t>政府性基金预算收入合计</t>
    <phoneticPr fontId="4" type="noConversion"/>
  </si>
  <si>
    <t>政府性基金预算支出合计</t>
    <phoneticPr fontId="4" type="noConversion"/>
  </si>
  <si>
    <t>国有资本经营预算部分</t>
    <phoneticPr fontId="4" type="noConversion"/>
  </si>
  <si>
    <t>(一)国有资本经营预算收入</t>
    <phoneticPr fontId="4" type="noConversion"/>
  </si>
  <si>
    <t>(一)国有资本经营预算支出</t>
    <phoneticPr fontId="4" type="noConversion"/>
  </si>
  <si>
    <t>(二)上年结余</t>
    <phoneticPr fontId="4" type="noConversion"/>
  </si>
  <si>
    <t>(二)国有资本经营预算调出</t>
    <phoneticPr fontId="4" type="noConversion"/>
  </si>
  <si>
    <t>国有资本经营预算收入合计</t>
    <phoneticPr fontId="4" type="noConversion"/>
  </si>
  <si>
    <t>国有资本经营预算支出合计</t>
    <phoneticPr fontId="4" type="noConversion"/>
  </si>
  <si>
    <t>社会保险基金预算部分</t>
    <phoneticPr fontId="4" type="noConversion"/>
  </si>
  <si>
    <t>(一)社会保险基金收入</t>
    <phoneticPr fontId="4" type="noConversion"/>
  </si>
  <si>
    <t>(一)社会保险基金支出</t>
    <phoneticPr fontId="4" type="noConversion"/>
  </si>
  <si>
    <t>(二)上年社会保险基金结余</t>
    <phoneticPr fontId="4" type="noConversion"/>
  </si>
  <si>
    <t>(二)年末社会保险基金结余</t>
    <phoneticPr fontId="4" type="noConversion"/>
  </si>
  <si>
    <t>社会保险基金预算收入合计</t>
    <phoneticPr fontId="4" type="noConversion"/>
  </si>
  <si>
    <t>社会保险基金预算支出合计</t>
    <phoneticPr fontId="4" type="noConversion"/>
  </si>
</sst>
</file>

<file path=xl/styles.xml><?xml version="1.0" encoding="utf-8"?>
<styleSheet xmlns="http://schemas.openxmlformats.org/spreadsheetml/2006/main">
  <numFmts count="1">
    <numFmt numFmtId="176" formatCode="0_ "/>
  </numFmts>
  <fonts count="1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16"/>
      <name val="黑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2"/>
      <name val="黑体"/>
      <family val="3"/>
      <charset val="134"/>
    </font>
    <font>
      <sz val="11"/>
      <name val="宋体"/>
      <family val="3"/>
      <charset val="134"/>
    </font>
    <font>
      <sz val="11"/>
      <name val="黑体"/>
      <family val="3"/>
      <charset val="134"/>
    </font>
    <font>
      <sz val="12"/>
      <name val="黑体"/>
      <family val="3"/>
      <charset val="134"/>
    </font>
    <font>
      <sz val="10"/>
      <name val="宋体"/>
      <family val="3"/>
      <charset val="134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5">
    <xf numFmtId="0" fontId="0" fillId="0" borderId="0" xfId="0">
      <alignment vertical="center"/>
    </xf>
    <xf numFmtId="0" fontId="5" fillId="0" borderId="0" xfId="1" applyFont="1"/>
    <xf numFmtId="0" fontId="6" fillId="0" borderId="1" xfId="1" applyFont="1" applyBorder="1"/>
    <xf numFmtId="0" fontId="9" fillId="0" borderId="7" xfId="1" applyFont="1" applyBorder="1"/>
    <xf numFmtId="0" fontId="10" fillId="0" borderId="8" xfId="1" applyFont="1" applyBorder="1"/>
    <xf numFmtId="0" fontId="9" fillId="0" borderId="8" xfId="1" applyFont="1" applyBorder="1"/>
    <xf numFmtId="0" fontId="10" fillId="0" borderId="7" xfId="1" applyFont="1" applyBorder="1"/>
    <xf numFmtId="0" fontId="11" fillId="0" borderId="8" xfId="1" applyFont="1" applyBorder="1"/>
    <xf numFmtId="0" fontId="10" fillId="0" borderId="8" xfId="1" applyNumberFormat="1" applyFont="1" applyBorder="1"/>
    <xf numFmtId="0" fontId="12" fillId="0" borderId="7" xfId="1" applyFont="1" applyBorder="1"/>
    <xf numFmtId="176" fontId="11" fillId="0" borderId="8" xfId="1" applyNumberFormat="1" applyFont="1" applyBorder="1" applyAlignment="1">
      <alignment horizontal="right" vertical="center" wrapText="1"/>
    </xf>
    <xf numFmtId="0" fontId="12" fillId="0" borderId="8" xfId="1" applyFont="1" applyBorder="1"/>
    <xf numFmtId="0" fontId="10" fillId="2" borderId="5" xfId="1" applyNumberFormat="1" applyFont="1" applyFill="1" applyBorder="1"/>
    <xf numFmtId="0" fontId="11" fillId="0" borderId="8" xfId="1" applyFont="1" applyBorder="1" applyAlignment="1"/>
    <xf numFmtId="0" fontId="9" fillId="0" borderId="8" xfId="1" applyFont="1" applyBorder="1" applyAlignment="1">
      <alignment horizontal="left" vertical="center"/>
    </xf>
    <xf numFmtId="0" fontId="11" fillId="0" borderId="8" xfId="1" applyNumberFormat="1" applyFont="1" applyBorder="1"/>
    <xf numFmtId="0" fontId="12" fillId="0" borderId="1" xfId="1" applyFont="1" applyBorder="1" applyAlignment="1">
      <alignment horizontal="right"/>
    </xf>
    <xf numFmtId="0" fontId="3" fillId="0" borderId="0" xfId="1" applyFont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8" xfId="1" applyFont="1" applyFill="1" applyBorder="1"/>
    <xf numFmtId="0" fontId="8" fillId="0" borderId="8" xfId="1" applyNumberFormat="1" applyFont="1" applyFill="1" applyBorder="1"/>
    <xf numFmtId="0" fontId="6" fillId="0" borderId="8" xfId="1" applyFont="1" applyFill="1" applyBorder="1" applyAlignment="1">
      <alignment horizontal="left" vertical="center"/>
    </xf>
    <xf numFmtId="0" fontId="8" fillId="0" borderId="8" xfId="1" applyFont="1" applyFill="1" applyBorder="1"/>
    <xf numFmtId="0" fontId="7" fillId="0" borderId="8" xfId="1" applyFont="1" applyFill="1" applyBorder="1" applyAlignment="1">
      <alignment horizontal="center" vertical="center"/>
    </xf>
    <xf numFmtId="0" fontId="6" fillId="0" borderId="8" xfId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11" fillId="0" borderId="8" xfId="1" applyFont="1" applyFill="1" applyBorder="1"/>
    <xf numFmtId="0" fontId="11" fillId="0" borderId="8" xfId="1" applyNumberFormat="1" applyFont="1" applyFill="1" applyBorder="1"/>
    <xf numFmtId="0" fontId="10" fillId="0" borderId="8" xfId="1" applyFont="1" applyFill="1" applyBorder="1"/>
    <xf numFmtId="0" fontId="13" fillId="0" borderId="0" xfId="1" applyFont="1"/>
    <xf numFmtId="0" fontId="7" fillId="0" borderId="3" xfId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 wrapText="1"/>
    </xf>
    <xf numFmtId="0" fontId="5" fillId="0" borderId="0" xfId="1" applyFont="1" applyFill="1"/>
  </cellXfs>
  <cellStyles count="2">
    <cellStyle name="?鹎%U龡&amp;H齲_x0001_C铣_x0014__x0007__x0001__x0001_" xfId="1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esktop/2017&#39044;&#31639;/2017&#39044;&#31639;&#33609;&#26696;/&#24179;&#28525;2016&#24180;&#39044;&#31639;&#25191;&#34892;&#21450;2017&#24180;&#39044;&#31639;&#33609;&#26696;&#24773;&#20917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0"/>
      <sheetName val="Sheet1"/>
      <sheetName val="Sheet2"/>
      <sheetName val="Sheet3"/>
      <sheetName val="Sheet4 "/>
      <sheetName val="Sheet5"/>
      <sheetName val="Sheet6"/>
    </sheetNames>
    <sheetDataSet>
      <sheetData sheetId="0"/>
      <sheetData sheetId="1"/>
      <sheetData sheetId="2"/>
      <sheetData sheetId="3"/>
      <sheetData sheetId="4">
        <row r="7">
          <cell r="E7">
            <v>201200</v>
          </cell>
        </row>
        <row r="22">
          <cell r="E22">
            <v>70900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topLeftCell="A19" workbookViewId="0">
      <selection activeCell="I34" sqref="I34"/>
    </sheetView>
  </sheetViews>
  <sheetFormatPr defaultRowHeight="12.75"/>
  <cols>
    <col min="1" max="1" width="33" style="1" customWidth="1"/>
    <col min="2" max="3" width="15.625" style="1" customWidth="1"/>
    <col min="4" max="4" width="29.625" style="1" customWidth="1"/>
    <col min="5" max="6" width="15.625" style="1" customWidth="1"/>
    <col min="7" max="16384" width="9" style="1"/>
  </cols>
  <sheetData>
    <row r="1" spans="1:6">
      <c r="A1" s="17" t="s">
        <v>44</v>
      </c>
      <c r="B1" s="17"/>
      <c r="C1" s="17"/>
      <c r="D1" s="17"/>
      <c r="E1" s="17"/>
      <c r="F1" s="17"/>
    </row>
    <row r="2" spans="1:6">
      <c r="A2" s="17"/>
      <c r="B2" s="17"/>
      <c r="C2" s="17"/>
      <c r="D2" s="17"/>
      <c r="E2" s="17"/>
      <c r="F2" s="17"/>
    </row>
    <row r="3" spans="1:6">
      <c r="A3" s="17"/>
      <c r="B3" s="17"/>
      <c r="C3" s="17"/>
      <c r="D3" s="17"/>
      <c r="E3" s="17"/>
      <c r="F3" s="17"/>
    </row>
    <row r="4" spans="1:6" ht="14.25">
      <c r="A4" s="2"/>
      <c r="B4" s="2"/>
      <c r="C4" s="2"/>
      <c r="D4" s="2"/>
      <c r="E4" s="2"/>
      <c r="F4" s="16" t="s">
        <v>45</v>
      </c>
    </row>
    <row r="5" spans="1:6" ht="13.5">
      <c r="A5" s="18" t="s">
        <v>0</v>
      </c>
      <c r="B5" s="19"/>
      <c r="C5" s="19"/>
      <c r="D5" s="20" t="s">
        <v>1</v>
      </c>
      <c r="E5" s="21"/>
      <c r="F5" s="22"/>
    </row>
    <row r="6" spans="1:6">
      <c r="A6" s="23" t="s">
        <v>2</v>
      </c>
      <c r="B6" s="25" t="s">
        <v>3</v>
      </c>
      <c r="C6" s="25" t="s">
        <v>4</v>
      </c>
      <c r="D6" s="27" t="s">
        <v>2</v>
      </c>
      <c r="E6" s="25" t="s">
        <v>3</v>
      </c>
      <c r="F6" s="25" t="s">
        <v>4</v>
      </c>
    </row>
    <row r="7" spans="1:6">
      <c r="A7" s="24"/>
      <c r="B7" s="26"/>
      <c r="C7" s="26"/>
      <c r="D7" s="28"/>
      <c r="E7" s="26"/>
      <c r="F7" s="26"/>
    </row>
    <row r="8" spans="1:6" s="44" customFormat="1" ht="13.5">
      <c r="A8" s="40" t="s">
        <v>5</v>
      </c>
      <c r="B8" s="41"/>
      <c r="C8" s="41"/>
      <c r="D8" s="42"/>
      <c r="E8" s="43"/>
      <c r="F8" s="41"/>
    </row>
    <row r="9" spans="1:6" ht="14.25">
      <c r="A9" s="3" t="s">
        <v>6</v>
      </c>
      <c r="B9" s="4">
        <f>B10+B11</f>
        <v>272100</v>
      </c>
      <c r="C9" s="4">
        <f>C10+C11</f>
        <v>230600</v>
      </c>
      <c r="D9" s="5" t="s">
        <v>7</v>
      </c>
      <c r="E9" s="6">
        <f>SUM(E10:E18)</f>
        <v>722400</v>
      </c>
      <c r="F9" s="4">
        <f>SUM(F10:F18)</f>
        <v>681518</v>
      </c>
    </row>
    <row r="10" spans="1:6" ht="15">
      <c r="A10" s="3" t="s">
        <v>8</v>
      </c>
      <c r="B10" s="7">
        <f>'[1]Sheet4 '!E7</f>
        <v>201200</v>
      </c>
      <c r="C10" s="7">
        <f>177050-15000</f>
        <v>162050</v>
      </c>
      <c r="D10" s="5" t="s">
        <v>9</v>
      </c>
      <c r="E10" s="8">
        <v>130945</v>
      </c>
      <c r="F10" s="8">
        <v>148542</v>
      </c>
    </row>
    <row r="11" spans="1:6" ht="15">
      <c r="A11" s="3" t="s">
        <v>10</v>
      </c>
      <c r="B11" s="7">
        <f>'[1]Sheet4 '!E22</f>
        <v>70900</v>
      </c>
      <c r="C11" s="7">
        <f>53550+15000</f>
        <v>68550</v>
      </c>
      <c r="D11" s="5" t="s">
        <v>11</v>
      </c>
      <c r="E11" s="8">
        <v>213885</v>
      </c>
      <c r="F11" s="8">
        <v>166149</v>
      </c>
    </row>
    <row r="12" spans="1:6" ht="14.25">
      <c r="A12" s="3" t="s">
        <v>12</v>
      </c>
      <c r="B12" s="4">
        <f>B13+B18</f>
        <v>45515</v>
      </c>
      <c r="C12" s="4">
        <f>C13+C18</f>
        <v>38390</v>
      </c>
      <c r="D12" s="5" t="s">
        <v>13</v>
      </c>
      <c r="E12" s="8">
        <v>60785</v>
      </c>
      <c r="F12" s="8">
        <v>61972</v>
      </c>
    </row>
    <row r="13" spans="1:6" ht="14.25">
      <c r="A13" s="9" t="s">
        <v>14</v>
      </c>
      <c r="B13" s="10">
        <f>SUM(B14:B17)</f>
        <v>25411</v>
      </c>
      <c r="C13" s="10">
        <f>SUM(C14:C17)</f>
        <v>18049</v>
      </c>
      <c r="D13" s="5" t="s">
        <v>15</v>
      </c>
      <c r="E13" s="8">
        <v>16419</v>
      </c>
      <c r="F13" s="8">
        <v>16963</v>
      </c>
    </row>
    <row r="14" spans="1:6" ht="15">
      <c r="A14" s="9" t="s">
        <v>16</v>
      </c>
      <c r="B14" s="7">
        <v>686</v>
      </c>
      <c r="C14" s="7">
        <v>686</v>
      </c>
      <c r="D14" s="5" t="s">
        <v>17</v>
      </c>
      <c r="E14" s="8">
        <v>65006</v>
      </c>
      <c r="F14" s="8"/>
    </row>
    <row r="15" spans="1:6" ht="15">
      <c r="A15" s="9" t="s">
        <v>18</v>
      </c>
      <c r="B15" s="7">
        <v>527</v>
      </c>
      <c r="C15" s="7">
        <v>527</v>
      </c>
      <c r="D15" s="5" t="s">
        <v>19</v>
      </c>
      <c r="E15" s="8">
        <v>206658</v>
      </c>
      <c r="F15" s="8">
        <f>350000-63358</f>
        <v>286642</v>
      </c>
    </row>
    <row r="16" spans="1:6" ht="15">
      <c r="A16" s="9" t="s">
        <v>20</v>
      </c>
      <c r="B16" s="7">
        <v>363</v>
      </c>
      <c r="C16" s="7">
        <v>363</v>
      </c>
      <c r="D16" s="5" t="s">
        <v>21</v>
      </c>
      <c r="E16" s="8">
        <v>28702</v>
      </c>
      <c r="F16" s="8">
        <v>1250</v>
      </c>
    </row>
    <row r="17" spans="1:6" ht="15">
      <c r="A17" s="9" t="s">
        <v>22</v>
      </c>
      <c r="B17" s="7">
        <v>23835</v>
      </c>
      <c r="C17" s="7">
        <v>16473</v>
      </c>
      <c r="D17" s="5" t="s">
        <v>23</v>
      </c>
      <c r="E17" s="8"/>
      <c r="F17" s="8"/>
    </row>
    <row r="18" spans="1:6" ht="14.25">
      <c r="A18" s="11" t="s">
        <v>24</v>
      </c>
      <c r="B18" s="10">
        <f>SUM(B19:B23)</f>
        <v>20104</v>
      </c>
      <c r="C18" s="10">
        <f>SUM(C19:C23)</f>
        <v>20341</v>
      </c>
      <c r="D18" s="5"/>
      <c r="E18" s="8"/>
      <c r="F18" s="8"/>
    </row>
    <row r="19" spans="1:6" ht="15">
      <c r="A19" s="11" t="s">
        <v>25</v>
      </c>
      <c r="B19" s="7">
        <v>1895</v>
      </c>
      <c r="C19" s="7">
        <v>1895</v>
      </c>
      <c r="D19" s="5" t="s">
        <v>26</v>
      </c>
      <c r="E19" s="12"/>
      <c r="F19" s="12">
        <v>43715</v>
      </c>
    </row>
    <row r="20" spans="1:6" ht="15">
      <c r="A20" s="11" t="s">
        <v>27</v>
      </c>
      <c r="B20" s="7">
        <v>6369</v>
      </c>
      <c r="C20" s="7">
        <v>6369</v>
      </c>
      <c r="D20" s="5" t="s">
        <v>28</v>
      </c>
      <c r="E20" s="8">
        <v>3000</v>
      </c>
      <c r="F20" s="8">
        <v>700</v>
      </c>
    </row>
    <row r="21" spans="1:6" ht="15">
      <c r="A21" s="11" t="s">
        <v>29</v>
      </c>
      <c r="B21" s="7">
        <v>3277</v>
      </c>
      <c r="C21" s="7">
        <v>3277</v>
      </c>
      <c r="D21" s="5" t="s">
        <v>30</v>
      </c>
      <c r="E21" s="8">
        <v>0</v>
      </c>
      <c r="F21" s="8">
        <v>0</v>
      </c>
    </row>
    <row r="22" spans="1:6" ht="15">
      <c r="A22" s="11" t="s">
        <v>31</v>
      </c>
      <c r="B22" s="7">
        <v>1000</v>
      </c>
      <c r="C22" s="7">
        <v>1000</v>
      </c>
      <c r="D22" s="5" t="s">
        <v>32</v>
      </c>
      <c r="E22" s="12">
        <v>0</v>
      </c>
      <c r="F22" s="12">
        <v>0</v>
      </c>
    </row>
    <row r="23" spans="1:6" ht="15">
      <c r="A23" s="11" t="s">
        <v>33</v>
      </c>
      <c r="B23" s="7">
        <f>7568-5</f>
        <v>7563</v>
      </c>
      <c r="C23" s="7">
        <v>7800</v>
      </c>
      <c r="D23" s="5"/>
      <c r="E23" s="13"/>
      <c r="F23" s="13"/>
    </row>
    <row r="24" spans="1:6" ht="14.25">
      <c r="A24" s="5" t="s">
        <v>34</v>
      </c>
      <c r="B24" s="4">
        <v>140000</v>
      </c>
      <c r="C24" s="4">
        <v>140000</v>
      </c>
      <c r="D24" s="5" t="s">
        <v>35</v>
      </c>
      <c r="E24" s="8">
        <v>0</v>
      </c>
      <c r="F24" s="8">
        <v>0</v>
      </c>
    </row>
    <row r="25" spans="1:6" ht="15">
      <c r="A25" s="14" t="s">
        <v>36</v>
      </c>
      <c r="B25" s="4">
        <v>20000</v>
      </c>
      <c r="C25" s="4">
        <v>21000</v>
      </c>
      <c r="D25" s="5"/>
      <c r="E25" s="15"/>
      <c r="F25" s="15"/>
    </row>
    <row r="26" spans="1:6" ht="15">
      <c r="A26" s="14" t="s">
        <v>37</v>
      </c>
      <c r="B26" s="4">
        <v>150000</v>
      </c>
      <c r="C26" s="4">
        <v>183015</v>
      </c>
      <c r="D26" s="5"/>
      <c r="E26" s="15"/>
      <c r="F26" s="15"/>
    </row>
    <row r="27" spans="1:6" ht="15">
      <c r="A27" s="5" t="s">
        <v>38</v>
      </c>
      <c r="B27" s="4">
        <v>10000</v>
      </c>
      <c r="C27" s="4">
        <v>10000</v>
      </c>
      <c r="D27" s="5"/>
      <c r="E27" s="15"/>
      <c r="F27" s="15"/>
    </row>
    <row r="28" spans="1:6" ht="15">
      <c r="A28" s="5" t="s">
        <v>39</v>
      </c>
      <c r="B28" s="4">
        <v>0</v>
      </c>
      <c r="C28" s="4">
        <v>0</v>
      </c>
      <c r="D28" s="5"/>
      <c r="E28" s="15"/>
      <c r="F28" s="15"/>
    </row>
    <row r="29" spans="1:6" ht="15">
      <c r="A29" s="5" t="s">
        <v>40</v>
      </c>
      <c r="B29" s="4">
        <v>87785</v>
      </c>
      <c r="C29" s="4">
        <f>45299+37629</f>
        <v>82928</v>
      </c>
      <c r="D29" s="5"/>
      <c r="E29" s="15"/>
      <c r="F29" s="15"/>
    </row>
    <row r="30" spans="1:6" ht="15">
      <c r="A30" s="5" t="s">
        <v>41</v>
      </c>
      <c r="B30" s="4">
        <v>0</v>
      </c>
      <c r="C30" s="4">
        <v>20000</v>
      </c>
      <c r="D30" s="5"/>
      <c r="E30" s="15"/>
      <c r="F30" s="15"/>
    </row>
    <row r="31" spans="1:6" ht="15">
      <c r="A31" s="35" t="s">
        <v>42</v>
      </c>
      <c r="B31" s="7">
        <f>B9+B12+B24+B25+B26+B27+B28+B29+B30</f>
        <v>725400</v>
      </c>
      <c r="C31" s="7">
        <f>C9+C12+C24+C25+C26+C27+C28+C29+C30</f>
        <v>725933</v>
      </c>
      <c r="D31" s="35" t="s">
        <v>43</v>
      </c>
      <c r="E31" s="15">
        <f>E9+E19+E20+E21+E22+E24</f>
        <v>725400</v>
      </c>
      <c r="F31" s="15">
        <f>F9+F19+F20+F21+F22+F24</f>
        <v>725933</v>
      </c>
    </row>
    <row r="32" spans="1:6" s="39" customFormat="1" ht="15">
      <c r="A32" s="33" t="s">
        <v>46</v>
      </c>
      <c r="B32" s="32"/>
      <c r="C32" s="32"/>
      <c r="D32" s="33"/>
      <c r="E32" s="30"/>
      <c r="F32" s="30"/>
    </row>
    <row r="33" spans="1:6" ht="15">
      <c r="A33" s="29" t="s">
        <v>47</v>
      </c>
      <c r="B33" s="36">
        <v>302600</v>
      </c>
      <c r="C33" s="36">
        <v>492833</v>
      </c>
      <c r="D33" s="29" t="s">
        <v>48</v>
      </c>
      <c r="E33" s="37">
        <v>302600</v>
      </c>
      <c r="F33" s="37">
        <v>493650</v>
      </c>
    </row>
    <row r="34" spans="1:6" ht="15">
      <c r="A34" s="29" t="s">
        <v>49</v>
      </c>
      <c r="B34" s="36"/>
      <c r="C34" s="36">
        <v>817</v>
      </c>
      <c r="D34" s="29"/>
      <c r="E34" s="37"/>
      <c r="F34" s="37"/>
    </row>
    <row r="35" spans="1:6" ht="15">
      <c r="A35" s="31" t="s">
        <v>50</v>
      </c>
      <c r="B35" s="36"/>
      <c r="C35" s="36">
        <v>687843</v>
      </c>
      <c r="D35" s="29" t="s">
        <v>51</v>
      </c>
      <c r="E35" s="37"/>
      <c r="F35" s="37">
        <v>687843</v>
      </c>
    </row>
    <row r="36" spans="1:6" ht="14.25">
      <c r="A36" s="34" t="s">
        <v>52</v>
      </c>
      <c r="B36" s="38">
        <f>SUM(B33:B35)</f>
        <v>302600</v>
      </c>
      <c r="C36" s="38">
        <f>SUM(C33:C35)</f>
        <v>1181493</v>
      </c>
      <c r="D36" s="34" t="s">
        <v>53</v>
      </c>
      <c r="E36" s="38">
        <f>SUM(E33:E35)</f>
        <v>302600</v>
      </c>
      <c r="F36" s="38">
        <f>SUM(F33:F35)</f>
        <v>1181493</v>
      </c>
    </row>
    <row r="37" spans="1:6" s="39" customFormat="1" ht="15">
      <c r="A37" s="33" t="s">
        <v>54</v>
      </c>
      <c r="B37" s="32"/>
      <c r="C37" s="32"/>
      <c r="D37" s="33"/>
      <c r="E37" s="30"/>
      <c r="F37" s="30"/>
    </row>
    <row r="38" spans="1:6" ht="15">
      <c r="A38" s="31" t="s">
        <v>55</v>
      </c>
      <c r="B38" s="36">
        <v>232</v>
      </c>
      <c r="C38" s="36">
        <v>91</v>
      </c>
      <c r="D38" s="31" t="s">
        <v>56</v>
      </c>
      <c r="E38" s="37">
        <v>336</v>
      </c>
      <c r="F38" s="37">
        <v>91</v>
      </c>
    </row>
    <row r="39" spans="1:6" ht="15">
      <c r="A39" s="31" t="s">
        <v>57</v>
      </c>
      <c r="B39" s="36">
        <v>104</v>
      </c>
      <c r="C39" s="36"/>
      <c r="D39" s="31" t="s">
        <v>58</v>
      </c>
      <c r="E39" s="37">
        <v>0</v>
      </c>
      <c r="F39" s="37">
        <v>0</v>
      </c>
    </row>
    <row r="40" spans="1:6" ht="14.25">
      <c r="A40" s="34" t="s">
        <v>59</v>
      </c>
      <c r="B40" s="38">
        <f>SUM(B38:B39)</f>
        <v>336</v>
      </c>
      <c r="C40" s="38">
        <f>SUM(C38:C39)</f>
        <v>91</v>
      </c>
      <c r="D40" s="34" t="s">
        <v>60</v>
      </c>
      <c r="E40" s="38">
        <f>SUM(E38:E39)</f>
        <v>336</v>
      </c>
      <c r="F40" s="38">
        <v>91</v>
      </c>
    </row>
    <row r="41" spans="1:6" s="39" customFormat="1" ht="15">
      <c r="A41" s="33" t="s">
        <v>61</v>
      </c>
      <c r="B41" s="32"/>
      <c r="C41" s="32"/>
      <c r="D41" s="33"/>
      <c r="E41" s="30"/>
      <c r="F41" s="30"/>
    </row>
    <row r="42" spans="1:6" ht="15">
      <c r="A42" s="31" t="s">
        <v>62</v>
      </c>
      <c r="B42" s="37">
        <v>78713</v>
      </c>
      <c r="C42" s="37">
        <v>71437</v>
      </c>
      <c r="D42" s="31" t="s">
        <v>63</v>
      </c>
      <c r="E42" s="37">
        <v>70951</v>
      </c>
      <c r="F42" s="37">
        <v>63864</v>
      </c>
    </row>
    <row r="43" spans="1:6" ht="15">
      <c r="A43" s="29" t="s">
        <v>64</v>
      </c>
      <c r="B43" s="37">
        <v>66942</v>
      </c>
      <c r="C43" s="37">
        <v>59369</v>
      </c>
      <c r="D43" s="31" t="s">
        <v>65</v>
      </c>
      <c r="E43" s="37">
        <v>74704</v>
      </c>
      <c r="F43" s="37">
        <v>66942</v>
      </c>
    </row>
    <row r="44" spans="1:6" ht="14.25">
      <c r="A44" s="34" t="s">
        <v>66</v>
      </c>
      <c r="B44" s="38">
        <f>SUM(B42:B43)</f>
        <v>145655</v>
      </c>
      <c r="C44" s="38">
        <f>SUM(C42:C43)</f>
        <v>130806</v>
      </c>
      <c r="D44" s="34" t="s">
        <v>67</v>
      </c>
      <c r="E44" s="38">
        <f>SUM(E42:E43)</f>
        <v>145655</v>
      </c>
      <c r="F44" s="38">
        <f>SUM(F42:F43)</f>
        <v>130806</v>
      </c>
    </row>
  </sheetData>
  <mergeCells count="9">
    <mergeCell ref="A1:F3"/>
    <mergeCell ref="A5:C5"/>
    <mergeCell ref="D5:F5"/>
    <mergeCell ref="A6:A7"/>
    <mergeCell ref="B6:B7"/>
    <mergeCell ref="C6:C7"/>
    <mergeCell ref="D6:D7"/>
    <mergeCell ref="E6:E7"/>
    <mergeCell ref="F6:F7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2017-02-04T03:39:25Z</dcterms:modified>
</cp:coreProperties>
</file>