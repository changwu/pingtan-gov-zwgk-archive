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25725"/>
</workbook>
</file>

<file path=xl/calcChain.xml><?xml version="1.0" encoding="utf-8"?>
<calcChain xmlns="http://schemas.openxmlformats.org/spreadsheetml/2006/main">
  <c r="B8" i="1"/>
  <c r="B9"/>
  <c r="B10"/>
  <c r="B11"/>
  <c r="B12"/>
  <c r="B13"/>
  <c r="B14"/>
  <c r="B15"/>
  <c r="B16"/>
  <c r="B17"/>
  <c r="B18"/>
  <c r="B19"/>
  <c r="B20"/>
  <c r="B21"/>
  <c r="B23"/>
  <c r="B24"/>
  <c r="B25"/>
  <c r="B26"/>
  <c r="B27"/>
  <c r="B28"/>
  <c r="B29"/>
  <c r="B30"/>
  <c r="B31"/>
  <c r="B32"/>
  <c r="B33"/>
  <c r="B34"/>
  <c r="B36"/>
  <c r="B37"/>
  <c r="B38"/>
  <c r="B39"/>
  <c r="B41"/>
  <c r="B42"/>
  <c r="B43"/>
  <c r="B44"/>
  <c r="B45"/>
  <c r="C45"/>
  <c r="C44"/>
  <c r="D43"/>
  <c r="C43"/>
  <c r="C42"/>
  <c r="C41"/>
  <c r="C39"/>
  <c r="D38"/>
  <c r="C38"/>
  <c r="C37"/>
  <c r="D36"/>
  <c r="C36"/>
  <c r="D35"/>
  <c r="C34"/>
  <c r="C33"/>
  <c r="D32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D12"/>
  <c r="D45" s="1"/>
  <c r="C12"/>
  <c r="D11"/>
  <c r="C11"/>
  <c r="C10"/>
  <c r="D9"/>
  <c r="D41" s="1"/>
  <c r="C9"/>
  <c r="C8"/>
  <c r="B40" l="1"/>
  <c r="B22"/>
  <c r="B35"/>
  <c r="B7"/>
  <c r="B46"/>
  <c r="C7"/>
  <c r="D7"/>
  <c r="C40"/>
  <c r="D22"/>
  <c r="C35"/>
  <c r="D44"/>
  <c r="D40" s="1"/>
  <c r="B6" l="1"/>
  <c r="C6"/>
  <c r="C46"/>
  <c r="D6"/>
  <c r="D46" s="1"/>
</calcChain>
</file>

<file path=xl/sharedStrings.xml><?xml version="1.0" encoding="utf-8"?>
<sst xmlns="http://schemas.openxmlformats.org/spreadsheetml/2006/main" count="51" uniqueCount="51">
  <si>
    <t>单位：万元</t>
    <phoneticPr fontId="3" type="noConversion"/>
  </si>
  <si>
    <t>完成数</t>
    <phoneticPr fontId="3" type="noConversion"/>
  </si>
  <si>
    <t>　营业税</t>
  </si>
  <si>
    <t>　企业所得税</t>
  </si>
  <si>
    <t>　个人所得税</t>
  </si>
  <si>
    <t>　资源税</t>
  </si>
  <si>
    <t>　城市维护建设税</t>
  </si>
  <si>
    <t>　房产税</t>
  </si>
  <si>
    <t>　城镇土地使用税</t>
  </si>
  <si>
    <t>　土地增值税</t>
  </si>
  <si>
    <t>　耕地占用税</t>
  </si>
  <si>
    <t>　契税</t>
  </si>
  <si>
    <t>　专项收入</t>
  </si>
  <si>
    <t>　其他收入</t>
  </si>
  <si>
    <t>上划中央收入</t>
  </si>
  <si>
    <t>一般公共预算总收入</t>
    <phoneticPr fontId="3" type="noConversion"/>
  </si>
  <si>
    <t>年度预算</t>
    <phoneticPr fontId="3" type="noConversion"/>
  </si>
  <si>
    <t>预算数</t>
    <phoneticPr fontId="3" type="noConversion"/>
  </si>
  <si>
    <t>比上年预算       增长(％)</t>
    <phoneticPr fontId="3" type="noConversion"/>
  </si>
  <si>
    <t>一、一般公共预算收入</t>
    <phoneticPr fontId="3" type="noConversion"/>
  </si>
  <si>
    <t>附:一般公共预算收入分部门</t>
    <phoneticPr fontId="3" type="noConversion"/>
  </si>
  <si>
    <t>１、税收收入</t>
    <phoneticPr fontId="3" type="noConversion"/>
  </si>
  <si>
    <t>　国内增值税</t>
    <phoneticPr fontId="3" type="noConversion"/>
  </si>
  <si>
    <t xml:space="preserve">  改征增值税</t>
    <phoneticPr fontId="3" type="noConversion"/>
  </si>
  <si>
    <t>　印花税</t>
    <phoneticPr fontId="3" type="noConversion"/>
  </si>
  <si>
    <t>　车船税</t>
    <phoneticPr fontId="3" type="noConversion"/>
  </si>
  <si>
    <t>２、非税收入</t>
    <phoneticPr fontId="3" type="noConversion"/>
  </si>
  <si>
    <t>　其中:教育费附加收入</t>
    <phoneticPr fontId="3" type="noConversion"/>
  </si>
  <si>
    <t>　　    残疾人就业保障金收入</t>
    <phoneticPr fontId="3" type="noConversion"/>
  </si>
  <si>
    <t>　　    育林及森林植被恢复费</t>
    <phoneticPr fontId="3" type="noConversion"/>
  </si>
  <si>
    <t>　　    土地收益金提取教育资金</t>
    <phoneticPr fontId="3" type="noConversion"/>
  </si>
  <si>
    <t>　　    提取农田水利建设资金</t>
    <phoneticPr fontId="3" type="noConversion"/>
  </si>
  <si>
    <t>　行政事业性收费收入</t>
    <phoneticPr fontId="3" type="noConversion"/>
  </si>
  <si>
    <t>　罚没收入</t>
    <phoneticPr fontId="3" type="noConversion"/>
  </si>
  <si>
    <t>　国有资本经营收入</t>
    <phoneticPr fontId="3" type="noConversion"/>
  </si>
  <si>
    <t>　国有资产有偿使用收入</t>
    <phoneticPr fontId="3" type="noConversion"/>
  </si>
  <si>
    <t xml:space="preserve">  政府住房基金收入</t>
    <phoneticPr fontId="3" type="noConversion"/>
  </si>
  <si>
    <t>__</t>
    <phoneticPr fontId="3" type="noConversion"/>
  </si>
  <si>
    <t xml:space="preserve">  国税收入</t>
    <phoneticPr fontId="3" type="noConversion"/>
  </si>
  <si>
    <t xml:space="preserve">   其中:企业所得税</t>
    <phoneticPr fontId="3" type="noConversion"/>
  </si>
  <si>
    <t xml:space="preserve">  地税收入</t>
    <phoneticPr fontId="3" type="noConversion"/>
  </si>
  <si>
    <t xml:space="preserve">  财政部门收入</t>
    <phoneticPr fontId="3" type="noConversion"/>
  </si>
  <si>
    <t xml:space="preserve">  增值税</t>
    <phoneticPr fontId="3" type="noConversion"/>
  </si>
  <si>
    <t xml:space="preserve">  消费税</t>
    <phoneticPr fontId="3" type="noConversion"/>
  </si>
  <si>
    <t xml:space="preserve">  营业税</t>
    <phoneticPr fontId="3" type="noConversion"/>
  </si>
  <si>
    <t xml:space="preserve">  企业所得税</t>
    <phoneticPr fontId="3" type="noConversion"/>
  </si>
  <si>
    <t xml:space="preserve">  个人所得税</t>
    <phoneticPr fontId="3" type="noConversion"/>
  </si>
  <si>
    <r>
      <t>项</t>
    </r>
    <r>
      <rPr>
        <b/>
        <sz val="11"/>
        <rFont val="Times New Roman"/>
        <family val="1"/>
      </rPr>
      <t xml:space="preserve">                     </t>
    </r>
    <r>
      <rPr>
        <b/>
        <sz val="11"/>
        <rFont val="宋体"/>
        <family val="3"/>
        <charset val="134"/>
      </rPr>
      <t>目</t>
    </r>
    <phoneticPr fontId="3" type="noConversion"/>
  </si>
  <si>
    <r>
      <t>2016</t>
    </r>
    <r>
      <rPr>
        <b/>
        <sz val="12"/>
        <rFont val="宋体"/>
        <family val="3"/>
        <charset val="134"/>
      </rPr>
      <t>年收入执行情况</t>
    </r>
    <phoneticPr fontId="3" type="noConversion"/>
  </si>
  <si>
    <r>
      <t>2017</t>
    </r>
    <r>
      <rPr>
        <b/>
        <sz val="12"/>
        <rFont val="宋体"/>
        <family val="3"/>
        <charset val="134"/>
      </rPr>
      <t>年收入预算情况</t>
    </r>
    <phoneticPr fontId="3" type="noConversion"/>
  </si>
  <si>
    <r>
      <t>2</t>
    </r>
    <r>
      <rPr>
        <sz val="16"/>
        <rFont val="黑体"/>
        <family val="3"/>
        <charset val="134"/>
      </rPr>
      <t>017平潭一般公共预算收入表</t>
    </r>
    <phoneticPr fontId="3" type="noConversion"/>
  </si>
</sst>
</file>

<file path=xl/styles.xml><?xml version="1.0" encoding="utf-8"?>
<styleSheet xmlns="http://schemas.openxmlformats.org/spreadsheetml/2006/main">
  <numFmts count="2">
    <numFmt numFmtId="176" formatCode="0.0_ "/>
    <numFmt numFmtId="177" formatCode="0_ "/>
  </numFmts>
  <fonts count="1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name val="宋体"/>
      <charset val="134"/>
    </font>
    <font>
      <sz val="9"/>
      <name val="宋体"/>
      <charset val="134"/>
    </font>
    <font>
      <sz val="10"/>
      <name val="Arial"/>
      <family val="2"/>
    </font>
    <font>
      <sz val="11"/>
      <name val="宋体"/>
      <charset val="134"/>
    </font>
    <font>
      <sz val="10"/>
      <name val="宋体"/>
      <charset val="134"/>
    </font>
    <font>
      <sz val="16"/>
      <name val="黑体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2"/>
      <name val="宋体"/>
      <family val="3"/>
      <charset val="134"/>
    </font>
    <font>
      <sz val="16"/>
      <name val="黑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40">
    <xf numFmtId="0" fontId="0" fillId="0" borderId="0" xfId="0">
      <alignment vertical="center"/>
    </xf>
    <xf numFmtId="0" fontId="4" fillId="0" borderId="0" xfId="1" applyFont="1" applyFill="1"/>
    <xf numFmtId="0" fontId="5" fillId="0" borderId="0" xfId="1" applyFont="1"/>
    <xf numFmtId="0" fontId="3" fillId="0" borderId="0" xfId="1" applyFont="1" applyFill="1"/>
    <xf numFmtId="9" fontId="3" fillId="0" borderId="0" xfId="1" applyNumberFormat="1" applyFont="1" applyFill="1"/>
    <xf numFmtId="0" fontId="7" fillId="0" borderId="0" xfId="1" applyFont="1" applyFill="1" applyAlignment="1">
      <alignment horizontal="center"/>
    </xf>
    <xf numFmtId="0" fontId="6" fillId="0" borderId="8" xfId="1" applyFont="1" applyBorder="1" applyAlignment="1">
      <alignment horizontal="left" wrapText="1"/>
    </xf>
    <xf numFmtId="0" fontId="6" fillId="0" borderId="0" xfId="1" applyFont="1" applyFill="1" applyBorder="1" applyAlignment="1">
      <alignment horizontal="right" wrapText="1"/>
    </xf>
    <xf numFmtId="0" fontId="9" fillId="2" borderId="3" xfId="1" applyNumberFormat="1" applyFont="1" applyFill="1" applyBorder="1" applyAlignment="1" applyProtection="1">
      <alignment horizontal="left" vertical="center"/>
    </xf>
    <xf numFmtId="0" fontId="10" fillId="0" borderId="0" xfId="1" applyFont="1" applyFill="1"/>
    <xf numFmtId="0" fontId="10" fillId="0" borderId="3" xfId="1" applyNumberFormat="1" applyFont="1" applyFill="1" applyBorder="1" applyAlignment="1" applyProtection="1">
      <alignment vertical="center" wrapText="1"/>
    </xf>
    <xf numFmtId="0" fontId="10" fillId="3" borderId="3" xfId="1" applyNumberFormat="1" applyFont="1" applyFill="1" applyBorder="1" applyAlignment="1" applyProtection="1">
      <alignment vertical="center" wrapText="1"/>
    </xf>
    <xf numFmtId="0" fontId="10" fillId="0" borderId="3" xfId="1" applyFont="1" applyFill="1" applyBorder="1" applyAlignment="1">
      <alignment vertical="center"/>
    </xf>
    <xf numFmtId="0" fontId="10" fillId="0" borderId="3" xfId="1" applyNumberFormat="1" applyFont="1" applyFill="1" applyBorder="1" applyAlignment="1" applyProtection="1">
      <alignment horizontal="left" vertical="center" wrapText="1"/>
    </xf>
    <xf numFmtId="0" fontId="10" fillId="0" borderId="3" xfId="1" applyFont="1" applyFill="1" applyBorder="1" applyAlignment="1">
      <alignment horizontal="left" wrapText="1"/>
    </xf>
    <xf numFmtId="0" fontId="9" fillId="2" borderId="1" xfId="1" applyNumberFormat="1" applyFont="1" applyFill="1" applyBorder="1" applyAlignment="1" applyProtection="1">
      <alignment horizontal="left" vertical="center"/>
    </xf>
    <xf numFmtId="0" fontId="9" fillId="2" borderId="1" xfId="1" applyFont="1" applyFill="1" applyBorder="1" applyAlignment="1">
      <alignment vertical="center"/>
    </xf>
    <xf numFmtId="0" fontId="10" fillId="3" borderId="3" xfId="1" applyFont="1" applyFill="1" applyBorder="1" applyAlignment="1">
      <alignment horizontal="left" vertical="center" wrapText="1"/>
    </xf>
    <xf numFmtId="177" fontId="9" fillId="2" borderId="3" xfId="1" applyNumberFormat="1" applyFont="1" applyFill="1" applyBorder="1" applyAlignment="1">
      <alignment vertical="center"/>
    </xf>
    <xf numFmtId="0" fontId="9" fillId="2" borderId="3" xfId="1" applyFont="1" applyFill="1" applyBorder="1" applyAlignment="1">
      <alignment vertical="center"/>
    </xf>
    <xf numFmtId="177" fontId="9" fillId="2" borderId="3" xfId="1" applyNumberFormat="1" applyFont="1" applyFill="1" applyBorder="1" applyAlignment="1">
      <alignment horizontal="right" vertical="center"/>
    </xf>
    <xf numFmtId="0" fontId="9" fillId="2" borderId="3" xfId="1" applyNumberFormat="1" applyFont="1" applyFill="1" applyBorder="1" applyAlignment="1">
      <alignment vertical="center"/>
    </xf>
    <xf numFmtId="176" fontId="9" fillId="2" borderId="7" xfId="1" applyNumberFormat="1" applyFont="1" applyFill="1" applyBorder="1" applyAlignment="1">
      <alignment vertical="center"/>
    </xf>
    <xf numFmtId="0" fontId="10" fillId="3" borderId="3" xfId="1" applyFont="1" applyFill="1" applyBorder="1" applyAlignment="1"/>
    <xf numFmtId="176" fontId="10" fillId="0" borderId="7" xfId="1" applyNumberFormat="1" applyFont="1" applyFill="1" applyBorder="1" applyAlignment="1"/>
    <xf numFmtId="176" fontId="10" fillId="0" borderId="7" xfId="1" applyNumberFormat="1" applyFont="1" applyFill="1" applyBorder="1" applyAlignment="1">
      <alignment vertical="center"/>
    </xf>
    <xf numFmtId="0" fontId="10" fillId="3" borderId="3" xfId="1" applyFont="1" applyFill="1" applyBorder="1" applyAlignment="1">
      <alignment vertical="center"/>
    </xf>
    <xf numFmtId="176" fontId="9" fillId="2" borderId="6" xfId="1" applyNumberFormat="1" applyFont="1" applyFill="1" applyBorder="1" applyAlignment="1">
      <alignment vertical="center"/>
    </xf>
    <xf numFmtId="0" fontId="10" fillId="0" borderId="3" xfId="1" applyFont="1" applyFill="1" applyBorder="1" applyAlignment="1"/>
    <xf numFmtId="0" fontId="8" fillId="0" borderId="1" xfId="1" applyFont="1" applyFill="1" applyBorder="1" applyAlignment="1">
      <alignment horizontal="center" vertical="center" wrapText="1"/>
    </xf>
    <xf numFmtId="0" fontId="12" fillId="0" borderId="1" xfId="1" applyFont="1" applyFill="1" applyBorder="1" applyAlignment="1">
      <alignment horizontal="center" vertical="center"/>
    </xf>
    <xf numFmtId="0" fontId="12" fillId="0" borderId="2" xfId="1" applyFont="1" applyFill="1" applyBorder="1" applyAlignment="1">
      <alignment horizontal="center" vertical="center"/>
    </xf>
    <xf numFmtId="0" fontId="13" fillId="0" borderId="6" xfId="1" applyFont="1" applyFill="1" applyBorder="1" applyAlignment="1">
      <alignment horizontal="center" vertical="center"/>
    </xf>
    <xf numFmtId="0" fontId="11" fillId="0" borderId="3" xfId="1" applyFont="1" applyFill="1" applyBorder="1" applyAlignment="1">
      <alignment horizontal="center" vertical="center" wrapText="1"/>
    </xf>
    <xf numFmtId="0" fontId="8" fillId="0" borderId="5" xfId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center" vertical="center" wrapText="1"/>
    </xf>
    <xf numFmtId="0" fontId="8" fillId="0" borderId="7" xfId="1" applyFont="1" applyFill="1" applyBorder="1" applyAlignment="1">
      <alignment horizontal="center" vertical="center" wrapText="1"/>
    </xf>
    <xf numFmtId="0" fontId="8" fillId="0" borderId="4" xfId="1" applyFont="1" applyFill="1" applyBorder="1" applyAlignment="1">
      <alignment horizontal="center" vertical="center"/>
    </xf>
    <xf numFmtId="0" fontId="9" fillId="0" borderId="0" xfId="1" applyFont="1" applyFill="1"/>
    <xf numFmtId="0" fontId="14" fillId="0" borderId="0" xfId="1" applyFont="1" applyFill="1" applyAlignment="1">
      <alignment horizontal="center"/>
    </xf>
  </cellXfs>
  <cellStyles count="2">
    <cellStyle name="?鹎%U龡&amp;H齲_x0001_C铣_x0014__x0007__x0001__x0001_" xfId="1"/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Desktop/2017&#39044;&#31639;/2017&#39044;&#31639;&#33609;&#26696;/&#24179;&#28525;2016&#24180;&#39044;&#31639;&#25191;&#34892;&#21450;2017&#24180;&#39044;&#31639;&#33609;&#26696;&#24773;&#20917;&#34920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0"/>
      <sheetName val="Sheet1"/>
      <sheetName val="Sheet2"/>
      <sheetName val="Sheet3"/>
      <sheetName val="Sheet4 "/>
      <sheetName val="Sheet5"/>
      <sheetName val="Sheet6"/>
    </sheetNames>
    <sheetDataSet>
      <sheetData sheetId="0"/>
      <sheetData sheetId="1">
        <row r="8">
          <cell r="E8">
            <v>6300</v>
          </cell>
          <cell r="G8">
            <v>5655</v>
          </cell>
        </row>
        <row r="9">
          <cell r="E9">
            <v>37300</v>
          </cell>
          <cell r="G9">
            <v>42834</v>
          </cell>
        </row>
        <row r="10">
          <cell r="E10">
            <v>33300</v>
          </cell>
          <cell r="G10">
            <v>33275</v>
          </cell>
        </row>
        <row r="11">
          <cell r="E11">
            <v>28020</v>
          </cell>
          <cell r="G11">
            <v>30661</v>
          </cell>
        </row>
        <row r="12">
          <cell r="E12">
            <v>10500</v>
          </cell>
          <cell r="G12">
            <v>14189</v>
          </cell>
        </row>
        <row r="13">
          <cell r="E13">
            <v>70</v>
          </cell>
          <cell r="G13">
            <v>54</v>
          </cell>
        </row>
        <row r="14">
          <cell r="E14">
            <v>8920</v>
          </cell>
          <cell r="G14">
            <v>9012</v>
          </cell>
        </row>
        <row r="15">
          <cell r="E15">
            <v>2115</v>
          </cell>
          <cell r="G15">
            <v>2276</v>
          </cell>
        </row>
        <row r="16">
          <cell r="E16">
            <v>3500</v>
          </cell>
          <cell r="G16">
            <v>4301</v>
          </cell>
        </row>
        <row r="17">
          <cell r="E17">
            <v>5070</v>
          </cell>
          <cell r="G17">
            <v>5720</v>
          </cell>
        </row>
        <row r="18">
          <cell r="E18">
            <v>19500</v>
          </cell>
          <cell r="G18">
            <v>25162</v>
          </cell>
        </row>
        <row r="19">
          <cell r="E19">
            <v>1555</v>
          </cell>
          <cell r="G19">
            <v>1619</v>
          </cell>
        </row>
        <row r="20">
          <cell r="E20">
            <v>100</v>
          </cell>
          <cell r="G20">
            <v>87</v>
          </cell>
        </row>
        <row r="21">
          <cell r="E21">
            <v>5800</v>
          </cell>
          <cell r="G21">
            <v>6587</v>
          </cell>
        </row>
        <row r="23">
          <cell r="E23">
            <v>23450</v>
          </cell>
          <cell r="G23">
            <v>24080</v>
          </cell>
        </row>
        <row r="24">
          <cell r="E24">
            <v>3800</v>
          </cell>
          <cell r="G24">
            <v>3950</v>
          </cell>
        </row>
        <row r="25">
          <cell r="E25">
            <v>420</v>
          </cell>
          <cell r="G25">
            <v>434</v>
          </cell>
        </row>
        <row r="26">
          <cell r="E26">
            <v>900</v>
          </cell>
          <cell r="G26">
            <v>1212</v>
          </cell>
        </row>
        <row r="27">
          <cell r="E27">
            <v>9053</v>
          </cell>
          <cell r="G27">
            <v>9053</v>
          </cell>
        </row>
        <row r="28">
          <cell r="E28">
            <v>9052</v>
          </cell>
          <cell r="G28">
            <v>9052</v>
          </cell>
        </row>
        <row r="29">
          <cell r="E29">
            <v>5400</v>
          </cell>
          <cell r="G29">
            <v>7727</v>
          </cell>
        </row>
        <row r="30">
          <cell r="E30">
            <v>34610</v>
          </cell>
          <cell r="G30">
            <v>35025</v>
          </cell>
        </row>
        <row r="31">
          <cell r="E31">
            <v>1000</v>
          </cell>
          <cell r="G31">
            <v>1000</v>
          </cell>
        </row>
        <row r="32">
          <cell r="E32">
            <v>3200</v>
          </cell>
          <cell r="G32">
            <v>13986</v>
          </cell>
        </row>
        <row r="33">
          <cell r="E33">
            <v>888</v>
          </cell>
          <cell r="G33">
            <v>888</v>
          </cell>
        </row>
        <row r="34">
          <cell r="E34">
            <v>2</v>
          </cell>
          <cell r="G34">
            <v>424</v>
          </cell>
        </row>
        <row r="63">
          <cell r="E63">
            <v>55385</v>
          </cell>
          <cell r="G63">
            <v>59975</v>
          </cell>
        </row>
        <row r="64">
          <cell r="E64">
            <v>12055</v>
          </cell>
          <cell r="G64">
            <v>11808</v>
          </cell>
        </row>
        <row r="65">
          <cell r="E65">
            <v>110465</v>
          </cell>
          <cell r="G65">
            <v>125407</v>
          </cell>
        </row>
        <row r="66">
          <cell r="E66">
            <v>64750</v>
          </cell>
          <cell r="G66">
            <v>79180</v>
          </cell>
        </row>
        <row r="68">
          <cell r="E68">
            <v>35153</v>
          </cell>
          <cell r="G68">
            <v>40043</v>
          </cell>
        </row>
        <row r="69">
          <cell r="E69">
            <v>10</v>
          </cell>
          <cell r="G69">
            <v>12</v>
          </cell>
        </row>
        <row r="70">
          <cell r="E70">
            <v>3880</v>
          </cell>
          <cell r="G70">
            <v>3855</v>
          </cell>
        </row>
        <row r="71">
          <cell r="E71">
            <v>42030</v>
          </cell>
          <cell r="G71">
            <v>45991.5</v>
          </cell>
        </row>
        <row r="72">
          <cell r="E72">
            <v>15750</v>
          </cell>
          <cell r="G72">
            <v>21283.5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abSelected="1" workbookViewId="0">
      <selection activeCell="J15" sqref="J15"/>
    </sheetView>
  </sheetViews>
  <sheetFormatPr defaultRowHeight="12.75"/>
  <cols>
    <col min="1" max="1" width="30" style="3" customWidth="1"/>
    <col min="2" max="5" width="12.625" style="3" customWidth="1"/>
    <col min="6" max="16384" width="9" style="1"/>
  </cols>
  <sheetData>
    <row r="1" spans="1:5" ht="36.75" customHeight="1">
      <c r="A1" s="39" t="s">
        <v>50</v>
      </c>
      <c r="B1" s="5"/>
      <c r="C1" s="5"/>
      <c r="D1" s="5"/>
      <c r="E1" s="5"/>
    </row>
    <row r="2" spans="1:5" ht="15" thickBot="1">
      <c r="A2" s="2"/>
      <c r="D2" s="4"/>
      <c r="E2" s="7" t="s">
        <v>0</v>
      </c>
    </row>
    <row r="3" spans="1:5" ht="15.75">
      <c r="A3" s="29" t="s">
        <v>47</v>
      </c>
      <c r="B3" s="30" t="s">
        <v>48</v>
      </c>
      <c r="C3" s="31"/>
      <c r="D3" s="30" t="s">
        <v>49</v>
      </c>
      <c r="E3" s="32"/>
    </row>
    <row r="4" spans="1:5" ht="12.75" customHeight="1">
      <c r="A4" s="33"/>
      <c r="B4" s="34" t="s">
        <v>16</v>
      </c>
      <c r="C4" s="35" t="s">
        <v>1</v>
      </c>
      <c r="D4" s="35" t="s">
        <v>17</v>
      </c>
      <c r="E4" s="36" t="s">
        <v>18</v>
      </c>
    </row>
    <row r="5" spans="1:5" ht="12.75" customHeight="1">
      <c r="A5" s="33"/>
      <c r="B5" s="37"/>
      <c r="C5" s="33"/>
      <c r="D5" s="35"/>
      <c r="E5" s="36"/>
    </row>
    <row r="6" spans="1:5" s="9" customFormat="1" ht="13.5">
      <c r="A6" s="8" t="s">
        <v>19</v>
      </c>
      <c r="B6" s="19">
        <f>B7+B22</f>
        <v>230600</v>
      </c>
      <c r="C6" s="19">
        <f>C7+C22</f>
        <v>264562</v>
      </c>
      <c r="D6" s="19">
        <f>D7+D22</f>
        <v>272100</v>
      </c>
      <c r="E6" s="22">
        <v>17.996530789245458</v>
      </c>
    </row>
    <row r="7" spans="1:5" s="9" customFormat="1" ht="13.5">
      <c r="A7" s="10" t="s">
        <v>21</v>
      </c>
      <c r="B7" s="23">
        <f>SUM(B8:B21)</f>
        <v>162050</v>
      </c>
      <c r="C7" s="23">
        <f>SUM(C8:C21)</f>
        <v>181432</v>
      </c>
      <c r="D7" s="28">
        <f>SUM(D8:D21)</f>
        <v>201200</v>
      </c>
      <c r="E7" s="24">
        <v>24.159210120333242</v>
      </c>
    </row>
    <row r="8" spans="1:5" s="9" customFormat="1" ht="13.5">
      <c r="A8" s="11" t="s">
        <v>22</v>
      </c>
      <c r="B8" s="23">
        <f>[1]Sheet1!E8</f>
        <v>6300</v>
      </c>
      <c r="C8" s="23">
        <f>[1]Sheet1!G8</f>
        <v>5655</v>
      </c>
      <c r="D8" s="28">
        <v>9900</v>
      </c>
      <c r="E8" s="24">
        <v>57.142857142857139</v>
      </c>
    </row>
    <row r="9" spans="1:5" s="9" customFormat="1" ht="13.5">
      <c r="A9" s="11" t="s">
        <v>23</v>
      </c>
      <c r="B9" s="23">
        <f>[1]Sheet1!E9</f>
        <v>37300</v>
      </c>
      <c r="C9" s="23">
        <f>[1]Sheet1!G9</f>
        <v>42834</v>
      </c>
      <c r="D9" s="28">
        <f>66600</f>
        <v>66600</v>
      </c>
      <c r="E9" s="24">
        <v>78.552278820375349</v>
      </c>
    </row>
    <row r="10" spans="1:5" s="9" customFormat="1" ht="13.5">
      <c r="A10" s="10" t="s">
        <v>2</v>
      </c>
      <c r="B10" s="23">
        <f>[1]Sheet1!E10</f>
        <v>33300</v>
      </c>
      <c r="C10" s="23">
        <f>[1]Sheet1!G10</f>
        <v>33275</v>
      </c>
      <c r="D10" s="28">
        <v>0</v>
      </c>
      <c r="E10" s="24">
        <v>-100</v>
      </c>
    </row>
    <row r="11" spans="1:5" s="9" customFormat="1" ht="13.5">
      <c r="A11" s="10" t="s">
        <v>3</v>
      </c>
      <c r="B11" s="23">
        <f>[1]Sheet1!E11</f>
        <v>28020</v>
      </c>
      <c r="C11" s="23">
        <f>[1]Sheet1!G11</f>
        <v>30661</v>
      </c>
      <c r="D11" s="28">
        <f>42000+5000</f>
        <v>47000</v>
      </c>
      <c r="E11" s="24">
        <v>67.737330478229836</v>
      </c>
    </row>
    <row r="12" spans="1:5" s="9" customFormat="1" ht="13.5">
      <c r="A12" s="10" t="s">
        <v>4</v>
      </c>
      <c r="B12" s="23">
        <f>[1]Sheet1!E12</f>
        <v>10500</v>
      </c>
      <c r="C12" s="23">
        <f>[1]Sheet1!G12</f>
        <v>14189</v>
      </c>
      <c r="D12" s="28">
        <f>15600-5000</f>
        <v>10600</v>
      </c>
      <c r="E12" s="24">
        <v>0.952380952380949</v>
      </c>
    </row>
    <row r="13" spans="1:5" s="9" customFormat="1" ht="13.5">
      <c r="A13" s="10" t="s">
        <v>5</v>
      </c>
      <c r="B13" s="23">
        <f>[1]Sheet1!E13</f>
        <v>70</v>
      </c>
      <c r="C13" s="23">
        <f>[1]Sheet1!G13</f>
        <v>54</v>
      </c>
      <c r="D13" s="28">
        <v>70</v>
      </c>
      <c r="E13" s="24">
        <v>0</v>
      </c>
    </row>
    <row r="14" spans="1:5" s="9" customFormat="1" ht="13.5">
      <c r="A14" s="10" t="s">
        <v>6</v>
      </c>
      <c r="B14" s="23">
        <f>[1]Sheet1!E14</f>
        <v>8920</v>
      </c>
      <c r="C14" s="23">
        <f>[1]Sheet1!G14</f>
        <v>9012</v>
      </c>
      <c r="D14" s="28">
        <v>10900</v>
      </c>
      <c r="E14" s="24">
        <v>22.197309417040366</v>
      </c>
    </row>
    <row r="15" spans="1:5" s="9" customFormat="1" ht="13.5">
      <c r="A15" s="10" t="s">
        <v>7</v>
      </c>
      <c r="B15" s="23">
        <f>[1]Sheet1!E15</f>
        <v>2115</v>
      </c>
      <c r="C15" s="23">
        <f>[1]Sheet1!G15</f>
        <v>2276</v>
      </c>
      <c r="D15" s="28">
        <v>2400</v>
      </c>
      <c r="E15" s="24">
        <v>13.475177304964546</v>
      </c>
    </row>
    <row r="16" spans="1:5" s="9" customFormat="1" ht="13.5">
      <c r="A16" s="10" t="s">
        <v>24</v>
      </c>
      <c r="B16" s="23">
        <f>[1]Sheet1!E16</f>
        <v>3500</v>
      </c>
      <c r="C16" s="23">
        <f>[1]Sheet1!G16</f>
        <v>4301</v>
      </c>
      <c r="D16" s="28">
        <v>4200</v>
      </c>
      <c r="E16" s="24">
        <v>19.999999999999996</v>
      </c>
    </row>
    <row r="17" spans="1:5" s="9" customFormat="1" ht="13.5">
      <c r="A17" s="10" t="s">
        <v>8</v>
      </c>
      <c r="B17" s="23">
        <f>[1]Sheet1!E17</f>
        <v>5070</v>
      </c>
      <c r="C17" s="23">
        <f>[1]Sheet1!G17</f>
        <v>5720</v>
      </c>
      <c r="D17" s="28">
        <v>8760</v>
      </c>
      <c r="E17" s="24">
        <v>72.781065088757387</v>
      </c>
    </row>
    <row r="18" spans="1:5" s="9" customFormat="1" ht="13.5">
      <c r="A18" s="10" t="s">
        <v>9</v>
      </c>
      <c r="B18" s="23">
        <f>[1]Sheet1!E18</f>
        <v>19500</v>
      </c>
      <c r="C18" s="23">
        <f>[1]Sheet1!G18</f>
        <v>25162</v>
      </c>
      <c r="D18" s="28">
        <v>26100</v>
      </c>
      <c r="E18" s="24">
        <v>33.84615384615384</v>
      </c>
    </row>
    <row r="19" spans="1:5" s="9" customFormat="1" ht="13.5">
      <c r="A19" s="10" t="s">
        <v>25</v>
      </c>
      <c r="B19" s="23">
        <f>[1]Sheet1!E19</f>
        <v>1555</v>
      </c>
      <c r="C19" s="23">
        <f>[1]Sheet1!G19</f>
        <v>1619</v>
      </c>
      <c r="D19" s="12">
        <v>1750</v>
      </c>
      <c r="E19" s="25">
        <v>12.540192926045023</v>
      </c>
    </row>
    <row r="20" spans="1:5" s="9" customFormat="1" ht="13.5">
      <c r="A20" s="10" t="s">
        <v>10</v>
      </c>
      <c r="B20" s="23">
        <f>[1]Sheet1!E20</f>
        <v>100</v>
      </c>
      <c r="C20" s="23">
        <f>[1]Sheet1!G20</f>
        <v>87</v>
      </c>
      <c r="D20" s="12">
        <v>4000</v>
      </c>
      <c r="E20" s="25">
        <v>3900</v>
      </c>
    </row>
    <row r="21" spans="1:5" s="9" customFormat="1" ht="13.5">
      <c r="A21" s="10" t="s">
        <v>11</v>
      </c>
      <c r="B21" s="23">
        <f>[1]Sheet1!E21</f>
        <v>5800</v>
      </c>
      <c r="C21" s="23">
        <f>[1]Sheet1!G21</f>
        <v>6587</v>
      </c>
      <c r="D21" s="12">
        <v>8920</v>
      </c>
      <c r="E21" s="25">
        <v>53.793103448275858</v>
      </c>
    </row>
    <row r="22" spans="1:5" s="9" customFormat="1" ht="13.5">
      <c r="A22" s="10" t="s">
        <v>26</v>
      </c>
      <c r="B22" s="12">
        <f>SUM(B23,B29:B34)</f>
        <v>68550</v>
      </c>
      <c r="C22" s="12">
        <f>SUM(C23,C29:C34)</f>
        <v>83130</v>
      </c>
      <c r="D22" s="12">
        <f>SUM(D23,D29:D34)</f>
        <v>70900</v>
      </c>
      <c r="E22" s="25">
        <v>3.4281546316557332</v>
      </c>
    </row>
    <row r="23" spans="1:5" s="9" customFormat="1" ht="13.5">
      <c r="A23" s="10" t="s">
        <v>12</v>
      </c>
      <c r="B23" s="23">
        <f>[1]Sheet1!E23</f>
        <v>23450</v>
      </c>
      <c r="C23" s="23">
        <f>[1]Sheet1!G23</f>
        <v>24080</v>
      </c>
      <c r="D23" s="12">
        <v>37550</v>
      </c>
      <c r="E23" s="25">
        <v>60.127931769722821</v>
      </c>
    </row>
    <row r="24" spans="1:5" s="9" customFormat="1" ht="13.5">
      <c r="A24" s="13" t="s">
        <v>27</v>
      </c>
      <c r="B24" s="23">
        <f>[1]Sheet1!E24</f>
        <v>3800</v>
      </c>
      <c r="C24" s="23">
        <f>[1]Sheet1!G24</f>
        <v>3950</v>
      </c>
      <c r="D24" s="12">
        <v>4500</v>
      </c>
      <c r="E24" s="25">
        <v>18.421052631578938</v>
      </c>
    </row>
    <row r="25" spans="1:5" s="9" customFormat="1" ht="13.5">
      <c r="A25" s="13" t="s">
        <v>28</v>
      </c>
      <c r="B25" s="23">
        <f>[1]Sheet1!E25</f>
        <v>420</v>
      </c>
      <c r="C25" s="23">
        <f>[1]Sheet1!G25</f>
        <v>434</v>
      </c>
      <c r="D25" s="12">
        <v>450</v>
      </c>
      <c r="E25" s="25">
        <v>7.1428571428571397</v>
      </c>
    </row>
    <row r="26" spans="1:5" s="9" customFormat="1" ht="13.5">
      <c r="A26" s="13" t="s">
        <v>29</v>
      </c>
      <c r="B26" s="23">
        <f>[1]Sheet1!E26</f>
        <v>900</v>
      </c>
      <c r="C26" s="23">
        <f>[1]Sheet1!G26</f>
        <v>1212</v>
      </c>
      <c r="D26" s="12">
        <v>10000</v>
      </c>
      <c r="E26" s="25">
        <v>1011.1111111111111</v>
      </c>
    </row>
    <row r="27" spans="1:5" s="9" customFormat="1" ht="13.5">
      <c r="A27" s="13" t="s">
        <v>30</v>
      </c>
      <c r="B27" s="23">
        <f>[1]Sheet1!E27</f>
        <v>9053</v>
      </c>
      <c r="C27" s="23">
        <f>[1]Sheet1!G27</f>
        <v>9053</v>
      </c>
      <c r="D27" s="12">
        <v>10000</v>
      </c>
      <c r="E27" s="25">
        <v>10.460620788688836</v>
      </c>
    </row>
    <row r="28" spans="1:5" s="9" customFormat="1" ht="13.5">
      <c r="A28" s="13" t="s">
        <v>31</v>
      </c>
      <c r="B28" s="23">
        <f>[1]Sheet1!E28</f>
        <v>9052</v>
      </c>
      <c r="C28" s="23">
        <f>[1]Sheet1!G28</f>
        <v>9052</v>
      </c>
      <c r="D28" s="12">
        <v>10000</v>
      </c>
      <c r="E28" s="25">
        <v>10.472823685373388</v>
      </c>
    </row>
    <row r="29" spans="1:5" s="9" customFormat="1" ht="13.5">
      <c r="A29" s="14" t="s">
        <v>32</v>
      </c>
      <c r="B29" s="23">
        <f>[1]Sheet1!E29</f>
        <v>5400</v>
      </c>
      <c r="C29" s="23">
        <f>[1]Sheet1!G29</f>
        <v>7727</v>
      </c>
      <c r="D29" s="12">
        <v>5740</v>
      </c>
      <c r="E29" s="25">
        <v>6.2962962962962887</v>
      </c>
    </row>
    <row r="30" spans="1:5" s="9" customFormat="1" ht="13.5">
      <c r="A30" s="14" t="s">
        <v>33</v>
      </c>
      <c r="B30" s="23">
        <f>[1]Sheet1!E30</f>
        <v>34610</v>
      </c>
      <c r="C30" s="23">
        <f>[1]Sheet1!G30</f>
        <v>35025</v>
      </c>
      <c r="D30" s="12">
        <v>4350</v>
      </c>
      <c r="E30" s="25">
        <v>-87.431378214388914</v>
      </c>
    </row>
    <row r="31" spans="1:5" s="9" customFormat="1" ht="13.5">
      <c r="A31" s="14" t="s">
        <v>34</v>
      </c>
      <c r="B31" s="23">
        <f>[1]Sheet1!E31</f>
        <v>1000</v>
      </c>
      <c r="C31" s="23">
        <f>[1]Sheet1!G31</f>
        <v>1000</v>
      </c>
      <c r="D31" s="12">
        <v>0</v>
      </c>
      <c r="E31" s="25">
        <v>-100</v>
      </c>
    </row>
    <row r="32" spans="1:5" s="9" customFormat="1" ht="13.5">
      <c r="A32" s="14" t="s">
        <v>35</v>
      </c>
      <c r="B32" s="23">
        <f>[1]Sheet1!E32</f>
        <v>3200</v>
      </c>
      <c r="C32" s="23">
        <f>[1]Sheet1!G32</f>
        <v>13986</v>
      </c>
      <c r="D32" s="12">
        <f>13000+5000</f>
        <v>18000</v>
      </c>
      <c r="E32" s="25">
        <v>462.5</v>
      </c>
    </row>
    <row r="33" spans="1:5" s="9" customFormat="1" ht="13.5">
      <c r="A33" s="13" t="s">
        <v>36</v>
      </c>
      <c r="B33" s="23">
        <f>[1]Sheet1!E33</f>
        <v>888</v>
      </c>
      <c r="C33" s="23">
        <f>[1]Sheet1!G33</f>
        <v>888</v>
      </c>
      <c r="D33" s="12">
        <v>260</v>
      </c>
      <c r="E33" s="26" t="s">
        <v>37</v>
      </c>
    </row>
    <row r="34" spans="1:5" s="9" customFormat="1" ht="14.25" thickBot="1">
      <c r="A34" s="10" t="s">
        <v>13</v>
      </c>
      <c r="B34" s="23">
        <f>[1]Sheet1!E34</f>
        <v>2</v>
      </c>
      <c r="C34" s="23">
        <f>[1]Sheet1!G34</f>
        <v>424</v>
      </c>
      <c r="D34" s="12">
        <v>5000</v>
      </c>
      <c r="E34" s="25">
        <v>249900</v>
      </c>
    </row>
    <row r="35" spans="1:5" s="38" customFormat="1" ht="13.5">
      <c r="A35" s="15" t="s">
        <v>20</v>
      </c>
      <c r="B35" s="16">
        <f>B36+B38+B39</f>
        <v>230600</v>
      </c>
      <c r="C35" s="16">
        <f>C36+C38+C39</f>
        <v>264562</v>
      </c>
      <c r="D35" s="16">
        <f>D36+D38+D39</f>
        <v>272100</v>
      </c>
      <c r="E35" s="27">
        <v>17.996530789245458</v>
      </c>
    </row>
    <row r="36" spans="1:5" s="9" customFormat="1" ht="13.5">
      <c r="A36" s="17" t="s">
        <v>38</v>
      </c>
      <c r="B36" s="23">
        <f>[1]Sheet1!E63</f>
        <v>55385</v>
      </c>
      <c r="C36" s="23">
        <f>[1]Sheet1!G63</f>
        <v>59975</v>
      </c>
      <c r="D36" s="12">
        <f>112170+5000</f>
        <v>117170</v>
      </c>
      <c r="E36" s="25">
        <v>111.55547530919922</v>
      </c>
    </row>
    <row r="37" spans="1:5" s="9" customFormat="1" ht="13.5">
      <c r="A37" s="17" t="s">
        <v>39</v>
      </c>
      <c r="B37" s="23">
        <f>[1]Sheet1!E64</f>
        <v>12055</v>
      </c>
      <c r="C37" s="23">
        <f>[1]Sheet1!G64</f>
        <v>11808</v>
      </c>
      <c r="D37" s="12">
        <v>40670</v>
      </c>
      <c r="E37" s="25">
        <v>237.37038573206141</v>
      </c>
    </row>
    <row r="38" spans="1:5" s="9" customFormat="1" ht="13.5">
      <c r="A38" s="17" t="s">
        <v>40</v>
      </c>
      <c r="B38" s="23">
        <f>[1]Sheet1!E65</f>
        <v>110465</v>
      </c>
      <c r="C38" s="23">
        <f>[1]Sheet1!G65</f>
        <v>125407</v>
      </c>
      <c r="D38" s="12">
        <f>98530-10000</f>
        <v>88530</v>
      </c>
      <c r="E38" s="25">
        <v>-19.856968270492914</v>
      </c>
    </row>
    <row r="39" spans="1:5" s="9" customFormat="1" ht="13.5">
      <c r="A39" s="17" t="s">
        <v>41</v>
      </c>
      <c r="B39" s="23">
        <f>[1]Sheet1!E66</f>
        <v>64750</v>
      </c>
      <c r="C39" s="23">
        <f>[1]Sheet1!G66</f>
        <v>79180</v>
      </c>
      <c r="D39" s="12">
        <v>66400</v>
      </c>
      <c r="E39" s="25">
        <v>2.5482625482625476</v>
      </c>
    </row>
    <row r="40" spans="1:5" s="38" customFormat="1" ht="13.5">
      <c r="A40" s="8" t="s">
        <v>14</v>
      </c>
      <c r="B40" s="19">
        <f>SUM(B41:B45)</f>
        <v>96823</v>
      </c>
      <c r="C40" s="21">
        <f>SUM(C41:C45)</f>
        <v>111185</v>
      </c>
      <c r="D40" s="18">
        <f>SUM(D41:D45)</f>
        <v>162910</v>
      </c>
      <c r="E40" s="22">
        <v>68.255476488024541</v>
      </c>
    </row>
    <row r="41" spans="1:5" s="9" customFormat="1" ht="13.5">
      <c r="A41" s="14" t="s">
        <v>42</v>
      </c>
      <c r="B41" s="23">
        <f>[1]Sheet1!E68</f>
        <v>35153</v>
      </c>
      <c r="C41" s="23">
        <f>[1]Sheet1!G68</f>
        <v>40043</v>
      </c>
      <c r="D41" s="12">
        <f>D8+D9</f>
        <v>76500</v>
      </c>
      <c r="E41" s="25">
        <v>117.62011777088728</v>
      </c>
    </row>
    <row r="42" spans="1:5" s="9" customFormat="1" ht="13.5">
      <c r="A42" s="14" t="s">
        <v>43</v>
      </c>
      <c r="B42" s="23">
        <f>[1]Sheet1!E69</f>
        <v>10</v>
      </c>
      <c r="C42" s="23">
        <f>[1]Sheet1!G69</f>
        <v>12</v>
      </c>
      <c r="D42" s="12">
        <v>10</v>
      </c>
      <c r="E42" s="25">
        <v>0</v>
      </c>
    </row>
    <row r="43" spans="1:5" s="9" customFormat="1" ht="13.5">
      <c r="A43" s="14" t="s">
        <v>44</v>
      </c>
      <c r="B43" s="23">
        <f>[1]Sheet1!E70</f>
        <v>3880</v>
      </c>
      <c r="C43" s="23">
        <f>[1]Sheet1!G70</f>
        <v>3855</v>
      </c>
      <c r="D43" s="12">
        <f>D10</f>
        <v>0</v>
      </c>
      <c r="E43" s="12">
        <v>3880</v>
      </c>
    </row>
    <row r="44" spans="1:5" s="9" customFormat="1" ht="13.5">
      <c r="A44" s="14" t="s">
        <v>45</v>
      </c>
      <c r="B44" s="23">
        <f>[1]Sheet1!E71</f>
        <v>42030</v>
      </c>
      <c r="C44" s="23">
        <f>[1]Sheet1!G71</f>
        <v>45991.5</v>
      </c>
      <c r="D44" s="12">
        <f>D11*1.5</f>
        <v>70500</v>
      </c>
      <c r="E44" s="25">
        <v>67.737330478229836</v>
      </c>
    </row>
    <row r="45" spans="1:5" s="9" customFormat="1" ht="13.5">
      <c r="A45" s="14" t="s">
        <v>46</v>
      </c>
      <c r="B45" s="23">
        <f>[1]Sheet1!E72</f>
        <v>15750</v>
      </c>
      <c r="C45" s="23">
        <f>[1]Sheet1!G72</f>
        <v>21283.5</v>
      </c>
      <c r="D45" s="12">
        <f>D12*1.5</f>
        <v>15900</v>
      </c>
      <c r="E45" s="25">
        <v>0.952380952380949</v>
      </c>
    </row>
    <row r="46" spans="1:5" s="38" customFormat="1" ht="13.5">
      <c r="A46" s="8" t="s">
        <v>15</v>
      </c>
      <c r="B46" s="19">
        <f>B40+B35</f>
        <v>327423</v>
      </c>
      <c r="C46" s="19">
        <f>C40+C35</f>
        <v>375747</v>
      </c>
      <c r="D46" s="20">
        <f>D40+D6</f>
        <v>435010</v>
      </c>
      <c r="E46" s="22">
        <v>32.858717927573821</v>
      </c>
    </row>
    <row r="47" spans="1:5">
      <c r="A47" s="6"/>
      <c r="B47" s="6"/>
      <c r="C47" s="6"/>
      <c r="D47" s="6"/>
      <c r="E47" s="6"/>
    </row>
  </sheetData>
  <protectedRanges>
    <protectedRange password="CF6E" sqref="D37:D38 B22:C22 D8:D24 D29:D31 D44:D45 D40:D42 D34" name="区域1_4"/>
    <protectedRange password="CF6E" sqref="C8:C21 C23:C31 C36:C45 C34" name="区域1_1_3"/>
    <protectedRange password="CF6E" sqref="B23:B31 B8:B21 E33 B36:B45 B34" name="区域1_3_3"/>
    <protectedRange password="CF6E" sqref="E43 D43" name="区域1_1_1_2"/>
  </protectedRanges>
  <mergeCells count="9">
    <mergeCell ref="A1:E1"/>
    <mergeCell ref="B3:C3"/>
    <mergeCell ref="D3:E3"/>
    <mergeCell ref="A47:E47"/>
    <mergeCell ref="E4:E5"/>
    <mergeCell ref="A3:A5"/>
    <mergeCell ref="B4:B5"/>
    <mergeCell ref="C4:C5"/>
    <mergeCell ref="D4:D5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2017-01-18T01:19:56Z</dcterms:modified>
</cp:coreProperties>
</file>