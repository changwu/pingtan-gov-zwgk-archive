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5480" windowHeight="11640"/>
  </bookViews>
  <sheets>
    <sheet name="2017年&quot;三公经费&quot;预算表" sheetId="16" r:id="rId1"/>
  </sheets>
  <definedNames>
    <definedName name="_xlnm.Print_Titles" localSheetId="0">'2017年"三公经费"预算表'!$6:$8</definedName>
  </definedNames>
  <calcPr calcId="125725"/>
  <fileRecoveryPr autoRecover="0"/>
</workbook>
</file>

<file path=xl/calcChain.xml><?xml version="1.0" encoding="utf-8"?>
<calcChain xmlns="http://schemas.openxmlformats.org/spreadsheetml/2006/main">
  <c r="B12" i="16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1"/>
  <c r="D10"/>
  <c r="E10"/>
  <c r="C10"/>
  <c r="B10" l="1"/>
</calcChain>
</file>

<file path=xl/sharedStrings.xml><?xml version="1.0" encoding="utf-8"?>
<sst xmlns="http://schemas.openxmlformats.org/spreadsheetml/2006/main" count="135" uniqueCount="135">
  <si>
    <t>单位</t>
    <phoneticPr fontId="1" type="noConversion"/>
  </si>
  <si>
    <t>合计</t>
  </si>
  <si>
    <t>公务用车运行维护费</t>
    <phoneticPr fontId="1" type="noConversion"/>
  </si>
  <si>
    <t>因公出国境费用</t>
    <phoneticPr fontId="1" type="noConversion"/>
  </si>
  <si>
    <t>公务接待费用</t>
    <phoneticPr fontId="1" type="noConversion"/>
  </si>
  <si>
    <t>**</t>
    <phoneticPr fontId="1" type="noConversion"/>
  </si>
  <si>
    <t>[101002]平潭县人民代表大会常务委员会</t>
  </si>
  <si>
    <t>[102002]政协福建省平潭县委员会</t>
  </si>
  <si>
    <t>[103001]中共福建省纪委平潭综合实验区委员会本级</t>
  </si>
  <si>
    <t>[103003]平潭综合实验区审计事务中心</t>
  </si>
  <si>
    <t>[104001]平潭综合实验区党工委管委会办公室本级</t>
  </si>
  <si>
    <t>[104004]平潭综合实验区党史方志研究中心</t>
  </si>
  <si>
    <t>[104005]平潭综合实验区司法办公室</t>
  </si>
  <si>
    <t>[104007]平潭综合实验区信访局</t>
  </si>
  <si>
    <t>[104008]平潭综合实验区机要局</t>
  </si>
  <si>
    <t>[104009]平潭综合实验区档案局</t>
  </si>
  <si>
    <t>[104010]平潭综合实验区政法办</t>
  </si>
  <si>
    <t>[104011]平潭综合实验区公证处</t>
  </si>
  <si>
    <t>[105007]平潭综合实验区工商业联合会</t>
  </si>
  <si>
    <t>[105022]平潭综合实验区人力资源公共服务中心</t>
  </si>
  <si>
    <t>[106001]平潭综合实验区台湾工作部本级</t>
  </si>
  <si>
    <t>[106003]平潭综合实验区归国华侨联合会</t>
  </si>
  <si>
    <t>[108001]平潭综合实验区综合执法局本级</t>
  </si>
  <si>
    <t>[108002]平潭综合实验区安监局</t>
  </si>
  <si>
    <t>[108005]平潭综合实验区海洋与渔业执法支队</t>
  </si>
  <si>
    <t>[108007]平潭综合实验区交通综合执法支队</t>
  </si>
  <si>
    <t>[108009]平潭综合实验区文化市场综合执法支队</t>
  </si>
  <si>
    <t>[108010]平潭综合实验区农业综合执法支队</t>
  </si>
  <si>
    <t>[109001]平潭综合实验区党工委宣传部本级</t>
  </si>
  <si>
    <t>[109004]平潭综合实验区未成年人思想道德建设中心</t>
  </si>
  <si>
    <t>[110001]平潭县潭城镇人民政府</t>
  </si>
  <si>
    <t>[110002]平潭县苏澳镇人民政府</t>
  </si>
  <si>
    <t>[110003]平潭县流水镇人民政府</t>
  </si>
  <si>
    <t>[110004]平潭县澳前镇人民政府</t>
  </si>
  <si>
    <t>[110005]平潭县平原镇人民政府</t>
  </si>
  <si>
    <t>[110006]平潭县北厝镇人民政府</t>
  </si>
  <si>
    <t>[110009]平潭县中楼乡人民政府</t>
  </si>
  <si>
    <t>[110010]平潭县白青乡人民政府</t>
  </si>
  <si>
    <t>[110011]平潭县屿头乡人民政府</t>
  </si>
  <si>
    <t>[110012]平潭县大练乡人民政府</t>
  </si>
  <si>
    <t>[110013]平潭县芦洋乡人民政府</t>
  </si>
  <si>
    <t>[110014]平潭县东庠乡人民政府</t>
  </si>
  <si>
    <t>[110015]平潭县南海乡人民政府</t>
  </si>
  <si>
    <t>[201001]平潭综合实验区公安局本级</t>
  </si>
  <si>
    <t>[204001]中国人民解放军福建省平潭县人民武装部本级</t>
  </si>
  <si>
    <t>[205001]平潭综合实验区社会服务管理指挥中心本级</t>
  </si>
  <si>
    <t>[206001]中共平潭综合实验区区直机关工作委员会本级</t>
  </si>
  <si>
    <t>[301001]平潭综合实验区经济发展局本级</t>
  </si>
  <si>
    <t>[301002]平潭综合实验区统计局</t>
  </si>
  <si>
    <t>[301003]平潭综合实验区经济社会调查队</t>
  </si>
  <si>
    <t>[301021]平潭综合实验区口岸工作办公室</t>
  </si>
  <si>
    <t>[302001]平潭综合实验区招商局本级</t>
  </si>
  <si>
    <t>[303001]平潭综合实验区市场监督管理局本级</t>
  </si>
  <si>
    <t>[303005]平潭综合实验区卫生监督所</t>
  </si>
  <si>
    <t>[303007]平潭综合实验区检验检测认证中心</t>
  </si>
  <si>
    <t>[304001]平潭综合实验区行政审批局本级</t>
  </si>
  <si>
    <t>[304002]平潭综合实验区马上办办公室</t>
  </si>
  <si>
    <t>[304004]平潭综合实验区公共资源交易中心</t>
  </si>
  <si>
    <t>[305001]平潭综合实验区风景名胜区管理局本级</t>
  </si>
  <si>
    <t>[306001]平潭综合实验区农村发展局本级</t>
  </si>
  <si>
    <t>[306002]平潭综合实验区农业机械管理站</t>
  </si>
  <si>
    <t>[306003]平潭县供销合作社联合社</t>
  </si>
  <si>
    <t>[306004]平潭综合实验区防汛抗旱指挥部办公室</t>
  </si>
  <si>
    <t>[306005]平潭综合实验区海洋与渔业技术中心</t>
  </si>
  <si>
    <t>[306007]平潭综合实验区农业技术服务中心</t>
  </si>
  <si>
    <t>[306008]平潭综合实验区动物卫生监督所</t>
  </si>
  <si>
    <t>[306010]平潭区海洋与渔业海上应急指挥中心</t>
  </si>
  <si>
    <t>[306011]平潭综合实验区林业发展服务中心</t>
  </si>
  <si>
    <t>[306012]平潭国有防护林场</t>
  </si>
  <si>
    <t>[306015]平潭综合实验区森林公安局</t>
  </si>
  <si>
    <t>[307001]平潭综合实验区重点项目建设管理办公室本级</t>
  </si>
  <si>
    <t>[309001]平潭综合实验区林业局本级</t>
  </si>
  <si>
    <t>[401001]平潭综合实验区环境与国土资源局本级</t>
  </si>
  <si>
    <t>[401002]平潭综合实验区环境与国土资源信息中心</t>
  </si>
  <si>
    <t>[401003]平潭综合实验区地灾防治与环境事故应急中心</t>
  </si>
  <si>
    <t>[401004]平潭综合实验区土地储备中心</t>
  </si>
  <si>
    <t>[401005]平潭综合实验区环境监测站</t>
  </si>
  <si>
    <t>[401006]平潭综合实验区不动产登记中心（房地产交易中心）</t>
  </si>
  <si>
    <t>[401008]平潭综合实验区环境监察支队</t>
  </si>
  <si>
    <t>[501005]平潭综合实验区住房公积金管理中心</t>
  </si>
  <si>
    <t>[501007]平潭综合实验区人防办</t>
  </si>
  <si>
    <t>[501016]平潭综合实验区交通与建设工程质量安全监督站</t>
  </si>
  <si>
    <t>[501033]平潭区交通运输管理服务中心</t>
  </si>
  <si>
    <t>[501035]平潭综合实验区宜居环境建设指挥部</t>
  </si>
  <si>
    <t>[502001]平潭综合实验区规划局本级</t>
  </si>
  <si>
    <t>[601001]平潭综合实验区财政金融局本级</t>
  </si>
  <si>
    <t>[601003]平潭综合实验区国库支付中心</t>
  </si>
  <si>
    <t>[601005]平潭综合实验区财政投资评审中心</t>
  </si>
  <si>
    <t>[601010]平潭综合实验区政府和社会资本合作（PPP）管理中心</t>
  </si>
  <si>
    <t>[603001]平潭综合实验区国有资产管理局本级</t>
  </si>
  <si>
    <t>[701001]平潭综合实验区社会事业局本级</t>
  </si>
  <si>
    <t>[701002]平潭综合实验区军队离退休干部休养所</t>
  </si>
  <si>
    <t>[701003]平潭综合实验区殡葬服务中心</t>
  </si>
  <si>
    <t>[701004]平潭综合实验区福利院</t>
  </si>
  <si>
    <t>[701006]平潭县闽剧团</t>
  </si>
  <si>
    <t>[701085]平潭综合实验区科协</t>
  </si>
  <si>
    <t>[701107]平潭综合实验区广播电视服务中心</t>
  </si>
  <si>
    <t>[701108]平潭综合实验区社会保障服务中心</t>
  </si>
  <si>
    <t>[701109]平潭综合实验区劳动人事争议仲裁院</t>
  </si>
  <si>
    <t>[702001]平潭综合实验区传媒中心本级</t>
  </si>
  <si>
    <t>[703001]平潭综合实验区教育局本级</t>
  </si>
  <si>
    <t>[703005]平潭综合实验区进修学校</t>
  </si>
  <si>
    <t>[703006]平潭职业中专学校</t>
  </si>
  <si>
    <t>[703007]平潭第一中学</t>
  </si>
  <si>
    <t>[703010]平潭城关中学</t>
  </si>
  <si>
    <t>[703011]福建师范大学平潭附属中学</t>
  </si>
  <si>
    <t>[704001]平潭综合实验区卫生和计划生育局本级</t>
  </si>
  <si>
    <t>[704005]平潭综合实验区中医院</t>
  </si>
  <si>
    <t>[704007]平潭综合实验区皮肤病性病防治院</t>
  </si>
  <si>
    <t>[704009]平潭综合实验区潭城镇社区卫生服务中心</t>
  </si>
  <si>
    <t>[801001]平潭综合实验区金井湾片区项目建设指挥部本级</t>
  </si>
  <si>
    <t>[802001]平潭综合实验区岚城片区项目建设指挥部本级</t>
  </si>
  <si>
    <t>[803001]平潭综合实验区澳前片区项目建设指挥部本级</t>
  </si>
  <si>
    <t>[805001]自贸区平潭片区管委会综合事务协调办公室本级</t>
  </si>
  <si>
    <t>[805002]自贸区平潭片区海峡两岸电子商务服务中心</t>
  </si>
  <si>
    <t>[805003]自贸区平潭片区跨境贸易电子商务办公室</t>
  </si>
  <si>
    <t>[806001]平潭综合实验区流水片区项目建设指挥部</t>
  </si>
  <si>
    <t>[806002]平潭综合实验区流水片区项目建设服务中心</t>
  </si>
  <si>
    <t>[899001]福建师范大学平潭附属中学筹建工作领导小组办公室</t>
  </si>
  <si>
    <t>[899008]平潭综合实验区三甲医院建设指挥部</t>
  </si>
  <si>
    <t>[899014]平潭道路交通安全综合整治工作领导小组</t>
  </si>
  <si>
    <t>[899019]平潭综合实验区管委会离岛免税项目领导小组办公室</t>
  </si>
  <si>
    <t>合计</t>
    <phoneticPr fontId="1" type="noConversion"/>
  </si>
  <si>
    <t>[104018]平潭综合实验区机关服务中心</t>
    <phoneticPr fontId="1" type="noConversion"/>
  </si>
  <si>
    <t>[105001]平潭综合实验区党群工作部本级</t>
    <phoneticPr fontId="1" type="noConversion"/>
  </si>
  <si>
    <t>[304003]平潭行政服务中心</t>
    <phoneticPr fontId="1" type="noConversion"/>
  </si>
  <si>
    <t>[501001]平潭综合实验区交通与建设局本级</t>
    <phoneticPr fontId="1" type="noConversion"/>
  </si>
  <si>
    <t>[704006]平潭综合实验区妇幼保健院</t>
    <phoneticPr fontId="1" type="noConversion"/>
  </si>
  <si>
    <t>[704008]平潭综合实验区疾控预防控中心</t>
    <phoneticPr fontId="1" type="noConversion"/>
  </si>
  <si>
    <t>[704013]平潭综合实验区平原镇中心卫生院</t>
    <phoneticPr fontId="1" type="noConversion"/>
  </si>
  <si>
    <t>[704016]平潭综合实验区流水镇中心卫生院</t>
    <phoneticPr fontId="1" type="noConversion"/>
  </si>
  <si>
    <t>[704020]平潭综合实验区北厝镇中心卫生院</t>
    <phoneticPr fontId="1" type="noConversion"/>
  </si>
  <si>
    <t>[605001]平潭综合实验区金融服务办公室</t>
    <phoneticPr fontId="1" type="noConversion"/>
  </si>
  <si>
    <t>单位：万元</t>
    <phoneticPr fontId="1" type="noConversion"/>
  </si>
  <si>
    <t>平潭2017年部门预算“三公经费”控制数计算表</t>
    <phoneticPr fontId="1" type="noConversion"/>
  </si>
</sst>
</file>

<file path=xl/styles.xml><?xml version="1.0" encoding="utf-8"?>
<styleSheet xmlns="http://schemas.openxmlformats.org/spreadsheetml/2006/main">
  <fonts count="23"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0"/>
      <name val="宋体"/>
      <family val="3"/>
      <charset val="134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25">
    <xf numFmtId="0" fontId="0" fillId="0" borderId="0" xfId="0">
      <alignment vertical="center"/>
    </xf>
    <xf numFmtId="0" fontId="19" fillId="0" borderId="0" xfId="0" applyFont="1" applyAlignment="1">
      <alignment vertical="center" wrapText="1"/>
    </xf>
    <xf numFmtId="0" fontId="20" fillId="0" borderId="0" xfId="0" quotePrefix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Fill="1">
      <alignment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49" fontId="21" fillId="0" borderId="10" xfId="0" applyNumberFormat="1" applyFont="1" applyFill="1" applyBorder="1" applyAlignment="1">
      <alignment vertical="center" wrapText="1"/>
    </xf>
    <xf numFmtId="4" fontId="21" fillId="0" borderId="10" xfId="0" applyNumberFormat="1" applyFont="1" applyFill="1" applyBorder="1" applyAlignment="1">
      <alignment horizontal="center" vertical="center"/>
    </xf>
    <xf numFmtId="49" fontId="22" fillId="0" borderId="10" xfId="0" applyNumberFormat="1" applyFont="1" applyFill="1" applyBorder="1" applyAlignment="1">
      <alignment vertical="center" wrapText="1"/>
    </xf>
    <xf numFmtId="4" fontId="22" fillId="0" borderId="10" xfId="0" applyNumberFormat="1" applyFont="1" applyFill="1" applyBorder="1" applyAlignment="1">
      <alignment horizontal="center" vertical="center"/>
    </xf>
    <xf numFmtId="49" fontId="21" fillId="0" borderId="10" xfId="0" applyNumberFormat="1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0" fillId="0" borderId="0" xfId="0" quotePrefix="1" applyFont="1" applyAlignment="1">
      <alignment horizontal="center" vertical="center"/>
    </xf>
    <xf numFmtId="31" fontId="19" fillId="0" borderId="14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4" fontId="21" fillId="0" borderId="11" xfId="0" applyNumberFormat="1" applyFont="1" applyFill="1" applyBorder="1" applyAlignment="1">
      <alignment horizontal="center" vertical="center" wrapText="1"/>
    </xf>
    <xf numFmtId="4" fontId="21" fillId="0" borderId="13" xfId="0" applyNumberFormat="1" applyFont="1" applyFill="1" applyBorder="1" applyAlignment="1">
      <alignment horizontal="center" vertical="center" wrapText="1"/>
    </xf>
    <xf numFmtId="4" fontId="21" fillId="0" borderId="12" xfId="0" applyNumberFormat="1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强调文字颜色 1" xfId="32" builtinId="29" customBuiltin="1"/>
    <cellStyle name="强调文字颜色 2" xfId="33" builtinId="33" customBuiltin="1"/>
    <cellStyle name="强调文字颜色 3" xfId="34" builtinId="37" customBuiltin="1"/>
    <cellStyle name="强调文字颜色 4" xfId="35" builtinId="41" customBuiltin="1"/>
    <cellStyle name="强调文字颜色 5" xfId="36" builtinId="45" customBuiltin="1"/>
    <cellStyle name="强调文字颜色 6" xfId="37" builtinId="49" customBuiltin="1"/>
    <cellStyle name="适中" xfId="38" builtinId="28" customBuiltin="1"/>
    <cellStyle name="输出" xfId="39" builtinId="21" customBuiltin="1"/>
    <cellStyle name="输入" xfId="40" builtinId="20" customBuiltin="1"/>
    <cellStyle name="注释" xfId="41" builtinId="10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136"/>
  <sheetViews>
    <sheetView showGridLines="0" showZeros="0" tabSelected="1" workbookViewId="0">
      <selection activeCell="H8" sqref="H8"/>
    </sheetView>
  </sheetViews>
  <sheetFormatPr defaultRowHeight="14.25"/>
  <cols>
    <col min="1" max="1" width="37.875" style="1" customWidth="1"/>
    <col min="2" max="2" width="13.375" style="3" customWidth="1"/>
    <col min="3" max="3" width="10.75" style="3" customWidth="1"/>
    <col min="4" max="4" width="9.875" style="3" customWidth="1"/>
    <col min="5" max="5" width="12.875" style="3" customWidth="1"/>
  </cols>
  <sheetData>
    <row r="2" spans="1:5" ht="10.5" customHeight="1"/>
    <row r="3" spans="1:5" ht="22.5">
      <c r="A3" s="24" t="s">
        <v>134</v>
      </c>
      <c r="B3" s="15"/>
      <c r="C3" s="15"/>
      <c r="D3" s="15"/>
      <c r="E3" s="15"/>
    </row>
    <row r="4" spans="1:5" ht="12.75" customHeight="1">
      <c r="A4" s="2"/>
      <c r="B4" s="2"/>
      <c r="C4" s="2"/>
      <c r="D4" s="2"/>
      <c r="E4" s="2"/>
    </row>
    <row r="5" spans="1:5" ht="27" customHeight="1">
      <c r="B5" s="16"/>
      <c r="C5" s="17"/>
      <c r="E5" s="3" t="s">
        <v>133</v>
      </c>
    </row>
    <row r="6" spans="1:5" ht="28.5" customHeight="1">
      <c r="A6" s="12" t="s">
        <v>0</v>
      </c>
      <c r="B6" s="21" t="s">
        <v>122</v>
      </c>
      <c r="C6" s="12" t="s">
        <v>3</v>
      </c>
      <c r="D6" s="12" t="s">
        <v>4</v>
      </c>
      <c r="E6" s="18" t="s">
        <v>2</v>
      </c>
    </row>
    <row r="7" spans="1:5" ht="14.25" customHeight="1">
      <c r="A7" s="13"/>
      <c r="B7" s="22"/>
      <c r="C7" s="13"/>
      <c r="D7" s="13"/>
      <c r="E7" s="19"/>
    </row>
    <row r="8" spans="1:5" ht="23.25" customHeight="1">
      <c r="A8" s="14"/>
      <c r="B8" s="23"/>
      <c r="C8" s="14"/>
      <c r="D8" s="14"/>
      <c r="E8" s="20"/>
    </row>
    <row r="9" spans="1:5">
      <c r="A9" s="5" t="s">
        <v>5</v>
      </c>
      <c r="B9" s="6">
        <v>1</v>
      </c>
      <c r="C9" s="6">
        <v>2</v>
      </c>
      <c r="D9" s="6">
        <v>3</v>
      </c>
      <c r="E9" s="6">
        <v>4</v>
      </c>
    </row>
    <row r="10" spans="1:5" s="4" customFormat="1" ht="30.75" customHeight="1">
      <c r="A10" s="11" t="s">
        <v>1</v>
      </c>
      <c r="B10" s="8">
        <f>C10+D10+E10</f>
        <v>1341.4899999999998</v>
      </c>
      <c r="C10" s="8">
        <f>SUM(C11:C136)</f>
        <v>180</v>
      </c>
      <c r="D10" s="8">
        <f>SUM(D11:D136)</f>
        <v>530.84</v>
      </c>
      <c r="E10" s="8">
        <f>SUM(E11:E136)</f>
        <v>630.64999999999964</v>
      </c>
    </row>
    <row r="11" spans="1:5" ht="28.5">
      <c r="A11" s="7" t="s">
        <v>6</v>
      </c>
      <c r="B11" s="10">
        <f t="shared" ref="B11:B75" si="0">C11+D11+E11</f>
        <v>9.6</v>
      </c>
      <c r="C11" s="10"/>
      <c r="D11" s="10">
        <v>2</v>
      </c>
      <c r="E11" s="10">
        <v>7.6</v>
      </c>
    </row>
    <row r="12" spans="1:5" ht="26.25" customHeight="1">
      <c r="A12" s="7" t="s">
        <v>7</v>
      </c>
      <c r="B12" s="10">
        <f t="shared" si="0"/>
        <v>15.9</v>
      </c>
      <c r="C12" s="10"/>
      <c r="D12" s="10">
        <v>3.5</v>
      </c>
      <c r="E12" s="10">
        <v>12.4</v>
      </c>
    </row>
    <row r="13" spans="1:5" ht="28.5">
      <c r="A13" s="7" t="s">
        <v>8</v>
      </c>
      <c r="B13" s="10">
        <f t="shared" si="0"/>
        <v>26</v>
      </c>
      <c r="C13" s="10"/>
      <c r="D13" s="10">
        <v>7</v>
      </c>
      <c r="E13" s="10">
        <v>19</v>
      </c>
    </row>
    <row r="14" spans="1:5">
      <c r="A14" s="9" t="s">
        <v>9</v>
      </c>
      <c r="B14" s="10">
        <f t="shared" si="0"/>
        <v>2</v>
      </c>
      <c r="C14" s="10">
        <v>0</v>
      </c>
      <c r="D14" s="10">
        <v>2</v>
      </c>
      <c r="E14" s="10">
        <v>0</v>
      </c>
    </row>
    <row r="15" spans="1:5" ht="28.5">
      <c r="A15" s="7" t="s">
        <v>10</v>
      </c>
      <c r="B15" s="10">
        <f t="shared" si="0"/>
        <v>178.8</v>
      </c>
      <c r="C15" s="10">
        <v>100</v>
      </c>
      <c r="D15" s="10">
        <v>35</v>
      </c>
      <c r="E15" s="10">
        <v>43.8</v>
      </c>
    </row>
    <row r="16" spans="1:5" ht="28.5">
      <c r="A16" s="9" t="s">
        <v>11</v>
      </c>
      <c r="B16" s="10">
        <f t="shared" si="0"/>
        <v>0.3</v>
      </c>
      <c r="C16" s="10">
        <v>0</v>
      </c>
      <c r="D16" s="10">
        <v>0.3</v>
      </c>
      <c r="E16" s="10">
        <v>0</v>
      </c>
    </row>
    <row r="17" spans="1:5">
      <c r="A17" s="9" t="s">
        <v>12</v>
      </c>
      <c r="B17" s="10">
        <f t="shared" si="0"/>
        <v>16</v>
      </c>
      <c r="C17" s="10">
        <v>0</v>
      </c>
      <c r="D17" s="10">
        <v>16</v>
      </c>
      <c r="E17" s="10"/>
    </row>
    <row r="18" spans="1:5" ht="29.25" customHeight="1">
      <c r="A18" s="9" t="s">
        <v>13</v>
      </c>
      <c r="B18" s="10">
        <f t="shared" si="0"/>
        <v>2</v>
      </c>
      <c r="C18" s="10">
        <v>0</v>
      </c>
      <c r="D18" s="10">
        <v>2</v>
      </c>
      <c r="E18" s="10"/>
    </row>
    <row r="19" spans="1:5" ht="29.25" customHeight="1">
      <c r="A19" s="9" t="s">
        <v>14</v>
      </c>
      <c r="B19" s="10">
        <f t="shared" si="0"/>
        <v>4.2</v>
      </c>
      <c r="C19" s="10">
        <v>0</v>
      </c>
      <c r="D19" s="10">
        <v>0.4</v>
      </c>
      <c r="E19" s="10">
        <v>3.8</v>
      </c>
    </row>
    <row r="20" spans="1:5" ht="29.25" customHeight="1">
      <c r="A20" s="9" t="s">
        <v>15</v>
      </c>
      <c r="B20" s="10">
        <f t="shared" si="0"/>
        <v>2</v>
      </c>
      <c r="C20" s="10"/>
      <c r="D20" s="10">
        <v>2</v>
      </c>
      <c r="E20" s="10"/>
    </row>
    <row r="21" spans="1:5" ht="29.25" customHeight="1">
      <c r="A21" s="9" t="s">
        <v>16</v>
      </c>
      <c r="B21" s="10">
        <f t="shared" si="0"/>
        <v>3</v>
      </c>
      <c r="C21" s="10">
        <v>0</v>
      </c>
      <c r="D21" s="10">
        <v>3</v>
      </c>
      <c r="E21" s="10"/>
    </row>
    <row r="22" spans="1:5" ht="29.25" customHeight="1">
      <c r="A22" s="9" t="s">
        <v>17</v>
      </c>
      <c r="B22" s="10">
        <f t="shared" si="0"/>
        <v>4.72</v>
      </c>
      <c r="C22" s="10">
        <v>0</v>
      </c>
      <c r="D22" s="10">
        <v>0.92</v>
      </c>
      <c r="E22" s="10">
        <v>3.8</v>
      </c>
    </row>
    <row r="23" spans="1:5">
      <c r="A23" s="9" t="s">
        <v>123</v>
      </c>
      <c r="B23" s="10">
        <f t="shared" si="0"/>
        <v>7</v>
      </c>
      <c r="C23" s="10">
        <v>0</v>
      </c>
      <c r="D23" s="10">
        <v>0</v>
      </c>
      <c r="E23" s="10">
        <v>7</v>
      </c>
    </row>
    <row r="24" spans="1:5" ht="28.5">
      <c r="A24" s="7" t="s">
        <v>124</v>
      </c>
      <c r="B24" s="10">
        <f t="shared" si="0"/>
        <v>37.200000000000003</v>
      </c>
      <c r="C24" s="10"/>
      <c r="D24" s="10">
        <v>20</v>
      </c>
      <c r="E24" s="10">
        <v>17.2</v>
      </c>
    </row>
    <row r="25" spans="1:5">
      <c r="A25" s="9" t="s">
        <v>18</v>
      </c>
      <c r="B25" s="10">
        <f t="shared" si="0"/>
        <v>0.8</v>
      </c>
      <c r="C25" s="10">
        <v>0</v>
      </c>
      <c r="D25" s="10">
        <v>0.8</v>
      </c>
      <c r="E25" s="10"/>
    </row>
    <row r="26" spans="1:5" ht="28.5">
      <c r="A26" s="9" t="s">
        <v>19</v>
      </c>
      <c r="B26" s="10">
        <f t="shared" si="0"/>
        <v>1.2</v>
      </c>
      <c r="C26" s="10">
        <v>0</v>
      </c>
      <c r="D26" s="10">
        <v>1.2</v>
      </c>
      <c r="E26" s="10"/>
    </row>
    <row r="27" spans="1:5" ht="28.5">
      <c r="A27" s="7" t="s">
        <v>20</v>
      </c>
      <c r="B27" s="10">
        <f t="shared" si="0"/>
        <v>77.399999999999991</v>
      </c>
      <c r="C27" s="10">
        <v>50</v>
      </c>
      <c r="D27" s="10">
        <v>19.8</v>
      </c>
      <c r="E27" s="10">
        <v>7.6</v>
      </c>
    </row>
    <row r="28" spans="1:5">
      <c r="A28" s="9" t="s">
        <v>21</v>
      </c>
      <c r="B28" s="10">
        <f t="shared" si="0"/>
        <v>2</v>
      </c>
      <c r="C28" s="10"/>
      <c r="D28" s="10">
        <v>2</v>
      </c>
      <c r="E28" s="10"/>
    </row>
    <row r="29" spans="1:5" ht="28.5">
      <c r="A29" s="7" t="s">
        <v>22</v>
      </c>
      <c r="B29" s="10">
        <f t="shared" si="0"/>
        <v>135.85</v>
      </c>
      <c r="C29" s="10"/>
      <c r="D29" s="10">
        <v>1</v>
      </c>
      <c r="E29" s="10">
        <v>134.85</v>
      </c>
    </row>
    <row r="30" spans="1:5" ht="20.25" customHeight="1">
      <c r="A30" s="9" t="s">
        <v>23</v>
      </c>
      <c r="B30" s="10">
        <f t="shared" si="0"/>
        <v>11</v>
      </c>
      <c r="C30" s="10"/>
      <c r="D30" s="10">
        <v>11</v>
      </c>
      <c r="E30" s="10"/>
    </row>
    <row r="31" spans="1:5" ht="28.5">
      <c r="A31" s="9" t="s">
        <v>24</v>
      </c>
      <c r="B31" s="10">
        <f t="shared" si="0"/>
        <v>12.9</v>
      </c>
      <c r="C31" s="10"/>
      <c r="D31" s="10">
        <v>1.5</v>
      </c>
      <c r="E31" s="10">
        <v>11.4</v>
      </c>
    </row>
    <row r="32" spans="1:5" ht="28.5">
      <c r="A32" s="9" t="s">
        <v>25</v>
      </c>
      <c r="B32" s="10">
        <f t="shared" si="0"/>
        <v>1</v>
      </c>
      <c r="C32" s="10"/>
      <c r="D32" s="10">
        <v>1</v>
      </c>
      <c r="E32" s="10"/>
    </row>
    <row r="33" spans="1:5" ht="28.5">
      <c r="A33" s="9" t="s">
        <v>26</v>
      </c>
      <c r="B33" s="10">
        <f t="shared" si="0"/>
        <v>2</v>
      </c>
      <c r="C33" s="10"/>
      <c r="D33" s="10">
        <v>2</v>
      </c>
      <c r="E33" s="10"/>
    </row>
    <row r="34" spans="1:5" ht="28.5">
      <c r="A34" s="9" t="s">
        <v>27</v>
      </c>
      <c r="B34" s="10">
        <f t="shared" si="0"/>
        <v>1</v>
      </c>
      <c r="C34" s="10"/>
      <c r="D34" s="10">
        <v>1</v>
      </c>
      <c r="E34" s="10"/>
    </row>
    <row r="35" spans="1:5" ht="28.5">
      <c r="A35" s="7" t="s">
        <v>28</v>
      </c>
      <c r="B35" s="10">
        <f t="shared" si="0"/>
        <v>13.8</v>
      </c>
      <c r="C35" s="10"/>
      <c r="D35" s="10">
        <v>10</v>
      </c>
      <c r="E35" s="10">
        <v>3.8</v>
      </c>
    </row>
    <row r="36" spans="1:5" ht="28.5">
      <c r="A36" s="9" t="s">
        <v>29</v>
      </c>
      <c r="B36" s="10">
        <f t="shared" si="0"/>
        <v>2.65</v>
      </c>
      <c r="C36" s="10"/>
      <c r="D36" s="10">
        <v>2.65</v>
      </c>
      <c r="E36" s="10"/>
    </row>
    <row r="37" spans="1:5" ht="28.5" customHeight="1">
      <c r="A37" s="7" t="s">
        <v>30</v>
      </c>
      <c r="B37" s="10">
        <f t="shared" si="0"/>
        <v>3</v>
      </c>
      <c r="C37" s="10"/>
      <c r="D37" s="10">
        <v>3</v>
      </c>
      <c r="E37" s="10"/>
    </row>
    <row r="38" spans="1:5" ht="28.5" customHeight="1">
      <c r="A38" s="9" t="s">
        <v>31</v>
      </c>
      <c r="B38" s="10">
        <f t="shared" si="0"/>
        <v>3.22</v>
      </c>
      <c r="C38" s="10"/>
      <c r="D38" s="10">
        <v>3.22</v>
      </c>
      <c r="E38" s="10"/>
    </row>
    <row r="39" spans="1:5" ht="28.5" customHeight="1">
      <c r="A39" s="9" t="s">
        <v>32</v>
      </c>
      <c r="B39" s="10">
        <f t="shared" si="0"/>
        <v>5</v>
      </c>
      <c r="C39" s="10"/>
      <c r="D39" s="10">
        <v>5</v>
      </c>
      <c r="E39" s="10"/>
    </row>
    <row r="40" spans="1:5" ht="28.5" customHeight="1">
      <c r="A40" s="9" t="s">
        <v>33</v>
      </c>
      <c r="B40" s="10">
        <f t="shared" si="0"/>
        <v>3.8</v>
      </c>
      <c r="C40" s="10"/>
      <c r="D40" s="10">
        <v>3.8</v>
      </c>
      <c r="E40" s="10"/>
    </row>
    <row r="41" spans="1:5" ht="28.5" customHeight="1">
      <c r="A41" s="9" t="s">
        <v>34</v>
      </c>
      <c r="B41" s="10">
        <f t="shared" si="0"/>
        <v>0.8</v>
      </c>
      <c r="C41" s="10"/>
      <c r="D41" s="10">
        <v>0.8</v>
      </c>
      <c r="E41" s="10"/>
    </row>
    <row r="42" spans="1:5" ht="28.5" customHeight="1">
      <c r="A42" s="9" t="s">
        <v>35</v>
      </c>
      <c r="B42" s="10">
        <f t="shared" si="0"/>
        <v>5</v>
      </c>
      <c r="C42" s="10"/>
      <c r="D42" s="10">
        <v>5</v>
      </c>
      <c r="E42" s="10"/>
    </row>
    <row r="43" spans="1:5" ht="28.5" customHeight="1">
      <c r="A43" s="9" t="s">
        <v>36</v>
      </c>
      <c r="B43" s="10">
        <f t="shared" si="0"/>
        <v>6.5</v>
      </c>
      <c r="C43" s="10"/>
      <c r="D43" s="10">
        <v>6.5</v>
      </c>
      <c r="E43" s="10"/>
    </row>
    <row r="44" spans="1:5" ht="28.5" customHeight="1">
      <c r="A44" s="9" t="s">
        <v>37</v>
      </c>
      <c r="B44" s="10">
        <f t="shared" si="0"/>
        <v>3.8</v>
      </c>
      <c r="C44" s="10"/>
      <c r="D44" s="10">
        <v>3.8</v>
      </c>
      <c r="E44" s="10"/>
    </row>
    <row r="45" spans="1:5" ht="28.5" customHeight="1">
      <c r="A45" s="9" t="s">
        <v>38</v>
      </c>
      <c r="B45" s="10">
        <f t="shared" si="0"/>
        <v>3</v>
      </c>
      <c r="C45" s="10"/>
      <c r="D45" s="10">
        <v>3</v>
      </c>
      <c r="E45" s="10"/>
    </row>
    <row r="46" spans="1:5" ht="28.5" customHeight="1">
      <c r="A46" s="9" t="s">
        <v>39</v>
      </c>
      <c r="B46" s="10">
        <f t="shared" si="0"/>
        <v>2.6</v>
      </c>
      <c r="C46" s="10"/>
      <c r="D46" s="10">
        <v>2.6</v>
      </c>
      <c r="E46" s="10"/>
    </row>
    <row r="47" spans="1:5" ht="28.5" customHeight="1">
      <c r="A47" s="9" t="s">
        <v>40</v>
      </c>
      <c r="B47" s="10">
        <f t="shared" si="0"/>
        <v>3</v>
      </c>
      <c r="C47" s="10"/>
      <c r="D47" s="10">
        <v>3</v>
      </c>
      <c r="E47" s="10"/>
    </row>
    <row r="48" spans="1:5" ht="28.5" customHeight="1">
      <c r="A48" s="9" t="s">
        <v>41</v>
      </c>
      <c r="B48" s="10">
        <f t="shared" si="0"/>
        <v>2</v>
      </c>
      <c r="C48" s="10"/>
      <c r="D48" s="10">
        <v>2</v>
      </c>
      <c r="E48" s="10"/>
    </row>
    <row r="49" spans="1:5" ht="28.5" customHeight="1">
      <c r="A49" s="9" t="s">
        <v>42</v>
      </c>
      <c r="B49" s="10">
        <f t="shared" si="0"/>
        <v>4.5</v>
      </c>
      <c r="C49" s="10"/>
      <c r="D49" s="10">
        <v>4.5</v>
      </c>
      <c r="E49" s="10"/>
    </row>
    <row r="50" spans="1:5" ht="28.5" customHeight="1">
      <c r="A50" s="7" t="s">
        <v>43</v>
      </c>
      <c r="B50" s="10">
        <f t="shared" si="0"/>
        <v>30</v>
      </c>
      <c r="C50" s="10"/>
      <c r="D50" s="10">
        <v>30</v>
      </c>
      <c r="E50" s="10"/>
    </row>
    <row r="51" spans="1:5" ht="28.5">
      <c r="A51" s="7" t="s">
        <v>44</v>
      </c>
      <c r="B51" s="10">
        <f t="shared" si="0"/>
        <v>3</v>
      </c>
      <c r="C51" s="10"/>
      <c r="D51" s="10">
        <v>3</v>
      </c>
      <c r="E51" s="10"/>
    </row>
    <row r="52" spans="1:5" ht="28.5">
      <c r="A52" s="7" t="s">
        <v>45</v>
      </c>
      <c r="B52" s="10">
        <f t="shared" si="0"/>
        <v>6</v>
      </c>
      <c r="C52" s="10"/>
      <c r="D52" s="10">
        <v>6</v>
      </c>
      <c r="E52" s="10"/>
    </row>
    <row r="53" spans="1:5" ht="28.5">
      <c r="A53" s="7" t="s">
        <v>46</v>
      </c>
      <c r="B53" s="10">
        <f t="shared" si="0"/>
        <v>4.8</v>
      </c>
      <c r="C53" s="10"/>
      <c r="D53" s="10">
        <v>1</v>
      </c>
      <c r="E53" s="10">
        <v>3.8</v>
      </c>
    </row>
    <row r="54" spans="1:5" ht="28.5">
      <c r="A54" s="7" t="s">
        <v>47</v>
      </c>
      <c r="B54" s="10">
        <f t="shared" si="0"/>
        <v>17.600000000000001</v>
      </c>
      <c r="C54" s="10"/>
      <c r="D54" s="10">
        <v>10</v>
      </c>
      <c r="E54" s="10">
        <v>7.6</v>
      </c>
    </row>
    <row r="55" spans="1:5" ht="23.25" customHeight="1">
      <c r="A55" s="9" t="s">
        <v>48</v>
      </c>
      <c r="B55" s="10">
        <f t="shared" si="0"/>
        <v>3</v>
      </c>
      <c r="C55" s="10"/>
      <c r="D55" s="10">
        <v>3</v>
      </c>
      <c r="E55" s="10"/>
    </row>
    <row r="56" spans="1:5">
      <c r="A56" s="9" t="s">
        <v>49</v>
      </c>
      <c r="B56" s="10">
        <f t="shared" si="0"/>
        <v>2</v>
      </c>
      <c r="C56" s="10"/>
      <c r="D56" s="10">
        <v>2</v>
      </c>
      <c r="E56" s="10"/>
    </row>
    <row r="57" spans="1:5">
      <c r="A57" s="9" t="s">
        <v>50</v>
      </c>
      <c r="B57" s="10">
        <f t="shared" si="0"/>
        <v>1.92</v>
      </c>
      <c r="C57" s="10"/>
      <c r="D57" s="10">
        <v>1.92</v>
      </c>
      <c r="E57" s="10"/>
    </row>
    <row r="58" spans="1:5" ht="25.5" customHeight="1">
      <c r="A58" s="7" t="s">
        <v>51</v>
      </c>
      <c r="B58" s="10">
        <f t="shared" si="0"/>
        <v>45</v>
      </c>
      <c r="C58" s="10">
        <v>30</v>
      </c>
      <c r="D58" s="10">
        <v>15</v>
      </c>
      <c r="E58" s="10"/>
    </row>
    <row r="59" spans="1:5" ht="28.5">
      <c r="A59" s="7" t="s">
        <v>52</v>
      </c>
      <c r="B59" s="10">
        <f t="shared" si="0"/>
        <v>77.099999999999994</v>
      </c>
      <c r="C59" s="10"/>
      <c r="D59" s="10">
        <v>12.5</v>
      </c>
      <c r="E59" s="10">
        <v>64.599999999999994</v>
      </c>
    </row>
    <row r="60" spans="1:5">
      <c r="A60" s="9" t="s">
        <v>53</v>
      </c>
      <c r="B60" s="10">
        <f t="shared" si="0"/>
        <v>6.1</v>
      </c>
      <c r="C60" s="10"/>
      <c r="D60" s="10">
        <v>2.2999999999999998</v>
      </c>
      <c r="E60" s="10">
        <v>3.8</v>
      </c>
    </row>
    <row r="61" spans="1:5" ht="28.5">
      <c r="A61" s="9" t="s">
        <v>54</v>
      </c>
      <c r="B61" s="10">
        <f t="shared" si="0"/>
        <v>6.8</v>
      </c>
      <c r="C61" s="10"/>
      <c r="D61" s="10">
        <v>3</v>
      </c>
      <c r="E61" s="10">
        <v>3.8</v>
      </c>
    </row>
    <row r="62" spans="1:5" ht="28.5">
      <c r="A62" s="7" t="s">
        <v>55</v>
      </c>
      <c r="B62" s="10">
        <f t="shared" si="0"/>
        <v>5</v>
      </c>
      <c r="C62" s="10"/>
      <c r="D62" s="10">
        <v>1.2</v>
      </c>
      <c r="E62" s="10">
        <v>3.8</v>
      </c>
    </row>
    <row r="63" spans="1:5">
      <c r="A63" s="9" t="s">
        <v>56</v>
      </c>
      <c r="B63" s="10">
        <f t="shared" si="0"/>
        <v>1</v>
      </c>
      <c r="C63" s="10"/>
      <c r="D63" s="10">
        <v>1</v>
      </c>
      <c r="E63" s="10"/>
    </row>
    <row r="64" spans="1:5" ht="27" customHeight="1">
      <c r="A64" s="9" t="s">
        <v>125</v>
      </c>
      <c r="B64" s="10">
        <f t="shared" si="0"/>
        <v>4.8</v>
      </c>
      <c r="C64" s="10"/>
      <c r="D64" s="10">
        <v>1</v>
      </c>
      <c r="E64" s="10">
        <v>3.8</v>
      </c>
    </row>
    <row r="65" spans="1:5" ht="28.5">
      <c r="A65" s="9" t="s">
        <v>57</v>
      </c>
      <c r="B65" s="10">
        <f t="shared" si="0"/>
        <v>2</v>
      </c>
      <c r="C65" s="10"/>
      <c r="D65" s="10">
        <v>2</v>
      </c>
      <c r="E65" s="10"/>
    </row>
    <row r="66" spans="1:5" ht="28.5">
      <c r="A66" s="7" t="s">
        <v>58</v>
      </c>
      <c r="B66" s="10">
        <f t="shared" si="0"/>
        <v>8.2999999999999989</v>
      </c>
      <c r="C66" s="10"/>
      <c r="D66" s="10">
        <v>0.7</v>
      </c>
      <c r="E66" s="10">
        <v>7.6</v>
      </c>
    </row>
    <row r="67" spans="1:5" ht="28.5">
      <c r="A67" s="7" t="s">
        <v>59</v>
      </c>
      <c r="B67" s="10">
        <f t="shared" si="0"/>
        <v>17.600000000000001</v>
      </c>
      <c r="C67" s="10"/>
      <c r="D67" s="10">
        <v>10</v>
      </c>
      <c r="E67" s="10">
        <v>7.6</v>
      </c>
    </row>
    <row r="68" spans="1:5">
      <c r="A68" s="9" t="s">
        <v>60</v>
      </c>
      <c r="B68" s="10">
        <f t="shared" si="0"/>
        <v>3.8</v>
      </c>
      <c r="C68" s="10"/>
      <c r="D68" s="10">
        <v>0</v>
      </c>
      <c r="E68" s="10">
        <v>3.8</v>
      </c>
    </row>
    <row r="69" spans="1:5" ht="27" customHeight="1">
      <c r="A69" s="9" t="s">
        <v>61</v>
      </c>
      <c r="B69" s="10">
        <f t="shared" si="0"/>
        <v>0.2</v>
      </c>
      <c r="C69" s="10"/>
      <c r="D69" s="10">
        <v>0.2</v>
      </c>
      <c r="E69" s="10"/>
    </row>
    <row r="70" spans="1:5" ht="28.5">
      <c r="A70" s="9" t="s">
        <v>62</v>
      </c>
      <c r="B70" s="10">
        <f t="shared" si="0"/>
        <v>4.26</v>
      </c>
      <c r="C70" s="10"/>
      <c r="D70" s="10">
        <v>0.46</v>
      </c>
      <c r="E70" s="10">
        <v>3.8</v>
      </c>
    </row>
    <row r="71" spans="1:5" ht="28.5">
      <c r="A71" s="9" t="s">
        <v>63</v>
      </c>
      <c r="B71" s="10">
        <f t="shared" si="0"/>
        <v>1</v>
      </c>
      <c r="C71" s="10"/>
      <c r="D71" s="10">
        <v>1</v>
      </c>
      <c r="E71" s="10"/>
    </row>
    <row r="72" spans="1:5" ht="28.5">
      <c r="A72" s="9" t="s">
        <v>64</v>
      </c>
      <c r="B72" s="10">
        <f t="shared" si="0"/>
        <v>2.76</v>
      </c>
      <c r="C72" s="10"/>
      <c r="D72" s="10">
        <v>2.76</v>
      </c>
      <c r="E72" s="10"/>
    </row>
    <row r="73" spans="1:5">
      <c r="A73" s="9" t="s">
        <v>65</v>
      </c>
      <c r="B73" s="10">
        <f t="shared" si="0"/>
        <v>3.8</v>
      </c>
      <c r="C73" s="10"/>
      <c r="D73" s="10">
        <v>0</v>
      </c>
      <c r="E73" s="10">
        <v>3.8</v>
      </c>
    </row>
    <row r="74" spans="1:5" ht="28.5">
      <c r="A74" s="9" t="s">
        <v>66</v>
      </c>
      <c r="B74" s="10">
        <f t="shared" si="0"/>
        <v>1</v>
      </c>
      <c r="C74" s="10"/>
      <c r="D74" s="10">
        <v>1</v>
      </c>
      <c r="E74" s="10"/>
    </row>
    <row r="75" spans="1:5" ht="28.5">
      <c r="A75" s="9" t="s">
        <v>67</v>
      </c>
      <c r="B75" s="10">
        <f t="shared" si="0"/>
        <v>9.67</v>
      </c>
      <c r="C75" s="10"/>
      <c r="D75" s="10">
        <v>2.0699999999999998</v>
      </c>
      <c r="E75" s="10">
        <v>7.6</v>
      </c>
    </row>
    <row r="76" spans="1:5" ht="25.5" customHeight="1">
      <c r="A76" s="9" t="s">
        <v>68</v>
      </c>
      <c r="B76" s="10">
        <f t="shared" ref="B76:B136" si="1">C76+D76+E76</f>
        <v>8.6</v>
      </c>
      <c r="C76" s="10"/>
      <c r="D76" s="10">
        <v>1</v>
      </c>
      <c r="E76" s="10">
        <v>7.6</v>
      </c>
    </row>
    <row r="77" spans="1:5">
      <c r="A77" s="9" t="s">
        <v>69</v>
      </c>
      <c r="B77" s="10">
        <f t="shared" si="1"/>
        <v>3.6</v>
      </c>
      <c r="C77" s="10"/>
      <c r="D77" s="10">
        <v>3.6</v>
      </c>
      <c r="E77" s="10"/>
    </row>
    <row r="78" spans="1:5" ht="28.5">
      <c r="A78" s="7" t="s">
        <v>70</v>
      </c>
      <c r="B78" s="10">
        <f t="shared" si="1"/>
        <v>7.8999999999999995</v>
      </c>
      <c r="C78" s="10"/>
      <c r="D78" s="10">
        <v>4.0999999999999996</v>
      </c>
      <c r="E78" s="10">
        <v>3.8</v>
      </c>
    </row>
    <row r="79" spans="1:5" ht="25.5" customHeight="1">
      <c r="A79" s="7" t="s">
        <v>71</v>
      </c>
      <c r="B79" s="10">
        <f t="shared" si="1"/>
        <v>9.4599999999999991</v>
      </c>
      <c r="C79" s="10"/>
      <c r="D79" s="10">
        <v>1.86</v>
      </c>
      <c r="E79" s="10">
        <v>7.6</v>
      </c>
    </row>
    <row r="80" spans="1:5" ht="28.5">
      <c r="A80" s="7" t="s">
        <v>72</v>
      </c>
      <c r="B80" s="10">
        <f t="shared" si="1"/>
        <v>21.2</v>
      </c>
      <c r="C80" s="10"/>
      <c r="D80" s="10">
        <v>5</v>
      </c>
      <c r="E80" s="10">
        <v>16.2</v>
      </c>
    </row>
    <row r="81" spans="1:5" ht="28.5">
      <c r="A81" s="9" t="s">
        <v>73</v>
      </c>
      <c r="B81" s="10">
        <f t="shared" si="1"/>
        <v>1</v>
      </c>
      <c r="C81" s="10"/>
      <c r="D81" s="10">
        <v>1</v>
      </c>
      <c r="E81" s="10"/>
    </row>
    <row r="82" spans="1:5" ht="28.5">
      <c r="A82" s="9" t="s">
        <v>74</v>
      </c>
      <c r="B82" s="10">
        <f t="shared" si="1"/>
        <v>1</v>
      </c>
      <c r="C82" s="10"/>
      <c r="D82" s="10">
        <v>1</v>
      </c>
      <c r="E82" s="10"/>
    </row>
    <row r="83" spans="1:5">
      <c r="A83" s="9" t="s">
        <v>75</v>
      </c>
      <c r="B83" s="10">
        <f t="shared" si="1"/>
        <v>7.6</v>
      </c>
      <c r="C83" s="10"/>
      <c r="D83" s="10">
        <v>0</v>
      </c>
      <c r="E83" s="10">
        <v>7.6</v>
      </c>
    </row>
    <row r="84" spans="1:5">
      <c r="A84" s="9" t="s">
        <v>76</v>
      </c>
      <c r="B84" s="10">
        <f t="shared" si="1"/>
        <v>10.6</v>
      </c>
      <c r="C84" s="10"/>
      <c r="D84" s="10">
        <v>3</v>
      </c>
      <c r="E84" s="10">
        <v>7.6</v>
      </c>
    </row>
    <row r="85" spans="1:5" ht="28.5">
      <c r="A85" s="9" t="s">
        <v>77</v>
      </c>
      <c r="B85" s="10">
        <f t="shared" si="1"/>
        <v>17.009999999999998</v>
      </c>
      <c r="C85" s="10"/>
      <c r="D85" s="10">
        <v>9.41</v>
      </c>
      <c r="E85" s="10">
        <v>7.6</v>
      </c>
    </row>
    <row r="86" spans="1:5">
      <c r="A86" s="9" t="s">
        <v>78</v>
      </c>
      <c r="B86" s="10">
        <f t="shared" si="1"/>
        <v>2</v>
      </c>
      <c r="C86" s="10"/>
      <c r="D86" s="10">
        <v>2</v>
      </c>
      <c r="E86" s="10"/>
    </row>
    <row r="87" spans="1:5" ht="28.5">
      <c r="A87" s="7" t="s">
        <v>126</v>
      </c>
      <c r="B87" s="10">
        <f t="shared" si="1"/>
        <v>29.6</v>
      </c>
      <c r="C87" s="10"/>
      <c r="D87" s="10">
        <v>22</v>
      </c>
      <c r="E87" s="10">
        <v>7.6</v>
      </c>
    </row>
    <row r="88" spans="1:5" ht="28.5">
      <c r="A88" s="9" t="s">
        <v>79</v>
      </c>
      <c r="B88" s="10">
        <f t="shared" si="1"/>
        <v>1</v>
      </c>
      <c r="C88" s="10"/>
      <c r="D88" s="10">
        <v>1</v>
      </c>
      <c r="E88" s="10"/>
    </row>
    <row r="89" spans="1:5" ht="24.75" customHeight="1">
      <c r="A89" s="9" t="s">
        <v>80</v>
      </c>
      <c r="B89" s="10">
        <f t="shared" si="1"/>
        <v>5.0999999999999996</v>
      </c>
      <c r="C89" s="10"/>
      <c r="D89" s="10">
        <v>1.3</v>
      </c>
      <c r="E89" s="10">
        <v>3.8</v>
      </c>
    </row>
    <row r="90" spans="1:5" ht="28.5">
      <c r="A90" s="9" t="s">
        <v>81</v>
      </c>
      <c r="B90" s="10">
        <f t="shared" si="1"/>
        <v>19</v>
      </c>
      <c r="C90" s="10"/>
      <c r="D90" s="10">
        <v>0</v>
      </c>
      <c r="E90" s="10">
        <v>19</v>
      </c>
    </row>
    <row r="91" spans="1:5">
      <c r="A91" s="9" t="s">
        <v>82</v>
      </c>
      <c r="B91" s="10">
        <f t="shared" si="1"/>
        <v>1.07</v>
      </c>
      <c r="C91" s="10"/>
      <c r="D91" s="10">
        <v>1.07</v>
      </c>
      <c r="E91" s="10"/>
    </row>
    <row r="92" spans="1:5" ht="28.5">
      <c r="A92" s="9" t="s">
        <v>83</v>
      </c>
      <c r="B92" s="10">
        <f t="shared" si="1"/>
        <v>1</v>
      </c>
      <c r="C92" s="10"/>
      <c r="D92" s="10">
        <v>1</v>
      </c>
      <c r="E92" s="10"/>
    </row>
    <row r="93" spans="1:5" ht="29.25" customHeight="1">
      <c r="A93" s="7" t="s">
        <v>84</v>
      </c>
      <c r="B93" s="10">
        <f t="shared" si="1"/>
        <v>11</v>
      </c>
      <c r="C93" s="10"/>
      <c r="D93" s="10">
        <v>7.2</v>
      </c>
      <c r="E93" s="10">
        <v>3.8</v>
      </c>
    </row>
    <row r="94" spans="1:5" ht="28.5">
      <c r="A94" s="7" t="s">
        <v>85</v>
      </c>
      <c r="B94" s="10">
        <f t="shared" si="1"/>
        <v>31.299999999999997</v>
      </c>
      <c r="C94" s="10"/>
      <c r="D94" s="10">
        <v>23.7</v>
      </c>
      <c r="E94" s="10">
        <v>7.6</v>
      </c>
    </row>
    <row r="95" spans="1:5">
      <c r="A95" s="9" t="s">
        <v>86</v>
      </c>
      <c r="B95" s="10">
        <f t="shared" si="1"/>
        <v>6.8</v>
      </c>
      <c r="C95" s="10"/>
      <c r="D95" s="10">
        <v>3</v>
      </c>
      <c r="E95" s="10">
        <v>3.8</v>
      </c>
    </row>
    <row r="96" spans="1:5" ht="28.5">
      <c r="A96" s="9" t="s">
        <v>87</v>
      </c>
      <c r="B96" s="10">
        <f t="shared" si="1"/>
        <v>1</v>
      </c>
      <c r="C96" s="10"/>
      <c r="D96" s="10">
        <v>1</v>
      </c>
      <c r="E96" s="10"/>
    </row>
    <row r="97" spans="1:5" ht="28.5">
      <c r="A97" s="9" t="s">
        <v>88</v>
      </c>
      <c r="B97" s="10">
        <f t="shared" si="1"/>
        <v>2</v>
      </c>
      <c r="C97" s="10"/>
      <c r="D97" s="10">
        <v>2</v>
      </c>
      <c r="E97" s="10"/>
    </row>
    <row r="98" spans="1:5" ht="28.5">
      <c r="A98" s="7" t="s">
        <v>89</v>
      </c>
      <c r="B98" s="10">
        <f t="shared" si="1"/>
        <v>6.8</v>
      </c>
      <c r="C98" s="10"/>
      <c r="D98" s="10">
        <v>3</v>
      </c>
      <c r="E98" s="10">
        <v>3.8</v>
      </c>
    </row>
    <row r="99" spans="1:5" ht="28.5">
      <c r="A99" s="7" t="s">
        <v>132</v>
      </c>
      <c r="B99" s="10">
        <f t="shared" si="1"/>
        <v>8.8000000000000007</v>
      </c>
      <c r="C99" s="10"/>
      <c r="D99" s="10">
        <v>5</v>
      </c>
      <c r="E99" s="10">
        <v>3.8</v>
      </c>
    </row>
    <row r="100" spans="1:5" ht="28.5">
      <c r="A100" s="7" t="s">
        <v>90</v>
      </c>
      <c r="B100" s="10">
        <f t="shared" si="1"/>
        <v>27.4</v>
      </c>
      <c r="C100" s="10"/>
      <c r="D100" s="10">
        <v>15</v>
      </c>
      <c r="E100" s="10">
        <v>12.4</v>
      </c>
    </row>
    <row r="101" spans="1:5" ht="28.5">
      <c r="A101" s="9" t="s">
        <v>91</v>
      </c>
      <c r="B101" s="10">
        <f t="shared" si="1"/>
        <v>7.6</v>
      </c>
      <c r="C101" s="10"/>
      <c r="D101" s="10">
        <v>0</v>
      </c>
      <c r="E101" s="10">
        <v>7.6</v>
      </c>
    </row>
    <row r="102" spans="1:5">
      <c r="A102" s="9" t="s">
        <v>92</v>
      </c>
      <c r="B102" s="10">
        <f t="shared" si="1"/>
        <v>4.5999999999999996</v>
      </c>
      <c r="C102" s="10"/>
      <c r="D102" s="10">
        <v>0.8</v>
      </c>
      <c r="E102" s="10">
        <v>3.8</v>
      </c>
    </row>
    <row r="103" spans="1:5" ht="32.25" customHeight="1">
      <c r="A103" s="9" t="s">
        <v>93</v>
      </c>
      <c r="B103" s="10">
        <f t="shared" si="1"/>
        <v>5.0999999999999996</v>
      </c>
      <c r="C103" s="10"/>
      <c r="D103" s="10">
        <v>1.3</v>
      </c>
      <c r="E103" s="10">
        <v>3.8</v>
      </c>
    </row>
    <row r="104" spans="1:5" ht="32.25" customHeight="1">
      <c r="A104" s="9" t="s">
        <v>94</v>
      </c>
      <c r="B104" s="10">
        <f t="shared" si="1"/>
        <v>2.8</v>
      </c>
      <c r="C104" s="10"/>
      <c r="D104" s="10">
        <v>2.8</v>
      </c>
      <c r="E104" s="10"/>
    </row>
    <row r="105" spans="1:5" ht="32.25" customHeight="1">
      <c r="A105" s="9" t="s">
        <v>95</v>
      </c>
      <c r="B105" s="10">
        <f t="shared" si="1"/>
        <v>3</v>
      </c>
      <c r="C105" s="10"/>
      <c r="D105" s="10">
        <v>3</v>
      </c>
      <c r="E105" s="10"/>
    </row>
    <row r="106" spans="1:5" ht="28.5">
      <c r="A106" s="9" t="s">
        <v>96</v>
      </c>
      <c r="B106" s="10">
        <f t="shared" si="1"/>
        <v>5.8</v>
      </c>
      <c r="C106" s="10"/>
      <c r="D106" s="10">
        <v>2</v>
      </c>
      <c r="E106" s="10">
        <v>3.8</v>
      </c>
    </row>
    <row r="107" spans="1:5" ht="28.5">
      <c r="A107" s="9" t="s">
        <v>97</v>
      </c>
      <c r="B107" s="10">
        <f t="shared" si="1"/>
        <v>11.4</v>
      </c>
      <c r="C107" s="10"/>
      <c r="D107" s="10">
        <v>0</v>
      </c>
      <c r="E107" s="10">
        <v>11.4</v>
      </c>
    </row>
    <row r="108" spans="1:5" ht="28.5">
      <c r="A108" s="9" t="s">
        <v>98</v>
      </c>
      <c r="B108" s="10">
        <f t="shared" si="1"/>
        <v>1</v>
      </c>
      <c r="C108" s="10"/>
      <c r="D108" s="10">
        <v>1</v>
      </c>
      <c r="E108" s="10"/>
    </row>
    <row r="109" spans="1:5" ht="27.75" customHeight="1">
      <c r="A109" s="7" t="s">
        <v>99</v>
      </c>
      <c r="B109" s="10">
        <f t="shared" si="1"/>
        <v>23.19</v>
      </c>
      <c r="C109" s="10"/>
      <c r="D109" s="10">
        <v>0.39</v>
      </c>
      <c r="E109" s="10">
        <v>22.8</v>
      </c>
    </row>
    <row r="110" spans="1:5" ht="27.75" customHeight="1">
      <c r="A110" s="7" t="s">
        <v>100</v>
      </c>
      <c r="B110" s="10">
        <f t="shared" si="1"/>
        <v>8.8000000000000007</v>
      </c>
      <c r="C110" s="10"/>
      <c r="D110" s="10">
        <v>5</v>
      </c>
      <c r="E110" s="10">
        <v>3.8</v>
      </c>
    </row>
    <row r="111" spans="1:5" ht="27.75" customHeight="1">
      <c r="A111" s="9" t="s">
        <v>101</v>
      </c>
      <c r="B111" s="10">
        <f t="shared" si="1"/>
        <v>3</v>
      </c>
      <c r="C111" s="10"/>
      <c r="D111" s="10">
        <v>3</v>
      </c>
      <c r="E111" s="10"/>
    </row>
    <row r="112" spans="1:5" ht="27.75" customHeight="1">
      <c r="A112" s="9" t="s">
        <v>102</v>
      </c>
      <c r="B112" s="10">
        <f t="shared" si="1"/>
        <v>0.8</v>
      </c>
      <c r="C112" s="10"/>
      <c r="D112" s="10">
        <v>0.8</v>
      </c>
      <c r="E112" s="10"/>
    </row>
    <row r="113" spans="1:5" ht="27.75" customHeight="1">
      <c r="A113" s="9" t="s">
        <v>103</v>
      </c>
      <c r="B113" s="10">
        <f t="shared" si="1"/>
        <v>2</v>
      </c>
      <c r="C113" s="10"/>
      <c r="D113" s="10">
        <v>2</v>
      </c>
      <c r="E113" s="10"/>
    </row>
    <row r="114" spans="1:5" ht="27.75" customHeight="1">
      <c r="A114" s="9" t="s">
        <v>104</v>
      </c>
      <c r="B114" s="10">
        <f t="shared" si="1"/>
        <v>1</v>
      </c>
      <c r="C114" s="10"/>
      <c r="D114" s="10">
        <v>1</v>
      </c>
      <c r="E114" s="10"/>
    </row>
    <row r="115" spans="1:5">
      <c r="A115" s="9" t="s">
        <v>105</v>
      </c>
      <c r="B115" s="10">
        <f t="shared" si="1"/>
        <v>5</v>
      </c>
      <c r="C115" s="10"/>
      <c r="D115" s="10">
        <v>5</v>
      </c>
      <c r="E115" s="10"/>
    </row>
    <row r="116" spans="1:5" ht="28.5">
      <c r="A116" s="7" t="s">
        <v>106</v>
      </c>
      <c r="B116" s="10">
        <f t="shared" si="1"/>
        <v>11.8</v>
      </c>
      <c r="C116" s="10"/>
      <c r="D116" s="10">
        <v>8</v>
      </c>
      <c r="E116" s="10">
        <v>3.8</v>
      </c>
    </row>
    <row r="117" spans="1:5" ht="24.75" customHeight="1">
      <c r="A117" s="9" t="s">
        <v>107</v>
      </c>
      <c r="B117" s="10">
        <f t="shared" si="1"/>
        <v>1.5</v>
      </c>
      <c r="C117" s="10"/>
      <c r="D117" s="10">
        <v>1.5</v>
      </c>
      <c r="E117" s="10"/>
    </row>
    <row r="118" spans="1:5">
      <c r="A118" s="9" t="s">
        <v>127</v>
      </c>
      <c r="B118" s="10">
        <f t="shared" si="1"/>
        <v>3.8</v>
      </c>
      <c r="C118" s="10"/>
      <c r="D118" s="10"/>
      <c r="E118" s="10">
        <v>3.8</v>
      </c>
    </row>
    <row r="119" spans="1:5" ht="28.5">
      <c r="A119" s="9" t="s">
        <v>108</v>
      </c>
      <c r="B119" s="10">
        <f t="shared" si="1"/>
        <v>5.08</v>
      </c>
      <c r="C119" s="10"/>
      <c r="D119" s="10">
        <v>1.28</v>
      </c>
      <c r="E119" s="10">
        <v>3.8</v>
      </c>
    </row>
    <row r="120" spans="1:5">
      <c r="A120" s="9" t="s">
        <v>128</v>
      </c>
      <c r="B120" s="10">
        <f t="shared" si="1"/>
        <v>7.6</v>
      </c>
      <c r="C120" s="10"/>
      <c r="D120" s="10"/>
      <c r="E120" s="10">
        <v>7.6</v>
      </c>
    </row>
    <row r="121" spans="1:5" ht="28.5">
      <c r="A121" s="9" t="s">
        <v>109</v>
      </c>
      <c r="B121" s="10">
        <f t="shared" si="1"/>
        <v>2.16</v>
      </c>
      <c r="C121" s="10"/>
      <c r="D121" s="10">
        <v>2.16</v>
      </c>
      <c r="E121" s="10"/>
    </row>
    <row r="122" spans="1:5" ht="28.5">
      <c r="A122" s="9" t="s">
        <v>129</v>
      </c>
      <c r="B122" s="10">
        <f t="shared" si="1"/>
        <v>4.8</v>
      </c>
      <c r="C122" s="10"/>
      <c r="D122" s="10"/>
      <c r="E122" s="10">
        <v>4.8</v>
      </c>
    </row>
    <row r="123" spans="1:5" ht="28.5">
      <c r="A123" s="9" t="s">
        <v>130</v>
      </c>
      <c r="B123" s="10">
        <f t="shared" si="1"/>
        <v>4.8</v>
      </c>
      <c r="C123" s="10"/>
      <c r="D123" s="10"/>
      <c r="E123" s="10">
        <v>4.8</v>
      </c>
    </row>
    <row r="124" spans="1:5" ht="28.5">
      <c r="A124" s="9" t="s">
        <v>131</v>
      </c>
      <c r="B124" s="10">
        <f t="shared" si="1"/>
        <v>4.8</v>
      </c>
      <c r="C124" s="10"/>
      <c r="D124" s="10"/>
      <c r="E124" s="10">
        <v>4.8</v>
      </c>
    </row>
    <row r="125" spans="1:5" ht="28.5">
      <c r="A125" s="7" t="s">
        <v>110</v>
      </c>
      <c r="B125" s="10">
        <f t="shared" si="1"/>
        <v>7.4</v>
      </c>
      <c r="C125" s="10"/>
      <c r="D125" s="10">
        <v>3.6</v>
      </c>
      <c r="E125" s="10">
        <v>3.8</v>
      </c>
    </row>
    <row r="126" spans="1:5" ht="28.5">
      <c r="A126" s="7" t="s">
        <v>111</v>
      </c>
      <c r="B126" s="10">
        <f t="shared" si="1"/>
        <v>9.8000000000000007</v>
      </c>
      <c r="C126" s="10"/>
      <c r="D126" s="10">
        <v>6</v>
      </c>
      <c r="E126" s="10">
        <v>3.8</v>
      </c>
    </row>
    <row r="127" spans="1:5" ht="28.5">
      <c r="A127" s="7" t="s">
        <v>112</v>
      </c>
      <c r="B127" s="10">
        <f t="shared" si="1"/>
        <v>10.8</v>
      </c>
      <c r="C127" s="10"/>
      <c r="D127" s="10">
        <v>7</v>
      </c>
      <c r="E127" s="10">
        <v>3.8</v>
      </c>
    </row>
    <row r="128" spans="1:5" ht="28.5">
      <c r="A128" s="7" t="s">
        <v>113</v>
      </c>
      <c r="B128" s="10">
        <f t="shared" si="1"/>
        <v>21.2</v>
      </c>
      <c r="C128" s="10"/>
      <c r="D128" s="10">
        <v>17.399999999999999</v>
      </c>
      <c r="E128" s="10">
        <v>3.8</v>
      </c>
    </row>
    <row r="129" spans="1:5" ht="28.5">
      <c r="A129" s="9" t="s">
        <v>114</v>
      </c>
      <c r="B129" s="10">
        <f t="shared" si="1"/>
        <v>4.26</v>
      </c>
      <c r="C129" s="10"/>
      <c r="D129" s="10">
        <v>4.26</v>
      </c>
      <c r="E129" s="10"/>
    </row>
    <row r="130" spans="1:5" ht="28.5">
      <c r="A130" s="9" t="s">
        <v>115</v>
      </c>
      <c r="B130" s="10">
        <f t="shared" si="1"/>
        <v>4.21</v>
      </c>
      <c r="C130" s="10"/>
      <c r="D130" s="10">
        <v>4.21</v>
      </c>
      <c r="E130" s="10"/>
    </row>
    <row r="131" spans="1:5" ht="28.5">
      <c r="A131" s="7" t="s">
        <v>116</v>
      </c>
      <c r="B131" s="10">
        <f t="shared" si="1"/>
        <v>12.8</v>
      </c>
      <c r="C131" s="10"/>
      <c r="D131" s="10">
        <v>9</v>
      </c>
      <c r="E131" s="10">
        <v>3.8</v>
      </c>
    </row>
    <row r="132" spans="1:5" ht="28.5">
      <c r="A132" s="9" t="s">
        <v>117</v>
      </c>
      <c r="B132" s="10">
        <f t="shared" si="1"/>
        <v>3</v>
      </c>
      <c r="C132" s="10"/>
      <c r="D132" s="10">
        <v>3</v>
      </c>
      <c r="E132" s="10"/>
    </row>
    <row r="133" spans="1:5" ht="28.5">
      <c r="A133" s="7" t="s">
        <v>118</v>
      </c>
      <c r="B133" s="10">
        <f t="shared" si="1"/>
        <v>0.8</v>
      </c>
      <c r="C133" s="10"/>
      <c r="D133" s="10">
        <v>0.8</v>
      </c>
      <c r="E133" s="10"/>
    </row>
    <row r="134" spans="1:5" ht="28.5">
      <c r="A134" s="9" t="s">
        <v>119</v>
      </c>
      <c r="B134" s="10">
        <f t="shared" si="1"/>
        <v>2.4</v>
      </c>
      <c r="C134" s="10"/>
      <c r="D134" s="10">
        <v>2.4</v>
      </c>
      <c r="E134" s="10"/>
    </row>
    <row r="135" spans="1:5" ht="28.5">
      <c r="A135" s="9" t="s">
        <v>120</v>
      </c>
      <c r="B135" s="10">
        <f t="shared" si="1"/>
        <v>1.5</v>
      </c>
      <c r="C135" s="10"/>
      <c r="D135" s="10">
        <v>1.5</v>
      </c>
      <c r="E135" s="10"/>
    </row>
    <row r="136" spans="1:5" ht="28.5">
      <c r="A136" s="9" t="s">
        <v>121</v>
      </c>
      <c r="B136" s="10">
        <f t="shared" si="1"/>
        <v>5</v>
      </c>
      <c r="C136" s="10"/>
      <c r="D136" s="10">
        <v>5</v>
      </c>
      <c r="E136" s="10"/>
    </row>
  </sheetData>
  <sheetProtection formatCells="0" formatColumns="0" formatRows="0"/>
  <mergeCells count="7">
    <mergeCell ref="A6:A8"/>
    <mergeCell ref="A3:E3"/>
    <mergeCell ref="B5:C5"/>
    <mergeCell ref="C6:C8"/>
    <mergeCell ref="D6:D8"/>
    <mergeCell ref="E6:E8"/>
    <mergeCell ref="B6:B8"/>
  </mergeCells>
  <phoneticPr fontId="1" type="noConversion"/>
  <pageMargins left="0.6692913385826772" right="0.27559055118110237" top="0.82677165354330717" bottom="0.82677165354330717" header="0.51181102362204722" footer="0.51181102362204722"/>
  <pageSetup paperSize="9" orientation="portrait" verticalDpi="4294967293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2017年"三公经费"预算表</vt:lpstr>
      <vt:lpstr>'2017年"三公经费"预算表'!Print_Titles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陈贤强</cp:lastModifiedBy>
  <cp:lastPrinted>2017-01-22T07:25:52Z</cp:lastPrinted>
  <dcterms:created xsi:type="dcterms:W3CDTF">2014-10-26T02:43:08Z</dcterms:created>
  <dcterms:modified xsi:type="dcterms:W3CDTF">2017-01-22T07:30:37Z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3345036</vt:i4>
  </property>
</Properties>
</file>