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J8" i="1"/>
  <c r="I8"/>
  <c r="E8"/>
  <c r="D8"/>
  <c r="H7"/>
  <c r="G7"/>
  <c r="C7"/>
  <c r="B7"/>
  <c r="D7" l="1"/>
  <c r="I7"/>
  <c r="J7" s="1"/>
  <c r="E7"/>
</calcChain>
</file>

<file path=xl/sharedStrings.xml><?xml version="1.0" encoding="utf-8"?>
<sst xmlns="http://schemas.openxmlformats.org/spreadsheetml/2006/main" count="17" uniqueCount="12">
  <si>
    <t>单位：万元</t>
    <phoneticPr fontId="1" type="noConversion"/>
  </si>
  <si>
    <t>项          目</t>
    <phoneticPr fontId="5" type="noConversion"/>
  </si>
  <si>
    <t>2016年            年度预算</t>
    <phoneticPr fontId="5" type="noConversion"/>
  </si>
  <si>
    <t>2017年            预算安排</t>
    <phoneticPr fontId="5" type="noConversion"/>
  </si>
  <si>
    <t>比上年度   预算增减</t>
    <phoneticPr fontId="5" type="noConversion"/>
  </si>
  <si>
    <t>比上年预算增长%</t>
    <phoneticPr fontId="5" type="noConversion"/>
  </si>
  <si>
    <t>国有资本经营预算收入合计</t>
    <phoneticPr fontId="5" type="noConversion"/>
  </si>
  <si>
    <t>国有资本经营预算支出合计</t>
    <phoneticPr fontId="5" type="noConversion"/>
  </si>
  <si>
    <t>利润收入</t>
    <phoneticPr fontId="1" type="noConversion"/>
  </si>
  <si>
    <t>其他支出</t>
    <phoneticPr fontId="1" type="noConversion"/>
  </si>
  <si>
    <t>上年结余</t>
    <phoneticPr fontId="1" type="noConversion"/>
  </si>
  <si>
    <t>2017年国有资本经营预算表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</si>
</sst>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_ "/>
  </numFmts>
  <fonts count="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3">
    <xf numFmtId="0" fontId="0" fillId="0" borderId="0" xfId="0">
      <alignment vertical="center"/>
    </xf>
    <xf numFmtId="0" fontId="4" fillId="0" borderId="0" xfId="1" applyFont="1" applyFill="1" applyAlignment="1">
      <alignment vertical="center"/>
    </xf>
    <xf numFmtId="0" fontId="4" fillId="0" borderId="1" xfId="1" applyNumberFormat="1" applyFont="1" applyFill="1" applyBorder="1" applyAlignment="1" applyProtection="1">
      <alignment horizontal="left" vertical="center"/>
    </xf>
    <xf numFmtId="0" fontId="4" fillId="0" borderId="1" xfId="1" applyFont="1" applyFill="1" applyBorder="1" applyAlignment="1">
      <alignment vertical="center"/>
    </xf>
    <xf numFmtId="176" fontId="4" fillId="0" borderId="1" xfId="1" applyNumberFormat="1" applyFont="1" applyFill="1" applyBorder="1" applyAlignment="1">
      <alignment horizontal="right" vertical="center"/>
    </xf>
    <xf numFmtId="0" fontId="4" fillId="0" borderId="1" xfId="1" applyNumberFormat="1" applyFont="1" applyFill="1" applyBorder="1" applyAlignment="1" applyProtection="1">
      <alignment vertical="center"/>
    </xf>
    <xf numFmtId="0" fontId="4" fillId="0" borderId="1" xfId="1" applyNumberFormat="1" applyFont="1" applyFill="1" applyBorder="1" applyAlignment="1" applyProtection="1">
      <alignment horizontal="right" vertical="center"/>
    </xf>
    <xf numFmtId="49" fontId="4" fillId="0" borderId="1" xfId="1" applyNumberFormat="1" applyFont="1" applyFill="1" applyBorder="1" applyAlignment="1" applyProtection="1">
      <alignment horizontal="right" vertical="center"/>
    </xf>
    <xf numFmtId="176" fontId="4" fillId="0" borderId="1" xfId="1" applyNumberFormat="1" applyFont="1" applyFill="1" applyBorder="1" applyAlignment="1">
      <alignment horizontal="right" vertical="center" wrapText="1"/>
    </xf>
    <xf numFmtId="0" fontId="6" fillId="0" borderId="1" xfId="1" applyNumberFormat="1" applyFont="1" applyFill="1" applyBorder="1" applyAlignment="1" applyProtection="1">
      <alignment horizontal="left" vertical="center"/>
    </xf>
    <xf numFmtId="0" fontId="6" fillId="0" borderId="1" xfId="1" applyFont="1" applyFill="1" applyBorder="1" applyAlignment="1">
      <alignment horizontal="right" vertical="center"/>
    </xf>
    <xf numFmtId="0" fontId="6" fillId="0" borderId="1" xfId="1" applyFont="1" applyFill="1" applyBorder="1" applyAlignment="1">
      <alignment vertical="center"/>
    </xf>
    <xf numFmtId="176" fontId="6" fillId="0" borderId="1" xfId="1" applyNumberFormat="1" applyFont="1" applyFill="1" applyBorder="1" applyAlignment="1">
      <alignment horizontal="right" vertical="center"/>
    </xf>
    <xf numFmtId="0" fontId="6" fillId="0" borderId="1" xfId="1" applyNumberFormat="1" applyFont="1" applyFill="1" applyBorder="1" applyAlignment="1" applyProtection="1">
      <alignment vertical="center"/>
    </xf>
    <xf numFmtId="0" fontId="6" fillId="0" borderId="1" xfId="1" applyNumberFormat="1" applyFont="1" applyFill="1" applyBorder="1" applyAlignment="1" applyProtection="1">
      <alignment horizontal="right" vertical="center"/>
    </xf>
    <xf numFmtId="49" fontId="6" fillId="0" borderId="1" xfId="1" applyNumberFormat="1" applyFont="1" applyFill="1" applyBorder="1" applyAlignment="1" applyProtection="1">
      <alignment horizontal="right" vertical="center"/>
    </xf>
    <xf numFmtId="176" fontId="6" fillId="0" borderId="1" xfId="1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vertical="center"/>
    </xf>
    <xf numFmtId="0" fontId="4" fillId="0" borderId="1" xfId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1" xfId="1" applyNumberFormat="1" applyFont="1" applyFill="1" applyBorder="1" applyAlignment="1" applyProtection="1">
      <alignment horizontal="center" vertical="center"/>
    </xf>
    <xf numFmtId="0" fontId="4" fillId="0" borderId="1" xfId="1" applyNumberFormat="1" applyFont="1" applyFill="1" applyBorder="1" applyAlignment="1">
      <alignment horizontal="center" vertical="center" wrapText="1"/>
    </xf>
    <xf numFmtId="49" fontId="4" fillId="0" borderId="1" xfId="1" applyNumberFormat="1" applyFont="1" applyFill="1" applyBorder="1" applyAlignment="1">
      <alignment horizontal="center" vertical="center" wrapText="1"/>
    </xf>
  </cellXfs>
  <cellStyles count="2">
    <cellStyle name="?鹎%U龡&amp;H齲_x0001_C铣_x0014__x0007__x0001__x0001_" xfId="1"/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J14"/>
  <sheetViews>
    <sheetView tabSelected="1" workbookViewId="0">
      <selection activeCell="M11" sqref="M11"/>
    </sheetView>
  </sheetViews>
  <sheetFormatPr defaultRowHeight="13.5"/>
  <cols>
    <col min="1" max="1" width="26.375" customWidth="1"/>
    <col min="2" max="5" width="10.625" customWidth="1"/>
    <col min="6" max="6" width="30.125" customWidth="1"/>
    <col min="7" max="10" width="10.625" customWidth="1"/>
  </cols>
  <sheetData>
    <row r="2" spans="1:10">
      <c r="A2" s="19" t="s">
        <v>11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>
      <c r="A3" s="19"/>
      <c r="B3" s="19"/>
      <c r="C3" s="19"/>
      <c r="D3" s="19"/>
      <c r="E3" s="19"/>
      <c r="F3" s="19"/>
      <c r="G3" s="19"/>
      <c r="H3" s="19"/>
      <c r="I3" s="19"/>
      <c r="J3" s="19"/>
    </row>
    <row r="4" spans="1:10" ht="18.75" customHeight="1">
      <c r="J4" t="s">
        <v>0</v>
      </c>
    </row>
    <row r="5" spans="1:10" s="1" customFormat="1" ht="12.75" customHeight="1">
      <c r="A5" s="20" t="s">
        <v>1</v>
      </c>
      <c r="B5" s="21" t="s">
        <v>2</v>
      </c>
      <c r="C5" s="21" t="s">
        <v>3</v>
      </c>
      <c r="D5" s="22" t="s">
        <v>4</v>
      </c>
      <c r="E5" s="18" t="s">
        <v>5</v>
      </c>
      <c r="F5" s="20" t="s">
        <v>1</v>
      </c>
      <c r="G5" s="21" t="s">
        <v>2</v>
      </c>
      <c r="H5" s="21" t="s">
        <v>3</v>
      </c>
      <c r="I5" s="22" t="s">
        <v>4</v>
      </c>
      <c r="J5" s="18" t="s">
        <v>5</v>
      </c>
    </row>
    <row r="6" spans="1:10" s="1" customFormat="1" ht="21.75" customHeight="1">
      <c r="A6" s="20"/>
      <c r="B6" s="21"/>
      <c r="C6" s="21"/>
      <c r="D6" s="22"/>
      <c r="E6" s="18"/>
      <c r="F6" s="20"/>
      <c r="G6" s="21"/>
      <c r="H6" s="21"/>
      <c r="I6" s="22"/>
      <c r="J6" s="18"/>
    </row>
    <row r="7" spans="1:10" s="1" customFormat="1" ht="30" customHeight="1">
      <c r="A7" s="2" t="s">
        <v>6</v>
      </c>
      <c r="B7" s="3">
        <f>SUM(B8:B14)</f>
        <v>91</v>
      </c>
      <c r="C7" s="3">
        <f>SUM(C8:C14)</f>
        <v>336.29</v>
      </c>
      <c r="D7" s="3">
        <f>C7-B7</f>
        <v>245.29000000000002</v>
      </c>
      <c r="E7" s="4">
        <f>(C7/B7-1)*100</f>
        <v>269.54945054945057</v>
      </c>
      <c r="F7" s="5" t="s">
        <v>7</v>
      </c>
      <c r="G7" s="6">
        <f>SUM(G8:G14)</f>
        <v>90.65</v>
      </c>
      <c r="H7" s="6">
        <f>SUM(H8:H14)</f>
        <v>336.29</v>
      </c>
      <c r="I7" s="7">
        <f t="shared" ref="I7:I8" si="0">H7-G7</f>
        <v>245.64000000000001</v>
      </c>
      <c r="J7" s="8">
        <f t="shared" ref="J7:J8" si="1">I7/G7*100</f>
        <v>270.97628240485381</v>
      </c>
    </row>
    <row r="8" spans="1:10" s="17" customFormat="1" ht="30" customHeight="1">
      <c r="A8" s="9" t="s">
        <v>8</v>
      </c>
      <c r="B8" s="10">
        <v>91</v>
      </c>
      <c r="C8" s="10">
        <v>232</v>
      </c>
      <c r="D8" s="11">
        <f>C8-B8</f>
        <v>141</v>
      </c>
      <c r="E8" s="12">
        <f>(C8/B8-1)*100</f>
        <v>154.94505494505492</v>
      </c>
      <c r="F8" s="13" t="s">
        <v>9</v>
      </c>
      <c r="G8" s="14">
        <v>90.65</v>
      </c>
      <c r="H8" s="10">
        <v>336.29</v>
      </c>
      <c r="I8" s="15">
        <f t="shared" si="0"/>
        <v>245.64000000000001</v>
      </c>
      <c r="J8" s="16">
        <f t="shared" si="1"/>
        <v>270.97628240485381</v>
      </c>
    </row>
    <row r="9" spans="1:10" s="17" customFormat="1" ht="30" customHeight="1">
      <c r="A9" s="9" t="s">
        <v>10</v>
      </c>
      <c r="B9" s="10"/>
      <c r="C9" s="10">
        <v>104.29</v>
      </c>
      <c r="D9" s="11"/>
      <c r="E9" s="12"/>
      <c r="F9" s="13"/>
      <c r="G9" s="14"/>
      <c r="H9" s="10"/>
      <c r="I9" s="15"/>
      <c r="J9" s="16"/>
    </row>
    <row r="10" spans="1:10" s="17" customFormat="1" ht="30" customHeight="1">
      <c r="A10" s="9"/>
      <c r="B10" s="10"/>
      <c r="C10" s="10"/>
      <c r="D10" s="11"/>
      <c r="E10" s="12"/>
      <c r="F10" s="13"/>
      <c r="G10" s="14"/>
      <c r="H10" s="10"/>
      <c r="I10" s="15"/>
      <c r="J10" s="16"/>
    </row>
    <row r="11" spans="1:10" s="17" customFormat="1" ht="30" customHeight="1">
      <c r="A11" s="9"/>
      <c r="B11" s="10"/>
      <c r="C11" s="10"/>
      <c r="D11" s="11"/>
      <c r="E11" s="12"/>
      <c r="F11" s="13"/>
      <c r="G11" s="14"/>
      <c r="H11" s="10"/>
      <c r="I11" s="15"/>
      <c r="J11" s="16"/>
    </row>
    <row r="12" spans="1:10" s="17" customFormat="1" ht="30" customHeight="1">
      <c r="A12" s="9"/>
      <c r="B12" s="10"/>
      <c r="C12" s="10"/>
      <c r="D12" s="11"/>
      <c r="E12" s="12"/>
      <c r="F12" s="13"/>
      <c r="G12" s="14"/>
      <c r="H12" s="10"/>
      <c r="I12" s="15"/>
      <c r="J12" s="16"/>
    </row>
    <row r="13" spans="1:10" s="17" customFormat="1" ht="30" customHeight="1">
      <c r="A13" s="9"/>
      <c r="B13" s="10"/>
      <c r="C13" s="10"/>
      <c r="D13" s="11"/>
      <c r="E13" s="12"/>
      <c r="F13" s="13"/>
      <c r="G13" s="14"/>
      <c r="H13" s="10"/>
      <c r="I13" s="15"/>
      <c r="J13" s="16"/>
    </row>
    <row r="14" spans="1:10" s="17" customFormat="1" ht="30" customHeight="1">
      <c r="A14" s="9"/>
      <c r="B14" s="10"/>
      <c r="C14" s="10"/>
      <c r="D14" s="11"/>
      <c r="E14" s="12"/>
      <c r="F14" s="13"/>
      <c r="G14" s="14"/>
      <c r="H14" s="10"/>
      <c r="I14" s="15"/>
      <c r="J14" s="16"/>
    </row>
  </sheetData>
  <protectedRanges>
    <protectedRange password="CF6E" sqref="B8:C14" name="区域1_3_3"/>
  </protectedRanges>
  <mergeCells count="11">
    <mergeCell ref="J5:J6"/>
    <mergeCell ref="A2:J3"/>
    <mergeCell ref="A5:A6"/>
    <mergeCell ref="B5:B6"/>
    <mergeCell ref="C5:C6"/>
    <mergeCell ref="D5:D6"/>
    <mergeCell ref="E5:E6"/>
    <mergeCell ref="F5:F6"/>
    <mergeCell ref="G5:G6"/>
    <mergeCell ref="H5:H6"/>
    <mergeCell ref="I5:I6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4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2017-02-04T03:41:37Z</dcterms:modified>
</cp:coreProperties>
</file>