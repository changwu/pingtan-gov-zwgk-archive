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14" i="1"/>
  <c r="J14" s="1"/>
  <c r="D14"/>
  <c r="J13"/>
  <c r="I13"/>
  <c r="D13"/>
  <c r="I12"/>
  <c r="J12" s="1"/>
  <c r="D12"/>
  <c r="J11"/>
  <c r="I11"/>
  <c r="D11"/>
  <c r="I10"/>
  <c r="J10" s="1"/>
  <c r="D10"/>
  <c r="J9"/>
  <c r="I9"/>
  <c r="D9"/>
  <c r="I8"/>
  <c r="J8" s="1"/>
  <c r="D8"/>
  <c r="H7"/>
  <c r="I7" s="1"/>
  <c r="J7" s="1"/>
  <c r="G7"/>
  <c r="C7"/>
  <c r="D7" s="1"/>
  <c r="B7"/>
  <c r="E7" l="1"/>
</calcChain>
</file>

<file path=xl/sharedStrings.xml><?xml version="1.0" encoding="utf-8"?>
<sst xmlns="http://schemas.openxmlformats.org/spreadsheetml/2006/main" count="28" uniqueCount="23">
  <si>
    <t>单位：万元</t>
    <phoneticPr fontId="1" type="noConversion"/>
  </si>
  <si>
    <t>2017年平潭社保基金预算表</t>
    <phoneticPr fontId="1" type="noConversion"/>
  </si>
  <si>
    <t>项          目</t>
    <phoneticPr fontId="7" type="noConversion"/>
  </si>
  <si>
    <t>2016年            年度预算</t>
    <phoneticPr fontId="7" type="noConversion"/>
  </si>
  <si>
    <t>2017年            预算安排</t>
    <phoneticPr fontId="7" type="noConversion"/>
  </si>
  <si>
    <t>比上年度   预算增减</t>
    <phoneticPr fontId="7" type="noConversion"/>
  </si>
  <si>
    <t>比上年预算增长%</t>
    <phoneticPr fontId="7" type="noConversion"/>
  </si>
  <si>
    <t>社会保险基金收入合计</t>
    <phoneticPr fontId="7" type="noConversion"/>
  </si>
  <si>
    <t>社会保险基金支出合计</t>
    <phoneticPr fontId="7" type="noConversion"/>
  </si>
  <si>
    <t xml:space="preserve">  机关事业基本养老保险基金</t>
    <phoneticPr fontId="7" type="noConversion"/>
  </si>
  <si>
    <t xml:space="preserve">  机关事业基本养老保险基金支出</t>
    <phoneticPr fontId="7" type="noConversion"/>
  </si>
  <si>
    <t xml:space="preserve">  城乡居民基本养老保险基金</t>
    <phoneticPr fontId="7" type="noConversion"/>
  </si>
  <si>
    <t xml:space="preserve">  城乡居民基本养老保险基金支出</t>
    <phoneticPr fontId="7" type="noConversion"/>
  </si>
  <si>
    <t xml:space="preserve">  城镇职工基本医疗保险基金</t>
    <phoneticPr fontId="7" type="noConversion"/>
  </si>
  <si>
    <t xml:space="preserve">  城镇职工基本医疗保险基金支出</t>
    <phoneticPr fontId="7" type="noConversion"/>
  </si>
  <si>
    <t xml:space="preserve">  居民基本医疗保险基金收入</t>
    <phoneticPr fontId="7" type="noConversion"/>
  </si>
  <si>
    <t xml:space="preserve">  居民基本医疗保险基金支出</t>
    <phoneticPr fontId="7" type="noConversion"/>
  </si>
  <si>
    <t xml:space="preserve">  失业保险基金收入</t>
    <phoneticPr fontId="7" type="noConversion"/>
  </si>
  <si>
    <t xml:space="preserve">  失业保险基金支出</t>
    <phoneticPr fontId="7" type="noConversion"/>
  </si>
  <si>
    <t xml:space="preserve">  工伤保险基金收入</t>
    <phoneticPr fontId="7" type="noConversion"/>
  </si>
  <si>
    <t xml:space="preserve">  工伤保险基金支出</t>
    <phoneticPr fontId="7" type="noConversion"/>
  </si>
  <si>
    <t xml:space="preserve">  生育保险基金收入</t>
    <phoneticPr fontId="7" type="noConversion"/>
  </si>
  <si>
    <t xml:space="preserve">  生育保险基金支出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</si>
</sst>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4" fillId="0" borderId="1" xfId="1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1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1" xfId="1" applyNumberFormat="1" applyFont="1" applyFill="1" applyBorder="1" applyAlignment="1" applyProtection="1">
      <alignment horizontal="right" vertical="center"/>
    </xf>
    <xf numFmtId="49" fontId="4" fillId="0" borderId="1" xfId="1" applyNumberFormat="1" applyFont="1" applyFill="1" applyBorder="1" applyAlignment="1" applyProtection="1">
      <alignment horizontal="right" vertical="center"/>
    </xf>
    <xf numFmtId="176" fontId="4" fillId="0" borderId="1" xfId="1" applyNumberFormat="1" applyFont="1" applyFill="1" applyBorder="1" applyAlignment="1">
      <alignment horizontal="right" vertical="center" wrapText="1"/>
    </xf>
    <xf numFmtId="0" fontId="3" fillId="0" borderId="1" xfId="1" applyNumberFormat="1" applyFont="1" applyFill="1" applyBorder="1" applyAlignment="1" applyProtection="1">
      <alignment horizontal="right" vertical="center"/>
    </xf>
    <xf numFmtId="49" fontId="3" fillId="0" borderId="1" xfId="1" applyNumberFormat="1" applyFont="1" applyFill="1" applyBorder="1" applyAlignment="1" applyProtection="1">
      <alignment horizontal="right" vertical="center"/>
    </xf>
    <xf numFmtId="176" fontId="3" fillId="0" borderId="1" xfId="1" applyNumberFormat="1" applyFont="1" applyFill="1" applyBorder="1" applyAlignment="1">
      <alignment horizontal="right" vertical="center" wrapText="1"/>
    </xf>
    <xf numFmtId="176" fontId="4" fillId="0" borderId="1" xfId="1" applyNumberFormat="1" applyFont="1" applyFill="1" applyBorder="1" applyAlignment="1">
      <alignment horizontal="right" vertical="center"/>
    </xf>
    <xf numFmtId="176" fontId="3" fillId="0" borderId="1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 applyProtection="1">
      <alignment vertical="center"/>
    </xf>
    <xf numFmtId="0" fontId="3" fillId="0" borderId="1" xfId="1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/>
    </xf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4"/>
  <sheetViews>
    <sheetView tabSelected="1" workbookViewId="0">
      <selection activeCell="E21" sqref="E21"/>
    </sheetView>
  </sheetViews>
  <sheetFormatPr defaultRowHeight="13.5"/>
  <cols>
    <col min="1" max="1" width="26.375" customWidth="1"/>
    <col min="2" max="5" width="10.625" customWidth="1"/>
    <col min="6" max="6" width="30.125" customWidth="1"/>
    <col min="7" max="10" width="10.625" customWidth="1"/>
  </cols>
  <sheetData>
    <row r="2" spans="1:10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 ht="18.75" customHeight="1">
      <c r="J4" t="s">
        <v>0</v>
      </c>
    </row>
    <row r="5" spans="1:10" s="7" customFormat="1" ht="12.75" customHeight="1">
      <c r="A5" s="22" t="s">
        <v>2</v>
      </c>
      <c r="B5" s="19" t="s">
        <v>3</v>
      </c>
      <c r="C5" s="19" t="s">
        <v>4</v>
      </c>
      <c r="D5" s="20" t="s">
        <v>5</v>
      </c>
      <c r="E5" s="21" t="s">
        <v>6</v>
      </c>
      <c r="F5" s="22" t="s">
        <v>2</v>
      </c>
      <c r="G5" s="19" t="s">
        <v>3</v>
      </c>
      <c r="H5" s="19" t="s">
        <v>4</v>
      </c>
      <c r="I5" s="20" t="s">
        <v>5</v>
      </c>
      <c r="J5" s="21" t="s">
        <v>6</v>
      </c>
    </row>
    <row r="6" spans="1:10" s="7" customFormat="1" ht="21.75" customHeight="1">
      <c r="A6" s="22"/>
      <c r="B6" s="19"/>
      <c r="C6" s="19"/>
      <c r="D6" s="20"/>
      <c r="E6" s="21"/>
      <c r="F6" s="22"/>
      <c r="G6" s="19"/>
      <c r="H6" s="19"/>
      <c r="I6" s="20"/>
      <c r="J6" s="21"/>
    </row>
    <row r="7" spans="1:10" s="7" customFormat="1" ht="30" customHeight="1">
      <c r="A7" s="1" t="s">
        <v>7</v>
      </c>
      <c r="B7" s="4">
        <f>SUM(B8:B14)</f>
        <v>71437</v>
      </c>
      <c r="C7" s="4">
        <f>SUM(C8:C14)</f>
        <v>78713</v>
      </c>
      <c r="D7" s="4">
        <f>C7-B7</f>
        <v>7276</v>
      </c>
      <c r="E7" s="14">
        <f>(C7/B7-1)*100</f>
        <v>10.18519814661869</v>
      </c>
      <c r="F7" s="16" t="s">
        <v>8</v>
      </c>
      <c r="G7" s="8">
        <f>SUM(G8:G14)</f>
        <v>63864</v>
      </c>
      <c r="H7" s="8">
        <f>SUM(H8:H14)</f>
        <v>70951</v>
      </c>
      <c r="I7" s="9">
        <f t="shared" ref="I7:I14" si="0">H7-G7</f>
        <v>7087</v>
      </c>
      <c r="J7" s="10">
        <f t="shared" ref="J7:J14" si="1">I7/G7*100</f>
        <v>11.097018664662407</v>
      </c>
    </row>
    <row r="8" spans="1:10" s="6" customFormat="1" ht="30" customHeight="1">
      <c r="A8" s="2" t="s">
        <v>9</v>
      </c>
      <c r="B8" s="5">
        <v>25395</v>
      </c>
      <c r="C8" s="5">
        <v>28709</v>
      </c>
      <c r="D8" s="3">
        <f>C8-B8</f>
        <v>3314</v>
      </c>
      <c r="E8" s="15">
        <v>13.049812955306162</v>
      </c>
      <c r="F8" s="17" t="s">
        <v>10</v>
      </c>
      <c r="G8" s="11">
        <v>25366</v>
      </c>
      <c r="H8" s="5">
        <v>28132</v>
      </c>
      <c r="I8" s="12">
        <f t="shared" si="0"/>
        <v>2766</v>
      </c>
      <c r="J8" s="13">
        <f t="shared" si="1"/>
        <v>10.904360167152882</v>
      </c>
    </row>
    <row r="9" spans="1:10" s="6" customFormat="1" ht="30" customHeight="1">
      <c r="A9" s="2" t="s">
        <v>11</v>
      </c>
      <c r="B9" s="5">
        <v>11599</v>
      </c>
      <c r="C9" s="5">
        <v>10289</v>
      </c>
      <c r="D9" s="3">
        <f t="shared" ref="D9:D14" si="2">C9-B9</f>
        <v>-1310</v>
      </c>
      <c r="E9" s="15">
        <v>-11.294077075609966</v>
      </c>
      <c r="F9" s="17" t="s">
        <v>12</v>
      </c>
      <c r="G9" s="11">
        <v>8028</v>
      </c>
      <c r="H9" s="5">
        <v>7990</v>
      </c>
      <c r="I9" s="12">
        <f t="shared" si="0"/>
        <v>-38</v>
      </c>
      <c r="J9" s="13">
        <f t="shared" si="1"/>
        <v>-0.47334329845540607</v>
      </c>
    </row>
    <row r="10" spans="1:10" s="6" customFormat="1" ht="30" customHeight="1">
      <c r="A10" s="2" t="s">
        <v>13</v>
      </c>
      <c r="B10" s="5">
        <v>11773</v>
      </c>
      <c r="C10" s="5">
        <v>13639</v>
      </c>
      <c r="D10" s="3">
        <f t="shared" si="2"/>
        <v>1866</v>
      </c>
      <c r="E10" s="15">
        <v>15.849825872759716</v>
      </c>
      <c r="F10" s="17" t="s">
        <v>14</v>
      </c>
      <c r="G10" s="11">
        <v>11126</v>
      </c>
      <c r="H10" s="5">
        <v>12055</v>
      </c>
      <c r="I10" s="12">
        <f t="shared" si="0"/>
        <v>929</v>
      </c>
      <c r="J10" s="13">
        <f t="shared" si="1"/>
        <v>8.3498112529210857</v>
      </c>
    </row>
    <row r="11" spans="1:10" s="6" customFormat="1" ht="30" customHeight="1">
      <c r="A11" s="2" t="s">
        <v>15</v>
      </c>
      <c r="B11" s="5">
        <v>20559</v>
      </c>
      <c r="C11" s="5">
        <v>24127</v>
      </c>
      <c r="D11" s="3">
        <f t="shared" si="2"/>
        <v>3568</v>
      </c>
      <c r="E11" s="15">
        <v>17.354929714480271</v>
      </c>
      <c r="F11" s="17" t="s">
        <v>16</v>
      </c>
      <c r="G11" s="11">
        <v>18137</v>
      </c>
      <c r="H11" s="5">
        <v>21588</v>
      </c>
      <c r="I11" s="12">
        <f t="shared" si="0"/>
        <v>3451</v>
      </c>
      <c r="J11" s="13">
        <f t="shared" si="1"/>
        <v>19.027402547279042</v>
      </c>
    </row>
    <row r="12" spans="1:10" s="6" customFormat="1" ht="30" customHeight="1">
      <c r="A12" s="2" t="s">
        <v>17</v>
      </c>
      <c r="B12" s="5">
        <v>1109</v>
      </c>
      <c r="C12" s="5">
        <v>971</v>
      </c>
      <c r="D12" s="3">
        <f t="shared" si="2"/>
        <v>-138</v>
      </c>
      <c r="E12" s="15">
        <v>-12.44</v>
      </c>
      <c r="F12" s="17" t="s">
        <v>18</v>
      </c>
      <c r="G12" s="11">
        <v>552</v>
      </c>
      <c r="H12" s="5">
        <v>376</v>
      </c>
      <c r="I12" s="12">
        <f t="shared" si="0"/>
        <v>-176</v>
      </c>
      <c r="J12" s="13">
        <f t="shared" si="1"/>
        <v>-31.884057971014489</v>
      </c>
    </row>
    <row r="13" spans="1:10" s="6" customFormat="1" ht="30" customHeight="1">
      <c r="A13" s="2" t="s">
        <v>19</v>
      </c>
      <c r="B13" s="5">
        <v>413</v>
      </c>
      <c r="C13" s="5">
        <v>468</v>
      </c>
      <c r="D13" s="3">
        <f t="shared" si="2"/>
        <v>55</v>
      </c>
      <c r="E13" s="15">
        <v>27.9</v>
      </c>
      <c r="F13" s="17" t="s">
        <v>20</v>
      </c>
      <c r="G13" s="11">
        <v>328</v>
      </c>
      <c r="H13" s="5">
        <v>310</v>
      </c>
      <c r="I13" s="12">
        <f t="shared" si="0"/>
        <v>-18</v>
      </c>
      <c r="J13" s="13">
        <f t="shared" si="1"/>
        <v>-5.4878048780487809</v>
      </c>
    </row>
    <row r="14" spans="1:10" s="6" customFormat="1" ht="30" customHeight="1">
      <c r="A14" s="2" t="s">
        <v>21</v>
      </c>
      <c r="B14" s="5">
        <v>589</v>
      </c>
      <c r="C14" s="5">
        <v>510</v>
      </c>
      <c r="D14" s="3">
        <f t="shared" si="2"/>
        <v>-79</v>
      </c>
      <c r="E14" s="15">
        <v>-13.412563667232602</v>
      </c>
      <c r="F14" s="17" t="s">
        <v>22</v>
      </c>
      <c r="G14" s="11">
        <v>327</v>
      </c>
      <c r="H14" s="5">
        <v>500</v>
      </c>
      <c r="I14" s="12">
        <f t="shared" si="0"/>
        <v>173</v>
      </c>
      <c r="J14" s="13">
        <f t="shared" si="1"/>
        <v>52.905198776758411</v>
      </c>
    </row>
  </sheetData>
  <protectedRanges>
    <protectedRange password="CF6E" sqref="B8:C14" name="区域1_3_3_2"/>
  </protectedRanges>
  <mergeCells count="11">
    <mergeCell ref="A2:J3"/>
    <mergeCell ref="H5:H6"/>
    <mergeCell ref="I5:I6"/>
    <mergeCell ref="J5:J6"/>
    <mergeCell ref="F5:F6"/>
    <mergeCell ref="G5:G6"/>
    <mergeCell ref="B5:B6"/>
    <mergeCell ref="C5:C6"/>
    <mergeCell ref="D5:D6"/>
    <mergeCell ref="E5:E6"/>
    <mergeCell ref="A5: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4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2017-02-08T00:29:50Z</dcterms:modified>
</cp:coreProperties>
</file>