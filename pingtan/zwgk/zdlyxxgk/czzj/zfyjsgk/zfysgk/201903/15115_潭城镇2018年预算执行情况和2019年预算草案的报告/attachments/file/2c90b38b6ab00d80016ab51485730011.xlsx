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<sst xmlns="http://schemas.openxmlformats.org/spreadsheetml/2006/main" count="47" uniqueCount="47">
  <si>
    <t>附表1-1</t>
  </si>
  <si>
    <t>2019年度潭城镇一般公共预算收入预算表</t>
  </si>
  <si>
    <t>单位：万元</t>
  </si>
  <si>
    <t>收入项目</t>
  </si>
  <si>
    <t>当年预算数</t>
  </si>
  <si>
    <t>上年执行数(或上年预算数)</t>
  </si>
  <si>
    <t>当年预算数为上年执行数(或上年预算数)的％</t>
  </si>
  <si>
    <t>一、税收收入</t>
  </si>
  <si>
    <t xml:space="preserve">    增值税</t>
  </si>
  <si>
    <t xml:space="preserve">    消费税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</si>
  <si>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</si>
  <si>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</si>
  <si>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</si>
  <si>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</si>
  <si>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</si>
  <si>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</si>
  <si>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</si>
  <si>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</si>
  <si>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</si>
  <si>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</si>
  <si>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</si>
  <si>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</si>
  <si>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</si>
  <si>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</si>
  <si>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</si>
  <si>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</si>
  <si>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</si>
  <si>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</si>
  <si>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</si>
  <si>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</si>
  <si>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</si>
  <si>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</si>
  <si>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</si>
  <si>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</si>
  <si>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</si>
  <si>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</si>
  <si>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</si>
  <si>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</si>
  <si>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</si>
  <si>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</si>
  <si>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</si>
  <si>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</si>
  <si>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</si>
  <si>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</si>
  <si>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债券转贷收入</t>
  </si>
  <si>
    <t xml:space="preserve">   接收其他地区援助收入</t>
  </si>
  <si>
    <t>收入合计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</si>
</sst>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2"/>
      <name val="黑体"/>
      <charset val="134"/>
    </font>
    <font>
      <sz val="10"/>
      <name val="宋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b/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1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3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3" fillId="3" borderId="3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" fillId="0" borderId="0"/>
    <xf numFmtId="0" fontId="22" fillId="3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6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0" fontId="1" fillId="0" borderId="0" xfId="40" applyFont="1"/>
    <xf numFmtId="0" fontId="1" fillId="0" borderId="0" xfId="40" applyAlignment="1">
      <alignment horizontal="center"/>
    </xf>
    <xf numFmtId="0" fontId="2" fillId="0" borderId="0" xfId="40" applyFont="1" applyFill="1" applyAlignment="1">
      <alignment horizontal="center"/>
    </xf>
    <xf numFmtId="10" fontId="2" fillId="0" borderId="0" xfId="40" applyNumberFormat="1" applyFont="1" applyFill="1" applyAlignment="1">
      <alignment horizontal="center"/>
    </xf>
    <xf numFmtId="0" fontId="3" fillId="0" borderId="0" xfId="40" applyFont="1" applyFill="1" applyAlignment="1">
      <alignment vertical="center"/>
    </xf>
    <xf numFmtId="10" fontId="4" fillId="0" borderId="0" xfId="0" applyNumberFormat="1" applyFont="1" applyFill="1" applyAlignment="1">
      <alignment horizontal="right" vertical="center"/>
    </xf>
    <xf numFmtId="0" fontId="5" fillId="0" borderId="1" xfId="40" applyFont="1" applyFill="1" applyBorder="1" applyAlignment="1">
      <alignment horizontal="center" vertical="center" wrapText="1"/>
    </xf>
    <xf numFmtId="0" fontId="5" fillId="0" borderId="2" xfId="4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0" fontId="6" fillId="0" borderId="2" xfId="0" applyNumberFormat="1" applyFont="1" applyFill="1" applyBorder="1" applyAlignment="1">
      <alignment horizontal="center" vertical="center" wrapText="1"/>
    </xf>
    <xf numFmtId="0" fontId="7" fillId="0" borderId="1" xfId="48" applyFont="1" applyBorder="1">
      <alignment vertical="center"/>
    </xf>
    <xf numFmtId="0" fontId="8" fillId="0" borderId="2" xfId="4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0" fontId="8" fillId="0" borderId="2" xfId="0" applyNumberFormat="1" applyFont="1" applyFill="1" applyBorder="1" applyAlignment="1">
      <alignment horizontal="center" vertical="center" wrapText="1"/>
    </xf>
    <xf numFmtId="0" fontId="9" fillId="0" borderId="1" xfId="48" applyFont="1" applyBorder="1">
      <alignment vertical="center"/>
    </xf>
    <xf numFmtId="0" fontId="10" fillId="0" borderId="0" xfId="0" applyFont="1" applyFill="1" applyAlignment="1">
      <alignment vertical="center"/>
    </xf>
    <xf numFmtId="0" fontId="11" fillId="0" borderId="1" xfId="40" applyFont="1" applyFill="1" applyBorder="1" applyAlignment="1">
      <alignment horizontal="center" vertical="center"/>
    </xf>
    <xf numFmtId="1" fontId="5" fillId="0" borderId="1" xfId="40" applyNumberFormat="1" applyFont="1" applyFill="1" applyBorder="1" applyAlignment="1" applyProtection="1">
      <alignment vertical="center"/>
      <protection locked="0"/>
    </xf>
    <xf numFmtId="1" fontId="8" fillId="0" borderId="1" xfId="40" applyNumberFormat="1" applyFont="1" applyFill="1" applyBorder="1" applyAlignment="1" applyProtection="1">
      <alignment horizontal="left" vertical="center"/>
      <protection locked="0"/>
    </xf>
    <xf numFmtId="1" fontId="8" fillId="0" borderId="1" xfId="40" applyNumberFormat="1" applyFont="1" applyFill="1" applyBorder="1" applyAlignment="1" applyProtection="1">
      <alignment horizontal="left" vertical="center" indent="1"/>
      <protection locked="0"/>
    </xf>
    <xf numFmtId="0" fontId="8" fillId="0" borderId="1" xfId="40" applyFont="1" applyFill="1" applyBorder="1" applyAlignment="1">
      <alignment horizontal="left" vertical="center"/>
    </xf>
    <xf numFmtId="1" fontId="8" fillId="0" borderId="1" xfId="40" applyNumberFormat="1" applyFont="1" applyFill="1" applyBorder="1" applyAlignment="1" applyProtection="1">
      <alignment vertical="center"/>
      <protection locked="0"/>
    </xf>
    <xf numFmtId="0" fontId="8" fillId="0" borderId="1" xfId="40" applyFont="1" applyBorder="1" applyAlignment="1"/>
    <xf numFmtId="0" fontId="1" fillId="0" borderId="0" xfId="40" applyFont="1" applyFill="1"/>
    <xf numFmtId="0" fontId="1" fillId="0" borderId="0" xfId="40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49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E39" sqref="E39"/>
    </sheetView>
  </sheetViews>
  <sheetFormatPr defaultColWidth="9" defaultRowHeight="14.25" outlineLevelCol="6"/>
  <cols>
    <col min="1" max="1" width="44.625" style="1" customWidth="1"/>
    <col min="2" max="2" width="12.125" style="2" customWidth="1"/>
    <col min="3" max="3" width="14" style="2" customWidth="1"/>
    <col min="4" max="4" width="15.125" style="3" customWidth="1"/>
    <col min="5" max="16384" width="9" style="1"/>
  </cols>
  <sheetData>
    <row r="1" ht="18" customHeight="1" spans="1:2">
      <c r="A1" s="4" t="s">
        <v>0</v>
      </c>
      <c r="B1" s="5"/>
    </row>
    <row r="2" s="1" customFormat="1" ht="20.25" spans="1:4">
      <c r="A2" s="6" t="s">
        <v>1</v>
      </c>
      <c r="B2" s="6"/>
      <c r="C2" s="6"/>
      <c r="D2" s="7"/>
    </row>
    <row r="3" s="1" customFormat="1" spans="1:4">
      <c r="A3" s="8"/>
      <c r="B3" s="5"/>
      <c r="C3" s="2"/>
      <c r="D3" s="9" t="s">
        <v>2</v>
      </c>
    </row>
    <row r="4" s="1" customFormat="1" ht="44.45" customHeight="1" spans="1:4">
      <c r="A4" s="10" t="s">
        <v>3</v>
      </c>
      <c r="B4" s="11" t="s">
        <v>4</v>
      </c>
      <c r="C4" s="12" t="s">
        <v>5</v>
      </c>
      <c r="D4" s="13" t="s">
        <v>6</v>
      </c>
    </row>
    <row r="5" s="1" customFormat="1" spans="1:4">
      <c r="A5" s="14" t="s">
        <v>7</v>
      </c>
      <c r="B5" s="15">
        <v>3012</v>
      </c>
      <c r="C5" s="16">
        <v>2841.71</v>
      </c>
      <c r="D5" s="17">
        <f>B5/C5</f>
        <v>1.05992518589159</v>
      </c>
    </row>
    <row r="6" s="1" customFormat="1" spans="1:4">
      <c r="A6" s="18" t="s">
        <v>8</v>
      </c>
      <c r="B6" s="15">
        <v>1985</v>
      </c>
      <c r="C6" s="16">
        <v>1872.55</v>
      </c>
      <c r="D6" s="17">
        <f t="shared" ref="D6:D44" si="0">B6/C6</f>
        <v>1.06005180102</v>
      </c>
    </row>
    <row r="7" s="1" customFormat="1" spans="1:4">
      <c r="A7" s="18" t="s">
        <v>9</v>
      </c>
      <c r="B7" s="15"/>
      <c r="C7" s="16"/>
      <c r="D7" s="17"/>
    </row>
    <row r="8" s="1" customFormat="1" spans="1:4">
      <c r="A8" s="18" t="s">
        <v>10</v>
      </c>
      <c r="B8" s="15">
        <v>-85.05</v>
      </c>
      <c r="C8" s="16">
        <v>-85.05</v>
      </c>
      <c r="D8" s="17">
        <f t="shared" si="0"/>
        <v>1</v>
      </c>
    </row>
    <row r="9" s="1" customFormat="1" spans="1:7">
      <c r="A9" s="18" t="s">
        <v>11</v>
      </c>
      <c r="B9" s="15"/>
      <c r="C9" s="16"/>
      <c r="D9" s="17"/>
      <c r="G9" s="19"/>
    </row>
    <row r="10" s="1" customFormat="1" spans="1:4">
      <c r="A10" s="18" t="s">
        <v>12</v>
      </c>
      <c r="B10" s="15">
        <v>353</v>
      </c>
      <c r="C10" s="16">
        <v>332.44</v>
      </c>
      <c r="D10" s="17">
        <f t="shared" si="0"/>
        <v>1.06184574660089</v>
      </c>
    </row>
    <row r="11" s="1" customFormat="1" spans="1:4">
      <c r="A11" s="18" t="s">
        <v>13</v>
      </c>
      <c r="B11" s="15"/>
      <c r="C11" s="16"/>
      <c r="D11" s="17"/>
    </row>
    <row r="12" s="1" customFormat="1" spans="1:4">
      <c r="A12" s="18" t="s">
        <v>14</v>
      </c>
      <c r="B12" s="15">
        <v>298</v>
      </c>
      <c r="C12" s="16">
        <v>281.05</v>
      </c>
      <c r="D12" s="17">
        <f t="shared" si="0"/>
        <v>1.06030955346024</v>
      </c>
    </row>
    <row r="13" s="1" customFormat="1" spans="1:4">
      <c r="A13" s="18" t="s">
        <v>15</v>
      </c>
      <c r="B13" s="15">
        <v>36</v>
      </c>
      <c r="C13" s="16">
        <v>34.13</v>
      </c>
      <c r="D13" s="17">
        <f t="shared" si="0"/>
        <v>1.05479050688544</v>
      </c>
    </row>
    <row r="14" s="1" customFormat="1" spans="1:4">
      <c r="A14" s="18" t="s">
        <v>16</v>
      </c>
      <c r="B14" s="15">
        <v>230</v>
      </c>
      <c r="C14" s="16">
        <v>217.72</v>
      </c>
      <c r="D14" s="17">
        <f t="shared" si="0"/>
        <v>1.05640271908874</v>
      </c>
    </row>
    <row r="15" s="1" customFormat="1" spans="1:4">
      <c r="A15" s="18" t="s">
        <v>17</v>
      </c>
      <c r="B15" s="15">
        <v>4</v>
      </c>
      <c r="C15" s="16">
        <v>3.92</v>
      </c>
      <c r="D15" s="17">
        <f t="shared" si="0"/>
        <v>1.02040816326531</v>
      </c>
    </row>
    <row r="16" s="1" customFormat="1" spans="1:4">
      <c r="A16" s="18" t="s">
        <v>18</v>
      </c>
      <c r="B16" s="15">
        <v>9</v>
      </c>
      <c r="C16" s="16">
        <v>8.93</v>
      </c>
      <c r="D16" s="17">
        <f t="shared" si="0"/>
        <v>1.00783874580067</v>
      </c>
    </row>
    <row r="17" s="1" customFormat="1" spans="1:4">
      <c r="A17" s="18" t="s">
        <v>19</v>
      </c>
      <c r="B17" s="15">
        <v>0.02</v>
      </c>
      <c r="C17" s="16">
        <v>0.01</v>
      </c>
      <c r="D17" s="17">
        <f t="shared" si="0"/>
        <v>2</v>
      </c>
    </row>
    <row r="18" s="1" customFormat="1" spans="1:4">
      <c r="A18" s="18" t="s">
        <v>20</v>
      </c>
      <c r="B18" s="15"/>
      <c r="C18" s="16"/>
      <c r="D18" s="17"/>
    </row>
    <row r="19" s="1" customFormat="1" spans="1:4">
      <c r="A19" s="18" t="s">
        <v>21</v>
      </c>
      <c r="B19" s="15">
        <v>182.03</v>
      </c>
      <c r="C19" s="16">
        <v>176.01</v>
      </c>
      <c r="D19" s="17">
        <f t="shared" si="0"/>
        <v>1.03420260212488</v>
      </c>
    </row>
    <row r="20" s="1" customFormat="1" spans="1:4">
      <c r="A20" s="18" t="s">
        <v>22</v>
      </c>
      <c r="B20" s="15"/>
      <c r="C20" s="16"/>
      <c r="D20" s="17"/>
    </row>
    <row r="21" s="1" customFormat="1" spans="1:4">
      <c r="A21" s="18" t="s">
        <v>23</v>
      </c>
      <c r="B21" s="15"/>
      <c r="C21" s="16"/>
      <c r="D21" s="17"/>
    </row>
    <row r="22" s="1" customFormat="1" spans="1:4">
      <c r="A22" s="14" t="s">
        <v>24</v>
      </c>
      <c r="B22" s="15"/>
      <c r="C22" s="16"/>
      <c r="D22" s="17"/>
    </row>
    <row r="23" s="1" customFormat="1" spans="1:4">
      <c r="A23" s="18" t="s">
        <v>25</v>
      </c>
      <c r="B23" s="15"/>
      <c r="C23" s="16"/>
      <c r="D23" s="17"/>
    </row>
    <row r="24" s="1" customFormat="1" spans="1:4">
      <c r="A24" s="18" t="s">
        <v>26</v>
      </c>
      <c r="B24" s="15"/>
      <c r="C24" s="16"/>
      <c r="D24" s="17"/>
    </row>
    <row r="25" s="1" customFormat="1" spans="1:4">
      <c r="A25" s="18" t="s">
        <v>27</v>
      </c>
      <c r="B25" s="15"/>
      <c r="C25" s="16"/>
      <c r="D25" s="17"/>
    </row>
    <row r="26" s="1" customFormat="1" spans="1:4">
      <c r="A26" s="18" t="s">
        <v>28</v>
      </c>
      <c r="B26" s="15"/>
      <c r="C26" s="16"/>
      <c r="D26" s="17"/>
    </row>
    <row r="27" s="1" customFormat="1" spans="1:4">
      <c r="A27" s="18" t="s">
        <v>29</v>
      </c>
      <c r="B27" s="15"/>
      <c r="C27" s="16"/>
      <c r="D27" s="17"/>
    </row>
    <row r="28" s="1" customFormat="1" spans="1:4">
      <c r="A28" s="18" t="s">
        <v>30</v>
      </c>
      <c r="B28" s="15"/>
      <c r="C28" s="16"/>
      <c r="D28" s="17"/>
    </row>
    <row r="29" s="1" customFormat="1" spans="1:4">
      <c r="A29" s="18" t="s">
        <v>31</v>
      </c>
      <c r="B29" s="15"/>
      <c r="C29" s="16"/>
      <c r="D29" s="17"/>
    </row>
    <row r="30" s="1" customFormat="1" spans="1:4">
      <c r="A30" s="18" t="s">
        <v>32</v>
      </c>
      <c r="B30" s="15"/>
      <c r="C30" s="16"/>
      <c r="D30" s="17"/>
    </row>
    <row r="31" s="1" customFormat="1" spans="1:4">
      <c r="A31" s="20" t="s">
        <v>33</v>
      </c>
      <c r="B31" s="15">
        <v>3012</v>
      </c>
      <c r="C31" s="16">
        <v>2841.7</v>
      </c>
      <c r="D31" s="17">
        <f t="shared" si="0"/>
        <v>1.05992891578984</v>
      </c>
    </row>
    <row r="32" s="1" customFormat="1" spans="1:4">
      <c r="A32" s="21" t="s">
        <v>34</v>
      </c>
      <c r="B32" s="15"/>
      <c r="C32" s="16"/>
      <c r="D32" s="17"/>
    </row>
    <row r="33" s="1" customFormat="1" spans="1:4">
      <c r="A33" s="21" t="s">
        <v>35</v>
      </c>
      <c r="B33" s="15">
        <v>1700</v>
      </c>
      <c r="C33" s="16">
        <v>1545.45</v>
      </c>
      <c r="D33" s="17">
        <f t="shared" si="0"/>
        <v>1.10000323530363</v>
      </c>
    </row>
    <row r="34" s="1" customFormat="1" spans="1:4">
      <c r="A34" s="22" t="s">
        <v>36</v>
      </c>
      <c r="B34" s="15">
        <v>1700</v>
      </c>
      <c r="C34" s="16">
        <v>1545.45</v>
      </c>
      <c r="D34" s="17">
        <f t="shared" si="0"/>
        <v>1.10000323530363</v>
      </c>
    </row>
    <row r="35" s="1" customFormat="1" spans="1:4">
      <c r="A35" s="23" t="s">
        <v>37</v>
      </c>
      <c r="B35" s="15">
        <v>1654</v>
      </c>
      <c r="C35" s="2">
        <v>1545.45</v>
      </c>
      <c r="D35" s="17">
        <f t="shared" si="0"/>
        <v>1.07023844187777</v>
      </c>
    </row>
    <row r="36" s="1" customFormat="1" spans="1:4">
      <c r="A36" s="23" t="s">
        <v>38</v>
      </c>
      <c r="B36" s="15">
        <v>46</v>
      </c>
      <c r="C36" s="16">
        <v>1503.05</v>
      </c>
      <c r="D36" s="17">
        <f t="shared" si="0"/>
        <v>0.0306044376434583</v>
      </c>
    </row>
    <row r="37" s="1" customFormat="1" spans="1:4">
      <c r="A37" s="23" t="s">
        <v>39</v>
      </c>
      <c r="B37" s="15"/>
      <c r="C37" s="16">
        <v>42.4</v>
      </c>
      <c r="D37" s="17">
        <f t="shared" si="0"/>
        <v>0</v>
      </c>
    </row>
    <row r="38" s="1" customFormat="1" spans="1:4">
      <c r="A38" s="24" t="s">
        <v>40</v>
      </c>
      <c r="B38" s="15"/>
      <c r="C38" s="16">
        <v>350.66</v>
      </c>
      <c r="D38" s="17">
        <f t="shared" si="0"/>
        <v>0</v>
      </c>
    </row>
    <row r="39" s="1" customFormat="1" spans="1:4">
      <c r="A39" s="25" t="s">
        <v>41</v>
      </c>
      <c r="B39" s="15"/>
      <c r="C39" s="16">
        <v>138.91</v>
      </c>
      <c r="D39" s="17">
        <f t="shared" si="0"/>
        <v>0</v>
      </c>
    </row>
    <row r="40" s="1" customFormat="1" spans="1:4">
      <c r="A40" s="25" t="s">
        <v>42</v>
      </c>
      <c r="B40" s="15"/>
      <c r="C40" s="16"/>
      <c r="D40" s="17"/>
    </row>
    <row r="41" s="1" customFormat="1" spans="1:4">
      <c r="A41" s="22" t="s">
        <v>43</v>
      </c>
      <c r="B41" s="15">
        <v>585</v>
      </c>
      <c r="C41" s="16">
        <v>531.05</v>
      </c>
      <c r="D41" s="17">
        <f t="shared" si="0"/>
        <v>1.1015911872705</v>
      </c>
    </row>
    <row r="42" s="1" customFormat="1" spans="1:4">
      <c r="A42" s="26" t="s">
        <v>44</v>
      </c>
      <c r="B42" s="15"/>
      <c r="C42" s="16"/>
      <c r="D42" s="17"/>
    </row>
    <row r="43" s="1" customFormat="1" spans="1:4">
      <c r="A43" s="25" t="s">
        <v>45</v>
      </c>
      <c r="B43" s="15"/>
      <c r="C43" s="16"/>
      <c r="D43" s="17"/>
    </row>
    <row r="44" s="1" customFormat="1" spans="1:4">
      <c r="A44" s="20" t="s">
        <v>46</v>
      </c>
      <c r="B44" s="15">
        <v>5297</v>
      </c>
      <c r="C44" s="16">
        <v>5407.78</v>
      </c>
      <c r="D44" s="17">
        <f t="shared" si="0"/>
        <v>0.979514699192645</v>
      </c>
    </row>
    <row r="45" spans="1:2">
      <c r="A45" s="27"/>
      <c r="B45" s="5"/>
    </row>
    <row r="46" spans="1:2">
      <c r="A46" s="27"/>
      <c r="B46" s="5"/>
    </row>
    <row r="47" spans="1:2">
      <c r="A47" s="27"/>
      <c r="B47" s="5"/>
    </row>
    <row r="48" spans="1:2">
      <c r="A48" s="28"/>
      <c r="B48" s="5"/>
    </row>
    <row r="49" spans="1:2">
      <c r="A49" s="28"/>
      <c r="B49" s="5"/>
    </row>
    <row r="50" spans="1:2">
      <c r="A50" s="28"/>
      <c r="B50" s="5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