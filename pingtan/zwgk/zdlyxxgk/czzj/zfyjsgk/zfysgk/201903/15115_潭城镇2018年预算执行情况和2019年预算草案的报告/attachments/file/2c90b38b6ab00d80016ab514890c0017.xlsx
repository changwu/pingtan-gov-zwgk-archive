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<sst xmlns="http://schemas.openxmlformats.org/spreadsheetml/2006/main" count="71" uniqueCount="68">
  <si>
    <t>附表1-4</t>
  </si>
  <si>
    <t>2019年度潭城镇本级一般公共预算支出预算表</t>
  </si>
  <si>
    <t>单位：万元</t>
  </si>
  <si>
    <t>支出项目</t>
  </si>
  <si>
    <t>当年预算数</t>
  </si>
  <si>
    <t>上年执行数(或上年预算数)</t>
  </si>
  <si>
    <t>当年预算数为上年执行数(或上年预算数)的％</t>
  </si>
  <si>
    <t>一、一般公共服务支出</t>
  </si>
  <si>
    <t>政府办公厅（室）及相关机构事务</t>
  </si>
  <si>
    <t xml:space="preserve">  行政运行</t>
  </si>
  <si>
    <t>财政事务</t>
  </si>
  <si>
    <t>二、文化旅游体育与传媒支出</t>
  </si>
  <si>
    <t xml:space="preserve">    文化和旅游</t>
  </si>
  <si>
    <t xml:space="preserve">   行政运行</t>
  </si>
  <si>
    <t>三、社会保障和就业支出</t>
  </si>
  <si>
    <t xml:space="preserve">   抚恤</t>
  </si>
  <si>
    <t xml:space="preserve">  其他优抚支出</t>
  </si>
  <si>
    <t>四、卫生健康支出</t>
  </si>
  <si>
    <t>计划生育事务</t>
  </si>
  <si>
    <t xml:space="preserve">  计划生育机构</t>
  </si>
  <si>
    <t>五、节能环保支出</t>
  </si>
  <si>
    <t>污染防治</t>
  </si>
  <si>
    <t xml:space="preserve">  其他污染防治支出</t>
  </si>
  <si>
    <t>六、城乡社区支出</t>
  </si>
  <si>
    <t>城乡社区规划与管理</t>
  </si>
  <si>
    <t xml:space="preserve">   其他城乡社区规划与管理</t>
  </si>
  <si>
    <t>城乡社区环境卫生</t>
  </si>
  <si>
    <t xml:space="preserve">  城乡社区环境卫生</t>
  </si>
  <si>
    <t>七、农林水支出</t>
  </si>
  <si>
    <t>农业</t>
  </si>
  <si>
    <t xml:space="preserve">  其他农业支出</t>
  </si>
  <si>
    <t>林业</t>
  </si>
  <si>
    <t>水利</t>
  </si>
  <si>
    <t xml:space="preserve">  水土保持</t>
  </si>
  <si>
    <t xml:space="preserve">  农田水利</t>
  </si>
  <si>
    <t>农村综合改革</t>
  </si>
  <si>
    <t xml:space="preserve">  对村级一事一议的补助</t>
  </si>
  <si>
    <t xml:space="preserve">  对村民委员会和村党支部的补助</t>
  </si>
  <si>
    <t>八、自然资源海洋管理事务</t>
  </si>
  <si>
    <t xml:space="preserve">  机关服务</t>
  </si>
  <si>
    <t>九、住房保障支出</t>
  </si>
  <si>
    <t>住房改革支出</t>
  </si>
  <si>
    <t xml:space="preserve">  住房公积金</t>
  </si>
  <si>
    <t xml:space="preserve">  提租补贴</t>
  </si>
  <si>
    <t>城乡社区住宅</t>
  </si>
  <si>
    <t xml:space="preserve">  其他城乡社区住宅支出</t>
  </si>
  <si>
    <t>十、其他支出</t>
  </si>
  <si>
    <t>其他支出</t>
  </si>
  <si>
    <t xml:space="preserve">  其他支出</t>
  </si>
  <si>
    <t>二十四、债务发行费用支出</t>
  </si>
  <si>
    <t>支出小计</t>
  </si>
  <si>
    <t>债务还本支出</t>
  </si>
  <si>
    <t>转移性支出</t>
  </si>
  <si>
    <t xml:space="preserve">   补助下级支出</t>
  </si>
  <si>
    <t xml:space="preserve">      返还性支出</t>
  </si>
  <si>
    <t xml:space="preserve">      一般性转移支付支出</t>
  </si>
  <si>
    <t xml:space="preserve">      专项转移支付支出</t>
  </si>
  <si>
    <t xml:space="preserve">   上解支出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</si>
  <si>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</si>
  <si>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</si>
  <si>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</si>
  <si>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</si>
  <si>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</si>
  <si>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</si>
  <si>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</si>
  <si>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</si>
  <si>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支出合计</t>
  </si>
  <si>
    <t>备注：各级财政部门在依法公开政府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</si>
</sst>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2"/>
      <name val="黑体"/>
      <charset val="134"/>
    </font>
    <font>
      <sz val="10"/>
      <name val="宋体"/>
      <charset val="134"/>
    </font>
    <font>
      <b/>
      <sz val="11"/>
      <name val="宋体"/>
      <charset val="134"/>
      <scheme val="major"/>
    </font>
    <font>
      <sz val="11"/>
      <name val="宋体"/>
      <charset val="134"/>
      <scheme val="major"/>
    </font>
    <font>
      <sz val="10"/>
      <name val="宋体"/>
      <charset val="134"/>
      <scheme val="minor"/>
    </font>
    <font>
      <sz val="11"/>
      <name val="楷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" fillId="0" borderId="0"/>
    <xf numFmtId="0" fontId="14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" fillId="0" borderId="0"/>
    <xf numFmtId="0" fontId="9" fillId="31" borderId="0" applyNumberFormat="0" applyBorder="0" applyAlignment="0" applyProtection="0">
      <alignment vertical="center"/>
    </xf>
    <xf numFmtId="0" fontId="1" fillId="0" borderId="0"/>
    <xf numFmtId="0" fontId="14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41" applyFont="1"/>
    <xf numFmtId="0" fontId="1" fillId="0" borderId="0" xfId="41" applyAlignment="1">
      <alignment horizontal="center"/>
    </xf>
    <xf numFmtId="0" fontId="2" fillId="0" borderId="0" xfId="41" applyFont="1" applyFill="1" applyAlignment="1">
      <alignment horizontal="center"/>
    </xf>
    <xf numFmtId="0" fontId="3" fillId="0" borderId="0" xfId="41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5" fillId="0" borderId="1" xfId="41" applyFont="1" applyFill="1" applyBorder="1" applyAlignment="1">
      <alignment horizontal="center" vertical="center" wrapText="1"/>
    </xf>
    <xf numFmtId="0" fontId="5" fillId="0" borderId="2" xfId="4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6" fillId="0" borderId="1" xfId="33" applyNumberFormat="1" applyFont="1" applyFill="1" applyBorder="1" applyAlignment="1" applyProtection="1">
      <alignment vertical="center"/>
    </xf>
    <xf numFmtId="0" fontId="6" fillId="0" borderId="1" xfId="43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 wrapText="1"/>
    </xf>
    <xf numFmtId="0" fontId="6" fillId="0" borderId="1" xfId="43" applyFont="1" applyFill="1" applyBorder="1" applyAlignment="1">
      <alignment horizontal="center"/>
    </xf>
    <xf numFmtId="0" fontId="7" fillId="0" borderId="0" xfId="0" applyFont="1" applyFill="1" applyAlignment="1">
      <alignment vertical="center"/>
    </xf>
    <xf numFmtId="0" fontId="5" fillId="0" borderId="1" xfId="43" applyFont="1" applyFill="1" applyBorder="1" applyAlignment="1">
      <alignment horizontal="center" vertical="center"/>
    </xf>
    <xf numFmtId="1" fontId="5" fillId="0" borderId="1" xfId="43" applyNumberFormat="1" applyFont="1" applyFill="1" applyBorder="1" applyAlignment="1" applyProtection="1">
      <alignment vertical="center"/>
      <protection locked="0"/>
    </xf>
    <xf numFmtId="1" fontId="6" fillId="0" borderId="1" xfId="43" applyNumberFormat="1" applyFont="1" applyFill="1" applyBorder="1" applyAlignment="1" applyProtection="1">
      <alignment horizontal="left" vertical="center"/>
      <protection locked="0"/>
    </xf>
    <xf numFmtId="1" fontId="6" fillId="0" borderId="1" xfId="43" applyNumberFormat="1" applyFont="1" applyFill="1" applyBorder="1" applyAlignment="1" applyProtection="1">
      <alignment vertical="center"/>
      <protection locked="0"/>
    </xf>
    <xf numFmtId="1" fontId="6" fillId="0" borderId="1" xfId="43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" fontId="6" fillId="2" borderId="1" xfId="43" applyNumberFormat="1" applyFont="1" applyFill="1" applyBorder="1" applyAlignment="1" applyProtection="1">
      <alignment horizontal="left" vertical="center"/>
      <protection locked="0"/>
    </xf>
    <xf numFmtId="0" fontId="6" fillId="2" borderId="1" xfId="43" applyNumberFormat="1" applyFont="1" applyFill="1" applyBorder="1" applyAlignment="1" applyProtection="1">
      <alignment vertical="center"/>
      <protection locked="0"/>
    </xf>
    <xf numFmtId="0" fontId="6" fillId="0" borderId="1" xfId="43" applyNumberFormat="1" applyFont="1" applyFill="1" applyBorder="1" applyAlignment="1" applyProtection="1">
      <alignment vertical="center"/>
      <protection locked="0"/>
    </xf>
    <xf numFmtId="0" fontId="6" fillId="0" borderId="1" xfId="43" applyFont="1" applyFill="1" applyBorder="1"/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常规 51" xfId="33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49" xfId="41"/>
    <cellStyle name="强调文字颜色 4" xfId="42" builtinId="41"/>
    <cellStyle name="常规 50" xfId="43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topLeftCell="A7" workbookViewId="0">
      <selection activeCell="H62" sqref="H62"/>
    </sheetView>
  </sheetViews>
  <sheetFormatPr defaultColWidth="9" defaultRowHeight="14.25" outlineLevelCol="6"/>
  <cols>
    <col min="1" max="1" width="44.625" style="1" customWidth="1"/>
    <col min="2" max="3" width="12.125" style="2" customWidth="1"/>
    <col min="4" max="4" width="15.125" style="1" customWidth="1"/>
    <col min="5" max="16384" width="9" style="1"/>
  </cols>
  <sheetData>
    <row r="1" spans="1:2">
      <c r="A1" s="3" t="s">
        <v>0</v>
      </c>
      <c r="B1" s="4"/>
    </row>
    <row r="2" s="1" customFormat="1" ht="30" customHeight="1" spans="1:4">
      <c r="A2" s="5" t="s">
        <v>1</v>
      </c>
      <c r="B2" s="5"/>
      <c r="C2" s="5"/>
      <c r="D2" s="5"/>
    </row>
    <row r="3" s="1" customFormat="1" spans="1:4">
      <c r="A3" s="6"/>
      <c r="B3" s="4"/>
      <c r="C3" s="2"/>
      <c r="D3" s="7" t="s">
        <v>2</v>
      </c>
    </row>
    <row r="4" s="1" customFormat="1" ht="51" customHeight="1" spans="1:4">
      <c r="A4" s="8" t="s">
        <v>3</v>
      </c>
      <c r="B4" s="9" t="s">
        <v>4</v>
      </c>
      <c r="C4" s="10" t="s">
        <v>5</v>
      </c>
      <c r="D4" s="10" t="s">
        <v>6</v>
      </c>
    </row>
    <row r="5" s="1" customFormat="1" spans="1:4">
      <c r="A5" s="11" t="s">
        <v>7</v>
      </c>
      <c r="B5" s="12">
        <v>1155</v>
      </c>
      <c r="C5" s="13">
        <v>1084.56</v>
      </c>
      <c r="D5" s="14">
        <f>B5/C5</f>
        <v>1.06494799734455</v>
      </c>
    </row>
    <row r="6" s="1" customFormat="1" spans="1:4">
      <c r="A6" s="11" t="s">
        <v>8</v>
      </c>
      <c r="B6" s="15">
        <v>1115</v>
      </c>
      <c r="C6" s="13">
        <v>1052.87</v>
      </c>
      <c r="D6" s="14">
        <f t="shared" ref="D6:D37" si="0">B6/C6</f>
        <v>1.0590101342046</v>
      </c>
    </row>
    <row r="7" s="1" customFormat="1" spans="1:4">
      <c r="A7" s="11" t="s">
        <v>9</v>
      </c>
      <c r="B7" s="15">
        <v>1115</v>
      </c>
      <c r="C7" s="13">
        <v>1052.87</v>
      </c>
      <c r="D7" s="14">
        <f t="shared" si="0"/>
        <v>1.0590101342046</v>
      </c>
    </row>
    <row r="8" s="1" customFormat="1" spans="1:4">
      <c r="A8" s="11" t="s">
        <v>10</v>
      </c>
      <c r="B8" s="15">
        <v>40</v>
      </c>
      <c r="C8" s="13">
        <v>31.69</v>
      </c>
      <c r="D8" s="14">
        <f t="shared" si="0"/>
        <v>1.2622278321237</v>
      </c>
    </row>
    <row r="9" s="1" customFormat="1" spans="1:7">
      <c r="A9" s="11" t="s">
        <v>9</v>
      </c>
      <c r="B9" s="15">
        <v>40</v>
      </c>
      <c r="C9" s="13">
        <v>31.69</v>
      </c>
      <c r="D9" s="14">
        <f t="shared" si="0"/>
        <v>1.2622278321237</v>
      </c>
      <c r="G9" s="16"/>
    </row>
    <row r="10" s="1" customFormat="1" spans="1:4">
      <c r="A10" s="11" t="s">
        <v>11</v>
      </c>
      <c r="B10" s="15">
        <v>50</v>
      </c>
      <c r="C10" s="13">
        <v>9.94</v>
      </c>
      <c r="D10" s="14">
        <f t="shared" si="0"/>
        <v>5.03018108651912</v>
      </c>
    </row>
    <row r="11" s="1" customFormat="1" spans="1:4">
      <c r="A11" s="11" t="s">
        <v>12</v>
      </c>
      <c r="B11" s="15">
        <v>40</v>
      </c>
      <c r="C11" s="13"/>
      <c r="D11" s="14"/>
    </row>
    <row r="12" s="1" customFormat="1" spans="1:4">
      <c r="A12" s="11" t="s">
        <v>13</v>
      </c>
      <c r="B12" s="15">
        <v>10</v>
      </c>
      <c r="C12" s="13">
        <v>9.94</v>
      </c>
      <c r="D12" s="14">
        <f t="shared" si="0"/>
        <v>1.00603621730382</v>
      </c>
    </row>
    <row r="13" s="1" customFormat="1" spans="1:4">
      <c r="A13" s="11" t="s">
        <v>14</v>
      </c>
      <c r="B13" s="15">
        <v>57</v>
      </c>
      <c r="C13" s="13">
        <v>24.41</v>
      </c>
      <c r="D13" s="14">
        <f t="shared" si="0"/>
        <v>2.33510856206473</v>
      </c>
    </row>
    <row r="14" s="1" customFormat="1" spans="1:4">
      <c r="A14" s="11" t="s">
        <v>15</v>
      </c>
      <c r="B14" s="15"/>
      <c r="C14" s="13"/>
      <c r="D14" s="14"/>
    </row>
    <row r="15" s="1" customFormat="1" spans="1:4">
      <c r="A15" s="11" t="s">
        <v>16</v>
      </c>
      <c r="B15" s="15">
        <v>57</v>
      </c>
      <c r="C15" s="13">
        <v>24.41</v>
      </c>
      <c r="D15" s="14">
        <f t="shared" si="0"/>
        <v>2.33510856206473</v>
      </c>
    </row>
    <row r="16" s="1" customFormat="1" spans="1:4">
      <c r="A16" s="11" t="s">
        <v>17</v>
      </c>
      <c r="B16" s="15">
        <v>80</v>
      </c>
      <c r="C16" s="13">
        <v>67.17</v>
      </c>
      <c r="D16" s="14">
        <f t="shared" si="0"/>
        <v>1.19100789042727</v>
      </c>
    </row>
    <row r="17" s="1" customFormat="1" spans="1:4">
      <c r="A17" s="11" t="s">
        <v>18</v>
      </c>
      <c r="B17" s="15">
        <v>80</v>
      </c>
      <c r="C17" s="13">
        <v>67.17</v>
      </c>
      <c r="D17" s="14">
        <f t="shared" si="0"/>
        <v>1.19100789042727</v>
      </c>
    </row>
    <row r="18" s="1" customFormat="1" spans="1:4">
      <c r="A18" s="11" t="s">
        <v>19</v>
      </c>
      <c r="B18" s="15">
        <v>80</v>
      </c>
      <c r="C18" s="13">
        <v>67.17</v>
      </c>
      <c r="D18" s="14">
        <f t="shared" si="0"/>
        <v>1.19100789042727</v>
      </c>
    </row>
    <row r="19" s="1" customFormat="1" spans="1:4">
      <c r="A19" s="11" t="s">
        <v>20</v>
      </c>
      <c r="B19" s="15">
        <v>5</v>
      </c>
      <c r="C19" s="13">
        <v>1</v>
      </c>
      <c r="D19" s="14">
        <f t="shared" si="0"/>
        <v>5</v>
      </c>
    </row>
    <row r="20" s="1" customFormat="1" spans="1:4">
      <c r="A20" s="11" t="s">
        <v>21</v>
      </c>
      <c r="B20" s="15"/>
      <c r="C20" s="13"/>
      <c r="D20" s="14"/>
    </row>
    <row r="21" s="1" customFormat="1" spans="1:4">
      <c r="A21" s="11" t="s">
        <v>22</v>
      </c>
      <c r="B21" s="15">
        <v>5</v>
      </c>
      <c r="C21" s="13">
        <v>1</v>
      </c>
      <c r="D21" s="14">
        <f t="shared" si="0"/>
        <v>5</v>
      </c>
    </row>
    <row r="22" s="1" customFormat="1" spans="1:4">
      <c r="A22" s="11" t="s">
        <v>23</v>
      </c>
      <c r="B22" s="15">
        <v>250</v>
      </c>
      <c r="C22" s="13">
        <v>36.69</v>
      </c>
      <c r="D22" s="14">
        <f t="shared" si="0"/>
        <v>6.81384573453257</v>
      </c>
    </row>
    <row r="23" s="1" customFormat="1" spans="1:4">
      <c r="A23" s="11" t="s">
        <v>24</v>
      </c>
      <c r="B23" s="15">
        <v>120</v>
      </c>
      <c r="C23" s="13">
        <v>15.32</v>
      </c>
      <c r="D23" s="14">
        <f t="shared" si="0"/>
        <v>7.83289817232376</v>
      </c>
    </row>
    <row r="24" s="1" customFormat="1" spans="1:4">
      <c r="A24" s="11" t="s">
        <v>25</v>
      </c>
      <c r="B24" s="15">
        <v>120</v>
      </c>
      <c r="C24" s="13">
        <v>15.32</v>
      </c>
      <c r="D24" s="14">
        <f t="shared" si="0"/>
        <v>7.83289817232376</v>
      </c>
    </row>
    <row r="25" s="1" customFormat="1" spans="1:4">
      <c r="A25" s="11" t="s">
        <v>26</v>
      </c>
      <c r="B25" s="15">
        <v>130</v>
      </c>
      <c r="C25" s="13">
        <v>21.37</v>
      </c>
      <c r="D25" s="14">
        <f t="shared" si="0"/>
        <v>6.08329433785681</v>
      </c>
    </row>
    <row r="26" s="1" customFormat="1" spans="1:4">
      <c r="A26" s="11" t="s">
        <v>27</v>
      </c>
      <c r="B26" s="15">
        <v>130</v>
      </c>
      <c r="C26" s="13">
        <v>21.37</v>
      </c>
      <c r="D26" s="14">
        <f t="shared" si="0"/>
        <v>6.08329433785681</v>
      </c>
    </row>
    <row r="27" s="1" customFormat="1" spans="1:4">
      <c r="A27" s="11" t="s">
        <v>28</v>
      </c>
      <c r="B27" s="15">
        <v>885</v>
      </c>
      <c r="C27" s="13">
        <v>663.47</v>
      </c>
      <c r="D27" s="14">
        <f t="shared" si="0"/>
        <v>1.3338960314709</v>
      </c>
    </row>
    <row r="28" s="1" customFormat="1" spans="1:4">
      <c r="A28" s="11" t="s">
        <v>29</v>
      </c>
      <c r="B28" s="15">
        <v>60</v>
      </c>
      <c r="C28" s="13">
        <v>48.85</v>
      </c>
      <c r="D28" s="14">
        <f t="shared" si="0"/>
        <v>1.22824974411464</v>
      </c>
    </row>
    <row r="29" s="1" customFormat="1" spans="1:4">
      <c r="A29" s="11" t="s">
        <v>9</v>
      </c>
      <c r="B29" s="15">
        <v>60</v>
      </c>
      <c r="C29" s="13">
        <v>48.85</v>
      </c>
      <c r="D29" s="14">
        <f t="shared" si="0"/>
        <v>1.22824974411464</v>
      </c>
    </row>
    <row r="30" s="1" customFormat="1" spans="1:4">
      <c r="A30" s="11" t="s">
        <v>30</v>
      </c>
      <c r="B30" s="15"/>
      <c r="C30" s="13"/>
      <c r="D30" s="14"/>
    </row>
    <row r="31" s="1" customFormat="1" spans="1:4">
      <c r="A31" s="11" t="s">
        <v>31</v>
      </c>
      <c r="B31" s="15">
        <v>3</v>
      </c>
      <c r="C31" s="13"/>
      <c r="D31" s="14"/>
    </row>
    <row r="32" s="1" customFormat="1" spans="1:4">
      <c r="A32" s="11" t="s">
        <v>9</v>
      </c>
      <c r="B32" s="15">
        <v>3</v>
      </c>
      <c r="C32" s="13"/>
      <c r="D32" s="14"/>
    </row>
    <row r="33" s="1" customFormat="1" spans="1:4">
      <c r="A33" s="11" t="s">
        <v>32</v>
      </c>
      <c r="B33" s="15"/>
      <c r="C33" s="13"/>
      <c r="D33" s="14"/>
    </row>
    <row r="34" s="1" customFormat="1" spans="1:4">
      <c r="A34" s="11" t="s">
        <v>33</v>
      </c>
      <c r="B34" s="15"/>
      <c r="C34" s="13"/>
      <c r="D34" s="14"/>
    </row>
    <row r="35" s="1" customFormat="1" spans="1:4">
      <c r="A35" s="11" t="s">
        <v>34</v>
      </c>
      <c r="B35" s="15"/>
      <c r="C35" s="13"/>
      <c r="D35" s="14"/>
    </row>
    <row r="36" s="1" customFormat="1" spans="1:4">
      <c r="A36" s="11" t="s">
        <v>35</v>
      </c>
      <c r="B36" s="15"/>
      <c r="C36" s="13"/>
      <c r="D36" s="14"/>
    </row>
    <row r="37" s="1" customFormat="1" spans="1:4">
      <c r="A37" s="11" t="s">
        <v>36</v>
      </c>
      <c r="B37" s="15">
        <v>822</v>
      </c>
      <c r="C37" s="13">
        <v>614.62</v>
      </c>
      <c r="D37" s="14">
        <f t="shared" si="0"/>
        <v>1.33741173407959</v>
      </c>
    </row>
    <row r="38" s="1" customFormat="1" spans="1:4">
      <c r="A38" s="11" t="s">
        <v>37</v>
      </c>
      <c r="B38" s="15"/>
      <c r="C38" s="13"/>
      <c r="D38" s="14"/>
    </row>
    <row r="39" s="1" customFormat="1" spans="1:4">
      <c r="A39" s="11"/>
      <c r="B39" s="15">
        <v>822</v>
      </c>
      <c r="C39" s="13">
        <v>614.62</v>
      </c>
      <c r="D39" s="14">
        <f>B39/C39</f>
        <v>1.33741173407959</v>
      </c>
    </row>
    <row r="40" s="1" customFormat="1" spans="1:4">
      <c r="A40" s="11" t="s">
        <v>38</v>
      </c>
      <c r="B40" s="15"/>
      <c r="C40" s="13"/>
      <c r="D40" s="14"/>
    </row>
    <row r="41" s="1" customFormat="1" spans="1:4">
      <c r="A41" s="11" t="s">
        <v>39</v>
      </c>
      <c r="B41" s="15"/>
      <c r="C41" s="13"/>
      <c r="D41" s="14"/>
    </row>
    <row r="42" s="1" customFormat="1" spans="1:4">
      <c r="A42" s="11" t="s">
        <v>40</v>
      </c>
      <c r="B42" s="15">
        <v>90</v>
      </c>
      <c r="C42" s="13">
        <v>85.15</v>
      </c>
      <c r="D42" s="14">
        <f>B42/C42</f>
        <v>1.05695830886671</v>
      </c>
    </row>
    <row r="43" s="1" customFormat="1" spans="1:4">
      <c r="A43" s="11" t="s">
        <v>41</v>
      </c>
      <c r="B43" s="15"/>
      <c r="C43" s="13"/>
      <c r="D43" s="14"/>
    </row>
    <row r="44" s="1" customFormat="1" spans="1:4">
      <c r="A44" s="11" t="s">
        <v>42</v>
      </c>
      <c r="B44" s="15">
        <v>74</v>
      </c>
      <c r="C44" s="13">
        <v>69.67</v>
      </c>
      <c r="D44" s="14">
        <f>B44/C44</f>
        <v>1.06215013635711</v>
      </c>
    </row>
    <row r="45" s="1" customFormat="1" spans="1:4">
      <c r="A45" s="11" t="s">
        <v>43</v>
      </c>
      <c r="B45" s="15">
        <v>16</v>
      </c>
      <c r="C45" s="13">
        <v>15.48</v>
      </c>
      <c r="D45" s="14">
        <f>B45/C45</f>
        <v>1.03359173126615</v>
      </c>
    </row>
    <row r="46" s="1" customFormat="1" spans="1:4">
      <c r="A46" s="11" t="s">
        <v>44</v>
      </c>
      <c r="B46" s="15"/>
      <c r="C46" s="13"/>
      <c r="D46" s="14"/>
    </row>
    <row r="47" s="1" customFormat="1" spans="1:4">
      <c r="A47" s="11" t="s">
        <v>45</v>
      </c>
      <c r="B47" s="15"/>
      <c r="C47" s="13"/>
      <c r="D47" s="14"/>
    </row>
    <row r="48" s="1" customFormat="1" spans="1:4">
      <c r="A48" s="11" t="s">
        <v>46</v>
      </c>
      <c r="B48" s="15">
        <v>260</v>
      </c>
      <c r="C48" s="13">
        <v>14.97</v>
      </c>
      <c r="D48" s="14">
        <f>B48/C48</f>
        <v>17.3680694722779</v>
      </c>
    </row>
    <row r="49" s="1" customFormat="1" spans="1:4">
      <c r="A49" s="11" t="s">
        <v>47</v>
      </c>
      <c r="B49" s="15">
        <v>260</v>
      </c>
      <c r="C49" s="13">
        <v>14.97</v>
      </c>
      <c r="D49" s="14">
        <f>B49/C49</f>
        <v>17.3680694722779</v>
      </c>
    </row>
    <row r="50" s="1" customFormat="1" spans="1:4">
      <c r="A50" s="11" t="s">
        <v>48</v>
      </c>
      <c r="B50" s="15">
        <v>260</v>
      </c>
      <c r="C50" s="13">
        <v>14.97</v>
      </c>
      <c r="D50" s="14">
        <f>B50/C50</f>
        <v>17.3680694722779</v>
      </c>
    </row>
    <row r="51" s="1" customFormat="1" spans="1:4">
      <c r="A51" s="11" t="s">
        <v>49</v>
      </c>
      <c r="B51" s="15"/>
      <c r="C51" s="13"/>
      <c r="D51" s="14"/>
    </row>
    <row r="52" s="1" customFormat="1" spans="1:4">
      <c r="A52" s="11"/>
      <c r="B52" s="15"/>
      <c r="C52" s="13"/>
      <c r="D52" s="14"/>
    </row>
    <row r="53" s="1" customFormat="1" spans="1:4">
      <c r="A53" s="17" t="s">
        <v>50</v>
      </c>
      <c r="B53" s="15">
        <v>2832</v>
      </c>
      <c r="C53" s="13">
        <v>1987.36</v>
      </c>
      <c r="D53" s="14">
        <f>B53/C53</f>
        <v>1.42500603816118</v>
      </c>
    </row>
    <row r="54" s="1" customFormat="1" spans="1:4">
      <c r="A54" s="18" t="s">
        <v>51</v>
      </c>
      <c r="B54" s="15"/>
      <c r="C54" s="13"/>
      <c r="D54" s="14"/>
    </row>
    <row r="55" s="1" customFormat="1" spans="1:4">
      <c r="A55" s="18" t="s">
        <v>52</v>
      </c>
      <c r="B55" s="15"/>
      <c r="C55" s="13"/>
      <c r="D55" s="14"/>
    </row>
    <row r="56" s="1" customFormat="1" spans="1:4">
      <c r="A56" s="19" t="s">
        <v>53</v>
      </c>
      <c r="B56" s="15"/>
      <c r="C56" s="13"/>
      <c r="D56" s="14"/>
    </row>
    <row r="57" s="1" customFormat="1" spans="1:4">
      <c r="A57" s="19" t="s">
        <v>54</v>
      </c>
      <c r="B57" s="15"/>
      <c r="C57" s="13"/>
      <c r="D57" s="14"/>
    </row>
    <row r="58" s="1" customFormat="1" spans="1:4">
      <c r="A58" s="20" t="s">
        <v>55</v>
      </c>
      <c r="B58" s="21"/>
      <c r="C58" s="13"/>
      <c r="D58" s="14"/>
    </row>
    <row r="59" s="1" customFormat="1" spans="1:4">
      <c r="A59" s="20" t="s">
        <v>56</v>
      </c>
      <c r="B59" s="15"/>
      <c r="C59" s="13"/>
      <c r="D59" s="14"/>
    </row>
    <row r="60" s="1" customFormat="1" spans="1:4">
      <c r="A60" s="19" t="s">
        <v>57</v>
      </c>
      <c r="B60" s="15">
        <v>2941</v>
      </c>
      <c r="C60" s="22">
        <v>2774.78</v>
      </c>
      <c r="D60" s="14">
        <f>B60/C60</f>
        <v>1.05990384823301</v>
      </c>
    </row>
    <row r="61" s="1" customFormat="1" spans="1:4">
      <c r="A61" s="23" t="s">
        <v>58</v>
      </c>
      <c r="B61" s="15"/>
      <c r="C61" s="22"/>
      <c r="D61" s="14"/>
    </row>
    <row r="62" s="1" customFormat="1" spans="1:4">
      <c r="A62" s="20" t="s">
        <v>59</v>
      </c>
      <c r="B62" s="15"/>
      <c r="C62" s="22"/>
      <c r="D62" s="14"/>
    </row>
    <row r="63" s="1" customFormat="1" spans="1:4">
      <c r="A63" s="24" t="s">
        <v>60</v>
      </c>
      <c r="B63" s="15"/>
      <c r="C63" s="22"/>
      <c r="D63" s="14"/>
    </row>
    <row r="64" s="1" customFormat="1" spans="1:4">
      <c r="A64" s="25" t="s">
        <v>61</v>
      </c>
      <c r="B64" s="15"/>
      <c r="C64" s="22"/>
      <c r="D64" s="14"/>
    </row>
    <row r="65" s="1" customFormat="1" spans="1:4">
      <c r="A65" s="25" t="s">
        <v>62</v>
      </c>
      <c r="B65" s="15"/>
      <c r="C65" s="22"/>
      <c r="D65" s="14"/>
    </row>
    <row r="66" s="1" customFormat="1" spans="1:4">
      <c r="A66" s="25" t="s">
        <v>63</v>
      </c>
      <c r="B66" s="15"/>
      <c r="C66" s="22">
        <v>499.17</v>
      </c>
      <c r="D66" s="14">
        <f>B66/C66</f>
        <v>0</v>
      </c>
    </row>
    <row r="67" s="1" customFormat="1" spans="1:4">
      <c r="A67" s="26" t="s">
        <v>64</v>
      </c>
      <c r="B67" s="15"/>
      <c r="C67" s="22"/>
      <c r="D67" s="14"/>
    </row>
    <row r="68" s="1" customFormat="1" spans="1:4">
      <c r="A68" s="27" t="s">
        <v>65</v>
      </c>
      <c r="B68" s="15"/>
      <c r="C68" s="22">
        <v>423.31</v>
      </c>
      <c r="D68" s="14">
        <f>B68/C68</f>
        <v>0</v>
      </c>
    </row>
    <row r="69" s="1" customFormat="1" spans="1:4">
      <c r="A69" s="17" t="s">
        <v>66</v>
      </c>
      <c r="B69" s="15">
        <v>5773</v>
      </c>
      <c r="C69" s="13">
        <v>5684.62</v>
      </c>
      <c r="D69" s="14">
        <f>B69/C69</f>
        <v>1.01554721335815</v>
      </c>
    </row>
    <row r="70" s="1" customFormat="1" spans="2:3">
      <c r="B70" s="2"/>
      <c r="C70" s="2"/>
    </row>
    <row r="71" s="1" customFormat="1" ht="80.45" customHeight="1" spans="1:4">
      <c r="A71" s="28" t="s">
        <v>67</v>
      </c>
      <c r="B71" s="29"/>
      <c r="C71" s="29"/>
      <c r="D71" s="28"/>
    </row>
  </sheetData>
  <mergeCells count="2">
    <mergeCell ref="A2:D2"/>
    <mergeCell ref="A71:D7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