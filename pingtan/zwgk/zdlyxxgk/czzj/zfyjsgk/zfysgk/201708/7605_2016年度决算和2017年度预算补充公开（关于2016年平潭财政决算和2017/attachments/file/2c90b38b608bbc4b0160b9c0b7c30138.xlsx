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4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Default Extension="bin" ContentType="application/vnd.openxmlformats-officedocument.spreadsheetml.printerSettings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-15" yWindow="60" windowWidth="11505" windowHeight="9690" tabRatio="667" activeTab="6"/>
  </bookViews>
  <sheets>
    <sheet name="封2" sheetId="18" r:id="rId1"/>
    <sheet name="附表1-1" sheetId="19" r:id="rId2"/>
    <sheet name="附表1-2" sheetId="21" r:id="rId3"/>
    <sheet name="附表1-3" sheetId="20" r:id="rId4"/>
    <sheet name="附表1-4 " sheetId="125" r:id="rId5"/>
    <sheet name="附表1-5" sheetId="23" r:id="rId6"/>
    <sheet name="附表1-6" sheetId="24" r:id="rId7"/>
    <sheet name="附表1-7" sheetId="42" r:id="rId8"/>
    <sheet name="附表1-8" sheetId="25" r:id="rId9"/>
    <sheet name="附表1-9" sheetId="26" r:id="rId10"/>
    <sheet name="附表1-10" sheetId="27" r:id="rId11"/>
    <sheet name="附表1-11" sheetId="38" r:id="rId12"/>
    <sheet name="附表1-12" sheetId="29" r:id="rId13"/>
    <sheet name="附表1-13" sheetId="28" r:id="rId14"/>
    <sheet name="附表1-14" sheetId="30" r:id="rId15"/>
    <sheet name="附表1-15" sheetId="31" r:id="rId16"/>
    <sheet name="附表1-16" sheetId="32" r:id="rId17"/>
    <sheet name="附表1-17" sheetId="33" r:id="rId18"/>
    <sheet name="附表1-18" sheetId="34" r:id="rId19"/>
    <sheet name="附表1-19" sheetId="35" r:id="rId20"/>
    <sheet name="附表1-20" sheetId="36" r:id="rId21"/>
    <sheet name="附表1-21" sheetId="37" r:id="rId22"/>
    <sheet name="附表1-22" sheetId="96" r:id="rId23"/>
    <sheet name="附表1-23" sheetId="97" r:id="rId24"/>
    <sheet name="附表1-24" sheetId="98" r:id="rId25"/>
    <sheet name="附表2-1" sheetId="100" r:id="rId26"/>
    <sheet name="附表2-2" sheetId="101" r:id="rId27"/>
    <sheet name="附表2-3" sheetId="102" r:id="rId28"/>
    <sheet name="附表2-4" sheetId="103" r:id="rId29"/>
    <sheet name="附表2-5" sheetId="104" r:id="rId30"/>
    <sheet name="附表2-6" sheetId="105" r:id="rId31"/>
    <sheet name="附表2-7" sheetId="106" r:id="rId32"/>
    <sheet name="附表2-8" sheetId="107" r:id="rId33"/>
    <sheet name="附表2-9" sheetId="108" r:id="rId34"/>
    <sheet name="附表2-10" sheetId="109" r:id="rId35"/>
    <sheet name="附表2-11" sheetId="110" r:id="rId36"/>
    <sheet name="附表2-12" sheetId="111" r:id="rId37"/>
    <sheet name="附表2-13" sheetId="112" r:id="rId38"/>
    <sheet name="附表2-14" sheetId="113" r:id="rId39"/>
    <sheet name="附表2-15" sheetId="114" r:id="rId40"/>
    <sheet name="附表2-16" sheetId="115" r:id="rId41"/>
    <sheet name="附表2-17" sheetId="116" r:id="rId42"/>
    <sheet name="附表2-18" sheetId="117" r:id="rId43"/>
    <sheet name="附表2-19" sheetId="118" r:id="rId44"/>
    <sheet name="附表2-20" sheetId="119" r:id="rId45"/>
    <sheet name="附表2-21" sheetId="120" r:id="rId46"/>
    <sheet name="附表2-22" sheetId="121" r:id="rId47"/>
    <sheet name="附表2-23" sheetId="122" r:id="rId48"/>
    <sheet name="附表2-24" sheetId="123" r:id="rId49"/>
    <sheet name="附表2-25" sheetId="124" r:id="rId50"/>
  </sheets>
  <externalReferences>
    <externalReference r:id="rId51"/>
    <externalReference r:id="rId52"/>
    <externalReference r:id="rId53"/>
    <externalReference r:id="rId54"/>
  </externalReferences>
  <definedNames>
    <definedName name="_Order1" hidden="1">255</definedName>
    <definedName name="_Order2" hidden="1">255</definedName>
    <definedName name="_xlnm.Database" localSheetId="0">#REF!</definedName>
    <definedName name="_xlnm.Database" localSheetId="4">#REF!</definedName>
    <definedName name="_xlnm.Database">#REF!</definedName>
    <definedName name="database2">#REF!</definedName>
    <definedName name="database3">#REF!</definedName>
    <definedName name="gxxe2003" localSheetId="4">[1]P1012001!$A$6:$E$117</definedName>
    <definedName name="gxxe2003">[2]P1012001!$A$6:$E$117</definedName>
    <definedName name="hhhh">#REF!</definedName>
    <definedName name="kkkk">#REF!</definedName>
    <definedName name="_xlnm.Print_Area" localSheetId="25">'附表2-1'!$A$1:$E$65536</definedName>
    <definedName name="_xlnm.Print_Area" localSheetId="26">'附表2-2'!$A$1:$F$65536</definedName>
    <definedName name="_xlnm.Print_Area" localSheetId="27">'附表2-3'!$A$1:$E$65536</definedName>
    <definedName name="_xlnm.Print_Titles" localSheetId="1">'附表1-1'!$2:$5</definedName>
    <definedName name="_xlnm.Print_Titles" localSheetId="10">'附表1-10'!$1:$4</definedName>
    <definedName name="_xlnm.Print_Titles" localSheetId="11">'附表1-11'!$1:$4</definedName>
    <definedName name="_xlnm.Print_Titles" localSheetId="12">'附表1-12'!$1:$4</definedName>
    <definedName name="_xlnm.Print_Titles" localSheetId="13">'附表1-13'!$1:$4</definedName>
    <definedName name="_xlnm.Print_Titles" localSheetId="14">'附表1-14'!$1:$4</definedName>
    <definedName name="_xlnm.Print_Titles" localSheetId="15">'附表1-15'!$1:$4</definedName>
    <definedName name="_xlnm.Print_Titles" localSheetId="16">'附表1-16'!$1:$4</definedName>
    <definedName name="_xlnm.Print_Titles" localSheetId="17">'附表1-17'!$1:$4</definedName>
    <definedName name="_xlnm.Print_Titles" localSheetId="18">'附表1-18'!$1:$4</definedName>
    <definedName name="_xlnm.Print_Titles" localSheetId="19">'附表1-19'!$1:$4</definedName>
    <definedName name="_xlnm.Print_Titles" localSheetId="2">'附表1-2'!$1:$4</definedName>
    <definedName name="_xlnm.Print_Titles" localSheetId="20">'附表1-20'!$1:$4</definedName>
    <definedName name="_xlnm.Print_Titles" localSheetId="21">'附表1-21'!$1:$4</definedName>
    <definedName name="_xlnm.Print_Titles" localSheetId="22">'附表1-22'!$1:$5</definedName>
    <definedName name="_xlnm.Print_Titles" localSheetId="3">'附表1-3'!$1:$4</definedName>
    <definedName name="_xlnm.Print_Titles" localSheetId="4">'附表1-4 '!$1:$4</definedName>
    <definedName name="_xlnm.Print_Titles" localSheetId="5">'附表1-5'!$1:$4</definedName>
    <definedName name="_xlnm.Print_Titles" localSheetId="6">'附表1-6'!$1:$4</definedName>
    <definedName name="_xlnm.Print_Titles" localSheetId="7">'附表1-7'!$1:$4</definedName>
    <definedName name="_xlnm.Print_Titles" localSheetId="8">'附表1-8'!$1:$4</definedName>
    <definedName name="_xlnm.Print_Titles" localSheetId="9">'附表1-9'!$1:$4</definedName>
    <definedName name="_xlnm.Print_Titles">#N/A</definedName>
    <definedName name="UU">#REF!</definedName>
    <definedName name="YY">#REF!</definedName>
    <definedName name="Z_54431C6A_6CB5_493F_BA5A_1F9237B1985C_.wvu.PrintArea" localSheetId="0" hidden="1">封2!$B$2:$C$25</definedName>
    <definedName name="地区名称">#REF!</definedName>
    <definedName name="福州">#REF!</definedName>
    <definedName name="汇率">#REF!</definedName>
    <definedName name="全额差额比例" localSheetId="4">'[3]C01-1'!#REF!</definedName>
    <definedName name="全额差额比例">'[4]C01-1'!#REF!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 fullPrecision="0"/>
</workbook>
</file>

<file path=xl/calcChain.xml><?xml version="1.0" encoding="utf-8"?>
<calcChain xmlns="http://schemas.openxmlformats.org/spreadsheetml/2006/main">
  <c r="D17" i="24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16"/>
  <c r="D15"/>
  <c r="D14"/>
  <c r="D6"/>
  <c r="D7"/>
  <c r="D8"/>
  <c r="D9"/>
  <c r="D10"/>
  <c r="D11"/>
  <c r="D12"/>
  <c r="D5" i="125"/>
  <c r="D6"/>
  <c r="D7"/>
  <c r="D9"/>
  <c r="D10"/>
  <c r="D11"/>
  <c r="D13"/>
  <c r="D14"/>
  <c r="D15"/>
  <c r="D16"/>
  <c r="D17"/>
  <c r="D18"/>
  <c r="D19"/>
  <c r="D20"/>
  <c r="D21"/>
  <c r="D23"/>
  <c r="D24"/>
  <c r="D25"/>
  <c r="D26"/>
  <c r="D27"/>
  <c r="D28"/>
  <c r="D29"/>
  <c r="D30"/>
  <c r="D31"/>
  <c r="D32"/>
  <c r="D33"/>
  <c r="D36"/>
  <c r="D37"/>
  <c r="D38"/>
  <c r="D39"/>
  <c r="D42"/>
  <c r="D43"/>
  <c r="D44"/>
  <c r="D45"/>
  <c r="D46"/>
  <c r="D47"/>
  <c r="D48"/>
  <c r="D51"/>
  <c r="D52"/>
  <c r="D53"/>
  <c r="D54"/>
  <c r="D55"/>
  <c r="D56"/>
  <c r="D57"/>
  <c r="D58"/>
  <c r="D59"/>
  <c r="D60"/>
  <c r="D61"/>
  <c r="D62"/>
  <c r="D63"/>
  <c r="D64"/>
  <c r="D65"/>
  <c r="D66"/>
  <c r="D68"/>
  <c r="D69"/>
  <c r="D70"/>
  <c r="D71"/>
  <c r="D73"/>
  <c r="D74"/>
  <c r="D75"/>
  <c r="D76"/>
  <c r="D77"/>
  <c r="D78"/>
  <c r="D79"/>
  <c r="D80"/>
  <c r="D81"/>
  <c r="D82"/>
  <c r="D88"/>
  <c r="D89"/>
  <c r="D90"/>
  <c r="D91"/>
  <c r="D92"/>
  <c r="D93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8"/>
  <c r="D120"/>
  <c r="D121"/>
  <c r="D123"/>
  <c r="D126"/>
  <c r="D130"/>
  <c r="D132"/>
  <c r="D133"/>
  <c r="D134"/>
  <c r="D135"/>
  <c r="D136"/>
  <c r="D137"/>
  <c r="D138"/>
  <c r="D139"/>
  <c r="D140"/>
  <c r="D141"/>
  <c r="D142"/>
  <c r="D143"/>
  <c r="D146"/>
  <c r="D147"/>
  <c r="D148"/>
  <c r="D149"/>
  <c r="D150"/>
  <c r="D151"/>
  <c r="D152"/>
  <c r="D153"/>
  <c r="D155"/>
  <c r="D156"/>
  <c r="D158"/>
  <c r="D159"/>
  <c r="D160"/>
  <c r="D161"/>
  <c r="D162"/>
  <c r="D163"/>
  <c r="D164"/>
  <c r="D165"/>
  <c r="D166"/>
  <c r="D167"/>
  <c r="D168"/>
  <c r="D169"/>
  <c r="D170"/>
  <c r="D171"/>
  <c r="D172"/>
  <c r="D173"/>
  <c r="D175"/>
  <c r="D178"/>
  <c r="D179"/>
  <c r="D180"/>
  <c r="D181"/>
  <c r="D182"/>
  <c r="D184"/>
  <c r="D185"/>
  <c r="D186"/>
  <c r="D187"/>
  <c r="D188"/>
  <c r="D189"/>
  <c r="D190"/>
  <c r="D191"/>
  <c r="D192"/>
  <c r="D194"/>
  <c r="D195"/>
  <c r="D196"/>
  <c r="D197"/>
  <c r="D198"/>
  <c r="D199"/>
  <c r="D200"/>
  <c r="D201"/>
  <c r="D202"/>
  <c r="D203"/>
  <c r="D204"/>
  <c r="D205"/>
  <c r="D206"/>
  <c r="D207"/>
  <c r="D208"/>
  <c r="D210"/>
  <c r="D211"/>
  <c r="D212"/>
  <c r="D214"/>
  <c r="D215"/>
  <c r="D216"/>
  <c r="D217"/>
  <c r="D218"/>
  <c r="D219"/>
  <c r="D220"/>
  <c r="D222"/>
  <c r="D223"/>
  <c r="D224"/>
  <c r="D225"/>
  <c r="D226"/>
  <c r="D227"/>
  <c r="D229"/>
  <c r="D230"/>
  <c r="D231"/>
  <c r="D232"/>
  <c r="D233"/>
  <c r="D234"/>
  <c r="D235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2"/>
  <c r="D263"/>
  <c r="D264"/>
  <c r="D265"/>
  <c r="D266"/>
  <c r="D267"/>
  <c r="D268"/>
  <c r="D269"/>
  <c r="D270"/>
  <c r="D271"/>
  <c r="D272"/>
  <c r="D274"/>
  <c r="D275"/>
  <c r="D276"/>
  <c r="D277"/>
  <c r="D278"/>
  <c r="D279"/>
  <c r="D280"/>
  <c r="D281"/>
  <c r="D283"/>
  <c r="D284"/>
  <c r="D285"/>
  <c r="D286"/>
  <c r="D287"/>
  <c r="D288"/>
  <c r="D289"/>
  <c r="D290"/>
  <c r="D291"/>
  <c r="D292"/>
  <c r="D293"/>
  <c r="D294"/>
  <c r="D295"/>
  <c r="D296"/>
  <c r="D299"/>
  <c r="D300"/>
  <c r="D303"/>
  <c r="D304"/>
  <c r="D305"/>
  <c r="D307"/>
  <c r="D308"/>
  <c r="D310"/>
  <c r="D311"/>
  <c r="D312"/>
  <c r="D313"/>
  <c r="D314"/>
  <c r="D315"/>
  <c r="D316"/>
  <c r="D318"/>
  <c r="D319"/>
  <c r="D320"/>
  <c r="D321"/>
  <c r="D322"/>
  <c r="D323"/>
  <c r="D324"/>
  <c r="D325"/>
  <c r="D326"/>
  <c r="D327"/>
  <c r="D328"/>
  <c r="D329"/>
  <c r="D330"/>
  <c r="D331"/>
  <c r="D332"/>
  <c r="D333"/>
  <c r="D334"/>
  <c r="D335"/>
  <c r="D336"/>
  <c r="D337"/>
  <c r="D338"/>
  <c r="D339"/>
  <c r="D340"/>
  <c r="D342"/>
  <c r="D343"/>
  <c r="D344"/>
  <c r="D345"/>
  <c r="D346"/>
  <c r="D347"/>
  <c r="D348"/>
  <c r="D349"/>
  <c r="D350"/>
  <c r="D351"/>
  <c r="D352"/>
  <c r="D353"/>
  <c r="D354"/>
  <c r="D355"/>
  <c r="D357"/>
  <c r="D358"/>
  <c r="D359"/>
  <c r="D360"/>
  <c r="D361"/>
  <c r="D363"/>
  <c r="D364"/>
  <c r="D365"/>
  <c r="D373"/>
  <c r="D375"/>
  <c r="D376"/>
  <c r="D380"/>
  <c r="D381"/>
  <c r="D382"/>
  <c r="D383"/>
  <c r="D384"/>
  <c r="D385"/>
  <c r="D386"/>
  <c r="D387"/>
  <c r="D388"/>
  <c r="D389"/>
  <c r="D390"/>
  <c r="D391"/>
  <c r="D392"/>
  <c r="D393"/>
  <c r="D394"/>
  <c r="D395"/>
  <c r="D396"/>
  <c r="D397"/>
  <c r="D398"/>
  <c r="D399"/>
  <c r="D400"/>
  <c r="D401"/>
  <c r="D402"/>
  <c r="D404"/>
  <c r="D405"/>
  <c r="D406"/>
  <c r="D407"/>
  <c r="D408"/>
  <c r="D409"/>
  <c r="D410"/>
  <c r="D411"/>
  <c r="D413"/>
  <c r="D414"/>
  <c r="D415"/>
  <c r="D416"/>
  <c r="D417"/>
  <c r="D419"/>
  <c r="D420"/>
  <c r="D422"/>
  <c r="D423"/>
  <c r="D424"/>
  <c r="D425"/>
  <c r="D426"/>
  <c r="D427"/>
  <c r="D428"/>
  <c r="D429"/>
  <c r="D430"/>
  <c r="D431"/>
  <c r="D432"/>
  <c r="D433"/>
  <c r="D434"/>
  <c r="D435"/>
  <c r="D436"/>
  <c r="D438"/>
  <c r="D439"/>
  <c r="D440"/>
  <c r="D441"/>
  <c r="D442"/>
  <c r="D443"/>
  <c r="D444"/>
  <c r="D446"/>
  <c r="D447"/>
  <c r="D448"/>
  <c r="D451"/>
  <c r="D452"/>
  <c r="D453"/>
  <c r="D454"/>
  <c r="D455"/>
  <c r="D456"/>
  <c r="D457"/>
  <c r="D458"/>
  <c r="D459"/>
  <c r="D460"/>
  <c r="D461"/>
  <c r="D462"/>
  <c r="D463"/>
  <c r="D464"/>
  <c r="D465"/>
  <c r="D466"/>
  <c r="D467"/>
  <c r="D468"/>
  <c r="D470"/>
  <c r="D471"/>
  <c r="D473"/>
  <c r="D474"/>
  <c r="D475"/>
  <c r="D476"/>
  <c r="D477"/>
  <c r="D481"/>
  <c r="D482"/>
  <c r="D483"/>
  <c r="D484"/>
  <c r="D485"/>
  <c r="D486"/>
  <c r="D487"/>
  <c r="D489"/>
  <c r="D490"/>
  <c r="D491"/>
  <c r="D492"/>
  <c r="D493"/>
  <c r="D494"/>
  <c r="D495"/>
  <c r="D496"/>
  <c r="D497"/>
  <c r="D498"/>
  <c r="D499"/>
  <c r="D500"/>
  <c r="D501"/>
  <c r="D502"/>
  <c r="D503"/>
  <c r="D504"/>
  <c r="D505"/>
  <c r="D506"/>
  <c r="D507"/>
  <c r="D508"/>
  <c r="D509"/>
  <c r="D510"/>
  <c r="D511"/>
  <c r="D512"/>
  <c r="D513"/>
  <c r="D514"/>
  <c r="D516"/>
  <c r="D517"/>
  <c r="D518"/>
  <c r="D520"/>
  <c r="D521"/>
  <c r="D522"/>
  <c r="D523"/>
  <c r="D524"/>
  <c r="D525"/>
  <c r="D526"/>
  <c r="D527"/>
  <c r="D528"/>
  <c r="D529"/>
  <c r="D530"/>
  <c r="D531"/>
  <c r="D532"/>
  <c r="D533"/>
  <c r="D534"/>
  <c r="D535"/>
  <c r="D536"/>
  <c r="D537"/>
  <c r="D538"/>
  <c r="D539"/>
  <c r="D540"/>
  <c r="D541"/>
  <c r="D542"/>
  <c r="D544"/>
  <c r="D545"/>
  <c r="D546"/>
  <c r="D547"/>
  <c r="D548"/>
  <c r="D549"/>
  <c r="D550"/>
  <c r="D551"/>
  <c r="D552"/>
  <c r="D553"/>
  <c r="D554"/>
  <c r="D555"/>
  <c r="D556"/>
  <c r="D557"/>
  <c r="D558"/>
  <c r="D559"/>
  <c r="D562"/>
  <c r="D563"/>
  <c r="D564"/>
  <c r="D566"/>
  <c r="D567"/>
  <c r="D568"/>
  <c r="D569"/>
  <c r="D570"/>
  <c r="D571"/>
  <c r="D573"/>
  <c r="D574"/>
  <c r="B576"/>
  <c r="D576" s="1"/>
  <c r="C576"/>
  <c r="C575" s="1"/>
  <c r="C589" s="1"/>
  <c r="D578"/>
  <c r="D579"/>
  <c r="D580"/>
  <c r="D583"/>
  <c r="D587"/>
  <c r="D588"/>
  <c r="D9" i="25"/>
  <c r="D10"/>
  <c r="D6"/>
  <c r="D7"/>
  <c r="D8"/>
  <c r="D5"/>
  <c r="B8"/>
  <c r="B575" i="125" l="1"/>
  <c r="C13" i="23"/>
  <c r="D13" i="24"/>
  <c r="D5"/>
  <c r="E5" i="120"/>
  <c r="C10"/>
  <c r="D11"/>
  <c r="E11"/>
  <c r="D17"/>
  <c r="E17"/>
  <c r="D21"/>
  <c r="E21"/>
  <c r="D25"/>
  <c r="E25"/>
  <c r="D38"/>
  <c r="E38"/>
  <c r="C44"/>
  <c r="E44" s="1"/>
  <c r="D51"/>
  <c r="E51"/>
  <c r="B57"/>
  <c r="F57"/>
  <c r="E5" i="119"/>
  <c r="C10"/>
  <c r="D11"/>
  <c r="E11"/>
  <c r="D17"/>
  <c r="E17"/>
  <c r="D23"/>
  <c r="E23"/>
  <c r="D29"/>
  <c r="E29"/>
  <c r="D48"/>
  <c r="E48"/>
  <c r="D54"/>
  <c r="E54"/>
  <c r="D60"/>
  <c r="E60"/>
  <c r="B67"/>
  <c r="C67"/>
  <c r="E67" s="1"/>
  <c r="F67"/>
  <c r="E5" i="118"/>
  <c r="D6"/>
  <c r="E6"/>
  <c r="D7"/>
  <c r="E7"/>
  <c r="D8"/>
  <c r="E8"/>
  <c r="D9"/>
  <c r="E9"/>
  <c r="D13"/>
  <c r="E13"/>
  <c r="D14"/>
  <c r="E14"/>
  <c r="D15"/>
  <c r="E15"/>
  <c r="B16"/>
  <c r="C16"/>
  <c r="D16" s="1"/>
  <c r="F16"/>
  <c r="D6" i="117"/>
  <c r="E6"/>
  <c r="D7"/>
  <c r="E7"/>
  <c r="D8"/>
  <c r="E8"/>
  <c r="D9"/>
  <c r="E9"/>
  <c r="D13"/>
  <c r="E13"/>
  <c r="D14"/>
  <c r="E14"/>
  <c r="D15"/>
  <c r="E15"/>
  <c r="B16"/>
  <c r="C16"/>
  <c r="D16"/>
  <c r="E16"/>
  <c r="F16"/>
  <c r="D30" i="116"/>
  <c r="E30"/>
  <c r="D31"/>
  <c r="E31"/>
  <c r="D32"/>
  <c r="E32"/>
  <c r="C36"/>
  <c r="E36" s="1"/>
  <c r="F36"/>
  <c r="C5" i="115"/>
  <c r="C18" s="1"/>
  <c r="F5"/>
  <c r="B18"/>
  <c r="F18"/>
  <c r="F21" s="1"/>
  <c r="D9" i="114"/>
  <c r="E9"/>
  <c r="B10"/>
  <c r="C10"/>
  <c r="D10"/>
  <c r="E10"/>
  <c r="F10"/>
  <c r="C14"/>
  <c r="E14"/>
  <c r="F14"/>
  <c r="D5" i="113"/>
  <c r="E5"/>
  <c r="B11"/>
  <c r="C11"/>
  <c r="D11"/>
  <c r="E11"/>
  <c r="F11"/>
  <c r="C14"/>
  <c r="D14"/>
  <c r="E14"/>
  <c r="F14"/>
  <c r="R5" i="112"/>
  <c r="B8"/>
  <c r="C8"/>
  <c r="D8"/>
  <c r="E8"/>
  <c r="R8" s="1"/>
  <c r="F8"/>
  <c r="G8"/>
  <c r="H8"/>
  <c r="I8"/>
  <c r="J8"/>
  <c r="K8"/>
  <c r="L8"/>
  <c r="M8"/>
  <c r="N8"/>
  <c r="O8"/>
  <c r="P8"/>
  <c r="Q8"/>
  <c r="R13"/>
  <c r="R16"/>
  <c r="B6" i="111"/>
  <c r="C6"/>
  <c r="F6"/>
  <c r="B8"/>
  <c r="C8"/>
  <c r="F8"/>
  <c r="B10"/>
  <c r="C10"/>
  <c r="D10" s="1"/>
  <c r="F10"/>
  <c r="D11"/>
  <c r="E11"/>
  <c r="D12"/>
  <c r="E12"/>
  <c r="B13"/>
  <c r="C13"/>
  <c r="F13"/>
  <c r="B16"/>
  <c r="C16"/>
  <c r="F16"/>
  <c r="D17"/>
  <c r="E17"/>
  <c r="D18"/>
  <c r="E18"/>
  <c r="D19"/>
  <c r="E19"/>
  <c r="D20"/>
  <c r="E20"/>
  <c r="D21"/>
  <c r="E21"/>
  <c r="B24"/>
  <c r="C24"/>
  <c r="D24"/>
  <c r="E24"/>
  <c r="F24"/>
  <c r="D25"/>
  <c r="D26"/>
  <c r="D27"/>
  <c r="D28"/>
  <c r="D29"/>
  <c r="B30"/>
  <c r="C30"/>
  <c r="F30"/>
  <c r="B37"/>
  <c r="C37"/>
  <c r="D37" s="1"/>
  <c r="F37"/>
  <c r="D38"/>
  <c r="D39"/>
  <c r="B41"/>
  <c r="D41" s="1"/>
  <c r="C41"/>
  <c r="F41"/>
  <c r="F5" s="1"/>
  <c r="F54" s="1"/>
  <c r="F61" s="1"/>
  <c r="D42"/>
  <c r="C43"/>
  <c r="F43"/>
  <c r="B44"/>
  <c r="B43" s="1"/>
  <c r="C44"/>
  <c r="F44"/>
  <c r="B47"/>
  <c r="C47"/>
  <c r="E47" s="1"/>
  <c r="F47"/>
  <c r="D48"/>
  <c r="D49"/>
  <c r="D50"/>
  <c r="D51"/>
  <c r="D52"/>
  <c r="D53"/>
  <c r="E53"/>
  <c r="E55"/>
  <c r="E56"/>
  <c r="D7" i="110"/>
  <c r="E7"/>
  <c r="B10"/>
  <c r="D10"/>
  <c r="E10"/>
  <c r="B12"/>
  <c r="B19" s="1"/>
  <c r="D19" s="1"/>
  <c r="D13"/>
  <c r="E13"/>
  <c r="F18"/>
  <c r="F19" s="1"/>
  <c r="C19"/>
  <c r="F21"/>
  <c r="C24"/>
  <c r="C21" s="1"/>
  <c r="C27" s="1"/>
  <c r="D6" i="109"/>
  <c r="E6"/>
  <c r="D8"/>
  <c r="E8"/>
  <c r="D9"/>
  <c r="E9"/>
  <c r="D11"/>
  <c r="D12"/>
  <c r="D13"/>
  <c r="E13"/>
  <c r="D14"/>
  <c r="D15"/>
  <c r="E15"/>
  <c r="B16"/>
  <c r="C16"/>
  <c r="D16" s="1"/>
  <c r="E16"/>
  <c r="F16"/>
  <c r="F23" s="1"/>
  <c r="E17"/>
  <c r="E20"/>
  <c r="E22"/>
  <c r="C23"/>
  <c r="E23" s="1"/>
  <c r="D7" i="108"/>
  <c r="E7"/>
  <c r="B10"/>
  <c r="D10" s="1"/>
  <c r="E10"/>
  <c r="B12"/>
  <c r="D13"/>
  <c r="E13"/>
  <c r="F18"/>
  <c r="F19" s="1"/>
  <c r="B19"/>
  <c r="B27" s="1"/>
  <c r="C19"/>
  <c r="D19" s="1"/>
  <c r="F21"/>
  <c r="C24"/>
  <c r="C21" s="1"/>
  <c r="C27" s="1"/>
  <c r="R5" i="106"/>
  <c r="B6"/>
  <c r="C6"/>
  <c r="C30" s="1"/>
  <c r="D6"/>
  <c r="D30" s="1"/>
  <c r="E6"/>
  <c r="E30" s="1"/>
  <c r="F6"/>
  <c r="F30" s="1"/>
  <c r="G6"/>
  <c r="H6"/>
  <c r="I6"/>
  <c r="I30" s="1"/>
  <c r="J6"/>
  <c r="J30" s="1"/>
  <c r="K6"/>
  <c r="K30" s="1"/>
  <c r="L6"/>
  <c r="L30" s="1"/>
  <c r="M6"/>
  <c r="M30" s="1"/>
  <c r="N6"/>
  <c r="N30" s="1"/>
  <c r="O6"/>
  <c r="P6"/>
  <c r="Q6"/>
  <c r="Q30" s="1"/>
  <c r="B11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C29"/>
  <c r="D29"/>
  <c r="E29"/>
  <c r="F29"/>
  <c r="G29"/>
  <c r="H29"/>
  <c r="I29"/>
  <c r="J29"/>
  <c r="K29"/>
  <c r="L29"/>
  <c r="M29"/>
  <c r="N29"/>
  <c r="O29"/>
  <c r="P29"/>
  <c r="Q29"/>
  <c r="B30"/>
  <c r="G30"/>
  <c r="H30"/>
  <c r="O30"/>
  <c r="P30"/>
  <c r="R31"/>
  <c r="R32"/>
  <c r="R51" s="1"/>
  <c r="R33"/>
  <c r="R34"/>
  <c r="R35"/>
  <c r="R36"/>
  <c r="R37"/>
  <c r="R38"/>
  <c r="R39"/>
  <c r="R40"/>
  <c r="R41"/>
  <c r="R42"/>
  <c r="R43"/>
  <c r="R44"/>
  <c r="R45"/>
  <c r="R46"/>
  <c r="R47"/>
  <c r="R48"/>
  <c r="R49"/>
  <c r="R50"/>
  <c r="C51"/>
  <c r="D51"/>
  <c r="E51"/>
  <c r="F51"/>
  <c r="G51"/>
  <c r="H51"/>
  <c r="I51"/>
  <c r="J51"/>
  <c r="K51"/>
  <c r="L51"/>
  <c r="M51"/>
  <c r="N51"/>
  <c r="O51"/>
  <c r="P51"/>
  <c r="Q51"/>
  <c r="C6" i="105"/>
  <c r="C5" s="1"/>
  <c r="F6"/>
  <c r="C7"/>
  <c r="F7"/>
  <c r="F5" s="1"/>
  <c r="C8"/>
  <c r="F8"/>
  <c r="C9"/>
  <c r="F9"/>
  <c r="C10"/>
  <c r="F10"/>
  <c r="F11"/>
  <c r="C12"/>
  <c r="F12"/>
  <c r="C14"/>
  <c r="C13" s="1"/>
  <c r="F14"/>
  <c r="C15"/>
  <c r="F15"/>
  <c r="F13" s="1"/>
  <c r="C16"/>
  <c r="F16"/>
  <c r="C17"/>
  <c r="F17"/>
  <c r="C18"/>
  <c r="F18"/>
  <c r="C19"/>
  <c r="F19"/>
  <c r="C20"/>
  <c r="F20"/>
  <c r="C23"/>
  <c r="F23"/>
  <c r="F24"/>
  <c r="C25"/>
  <c r="F25"/>
  <c r="C26"/>
  <c r="F26"/>
  <c r="C27"/>
  <c r="F27"/>
  <c r="C28"/>
  <c r="F28"/>
  <c r="F29"/>
  <c r="C30"/>
  <c r="F30"/>
  <c r="C33"/>
  <c r="F33"/>
  <c r="C34"/>
  <c r="F34"/>
  <c r="F35"/>
  <c r="C37"/>
  <c r="F37"/>
  <c r="C38"/>
  <c r="F38"/>
  <c r="C40"/>
  <c r="F40"/>
  <c r="C45"/>
  <c r="C41" s="1"/>
  <c r="C46"/>
  <c r="F46"/>
  <c r="F41" s="1"/>
  <c r="C48"/>
  <c r="F48"/>
  <c r="C49"/>
  <c r="C50"/>
  <c r="F50"/>
  <c r="C52"/>
  <c r="F52"/>
  <c r="C53"/>
  <c r="F53"/>
  <c r="C55"/>
  <c r="F55"/>
  <c r="C58"/>
  <c r="C56" s="1"/>
  <c r="F58"/>
  <c r="F56" s="1"/>
  <c r="C59"/>
  <c r="F59"/>
  <c r="C70"/>
  <c r="C71"/>
  <c r="E71" s="1"/>
  <c r="D71"/>
  <c r="F71"/>
  <c r="B76"/>
  <c r="B81" s="1"/>
  <c r="C76"/>
  <c r="F76"/>
  <c r="B79"/>
  <c r="C79"/>
  <c r="F79"/>
  <c r="D5" i="104"/>
  <c r="E5"/>
  <c r="D6"/>
  <c r="E6"/>
  <c r="D7"/>
  <c r="E7"/>
  <c r="D8"/>
  <c r="E8"/>
  <c r="D9"/>
  <c r="E9"/>
  <c r="D10"/>
  <c r="E10"/>
  <c r="D11"/>
  <c r="E11"/>
  <c r="D12"/>
  <c r="E12"/>
  <c r="B13"/>
  <c r="C13"/>
  <c r="E13" s="1"/>
  <c r="F13"/>
  <c r="B6" i="103"/>
  <c r="C7"/>
  <c r="D7" s="1"/>
  <c r="F7"/>
  <c r="F6" s="1"/>
  <c r="E8"/>
  <c r="E11"/>
  <c r="C19"/>
  <c r="E19" s="1"/>
  <c r="F19"/>
  <c r="E20"/>
  <c r="C28"/>
  <c r="E28" s="1"/>
  <c r="F28"/>
  <c r="E29"/>
  <c r="E30"/>
  <c r="E31"/>
  <c r="E32"/>
  <c r="E33"/>
  <c r="E34"/>
  <c r="E35"/>
  <c r="E36"/>
  <c r="E37"/>
  <c r="E38"/>
  <c r="C40"/>
  <c r="E40" s="1"/>
  <c r="F40"/>
  <c r="E41"/>
  <c r="E42"/>
  <c r="E43"/>
  <c r="E45"/>
  <c r="E46"/>
  <c r="E47"/>
  <c r="E48"/>
  <c r="E49"/>
  <c r="E51"/>
  <c r="C52"/>
  <c r="E52" s="1"/>
  <c r="F52"/>
  <c r="E53"/>
  <c r="D55"/>
  <c r="E55"/>
  <c r="D56"/>
  <c r="E56"/>
  <c r="D57"/>
  <c r="E57"/>
  <c r="D58"/>
  <c r="E58"/>
  <c r="D59"/>
  <c r="E59"/>
  <c r="D60"/>
  <c r="E60"/>
  <c r="D61"/>
  <c r="E61"/>
  <c r="D62"/>
  <c r="E62"/>
  <c r="C63"/>
  <c r="E63" s="1"/>
  <c r="F63"/>
  <c r="E64"/>
  <c r="E65"/>
  <c r="E66"/>
  <c r="E67"/>
  <c r="E68"/>
  <c r="E69"/>
  <c r="E71"/>
  <c r="E72"/>
  <c r="D73"/>
  <c r="E73"/>
  <c r="C74"/>
  <c r="E74" s="1"/>
  <c r="F74"/>
  <c r="D75"/>
  <c r="E75"/>
  <c r="E76"/>
  <c r="D77"/>
  <c r="E77"/>
  <c r="D78"/>
  <c r="E78"/>
  <c r="D79"/>
  <c r="E79"/>
  <c r="D80"/>
  <c r="E80"/>
  <c r="D81"/>
  <c r="E81"/>
  <c r="D82"/>
  <c r="E82"/>
  <c r="D83"/>
  <c r="E83"/>
  <c r="D84"/>
  <c r="E84"/>
  <c r="D85"/>
  <c r="E85"/>
  <c r="C86"/>
  <c r="E86" s="1"/>
  <c r="F86"/>
  <c r="D87"/>
  <c r="E87"/>
  <c r="D88"/>
  <c r="E88"/>
  <c r="D89"/>
  <c r="E89"/>
  <c r="D90"/>
  <c r="E90"/>
  <c r="D91"/>
  <c r="E91"/>
  <c r="D92"/>
  <c r="E92"/>
  <c r="D94"/>
  <c r="E94"/>
  <c r="C95"/>
  <c r="D95" s="1"/>
  <c r="F95"/>
  <c r="E96"/>
  <c r="E97"/>
  <c r="E98"/>
  <c r="E99"/>
  <c r="E100"/>
  <c r="E101"/>
  <c r="E102"/>
  <c r="E103"/>
  <c r="E104"/>
  <c r="C105"/>
  <c r="D105" s="1"/>
  <c r="E105"/>
  <c r="F105"/>
  <c r="E106"/>
  <c r="E107"/>
  <c r="E108"/>
  <c r="E109"/>
  <c r="E110"/>
  <c r="E111"/>
  <c r="E112"/>
  <c r="C120"/>
  <c r="D120" s="1"/>
  <c r="F120"/>
  <c r="E121"/>
  <c r="E122"/>
  <c r="D123"/>
  <c r="E123"/>
  <c r="D124"/>
  <c r="E124"/>
  <c r="D125"/>
  <c r="E125"/>
  <c r="D126"/>
  <c r="E126"/>
  <c r="D127"/>
  <c r="E127"/>
  <c r="D128"/>
  <c r="E128"/>
  <c r="C129"/>
  <c r="E129" s="1"/>
  <c r="F129"/>
  <c r="E130"/>
  <c r="E132"/>
  <c r="E133"/>
  <c r="E134"/>
  <c r="E135"/>
  <c r="E136"/>
  <c r="E137"/>
  <c r="E138"/>
  <c r="D139"/>
  <c r="E139"/>
  <c r="C140"/>
  <c r="D140" s="1"/>
  <c r="F140"/>
  <c r="D141"/>
  <c r="E141"/>
  <c r="D142"/>
  <c r="E142"/>
  <c r="D143"/>
  <c r="E143"/>
  <c r="D144"/>
  <c r="E144"/>
  <c r="D145"/>
  <c r="E145"/>
  <c r="D146"/>
  <c r="E146"/>
  <c r="D147"/>
  <c r="E147"/>
  <c r="D148"/>
  <c r="E148"/>
  <c r="D149"/>
  <c r="E149"/>
  <c r="D150"/>
  <c r="E150"/>
  <c r="D151"/>
  <c r="E151"/>
  <c r="C152"/>
  <c r="D152" s="1"/>
  <c r="F152"/>
  <c r="E153"/>
  <c r="E154"/>
  <c r="E155"/>
  <c r="E156"/>
  <c r="E158"/>
  <c r="E159"/>
  <c r="E160"/>
  <c r="C162"/>
  <c r="E162" s="1"/>
  <c r="F162"/>
  <c r="E163"/>
  <c r="E165"/>
  <c r="E166"/>
  <c r="E167"/>
  <c r="E168"/>
  <c r="E169"/>
  <c r="E170"/>
  <c r="E171"/>
  <c r="E172"/>
  <c r="E173"/>
  <c r="E174"/>
  <c r="C175"/>
  <c r="D175"/>
  <c r="E175"/>
  <c r="F175"/>
  <c r="D176"/>
  <c r="E176"/>
  <c r="D177"/>
  <c r="E177"/>
  <c r="D178"/>
  <c r="E178"/>
  <c r="D179"/>
  <c r="E179"/>
  <c r="D180"/>
  <c r="E180"/>
  <c r="D181"/>
  <c r="E181"/>
  <c r="C182"/>
  <c r="D182"/>
  <c r="E182"/>
  <c r="F182"/>
  <c r="D183"/>
  <c r="E183"/>
  <c r="D184"/>
  <c r="E184"/>
  <c r="D185"/>
  <c r="E185"/>
  <c r="E186"/>
  <c r="D187"/>
  <c r="E187"/>
  <c r="D188"/>
  <c r="E188"/>
  <c r="C189"/>
  <c r="E189" s="1"/>
  <c r="F189"/>
  <c r="D190"/>
  <c r="E190"/>
  <c r="D191"/>
  <c r="E191"/>
  <c r="D192"/>
  <c r="E192"/>
  <c r="D193"/>
  <c r="E193"/>
  <c r="D194"/>
  <c r="E194"/>
  <c r="D195"/>
  <c r="E195"/>
  <c r="D196"/>
  <c r="E196"/>
  <c r="D197"/>
  <c r="E197"/>
  <c r="C198"/>
  <c r="E198" s="1"/>
  <c r="F198"/>
  <c r="E199"/>
  <c r="E200"/>
  <c r="E201"/>
  <c r="E202"/>
  <c r="C204"/>
  <c r="E204" s="1"/>
  <c r="F204"/>
  <c r="E205"/>
  <c r="E206"/>
  <c r="D207"/>
  <c r="E207"/>
  <c r="D208"/>
  <c r="E208"/>
  <c r="D209"/>
  <c r="E209"/>
  <c r="D210"/>
  <c r="E210"/>
  <c r="C211"/>
  <c r="D211" s="1"/>
  <c r="E211"/>
  <c r="F211"/>
  <c r="E212"/>
  <c r="E213"/>
  <c r="E214"/>
  <c r="E215"/>
  <c r="E216"/>
  <c r="E217"/>
  <c r="C219"/>
  <c r="E219" s="1"/>
  <c r="F219"/>
  <c r="E220"/>
  <c r="E221"/>
  <c r="E222"/>
  <c r="E223"/>
  <c r="E224"/>
  <c r="E225"/>
  <c r="C226"/>
  <c r="E226" s="1"/>
  <c r="F226"/>
  <c r="E227"/>
  <c r="E228"/>
  <c r="E230"/>
  <c r="C232"/>
  <c r="D232" s="1"/>
  <c r="E232"/>
  <c r="F232"/>
  <c r="E233"/>
  <c r="E234"/>
  <c r="E237"/>
  <c r="C238"/>
  <c r="E238" s="1"/>
  <c r="F238"/>
  <c r="D239"/>
  <c r="E239"/>
  <c r="D240"/>
  <c r="E240"/>
  <c r="D241"/>
  <c r="E241"/>
  <c r="D242"/>
  <c r="E242"/>
  <c r="D243"/>
  <c r="E243"/>
  <c r="C244"/>
  <c r="E244" s="1"/>
  <c r="F244"/>
  <c r="D245"/>
  <c r="E245"/>
  <c r="D246"/>
  <c r="E246"/>
  <c r="D247"/>
  <c r="E247"/>
  <c r="D248"/>
  <c r="E248"/>
  <c r="D249"/>
  <c r="E249"/>
  <c r="C250"/>
  <c r="E250" s="1"/>
  <c r="F250"/>
  <c r="D251"/>
  <c r="E251"/>
  <c r="C256"/>
  <c r="F256"/>
  <c r="B260"/>
  <c r="C260"/>
  <c r="F260"/>
  <c r="F259" s="1"/>
  <c r="B267"/>
  <c r="C267"/>
  <c r="F267"/>
  <c r="B270"/>
  <c r="C270"/>
  <c r="F270"/>
  <c r="B277"/>
  <c r="C277"/>
  <c r="F277"/>
  <c r="B283"/>
  <c r="C283"/>
  <c r="F283"/>
  <c r="B287"/>
  <c r="C287"/>
  <c r="F287"/>
  <c r="B289"/>
  <c r="C289"/>
  <c r="F289"/>
  <c r="B294"/>
  <c r="C294"/>
  <c r="F294"/>
  <c r="B297"/>
  <c r="C297"/>
  <c r="F298"/>
  <c r="F297" s="1"/>
  <c r="F296" s="1"/>
  <c r="B299"/>
  <c r="C299"/>
  <c r="F299"/>
  <c r="B301"/>
  <c r="C301"/>
  <c r="C296" s="1"/>
  <c r="F301"/>
  <c r="C303"/>
  <c r="F303"/>
  <c r="C312"/>
  <c r="F313"/>
  <c r="F312" s="1"/>
  <c r="B314"/>
  <c r="C315"/>
  <c r="E315" s="1"/>
  <c r="F315"/>
  <c r="F314" s="1"/>
  <c r="E316"/>
  <c r="E317"/>
  <c r="E318"/>
  <c r="E319"/>
  <c r="D320"/>
  <c r="E320"/>
  <c r="D321"/>
  <c r="E321"/>
  <c r="D322"/>
  <c r="E322"/>
  <c r="D323"/>
  <c r="E323"/>
  <c r="D324"/>
  <c r="E324"/>
  <c r="C325"/>
  <c r="D325"/>
  <c r="E325"/>
  <c r="F325"/>
  <c r="E326"/>
  <c r="E327"/>
  <c r="E328"/>
  <c r="E330"/>
  <c r="E331"/>
  <c r="E332"/>
  <c r="E333"/>
  <c r="E334"/>
  <c r="E335"/>
  <c r="E336"/>
  <c r="E337"/>
  <c r="E338"/>
  <c r="E340"/>
  <c r="E342"/>
  <c r="E343"/>
  <c r="E344"/>
  <c r="E345"/>
  <c r="E346"/>
  <c r="C347"/>
  <c r="E347" s="1"/>
  <c r="F347"/>
  <c r="D348"/>
  <c r="E348"/>
  <c r="D349"/>
  <c r="E349"/>
  <c r="D350"/>
  <c r="E350"/>
  <c r="D351"/>
  <c r="E351"/>
  <c r="D352"/>
  <c r="E352"/>
  <c r="D353"/>
  <c r="E353"/>
  <c r="C354"/>
  <c r="E354" s="1"/>
  <c r="F354"/>
  <c r="E355"/>
  <c r="E356"/>
  <c r="E357"/>
  <c r="E358"/>
  <c r="E359"/>
  <c r="E360"/>
  <c r="E361"/>
  <c r="E362"/>
  <c r="E363"/>
  <c r="E364"/>
  <c r="E365"/>
  <c r="C366"/>
  <c r="D366" s="1"/>
  <c r="F366"/>
  <c r="E367"/>
  <c r="E368"/>
  <c r="E369"/>
  <c r="E370"/>
  <c r="E371"/>
  <c r="E372"/>
  <c r="E373"/>
  <c r="E374"/>
  <c r="C375"/>
  <c r="D375" s="1"/>
  <c r="F375"/>
  <c r="E376"/>
  <c r="E381"/>
  <c r="F388"/>
  <c r="C389"/>
  <c r="D389"/>
  <c r="D390"/>
  <c r="D391"/>
  <c r="D392"/>
  <c r="D393"/>
  <c r="D394"/>
  <c r="D395"/>
  <c r="D396"/>
  <c r="D397"/>
  <c r="F397"/>
  <c r="C398"/>
  <c r="D398" s="1"/>
  <c r="D399"/>
  <c r="D400"/>
  <c r="D401"/>
  <c r="D402"/>
  <c r="D403"/>
  <c r="D404"/>
  <c r="D405"/>
  <c r="D406"/>
  <c r="F406"/>
  <c r="C407"/>
  <c r="D407" s="1"/>
  <c r="D408"/>
  <c r="D409"/>
  <c r="D410"/>
  <c r="D411"/>
  <c r="D412"/>
  <c r="D413"/>
  <c r="D414"/>
  <c r="C415"/>
  <c r="D415" s="1"/>
  <c r="D416"/>
  <c r="D417"/>
  <c r="D418"/>
  <c r="D419"/>
  <c r="D420"/>
  <c r="D421"/>
  <c r="D422"/>
  <c r="C423"/>
  <c r="D423" s="1"/>
  <c r="D424"/>
  <c r="D425"/>
  <c r="D426"/>
  <c r="D427"/>
  <c r="D428"/>
  <c r="D429"/>
  <c r="D430"/>
  <c r="D431"/>
  <c r="C432"/>
  <c r="D432" s="1"/>
  <c r="D434"/>
  <c r="E434"/>
  <c r="B435"/>
  <c r="C436"/>
  <c r="E436" s="1"/>
  <c r="F436"/>
  <c r="F435" s="1"/>
  <c r="E437"/>
  <c r="E438"/>
  <c r="D439"/>
  <c r="E439"/>
  <c r="D440"/>
  <c r="E440"/>
  <c r="C441"/>
  <c r="D441" s="1"/>
  <c r="F441"/>
  <c r="E442"/>
  <c r="E443"/>
  <c r="E444"/>
  <c r="E445"/>
  <c r="E446"/>
  <c r="E447"/>
  <c r="E448"/>
  <c r="E449"/>
  <c r="C450"/>
  <c r="D450" s="1"/>
  <c r="F450"/>
  <c r="D451"/>
  <c r="E451"/>
  <c r="E452"/>
  <c r="D453"/>
  <c r="E453"/>
  <c r="D454"/>
  <c r="E454"/>
  <c r="D455"/>
  <c r="E455"/>
  <c r="D456"/>
  <c r="E456"/>
  <c r="C457"/>
  <c r="E457" s="1"/>
  <c r="F457"/>
  <c r="D459"/>
  <c r="E459"/>
  <c r="D460"/>
  <c r="E460"/>
  <c r="D461"/>
  <c r="E461"/>
  <c r="D462"/>
  <c r="E462"/>
  <c r="C463"/>
  <c r="E463" s="1"/>
  <c r="F463"/>
  <c r="D464"/>
  <c r="E464"/>
  <c r="D465"/>
  <c r="E465"/>
  <c r="D466"/>
  <c r="E466"/>
  <c r="C467"/>
  <c r="E467" s="1"/>
  <c r="F467"/>
  <c r="D468"/>
  <c r="E468"/>
  <c r="D469"/>
  <c r="E469"/>
  <c r="D470"/>
  <c r="E470"/>
  <c r="C471"/>
  <c r="D471"/>
  <c r="E471"/>
  <c r="F471"/>
  <c r="E472"/>
  <c r="D473"/>
  <c r="E473"/>
  <c r="D474"/>
  <c r="E474"/>
  <c r="C475"/>
  <c r="E475" s="1"/>
  <c r="F475"/>
  <c r="E476"/>
  <c r="E477"/>
  <c r="D478"/>
  <c r="E478"/>
  <c r="D479"/>
  <c r="E479"/>
  <c r="D480"/>
  <c r="E480"/>
  <c r="C481"/>
  <c r="E481" s="1"/>
  <c r="F481"/>
  <c r="D482"/>
  <c r="E482"/>
  <c r="D483"/>
  <c r="E483"/>
  <c r="D484"/>
  <c r="E484"/>
  <c r="D485"/>
  <c r="E485"/>
  <c r="D486"/>
  <c r="E486"/>
  <c r="E487"/>
  <c r="C488"/>
  <c r="D488"/>
  <c r="E488"/>
  <c r="F488"/>
  <c r="E489"/>
  <c r="B490"/>
  <c r="C491"/>
  <c r="E491" s="1"/>
  <c r="F491"/>
  <c r="F490" s="1"/>
  <c r="E492"/>
  <c r="E494"/>
  <c r="E495"/>
  <c r="C496"/>
  <c r="D496" s="1"/>
  <c r="F496"/>
  <c r="D497"/>
  <c r="E497"/>
  <c r="D498"/>
  <c r="E498"/>
  <c r="D499"/>
  <c r="E499"/>
  <c r="D500"/>
  <c r="E500"/>
  <c r="D501"/>
  <c r="E501"/>
  <c r="D502"/>
  <c r="E502"/>
  <c r="D503"/>
  <c r="E503"/>
  <c r="D504"/>
  <c r="E504"/>
  <c r="C505"/>
  <c r="D505" s="1"/>
  <c r="F505"/>
  <c r="D506"/>
  <c r="E506"/>
  <c r="D507"/>
  <c r="E507"/>
  <c r="D508"/>
  <c r="E508"/>
  <c r="D509"/>
  <c r="E509"/>
  <c r="D510"/>
  <c r="E510"/>
  <c r="C511"/>
  <c r="E511" s="1"/>
  <c r="F511"/>
  <c r="D512"/>
  <c r="E512"/>
  <c r="D513"/>
  <c r="E513"/>
  <c r="E514"/>
  <c r="D515"/>
  <c r="E515"/>
  <c r="D516"/>
  <c r="E516"/>
  <c r="C517"/>
  <c r="E517" s="1"/>
  <c r="F517"/>
  <c r="D518"/>
  <c r="E518"/>
  <c r="D519"/>
  <c r="E519"/>
  <c r="D521"/>
  <c r="E521"/>
  <c r="C522"/>
  <c r="E522" s="1"/>
  <c r="F522"/>
  <c r="D523"/>
  <c r="E523"/>
  <c r="D524"/>
  <c r="E524"/>
  <c r="D525"/>
  <c r="E525"/>
  <c r="D526"/>
  <c r="E526"/>
  <c r="C527"/>
  <c r="E527" s="1"/>
  <c r="F527"/>
  <c r="E528"/>
  <c r="E529"/>
  <c r="E530"/>
  <c r="E531"/>
  <c r="E532"/>
  <c r="E533"/>
  <c r="C534"/>
  <c r="E534" s="1"/>
  <c r="F534"/>
  <c r="D535"/>
  <c r="E535"/>
  <c r="D536"/>
  <c r="E536"/>
  <c r="D537"/>
  <c r="E537"/>
  <c r="C538"/>
  <c r="E538" s="1"/>
  <c r="F538"/>
  <c r="D539"/>
  <c r="E539"/>
  <c r="D540"/>
  <c r="E540"/>
  <c r="C541"/>
  <c r="E541" s="1"/>
  <c r="F541"/>
  <c r="D542"/>
  <c r="E542"/>
  <c r="D543"/>
  <c r="E543"/>
  <c r="D544"/>
  <c r="E544"/>
  <c r="D545"/>
  <c r="E545"/>
  <c r="B546"/>
  <c r="C547"/>
  <c r="C546" s="1"/>
  <c r="F547"/>
  <c r="E548"/>
  <c r="E551"/>
  <c r="E554"/>
  <c r="E555"/>
  <c r="E556"/>
  <c r="E560"/>
  <c r="C561"/>
  <c r="E561" s="1"/>
  <c r="F561"/>
  <c r="D562"/>
  <c r="E562"/>
  <c r="D563"/>
  <c r="E563"/>
  <c r="D564"/>
  <c r="E564"/>
  <c r="D565"/>
  <c r="E565"/>
  <c r="D568"/>
  <c r="E568"/>
  <c r="C569"/>
  <c r="D569"/>
  <c r="E569"/>
  <c r="F569"/>
  <c r="E570"/>
  <c r="E571"/>
  <c r="E572"/>
  <c r="E573"/>
  <c r="E574"/>
  <c r="E575"/>
  <c r="E577"/>
  <c r="E578"/>
  <c r="E579"/>
  <c r="C580"/>
  <c r="D580"/>
  <c r="D581"/>
  <c r="E581"/>
  <c r="F581"/>
  <c r="F580" s="1"/>
  <c r="E580" s="1"/>
  <c r="D582"/>
  <c r="E582"/>
  <c r="D583"/>
  <c r="E583"/>
  <c r="E584"/>
  <c r="E585"/>
  <c r="E587"/>
  <c r="E588"/>
  <c r="E589"/>
  <c r="E590"/>
  <c r="C591"/>
  <c r="D591" s="1"/>
  <c r="F591"/>
  <c r="E594"/>
  <c r="B595"/>
  <c r="C596"/>
  <c r="D596"/>
  <c r="E596"/>
  <c r="F596"/>
  <c r="E597"/>
  <c r="E600"/>
  <c r="E601"/>
  <c r="E602"/>
  <c r="E603"/>
  <c r="E605"/>
  <c r="E606"/>
  <c r="E607"/>
  <c r="E609"/>
  <c r="C610"/>
  <c r="D610"/>
  <c r="E610"/>
  <c r="F610"/>
  <c r="E611"/>
  <c r="E612"/>
  <c r="E613"/>
  <c r="E614"/>
  <c r="E615"/>
  <c r="E617"/>
  <c r="E618"/>
  <c r="D619"/>
  <c r="E619"/>
  <c r="D620"/>
  <c r="E620"/>
  <c r="F621"/>
  <c r="D622"/>
  <c r="E622"/>
  <c r="D623"/>
  <c r="E623"/>
  <c r="D624"/>
  <c r="E624"/>
  <c r="D625"/>
  <c r="E625"/>
  <c r="D626"/>
  <c r="E626"/>
  <c r="C627"/>
  <c r="E627" s="1"/>
  <c r="E628"/>
  <c r="C629"/>
  <c r="F629"/>
  <c r="F631"/>
  <c r="C632"/>
  <c r="E632" s="1"/>
  <c r="E633"/>
  <c r="E634"/>
  <c r="C640"/>
  <c r="E640" s="1"/>
  <c r="F640"/>
  <c r="D641"/>
  <c r="E641"/>
  <c r="D642"/>
  <c r="E642"/>
  <c r="D643"/>
  <c r="E643"/>
  <c r="C644"/>
  <c r="D644" s="1"/>
  <c r="D645"/>
  <c r="E645"/>
  <c r="F645"/>
  <c r="F644" s="1"/>
  <c r="D646"/>
  <c r="E646"/>
  <c r="D647"/>
  <c r="E647"/>
  <c r="D648"/>
  <c r="E648"/>
  <c r="D649"/>
  <c r="E649"/>
  <c r="D650"/>
  <c r="E650"/>
  <c r="D651"/>
  <c r="E651"/>
  <c r="D652"/>
  <c r="E652"/>
  <c r="D653"/>
  <c r="E653"/>
  <c r="E654"/>
  <c r="C655"/>
  <c r="D655"/>
  <c r="E655"/>
  <c r="F655"/>
  <c r="E656"/>
  <c r="E657"/>
  <c r="E658"/>
  <c r="E659"/>
  <c r="E660"/>
  <c r="E661"/>
  <c r="E662"/>
  <c r="C663"/>
  <c r="D663"/>
  <c r="E663"/>
  <c r="F663"/>
  <c r="E664"/>
  <c r="E665"/>
  <c r="E666"/>
  <c r="E667"/>
  <c r="C669"/>
  <c r="D669"/>
  <c r="E669"/>
  <c r="F669"/>
  <c r="E670"/>
  <c r="E673"/>
  <c r="E674"/>
  <c r="E675"/>
  <c r="F675"/>
  <c r="C676"/>
  <c r="D676"/>
  <c r="E676"/>
  <c r="F676"/>
  <c r="E677"/>
  <c r="E678"/>
  <c r="E679"/>
  <c r="E680"/>
  <c r="E681"/>
  <c r="E682"/>
  <c r="E683"/>
  <c r="C684"/>
  <c r="D684"/>
  <c r="E684"/>
  <c r="F684"/>
  <c r="E685"/>
  <c r="E686"/>
  <c r="E687"/>
  <c r="E688"/>
  <c r="C689"/>
  <c r="D689"/>
  <c r="E689"/>
  <c r="F689"/>
  <c r="E690"/>
  <c r="E691"/>
  <c r="E692"/>
  <c r="E693"/>
  <c r="F694"/>
  <c r="E695"/>
  <c r="C696"/>
  <c r="C694" s="1"/>
  <c r="C697"/>
  <c r="E697" s="1"/>
  <c r="F697"/>
  <c r="E698"/>
  <c r="E699"/>
  <c r="C700"/>
  <c r="D700"/>
  <c r="E700"/>
  <c r="F700"/>
  <c r="E701"/>
  <c r="E702"/>
  <c r="C703"/>
  <c r="E703" s="1"/>
  <c r="F703"/>
  <c r="E704"/>
  <c r="E705"/>
  <c r="C706"/>
  <c r="E706" s="1"/>
  <c r="F706"/>
  <c r="E707"/>
  <c r="E708"/>
  <c r="C709"/>
  <c r="E709" s="1"/>
  <c r="F709"/>
  <c r="E710"/>
  <c r="B711"/>
  <c r="C712"/>
  <c r="D712" s="1"/>
  <c r="E712"/>
  <c r="F712"/>
  <c r="F711" s="1"/>
  <c r="E713"/>
  <c r="E714"/>
  <c r="E715"/>
  <c r="E716"/>
  <c r="C717"/>
  <c r="D717" s="1"/>
  <c r="F717"/>
  <c r="E718"/>
  <c r="E719"/>
  <c r="E720"/>
  <c r="E721"/>
  <c r="E722"/>
  <c r="E723"/>
  <c r="E724"/>
  <c r="E725"/>
  <c r="E726"/>
  <c r="E727"/>
  <c r="E728"/>
  <c r="E729"/>
  <c r="C730"/>
  <c r="D730" s="1"/>
  <c r="F730"/>
  <c r="E731"/>
  <c r="E732"/>
  <c r="E733"/>
  <c r="C734"/>
  <c r="E734" s="1"/>
  <c r="F734"/>
  <c r="E735"/>
  <c r="E736"/>
  <c r="E737"/>
  <c r="E738"/>
  <c r="E739"/>
  <c r="E740"/>
  <c r="E741"/>
  <c r="E742"/>
  <c r="E743"/>
  <c r="E744"/>
  <c r="E745"/>
  <c r="C746"/>
  <c r="D746" s="1"/>
  <c r="E747"/>
  <c r="E748"/>
  <c r="E749"/>
  <c r="E750"/>
  <c r="E751"/>
  <c r="F751"/>
  <c r="F746" s="1"/>
  <c r="E752"/>
  <c r="E753"/>
  <c r="E754"/>
  <c r="E755"/>
  <c r="C756"/>
  <c r="D756"/>
  <c r="E756"/>
  <c r="F756"/>
  <c r="E757"/>
  <c r="E758"/>
  <c r="C759"/>
  <c r="D759" s="1"/>
  <c r="F759"/>
  <c r="E760"/>
  <c r="E761"/>
  <c r="E762"/>
  <c r="C763"/>
  <c r="E763" s="1"/>
  <c r="F763"/>
  <c r="E764"/>
  <c r="E765"/>
  <c r="E766"/>
  <c r="E767"/>
  <c r="E768"/>
  <c r="E769"/>
  <c r="E770"/>
  <c r="E771"/>
  <c r="E772"/>
  <c r="C773"/>
  <c r="D773" s="1"/>
  <c r="F773"/>
  <c r="E774"/>
  <c r="C776"/>
  <c r="D776"/>
  <c r="E776"/>
  <c r="F776"/>
  <c r="F775" s="1"/>
  <c r="E777"/>
  <c r="E778"/>
  <c r="E779"/>
  <c r="E780"/>
  <c r="E781"/>
  <c r="E782"/>
  <c r="E783"/>
  <c r="C785"/>
  <c r="E785" s="1"/>
  <c r="F785"/>
  <c r="D786"/>
  <c r="E786"/>
  <c r="D787"/>
  <c r="E787"/>
  <c r="E788"/>
  <c r="C789"/>
  <c r="D789" s="1"/>
  <c r="F789"/>
  <c r="E790"/>
  <c r="E791"/>
  <c r="E792"/>
  <c r="E793"/>
  <c r="E794"/>
  <c r="E795"/>
  <c r="E796"/>
  <c r="E797"/>
  <c r="C798"/>
  <c r="D798" s="1"/>
  <c r="F798"/>
  <c r="D799"/>
  <c r="E799"/>
  <c r="D800"/>
  <c r="E800"/>
  <c r="D801"/>
  <c r="E801"/>
  <c r="D802"/>
  <c r="E802"/>
  <c r="D803"/>
  <c r="E803"/>
  <c r="C804"/>
  <c r="E804" s="1"/>
  <c r="F804"/>
  <c r="D805"/>
  <c r="E805"/>
  <c r="D806"/>
  <c r="E806"/>
  <c r="D807"/>
  <c r="E807"/>
  <c r="D808"/>
  <c r="E808"/>
  <c r="D809"/>
  <c r="E809"/>
  <c r="C810"/>
  <c r="D810"/>
  <c r="E810"/>
  <c r="F810"/>
  <c r="D811"/>
  <c r="E811"/>
  <c r="D812"/>
  <c r="E812"/>
  <c r="D813"/>
  <c r="E813"/>
  <c r="D814"/>
  <c r="E814"/>
  <c r="D815"/>
  <c r="E815"/>
  <c r="C816"/>
  <c r="D816" s="1"/>
  <c r="F816"/>
  <c r="D817"/>
  <c r="E817"/>
  <c r="D818"/>
  <c r="E818"/>
  <c r="C819"/>
  <c r="D819" s="1"/>
  <c r="F819"/>
  <c r="D820"/>
  <c r="E820"/>
  <c r="D821"/>
  <c r="E821"/>
  <c r="C822"/>
  <c r="D822" s="1"/>
  <c r="F822"/>
  <c r="D823"/>
  <c r="E823"/>
  <c r="C824"/>
  <c r="E824" s="1"/>
  <c r="F824"/>
  <c r="D825"/>
  <c r="E825"/>
  <c r="C826"/>
  <c r="D826" s="1"/>
  <c r="F826"/>
  <c r="D827"/>
  <c r="E827"/>
  <c r="D828"/>
  <c r="E828"/>
  <c r="E829"/>
  <c r="D830"/>
  <c r="E830"/>
  <c r="D831"/>
  <c r="E831"/>
  <c r="C832"/>
  <c r="E832" s="1"/>
  <c r="D833"/>
  <c r="E833"/>
  <c r="C834"/>
  <c r="E834" s="1"/>
  <c r="D835"/>
  <c r="E835"/>
  <c r="C836"/>
  <c r="E836" s="1"/>
  <c r="D837"/>
  <c r="E837"/>
  <c r="D838"/>
  <c r="E838"/>
  <c r="D839"/>
  <c r="E839"/>
  <c r="D840"/>
  <c r="E840"/>
  <c r="D841"/>
  <c r="E841"/>
  <c r="D842"/>
  <c r="E842"/>
  <c r="D843"/>
  <c r="E843"/>
  <c r="D844"/>
  <c r="E844"/>
  <c r="D845"/>
  <c r="E845"/>
  <c r="D846"/>
  <c r="E846"/>
  <c r="D847"/>
  <c r="E847"/>
  <c r="D848"/>
  <c r="E848"/>
  <c r="D849"/>
  <c r="E849"/>
  <c r="D850"/>
  <c r="E850"/>
  <c r="B851"/>
  <c r="B775" s="1"/>
  <c r="C851"/>
  <c r="E851" s="1"/>
  <c r="D852"/>
  <c r="E852"/>
  <c r="B853"/>
  <c r="C854"/>
  <c r="E854" s="1"/>
  <c r="F854"/>
  <c r="F853" s="1"/>
  <c r="E855"/>
  <c r="E856"/>
  <c r="E857"/>
  <c r="E858"/>
  <c r="E859"/>
  <c r="E860"/>
  <c r="E861"/>
  <c r="E862"/>
  <c r="E863"/>
  <c r="E864"/>
  <c r="E865"/>
  <c r="C866"/>
  <c r="D866" s="1"/>
  <c r="F866"/>
  <c r="E867"/>
  <c r="C868"/>
  <c r="E868" s="1"/>
  <c r="F868"/>
  <c r="E869"/>
  <c r="E870"/>
  <c r="C871"/>
  <c r="D871"/>
  <c r="E871"/>
  <c r="F871"/>
  <c r="E872"/>
  <c r="C873"/>
  <c r="E873" s="1"/>
  <c r="F873"/>
  <c r="E874"/>
  <c r="C875"/>
  <c r="D875" s="1"/>
  <c r="F875"/>
  <c r="E876"/>
  <c r="B877"/>
  <c r="C878"/>
  <c r="D878"/>
  <c r="E879"/>
  <c r="E881"/>
  <c r="E882"/>
  <c r="E883"/>
  <c r="E884"/>
  <c r="E885"/>
  <c r="E886"/>
  <c r="E887"/>
  <c r="E888"/>
  <c r="E889"/>
  <c r="E890"/>
  <c r="E891"/>
  <c r="E892"/>
  <c r="E893"/>
  <c r="E894"/>
  <c r="F894"/>
  <c r="F878" s="1"/>
  <c r="F901"/>
  <c r="E901" s="1"/>
  <c r="E902"/>
  <c r="E903"/>
  <c r="C904"/>
  <c r="D904" s="1"/>
  <c r="F904"/>
  <c r="E905"/>
  <c r="E906"/>
  <c r="E907"/>
  <c r="E908"/>
  <c r="F909"/>
  <c r="E909" s="1"/>
  <c r="E911"/>
  <c r="E912"/>
  <c r="E913"/>
  <c r="E914"/>
  <c r="E916"/>
  <c r="E917"/>
  <c r="E918"/>
  <c r="E919"/>
  <c r="E920"/>
  <c r="E921"/>
  <c r="E922"/>
  <c r="E923"/>
  <c r="E924"/>
  <c r="E925"/>
  <c r="E926"/>
  <c r="E927"/>
  <c r="E928"/>
  <c r="E929"/>
  <c r="E930"/>
  <c r="E931"/>
  <c r="C932"/>
  <c r="D932" s="1"/>
  <c r="E933"/>
  <c r="E934"/>
  <c r="E935"/>
  <c r="E936"/>
  <c r="E937"/>
  <c r="E938"/>
  <c r="E939"/>
  <c r="E940"/>
  <c r="E941"/>
  <c r="E942"/>
  <c r="E943"/>
  <c r="E944"/>
  <c r="E945"/>
  <c r="E946"/>
  <c r="E947"/>
  <c r="E948"/>
  <c r="E949"/>
  <c r="E950"/>
  <c r="E951"/>
  <c r="F952"/>
  <c r="F932" s="1"/>
  <c r="E953"/>
  <c r="F954"/>
  <c r="E954" s="1"/>
  <c r="E955"/>
  <c r="E956"/>
  <c r="E957"/>
  <c r="E958"/>
  <c r="E959"/>
  <c r="F959"/>
  <c r="C960"/>
  <c r="E960"/>
  <c r="E961"/>
  <c r="E962"/>
  <c r="E963"/>
  <c r="E964"/>
  <c r="E965"/>
  <c r="E966"/>
  <c r="E967"/>
  <c r="E968"/>
  <c r="E969"/>
  <c r="E970"/>
  <c r="C971"/>
  <c r="D971"/>
  <c r="E971"/>
  <c r="F971"/>
  <c r="E972"/>
  <c r="E973"/>
  <c r="E974"/>
  <c r="E975"/>
  <c r="E976"/>
  <c r="E977"/>
  <c r="E978"/>
  <c r="E979"/>
  <c r="E980"/>
  <c r="E981"/>
  <c r="C982"/>
  <c r="E982" s="1"/>
  <c r="E983"/>
  <c r="E984"/>
  <c r="E985"/>
  <c r="E986"/>
  <c r="E987"/>
  <c r="C988"/>
  <c r="D988"/>
  <c r="E988"/>
  <c r="F988"/>
  <c r="E989"/>
  <c r="E990"/>
  <c r="E991"/>
  <c r="E992"/>
  <c r="E993"/>
  <c r="E994"/>
  <c r="C995"/>
  <c r="E995" s="1"/>
  <c r="F995"/>
  <c r="E996"/>
  <c r="E997"/>
  <c r="E998"/>
  <c r="E999"/>
  <c r="E1000"/>
  <c r="E1001"/>
  <c r="C1002"/>
  <c r="E1002" s="1"/>
  <c r="E1003"/>
  <c r="E1004"/>
  <c r="E1005"/>
  <c r="C1006"/>
  <c r="D1006" s="1"/>
  <c r="F1006"/>
  <c r="E1007"/>
  <c r="E1008"/>
  <c r="B1009"/>
  <c r="C1010"/>
  <c r="D1010"/>
  <c r="E1010"/>
  <c r="F1010"/>
  <c r="F1009" s="1"/>
  <c r="E1011"/>
  <c r="E1012"/>
  <c r="E1013"/>
  <c r="E1014"/>
  <c r="E1015"/>
  <c r="E1016"/>
  <c r="E1017"/>
  <c r="E1018"/>
  <c r="E1019"/>
  <c r="E1020"/>
  <c r="E1021"/>
  <c r="E1022"/>
  <c r="E1023"/>
  <c r="E1024"/>
  <c r="E1025"/>
  <c r="E1026"/>
  <c r="E1027"/>
  <c r="E1028"/>
  <c r="E1029"/>
  <c r="E1030"/>
  <c r="E1031"/>
  <c r="E1032"/>
  <c r="E1033"/>
  <c r="E1034"/>
  <c r="E1035"/>
  <c r="E1036"/>
  <c r="E1037"/>
  <c r="E1038"/>
  <c r="E1039"/>
  <c r="C1040"/>
  <c r="E1040" s="1"/>
  <c r="F1040"/>
  <c r="E1041"/>
  <c r="D1042"/>
  <c r="E1042"/>
  <c r="D1043"/>
  <c r="E1043"/>
  <c r="D1044"/>
  <c r="E1044"/>
  <c r="D1045"/>
  <c r="E1045"/>
  <c r="D1046"/>
  <c r="E1046"/>
  <c r="D1047"/>
  <c r="E1047"/>
  <c r="D1048"/>
  <c r="E1048"/>
  <c r="D1049"/>
  <c r="E1049"/>
  <c r="C1050"/>
  <c r="D1050" s="1"/>
  <c r="F1050"/>
  <c r="D1051"/>
  <c r="E1051"/>
  <c r="D1052"/>
  <c r="E1052"/>
  <c r="D1053"/>
  <c r="E1053"/>
  <c r="D1054"/>
  <c r="E1054"/>
  <c r="D1055"/>
  <c r="E1055"/>
  <c r="D1056"/>
  <c r="E1056"/>
  <c r="D1057"/>
  <c r="E1057"/>
  <c r="D1058"/>
  <c r="E1058"/>
  <c r="D1059"/>
  <c r="E1059"/>
  <c r="C1060"/>
  <c r="D1060"/>
  <c r="E1060"/>
  <c r="F1060"/>
  <c r="D1061"/>
  <c r="E1061"/>
  <c r="D1062"/>
  <c r="E1062"/>
  <c r="D1063"/>
  <c r="E1063"/>
  <c r="D1064"/>
  <c r="E1064"/>
  <c r="C1065"/>
  <c r="D1065"/>
  <c r="E1065"/>
  <c r="F1065"/>
  <c r="D1066"/>
  <c r="E1066"/>
  <c r="D1067"/>
  <c r="E1067"/>
  <c r="D1068"/>
  <c r="E1068"/>
  <c r="D1069"/>
  <c r="E1069"/>
  <c r="D1070"/>
  <c r="E1070"/>
  <c r="D1071"/>
  <c r="E1071"/>
  <c r="C1072"/>
  <c r="D1072"/>
  <c r="E1072"/>
  <c r="F1072"/>
  <c r="D1073"/>
  <c r="E1073"/>
  <c r="D1074"/>
  <c r="E1074"/>
  <c r="D1075"/>
  <c r="E1075"/>
  <c r="D1076"/>
  <c r="E1076"/>
  <c r="C1077"/>
  <c r="D1077"/>
  <c r="E1077"/>
  <c r="F1077"/>
  <c r="E1078"/>
  <c r="D1079"/>
  <c r="E1079"/>
  <c r="B1080"/>
  <c r="C1081"/>
  <c r="D1081"/>
  <c r="F1081"/>
  <c r="F1080" s="1"/>
  <c r="D1082"/>
  <c r="E1082"/>
  <c r="D1083"/>
  <c r="E1083"/>
  <c r="D1084"/>
  <c r="E1084"/>
  <c r="D1085"/>
  <c r="E1085"/>
  <c r="D1086"/>
  <c r="E1086"/>
  <c r="D1087"/>
  <c r="E1087"/>
  <c r="D1088"/>
  <c r="E1088"/>
  <c r="D1089"/>
  <c r="E1089"/>
  <c r="D1090"/>
  <c r="E1090"/>
  <c r="C1091"/>
  <c r="D1091"/>
  <c r="E1091"/>
  <c r="F1091"/>
  <c r="D1092"/>
  <c r="E1092"/>
  <c r="D1093"/>
  <c r="E1093"/>
  <c r="D1094"/>
  <c r="E1094"/>
  <c r="D1095"/>
  <c r="E1095"/>
  <c r="D1096"/>
  <c r="E1096"/>
  <c r="D1097"/>
  <c r="E1097"/>
  <c r="D1098"/>
  <c r="E1098"/>
  <c r="D1099"/>
  <c r="E1099"/>
  <c r="D1100"/>
  <c r="E1100"/>
  <c r="D1101"/>
  <c r="E1101"/>
  <c r="D1102"/>
  <c r="E1102"/>
  <c r="D1103"/>
  <c r="E1103"/>
  <c r="D1104"/>
  <c r="E1104"/>
  <c r="D1105"/>
  <c r="E1105"/>
  <c r="E1106"/>
  <c r="C1107"/>
  <c r="E1107" s="1"/>
  <c r="F1107"/>
  <c r="D1108"/>
  <c r="E1108"/>
  <c r="D1109"/>
  <c r="E1109"/>
  <c r="D1110"/>
  <c r="E1110"/>
  <c r="D1111"/>
  <c r="E1111"/>
  <c r="C1112"/>
  <c r="D1112" s="1"/>
  <c r="F1112"/>
  <c r="D1113"/>
  <c r="E1113"/>
  <c r="D1114"/>
  <c r="E1114"/>
  <c r="D1115"/>
  <c r="E1115"/>
  <c r="D1116"/>
  <c r="E1116"/>
  <c r="D1117"/>
  <c r="E1117"/>
  <c r="D1118"/>
  <c r="E1118"/>
  <c r="D1119"/>
  <c r="E1119"/>
  <c r="D1120"/>
  <c r="E1120"/>
  <c r="D1121"/>
  <c r="E1121"/>
  <c r="D1122"/>
  <c r="E1122"/>
  <c r="D1123"/>
  <c r="E1123"/>
  <c r="D1124"/>
  <c r="E1124"/>
  <c r="D1125"/>
  <c r="E1125"/>
  <c r="C1126"/>
  <c r="E1126" s="1"/>
  <c r="F1126"/>
  <c r="E1127"/>
  <c r="E1128"/>
  <c r="E1130"/>
  <c r="E1131"/>
  <c r="E1132"/>
  <c r="E1133"/>
  <c r="E1134"/>
  <c r="C1135"/>
  <c r="D1135" s="1"/>
  <c r="F1135"/>
  <c r="E1136"/>
  <c r="D1137"/>
  <c r="E1137"/>
  <c r="D1138"/>
  <c r="E1138"/>
  <c r="D1139"/>
  <c r="E1139"/>
  <c r="D1140"/>
  <c r="E1140"/>
  <c r="D1141"/>
  <c r="E1141"/>
  <c r="C1142"/>
  <c r="E1142" s="1"/>
  <c r="F1142"/>
  <c r="E1143"/>
  <c r="E1144"/>
  <c r="E1145"/>
  <c r="E1146"/>
  <c r="E1147"/>
  <c r="E1148"/>
  <c r="C1149"/>
  <c r="E1149" s="1"/>
  <c r="F1149"/>
  <c r="D1150"/>
  <c r="E1150"/>
  <c r="D1151"/>
  <c r="E1151"/>
  <c r="D1152"/>
  <c r="E1152"/>
  <c r="D1153"/>
  <c r="E1153"/>
  <c r="D1154"/>
  <c r="E1154"/>
  <c r="E1155"/>
  <c r="B1156"/>
  <c r="C1157"/>
  <c r="E1157" s="1"/>
  <c r="F1157"/>
  <c r="F1156" s="1"/>
  <c r="E1158"/>
  <c r="E1160"/>
  <c r="E1161"/>
  <c r="E1162"/>
  <c r="E1163"/>
  <c r="E1164"/>
  <c r="E1165"/>
  <c r="E1166"/>
  <c r="C1167"/>
  <c r="E1167" s="1"/>
  <c r="F1167"/>
  <c r="E1168"/>
  <c r="E1169"/>
  <c r="E1171"/>
  <c r="E1172"/>
  <c r="E1173"/>
  <c r="C1174"/>
  <c r="E1174" s="1"/>
  <c r="F1174"/>
  <c r="D1175"/>
  <c r="E1175"/>
  <c r="D1176"/>
  <c r="E1176"/>
  <c r="D1177"/>
  <c r="E1177"/>
  <c r="D1178"/>
  <c r="E1178"/>
  <c r="E1179"/>
  <c r="C1180"/>
  <c r="D1180"/>
  <c r="F1180"/>
  <c r="B1183"/>
  <c r="C1184"/>
  <c r="D1184"/>
  <c r="E1184"/>
  <c r="F1184"/>
  <c r="F1183" s="1"/>
  <c r="D1185"/>
  <c r="E1185"/>
  <c r="D1186"/>
  <c r="E1186"/>
  <c r="D1187"/>
  <c r="E1187"/>
  <c r="D1188"/>
  <c r="E1188"/>
  <c r="D1189"/>
  <c r="E1189"/>
  <c r="C1191"/>
  <c r="E1191" s="1"/>
  <c r="F1191"/>
  <c r="D1192"/>
  <c r="E1192"/>
  <c r="D1193"/>
  <c r="E1193"/>
  <c r="D1194"/>
  <c r="E1194"/>
  <c r="D1195"/>
  <c r="E1195"/>
  <c r="D1196"/>
  <c r="E1196"/>
  <c r="D1197"/>
  <c r="E1197"/>
  <c r="D1198"/>
  <c r="E1198"/>
  <c r="D1199"/>
  <c r="E1199"/>
  <c r="E1200"/>
  <c r="C1201"/>
  <c r="D1201"/>
  <c r="E1201"/>
  <c r="F1201"/>
  <c r="D1202"/>
  <c r="E1202"/>
  <c r="D1203"/>
  <c r="E1203"/>
  <c r="D1204"/>
  <c r="E1204"/>
  <c r="D1205"/>
  <c r="E1205"/>
  <c r="D1206"/>
  <c r="E1206"/>
  <c r="C1207"/>
  <c r="D1207" s="1"/>
  <c r="F1207"/>
  <c r="D1208"/>
  <c r="E1208"/>
  <c r="D1209"/>
  <c r="E1209"/>
  <c r="C1210"/>
  <c r="D1210" s="1"/>
  <c r="F1210"/>
  <c r="D1211"/>
  <c r="E1211"/>
  <c r="C1212"/>
  <c r="D1212"/>
  <c r="E1212"/>
  <c r="D1213"/>
  <c r="E1213"/>
  <c r="D1214"/>
  <c r="E1214"/>
  <c r="D1215"/>
  <c r="E1215"/>
  <c r="D1216"/>
  <c r="E1216"/>
  <c r="D1217"/>
  <c r="E1217"/>
  <c r="D1218"/>
  <c r="E1218"/>
  <c r="D1219"/>
  <c r="E1219"/>
  <c r="D1220"/>
  <c r="E1220"/>
  <c r="D1221"/>
  <c r="E1221"/>
  <c r="B1222"/>
  <c r="C1223"/>
  <c r="D1223" s="1"/>
  <c r="F1223"/>
  <c r="F1222" s="1"/>
  <c r="E1224"/>
  <c r="E1225"/>
  <c r="E1226"/>
  <c r="E1227"/>
  <c r="E1228"/>
  <c r="E1229"/>
  <c r="E1230"/>
  <c r="E1231"/>
  <c r="E1232"/>
  <c r="E1233"/>
  <c r="E1234"/>
  <c r="E1235"/>
  <c r="E1236"/>
  <c r="E1237"/>
  <c r="E1238"/>
  <c r="E1239"/>
  <c r="E1240"/>
  <c r="E1241"/>
  <c r="D1242"/>
  <c r="E1242"/>
  <c r="C1243"/>
  <c r="E1243" s="1"/>
  <c r="E1244"/>
  <c r="E1245"/>
  <c r="E1246"/>
  <c r="E1247"/>
  <c r="E1248"/>
  <c r="E1249"/>
  <c r="E1251"/>
  <c r="E1252"/>
  <c r="E1253"/>
  <c r="F1253"/>
  <c r="F1243" s="1"/>
  <c r="E1254"/>
  <c r="E1255"/>
  <c r="E1256"/>
  <c r="E1257"/>
  <c r="F1257"/>
  <c r="E1258"/>
  <c r="E1259"/>
  <c r="E1261"/>
  <c r="F1262"/>
  <c r="E1262" s="1"/>
  <c r="C1263"/>
  <c r="E1263" s="1"/>
  <c r="F1263"/>
  <c r="D1264"/>
  <c r="E1264"/>
  <c r="D1265"/>
  <c r="E1265"/>
  <c r="D1266"/>
  <c r="E1266"/>
  <c r="D1267"/>
  <c r="E1267"/>
  <c r="D1268"/>
  <c r="E1268"/>
  <c r="D1269"/>
  <c r="E1269"/>
  <c r="D1270"/>
  <c r="E1270"/>
  <c r="D1271"/>
  <c r="E1271"/>
  <c r="C1272"/>
  <c r="D1272" s="1"/>
  <c r="F1272"/>
  <c r="E1273"/>
  <c r="E1279"/>
  <c r="E1280"/>
  <c r="E1281"/>
  <c r="E1282"/>
  <c r="E1283"/>
  <c r="E1284"/>
  <c r="C1285"/>
  <c r="D1285"/>
  <c r="E1285"/>
  <c r="F1285"/>
  <c r="E1286"/>
  <c r="E1287"/>
  <c r="E1288"/>
  <c r="E1289"/>
  <c r="E1290"/>
  <c r="E1291"/>
  <c r="E1292"/>
  <c r="D1294"/>
  <c r="E1294"/>
  <c r="D1295"/>
  <c r="E1295"/>
  <c r="D1296"/>
  <c r="E1296"/>
  <c r="D1297"/>
  <c r="E1297"/>
  <c r="D1298"/>
  <c r="E1298"/>
  <c r="D1299"/>
  <c r="E1299"/>
  <c r="C1300"/>
  <c r="E1300" s="1"/>
  <c r="D1301"/>
  <c r="E1301"/>
  <c r="B1302"/>
  <c r="C1303"/>
  <c r="F1303"/>
  <c r="F1302" s="1"/>
  <c r="D1304"/>
  <c r="E1304"/>
  <c r="D1305"/>
  <c r="E1305"/>
  <c r="E1306"/>
  <c r="E1307"/>
  <c r="E1308"/>
  <c r="E1309"/>
  <c r="E1310"/>
  <c r="E1311"/>
  <c r="C1312"/>
  <c r="D1312"/>
  <c r="E1312"/>
  <c r="F1312"/>
  <c r="E1313"/>
  <c r="E1314"/>
  <c r="E1315"/>
  <c r="C1316"/>
  <c r="E1316" s="1"/>
  <c r="F1316"/>
  <c r="E1317"/>
  <c r="E1318"/>
  <c r="E1319"/>
  <c r="B1320"/>
  <c r="C1321"/>
  <c r="D1321" s="1"/>
  <c r="F1321"/>
  <c r="F1320" s="1"/>
  <c r="E1322"/>
  <c r="E1323"/>
  <c r="E1324"/>
  <c r="E1325"/>
  <c r="E1326"/>
  <c r="E1327"/>
  <c r="E1328"/>
  <c r="E1330"/>
  <c r="E1331"/>
  <c r="E1333"/>
  <c r="E1334"/>
  <c r="E1335"/>
  <c r="C1336"/>
  <c r="E1336" s="1"/>
  <c r="F1336"/>
  <c r="E1337"/>
  <c r="E1338"/>
  <c r="E1339"/>
  <c r="E1340"/>
  <c r="E1341"/>
  <c r="E1342"/>
  <c r="E1343"/>
  <c r="E1344"/>
  <c r="E1345"/>
  <c r="E1346"/>
  <c r="E1347"/>
  <c r="E1348"/>
  <c r="E1349"/>
  <c r="C1350"/>
  <c r="E1350" s="1"/>
  <c r="F1350"/>
  <c r="E1351"/>
  <c r="E1352"/>
  <c r="E1353"/>
  <c r="E1354"/>
  <c r="E1355"/>
  <c r="C1356"/>
  <c r="E1356" s="1"/>
  <c r="F1356"/>
  <c r="E1357"/>
  <c r="E1358"/>
  <c r="E1359"/>
  <c r="E1360"/>
  <c r="C1362"/>
  <c r="E1362" s="1"/>
  <c r="E1363"/>
  <c r="E1364"/>
  <c r="E1365"/>
  <c r="E1366"/>
  <c r="E1367"/>
  <c r="E1368"/>
  <c r="E1369"/>
  <c r="E1370"/>
  <c r="E1371"/>
  <c r="E1372"/>
  <c r="E1373"/>
  <c r="B1374"/>
  <c r="C1375"/>
  <c r="C1374" s="1"/>
  <c r="D1375"/>
  <c r="E1375"/>
  <c r="F1375"/>
  <c r="F1374" s="1"/>
  <c r="E1376"/>
  <c r="B1377"/>
  <c r="E1378"/>
  <c r="C1379"/>
  <c r="E1379" s="1"/>
  <c r="F1379"/>
  <c r="F1377" s="1"/>
  <c r="E1380"/>
  <c r="E1381"/>
  <c r="E1382"/>
  <c r="E1383"/>
  <c r="C1384"/>
  <c r="C1377" s="1"/>
  <c r="F1384"/>
  <c r="E1385"/>
  <c r="E1386"/>
  <c r="E1387"/>
  <c r="C1389"/>
  <c r="E1389" s="1"/>
  <c r="F1389"/>
  <c r="E1390"/>
  <c r="E1391"/>
  <c r="E1392"/>
  <c r="E1394"/>
  <c r="C1395"/>
  <c r="C1396"/>
  <c r="E1396"/>
  <c r="F1396"/>
  <c r="F1395" s="1"/>
  <c r="E1397"/>
  <c r="E1398"/>
  <c r="E1399"/>
  <c r="E1400"/>
  <c r="E1401"/>
  <c r="E1402"/>
  <c r="E1403"/>
  <c r="E1404"/>
  <c r="E1405"/>
  <c r="E1406"/>
  <c r="E1407"/>
  <c r="E1408"/>
  <c r="C6" i="102"/>
  <c r="E6" s="1"/>
  <c r="F6"/>
  <c r="F32" s="1"/>
  <c r="F45" s="1"/>
  <c r="B7"/>
  <c r="D7" s="1"/>
  <c r="E7"/>
  <c r="B8"/>
  <c r="D8" s="1"/>
  <c r="E8"/>
  <c r="B9"/>
  <c r="D9"/>
  <c r="E9"/>
  <c r="B11"/>
  <c r="D11"/>
  <c r="E11"/>
  <c r="B12"/>
  <c r="D12" s="1"/>
  <c r="E12"/>
  <c r="B13"/>
  <c r="D13" s="1"/>
  <c r="E13"/>
  <c r="B14"/>
  <c r="D14"/>
  <c r="E14"/>
  <c r="B15"/>
  <c r="D15"/>
  <c r="E15"/>
  <c r="B16"/>
  <c r="D16" s="1"/>
  <c r="E16"/>
  <c r="D17"/>
  <c r="E17"/>
  <c r="D18"/>
  <c r="E18"/>
  <c r="D19"/>
  <c r="E19"/>
  <c r="D20"/>
  <c r="E20"/>
  <c r="B23"/>
  <c r="C23"/>
  <c r="E23" s="1"/>
  <c r="F23"/>
  <c r="D24"/>
  <c r="E24"/>
  <c r="D25"/>
  <c r="E25"/>
  <c r="D26"/>
  <c r="E26"/>
  <c r="D27"/>
  <c r="E27"/>
  <c r="D28"/>
  <c r="E28"/>
  <c r="D30"/>
  <c r="D31"/>
  <c r="E31"/>
  <c r="C35"/>
  <c r="C34" s="1"/>
  <c r="E34" s="1"/>
  <c r="F35"/>
  <c r="F34" s="1"/>
  <c r="E36"/>
  <c r="E37"/>
  <c r="E38"/>
  <c r="E39"/>
  <c r="E40"/>
  <c r="E41"/>
  <c r="E42"/>
  <c r="E43"/>
  <c r="D5" i="101"/>
  <c r="E5"/>
  <c r="D7"/>
  <c r="E7"/>
  <c r="D8"/>
  <c r="E8"/>
  <c r="D9"/>
  <c r="E9"/>
  <c r="D10"/>
  <c r="E10"/>
  <c r="D11"/>
  <c r="E11"/>
  <c r="D12"/>
  <c r="E12"/>
  <c r="D13"/>
  <c r="E13"/>
  <c r="D14"/>
  <c r="E14"/>
  <c r="D15"/>
  <c r="E15"/>
  <c r="D16"/>
  <c r="E16"/>
  <c r="D17"/>
  <c r="E17"/>
  <c r="D18"/>
  <c r="E18"/>
  <c r="D19"/>
  <c r="E19"/>
  <c r="D20"/>
  <c r="E20"/>
  <c r="D22"/>
  <c r="E22"/>
  <c r="D23"/>
  <c r="E23"/>
  <c r="D24"/>
  <c r="E24"/>
  <c r="D26"/>
  <c r="E26"/>
  <c r="D27"/>
  <c r="E27"/>
  <c r="D28"/>
  <c r="E28"/>
  <c r="B29"/>
  <c r="C29"/>
  <c r="C45" s="1"/>
  <c r="D29"/>
  <c r="E29"/>
  <c r="F29"/>
  <c r="E30"/>
  <c r="C31"/>
  <c r="C32"/>
  <c r="F32"/>
  <c r="F31" s="1"/>
  <c r="F45" s="1"/>
  <c r="E36"/>
  <c r="E39"/>
  <c r="E42"/>
  <c r="E43"/>
  <c r="E44"/>
  <c r="B6" i="100"/>
  <c r="B32" s="1"/>
  <c r="C6"/>
  <c r="B7"/>
  <c r="D7" s="1"/>
  <c r="F7"/>
  <c r="E7" s="1"/>
  <c r="D8"/>
  <c r="E8"/>
  <c r="D9"/>
  <c r="E9"/>
  <c r="D11"/>
  <c r="E11"/>
  <c r="D12"/>
  <c r="E12"/>
  <c r="D13"/>
  <c r="E13"/>
  <c r="D14"/>
  <c r="E14"/>
  <c r="D15"/>
  <c r="E15"/>
  <c r="D16"/>
  <c r="E16"/>
  <c r="D17"/>
  <c r="E17"/>
  <c r="D18"/>
  <c r="E18"/>
  <c r="D19"/>
  <c r="E19"/>
  <c r="D20"/>
  <c r="E20"/>
  <c r="B23"/>
  <c r="C23"/>
  <c r="D23" s="1"/>
  <c r="E23"/>
  <c r="F23"/>
  <c r="D24"/>
  <c r="E24"/>
  <c r="D25"/>
  <c r="E25"/>
  <c r="D26"/>
  <c r="E26"/>
  <c r="D27"/>
  <c r="E27"/>
  <c r="D28"/>
  <c r="E28"/>
  <c r="D30"/>
  <c r="D31"/>
  <c r="E31"/>
  <c r="C32"/>
  <c r="C34"/>
  <c r="C35"/>
  <c r="E35"/>
  <c r="F35"/>
  <c r="F34" s="1"/>
  <c r="E36"/>
  <c r="E37"/>
  <c r="E38"/>
  <c r="E40"/>
  <c r="E41"/>
  <c r="E42"/>
  <c r="E43"/>
  <c r="B10" i="29"/>
  <c r="B30" s="1"/>
  <c r="B25"/>
  <c r="C30"/>
  <c r="C6"/>
  <c r="C25"/>
  <c r="C17"/>
  <c r="D26"/>
  <c r="C10"/>
  <c r="D15"/>
  <c r="D13"/>
  <c r="D12"/>
  <c r="D11"/>
  <c r="C5" i="25"/>
  <c r="B81" i="24"/>
  <c r="D81" s="1"/>
  <c r="D12" i="23"/>
  <c r="D6"/>
  <c r="D7"/>
  <c r="D8"/>
  <c r="D9"/>
  <c r="D10"/>
  <c r="D11"/>
  <c r="D5"/>
  <c r="B13"/>
  <c r="D575" i="125" l="1"/>
  <c r="B589"/>
  <c r="D589" s="1"/>
  <c r="D13" i="23"/>
  <c r="B5" i="106"/>
  <c r="R29"/>
  <c r="R6"/>
  <c r="R30"/>
  <c r="D1142" i="103"/>
  <c r="D834"/>
  <c r="D824"/>
  <c r="E730"/>
  <c r="D706"/>
  <c r="E696"/>
  <c r="D511"/>
  <c r="D436"/>
  <c r="B259"/>
  <c r="B5" s="1"/>
  <c r="B1393" s="1"/>
  <c r="D226"/>
  <c r="D162"/>
  <c r="D1389"/>
  <c r="D1300"/>
  <c r="C1183"/>
  <c r="D1183" s="1"/>
  <c r="D1174"/>
  <c r="C1080"/>
  <c r="C1009"/>
  <c r="D1009" s="1"/>
  <c r="E904"/>
  <c r="D851"/>
  <c r="D836"/>
  <c r="E798"/>
  <c r="E789"/>
  <c r="C775"/>
  <c r="D763"/>
  <c r="E717"/>
  <c r="E547"/>
  <c r="D534"/>
  <c r="D517"/>
  <c r="D463"/>
  <c r="D457"/>
  <c r="C259"/>
  <c r="D244"/>
  <c r="E120"/>
  <c r="D74"/>
  <c r="D40"/>
  <c r="E7"/>
  <c r="C435"/>
  <c r="D435" s="1"/>
  <c r="E644"/>
  <c r="D547"/>
  <c r="C1302"/>
  <c r="C877"/>
  <c r="D877" s="1"/>
  <c r="B296"/>
  <c r="D296" s="1"/>
  <c r="E140"/>
  <c r="E95"/>
  <c r="B5" i="111"/>
  <c r="B54" s="1"/>
  <c r="D16"/>
  <c r="D44" i="120"/>
  <c r="C57"/>
  <c r="D67" i="119"/>
  <c r="E16" i="118"/>
  <c r="E18" i="115"/>
  <c r="D18"/>
  <c r="C21"/>
  <c r="E21" s="1"/>
  <c r="D5"/>
  <c r="E5"/>
  <c r="C5" i="111"/>
  <c r="D47"/>
  <c r="E16"/>
  <c r="E10"/>
  <c r="F27" i="110"/>
  <c r="E27" s="1"/>
  <c r="E19"/>
  <c r="D27" i="108"/>
  <c r="E27"/>
  <c r="F27"/>
  <c r="E19"/>
  <c r="E41" i="105"/>
  <c r="D41"/>
  <c r="E5"/>
  <c r="C81"/>
  <c r="D5"/>
  <c r="E13"/>
  <c r="D13"/>
  <c r="D56"/>
  <c r="E56"/>
  <c r="F81"/>
  <c r="D13" i="104"/>
  <c r="E1377" i="103"/>
  <c r="D1377"/>
  <c r="F877"/>
  <c r="E878"/>
  <c r="D694"/>
  <c r="E694"/>
  <c r="D546"/>
  <c r="E435"/>
  <c r="E296"/>
  <c r="E1395"/>
  <c r="F595"/>
  <c r="D1080"/>
  <c r="E1080"/>
  <c r="D775"/>
  <c r="E775"/>
  <c r="D1374"/>
  <c r="E1374"/>
  <c r="D1302"/>
  <c r="E1302"/>
  <c r="F546"/>
  <c r="E546" s="1"/>
  <c r="D1384"/>
  <c r="D1356"/>
  <c r="D1303"/>
  <c r="D1263"/>
  <c r="D1243"/>
  <c r="C1156"/>
  <c r="D1107"/>
  <c r="D1040"/>
  <c r="D804"/>
  <c r="D709"/>
  <c r="C631"/>
  <c r="D561"/>
  <c r="C490"/>
  <c r="D481"/>
  <c r="D475"/>
  <c r="C314"/>
  <c r="D129"/>
  <c r="D86"/>
  <c r="D52"/>
  <c r="D19"/>
  <c r="E1384"/>
  <c r="E1321"/>
  <c r="E1303"/>
  <c r="E1272"/>
  <c r="E1223"/>
  <c r="E1210"/>
  <c r="E1207"/>
  <c r="D1191"/>
  <c r="D1167"/>
  <c r="D1157"/>
  <c r="D1149"/>
  <c r="E1135"/>
  <c r="D1126"/>
  <c r="E1006"/>
  <c r="D995"/>
  <c r="E932"/>
  <c r="E875"/>
  <c r="D868"/>
  <c r="E866"/>
  <c r="D854"/>
  <c r="D832"/>
  <c r="E826"/>
  <c r="E822"/>
  <c r="E819"/>
  <c r="E816"/>
  <c r="D785"/>
  <c r="E773"/>
  <c r="E759"/>
  <c r="E746"/>
  <c r="D734"/>
  <c r="C711"/>
  <c r="D697"/>
  <c r="D640"/>
  <c r="C621"/>
  <c r="E591"/>
  <c r="D541"/>
  <c r="D538"/>
  <c r="D527"/>
  <c r="D522"/>
  <c r="E505"/>
  <c r="E496"/>
  <c r="D491"/>
  <c r="D467"/>
  <c r="E450"/>
  <c r="E441"/>
  <c r="E375"/>
  <c r="E366"/>
  <c r="D354"/>
  <c r="D347"/>
  <c r="D315"/>
  <c r="D250"/>
  <c r="D238"/>
  <c r="D219"/>
  <c r="D204"/>
  <c r="D198"/>
  <c r="D189"/>
  <c r="E152"/>
  <c r="D63"/>
  <c r="D28"/>
  <c r="C6"/>
  <c r="C1320"/>
  <c r="C1222"/>
  <c r="C853"/>
  <c r="E952"/>
  <c r="B6" i="102"/>
  <c r="B32" s="1"/>
  <c r="D23"/>
  <c r="E35"/>
  <c r="C32"/>
  <c r="E31" i="101"/>
  <c r="E45"/>
  <c r="E32" i="100"/>
  <c r="E6"/>
  <c r="E34"/>
  <c r="C45"/>
  <c r="E45" s="1"/>
  <c r="D32"/>
  <c r="D6"/>
  <c r="F6"/>
  <c r="F32" s="1"/>
  <c r="F45" s="1"/>
  <c r="C44" i="20"/>
  <c r="B44"/>
  <c r="C45" i="19"/>
  <c r="E1009" i="103" l="1"/>
  <c r="E1183"/>
  <c r="E877"/>
  <c r="D57" i="120"/>
  <c r="E57"/>
  <c r="E5" i="111"/>
  <c r="C54"/>
  <c r="D5"/>
  <c r="E853" i="103"/>
  <c r="D853"/>
  <c r="D711"/>
  <c r="E711"/>
  <c r="E1320"/>
  <c r="D1320"/>
  <c r="E490"/>
  <c r="D490"/>
  <c r="E1222"/>
  <c r="D1222"/>
  <c r="D621"/>
  <c r="E621"/>
  <c r="E1156"/>
  <c r="D1156"/>
  <c r="C595"/>
  <c r="E631"/>
  <c r="D631"/>
  <c r="D6"/>
  <c r="C5"/>
  <c r="E6"/>
  <c r="E314"/>
  <c r="D314"/>
  <c r="F5"/>
  <c r="F1393" s="1"/>
  <c r="F1409" s="1"/>
  <c r="D32" i="102"/>
  <c r="E32"/>
  <c r="C45"/>
  <c r="E45" s="1"/>
  <c r="D6"/>
  <c r="B14" i="96"/>
  <c r="D23" i="37"/>
  <c r="D22" i="32"/>
  <c r="D19"/>
  <c r="D10" i="29"/>
  <c r="B38"/>
  <c r="D8" i="27"/>
  <c r="B16"/>
  <c r="B24" s="1"/>
  <c r="E54" i="111" l="1"/>
  <c r="C61"/>
  <c r="E61" s="1"/>
  <c r="D54"/>
  <c r="D595" i="103"/>
  <c r="E595"/>
  <c r="E5"/>
  <c r="C1393"/>
  <c r="D5"/>
  <c r="D16" i="27"/>
  <c r="E1393" i="103" l="1"/>
  <c r="C1409"/>
  <c r="E1409" s="1"/>
  <c r="D1393"/>
  <c r="C21" i="26"/>
  <c r="C27" s="1"/>
  <c r="D27" s="1"/>
  <c r="D16"/>
  <c r="D13"/>
  <c r="D12"/>
  <c r="D10"/>
  <c r="D7"/>
  <c r="C19"/>
  <c r="D19" s="1"/>
  <c r="D7" i="19" l="1"/>
  <c r="D12"/>
  <c r="D13"/>
  <c r="D14"/>
  <c r="D15"/>
  <c r="D16"/>
  <c r="D17"/>
  <c r="D18"/>
  <c r="D19"/>
  <c r="D20"/>
  <c r="D24"/>
  <c r="D25"/>
  <c r="D26"/>
  <c r="D30"/>
  <c r="D31"/>
  <c r="D36"/>
  <c r="D37"/>
  <c r="D38"/>
  <c r="D41"/>
  <c r="D33"/>
  <c r="D7" i="21"/>
  <c r="D8"/>
  <c r="D9"/>
  <c r="D10"/>
  <c r="D11"/>
  <c r="D12"/>
  <c r="D13"/>
  <c r="D14"/>
  <c r="D15"/>
  <c r="D16"/>
  <c r="D17"/>
  <c r="D18"/>
  <c r="D19"/>
  <c r="D20"/>
  <c r="D22"/>
  <c r="D23"/>
  <c r="D24"/>
  <c r="D26"/>
  <c r="D27"/>
  <c r="D29"/>
  <c r="D5"/>
  <c r="B29"/>
  <c r="C34" i="20" l="1"/>
  <c r="D6"/>
  <c r="D7"/>
  <c r="D8"/>
  <c r="D10"/>
  <c r="D11"/>
  <c r="D12"/>
  <c r="D13"/>
  <c r="D14"/>
  <c r="D15"/>
  <c r="D16"/>
  <c r="D17"/>
  <c r="D18"/>
  <c r="D19"/>
  <c r="D23"/>
  <c r="D24"/>
  <c r="D25"/>
  <c r="D26"/>
  <c r="D27"/>
  <c r="D29"/>
  <c r="D30"/>
  <c r="D5"/>
  <c r="C22"/>
  <c r="C31" s="1"/>
  <c r="C5"/>
  <c r="D36"/>
  <c r="D39"/>
  <c r="D40"/>
  <c r="D41"/>
  <c r="D32"/>
  <c r="C40"/>
  <c r="C32"/>
  <c r="C47" i="37" l="1"/>
  <c r="D47" s="1"/>
  <c r="C41"/>
  <c r="D41" s="1"/>
  <c r="C35"/>
  <c r="D35" s="1"/>
  <c r="C23"/>
  <c r="C22"/>
  <c r="D22" s="1"/>
  <c r="C18"/>
  <c r="D18" s="1"/>
  <c r="C15"/>
  <c r="D15" s="1"/>
  <c r="C10"/>
  <c r="D10" s="1"/>
  <c r="C5"/>
  <c r="D10" i="34"/>
  <c r="C60" i="36" l="1"/>
  <c r="D60" s="1"/>
  <c r="C54"/>
  <c r="D54" s="1"/>
  <c r="C48"/>
  <c r="D48" s="1"/>
  <c r="C29"/>
  <c r="D29" s="1"/>
  <c r="C30"/>
  <c r="C23"/>
  <c r="D23" s="1"/>
  <c r="C17"/>
  <c r="D17" s="1"/>
  <c r="C11"/>
  <c r="D11" s="1"/>
  <c r="C5"/>
  <c r="D6" i="35"/>
  <c r="D7"/>
  <c r="D8"/>
  <c r="D9"/>
  <c r="D13"/>
  <c r="D14"/>
  <c r="D15"/>
  <c r="D16"/>
  <c r="C16"/>
  <c r="B16"/>
  <c r="D16" i="34"/>
  <c r="C16"/>
  <c r="B16"/>
  <c r="D6"/>
  <c r="D7"/>
  <c r="D8"/>
  <c r="D9"/>
  <c r="D13"/>
  <c r="D14"/>
  <c r="D15"/>
  <c r="D31" i="33" l="1"/>
  <c r="D32"/>
  <c r="D35"/>
  <c r="D30"/>
  <c r="C35"/>
  <c r="B35"/>
  <c r="D13" i="31"/>
  <c r="C22" i="32"/>
  <c r="B22"/>
  <c r="D5"/>
  <c r="C13" i="31"/>
  <c r="B13"/>
  <c r="D10"/>
  <c r="D9"/>
  <c r="B10"/>
  <c r="C10"/>
  <c r="D5" i="30"/>
  <c r="B10"/>
  <c r="B13" s="1"/>
  <c r="D13" s="1"/>
  <c r="C10"/>
  <c r="C13" s="1"/>
  <c r="D10" l="1"/>
  <c r="C32" i="29"/>
  <c r="D30"/>
  <c r="D28" i="38"/>
  <c r="B20"/>
  <c r="D16"/>
  <c r="D13"/>
  <c r="D12"/>
  <c r="D10"/>
  <c r="D7"/>
  <c r="C24" i="27"/>
  <c r="D24" s="1"/>
  <c r="C18"/>
  <c r="C16"/>
  <c r="B7" i="42"/>
  <c r="B6"/>
  <c r="B19" i="26"/>
  <c r="C38" i="29" l="1"/>
  <c r="D38" s="1"/>
  <c r="D20" i="38"/>
  <c r="B5" i="25"/>
  <c r="C31" i="21" l="1"/>
  <c r="D31" s="1"/>
  <c r="C29"/>
  <c r="C35" i="19"/>
  <c r="C34" s="1"/>
  <c r="C33" i="20"/>
  <c r="B34"/>
  <c r="D34" s="1"/>
  <c r="B27"/>
  <c r="B22" s="1"/>
  <c r="D22" s="1"/>
  <c r="B10"/>
  <c r="B8"/>
  <c r="B5" s="1"/>
  <c r="B31" i="21"/>
  <c r="C45" l="1"/>
  <c r="D45" s="1"/>
  <c r="B33" i="20"/>
  <c r="D33" s="1"/>
  <c r="B31"/>
  <c r="D31" s="1"/>
  <c r="B45" i="21"/>
  <c r="D44" i="20" l="1"/>
  <c r="B35" i="19"/>
  <c r="D35" s="1"/>
  <c r="B34" l="1"/>
  <c r="C23"/>
  <c r="C6"/>
  <c r="B28"/>
  <c r="D28" s="1"/>
  <c r="B11"/>
  <c r="D11" s="1"/>
  <c r="B9"/>
  <c r="D9" s="1"/>
  <c r="D34" l="1"/>
  <c r="C32"/>
  <c r="B23"/>
  <c r="D23" s="1"/>
  <c r="B6"/>
  <c r="D6" s="1"/>
  <c r="B32" l="1"/>
  <c r="B45" s="1"/>
  <c r="D45" s="1"/>
  <c r="D32" l="1"/>
</calcChain>
</file>

<file path=xl/sharedStrings.xml><?xml version="1.0" encoding="utf-8"?>
<sst xmlns="http://schemas.openxmlformats.org/spreadsheetml/2006/main" count="3718" uniqueCount="2448">
  <si>
    <t>1、</t>
  </si>
  <si>
    <t>2、</t>
  </si>
  <si>
    <t>3、</t>
  </si>
  <si>
    <t>4、</t>
  </si>
  <si>
    <t>5、</t>
    <phoneticPr fontId="38" type="noConversion"/>
  </si>
  <si>
    <t>6、</t>
    <phoneticPr fontId="38" type="noConversion"/>
  </si>
  <si>
    <t>7、</t>
    <phoneticPr fontId="38" type="noConversion"/>
  </si>
  <si>
    <t>8、</t>
    <phoneticPr fontId="38" type="noConversion"/>
  </si>
  <si>
    <t>9、</t>
    <phoneticPr fontId="38" type="noConversion"/>
  </si>
  <si>
    <t>10、</t>
    <phoneticPr fontId="38" type="noConversion"/>
  </si>
  <si>
    <t>11、</t>
    <phoneticPr fontId="38" type="noConversion"/>
  </si>
  <si>
    <t>12、</t>
    <phoneticPr fontId="38" type="noConversion"/>
  </si>
  <si>
    <t>13、</t>
    <phoneticPr fontId="38" type="noConversion"/>
  </si>
  <si>
    <t>14、</t>
    <phoneticPr fontId="38" type="noConversion"/>
  </si>
  <si>
    <t>15、</t>
    <phoneticPr fontId="38" type="noConversion"/>
  </si>
  <si>
    <t>16、</t>
    <phoneticPr fontId="38" type="noConversion"/>
  </si>
  <si>
    <t>17、</t>
    <phoneticPr fontId="38" type="noConversion"/>
  </si>
  <si>
    <t>18、</t>
    <phoneticPr fontId="38" type="noConversion"/>
  </si>
  <si>
    <t>19、</t>
    <phoneticPr fontId="38" type="noConversion"/>
  </si>
  <si>
    <t>20、</t>
    <phoneticPr fontId="38" type="noConversion"/>
  </si>
  <si>
    <t>21、</t>
    <phoneticPr fontId="38" type="noConversion"/>
  </si>
  <si>
    <t>一、税收收入</t>
  </si>
  <si>
    <t>一、一般公共服务支出</t>
  </si>
  <si>
    <t>二、非税收入</t>
  </si>
  <si>
    <t>收入合计</t>
  </si>
  <si>
    <t>支出合计</t>
  </si>
  <si>
    <t>国债还本支出</t>
  </si>
  <si>
    <t>转移性支出</t>
  </si>
  <si>
    <t>收入总计</t>
  </si>
  <si>
    <t xml:space="preserve">    增值税</t>
  </si>
  <si>
    <t xml:space="preserve">    营业税</t>
  </si>
  <si>
    <t xml:space="preserve">    企业所得税</t>
  </si>
  <si>
    <t xml:space="preserve">    企业所得税退税</t>
  </si>
  <si>
    <t xml:space="preserve">    个人所得税</t>
  </si>
  <si>
    <t xml:space="preserve">    资源税</t>
  </si>
  <si>
    <t xml:space="preserve">    城市维护建设税</t>
  </si>
  <si>
    <t xml:space="preserve">    房产税</t>
  </si>
  <si>
    <t xml:space="preserve">    印花税</t>
  </si>
  <si>
    <t xml:space="preserve">    城镇土地使用税</t>
  </si>
  <si>
    <t xml:space="preserve">    土地增值税</t>
  </si>
  <si>
    <t xml:space="preserve">    车船税</t>
  </si>
  <si>
    <t xml:space="preserve">    耕地占用税</t>
  </si>
  <si>
    <t xml:space="preserve">    契税</t>
  </si>
  <si>
    <t xml:space="preserve">    烟叶税</t>
  </si>
  <si>
    <t xml:space="preserve">    其他税收收入</t>
  </si>
  <si>
    <t xml:space="preserve">    专项收入</t>
  </si>
  <si>
    <t xml:space="preserve">    行政事业性收费收入</t>
  </si>
  <si>
    <t xml:space="preserve">    罚没收入</t>
  </si>
  <si>
    <t xml:space="preserve">    国有资本经营收入</t>
  </si>
  <si>
    <t xml:space="preserve">    国有资源（资产）有偿使用收入</t>
  </si>
  <si>
    <t xml:space="preserve">    捐赠收入</t>
  </si>
  <si>
    <t xml:space="preserve">    政府住房基金收入</t>
  </si>
  <si>
    <t xml:space="preserve">    其他收入</t>
  </si>
  <si>
    <t>当年预算数</t>
    <phoneticPr fontId="38" type="noConversion"/>
  </si>
  <si>
    <t>上年执行数</t>
    <phoneticPr fontId="38" type="noConversion"/>
  </si>
  <si>
    <t>预算数为上年执行数的％</t>
    <phoneticPr fontId="38" type="noConversion"/>
  </si>
  <si>
    <t>单位：万元</t>
    <phoneticPr fontId="38" type="noConversion"/>
  </si>
  <si>
    <t>三、债务收入</t>
    <phoneticPr fontId="38" type="noConversion"/>
  </si>
  <si>
    <t>四、转移性收入</t>
    <phoneticPr fontId="38" type="noConversion"/>
  </si>
  <si>
    <t xml:space="preserve">   上级补助收入</t>
    <phoneticPr fontId="38" type="noConversion"/>
  </si>
  <si>
    <t xml:space="preserve">      返还性收入</t>
    <phoneticPr fontId="38" type="noConversion"/>
  </si>
  <si>
    <t xml:space="preserve">      一般性转移支付收入</t>
    <phoneticPr fontId="38" type="noConversion"/>
  </si>
  <si>
    <t xml:space="preserve">      专项转移支付收入</t>
    <phoneticPr fontId="38" type="noConversion"/>
  </si>
  <si>
    <t xml:space="preserve">   下级上解收入</t>
    <phoneticPr fontId="38" type="noConversion"/>
  </si>
  <si>
    <t xml:space="preserve">   债券转贷收入</t>
    <phoneticPr fontId="38" type="noConversion"/>
  </si>
  <si>
    <t xml:space="preserve">   上年结余收入</t>
    <phoneticPr fontId="38" type="noConversion"/>
  </si>
  <si>
    <t xml:space="preserve">   调入预算稳定调节基金</t>
    <phoneticPr fontId="38" type="noConversion"/>
  </si>
  <si>
    <t xml:space="preserve">   调入资金</t>
    <phoneticPr fontId="38" type="noConversion"/>
  </si>
  <si>
    <t xml:space="preserve">   接收其他地区援助收入</t>
    <phoneticPr fontId="38" type="noConversion"/>
  </si>
  <si>
    <t>收 入项目</t>
    <phoneticPr fontId="38" type="noConversion"/>
  </si>
  <si>
    <t>二、外交支出</t>
  </si>
  <si>
    <t>三、国防支出</t>
  </si>
  <si>
    <t>四、公共安全支出</t>
  </si>
  <si>
    <t>五、教育支出</t>
  </si>
  <si>
    <t>六、科学技术支出</t>
  </si>
  <si>
    <t>七、文化体育与传媒支出</t>
  </si>
  <si>
    <t>八、社会保障和就业支出</t>
  </si>
  <si>
    <t>九、医疗卫生与计划生育支出</t>
  </si>
  <si>
    <t>十、节能环保支出</t>
  </si>
  <si>
    <t>十一、城乡社区支出</t>
  </si>
  <si>
    <t>十二、农林水支出</t>
  </si>
  <si>
    <t>十三、交通运输支出</t>
  </si>
  <si>
    <t>十四、资源勘探信息等支出</t>
  </si>
  <si>
    <t>十五、商业服务业等支出</t>
  </si>
  <si>
    <t>十六、金融支出</t>
  </si>
  <si>
    <t>十七、援助其他地区支出</t>
  </si>
  <si>
    <t>十八、国土海洋气象等支出</t>
  </si>
  <si>
    <t>十九、住房保障支出</t>
  </si>
  <si>
    <t>二十、粮油物资储备支出</t>
  </si>
  <si>
    <t>二十一、预备费</t>
  </si>
  <si>
    <t>二十二、其他支出</t>
  </si>
  <si>
    <t>二十三、债务付息支出</t>
  </si>
  <si>
    <t>二十四、债务发行费用支出</t>
  </si>
  <si>
    <t>债务还本支出</t>
  </si>
  <si>
    <t xml:space="preserve">   补助下级支出</t>
    <phoneticPr fontId="38" type="noConversion"/>
  </si>
  <si>
    <t xml:space="preserve">      返还性支出</t>
    <phoneticPr fontId="38" type="noConversion"/>
  </si>
  <si>
    <t xml:space="preserve">      一般性转移支付支出</t>
    <phoneticPr fontId="38" type="noConversion"/>
  </si>
  <si>
    <t xml:space="preserve">      专项转移支付支出</t>
    <phoneticPr fontId="38" type="noConversion"/>
  </si>
  <si>
    <t xml:space="preserve">   上解上级支出</t>
    <phoneticPr fontId="38" type="noConversion"/>
  </si>
  <si>
    <t xml:space="preserve">   援助其他地区支出</t>
    <phoneticPr fontId="38" type="noConversion"/>
  </si>
  <si>
    <t xml:space="preserve">   债务转贷支出</t>
    <phoneticPr fontId="38" type="noConversion"/>
  </si>
  <si>
    <t xml:space="preserve">   增设预算周转金</t>
    <phoneticPr fontId="38" type="noConversion"/>
  </si>
  <si>
    <t xml:space="preserve">   拨付国债转贷资金数</t>
    <phoneticPr fontId="38" type="noConversion"/>
  </si>
  <si>
    <t xml:space="preserve">   国债转贷资金结余</t>
    <phoneticPr fontId="38" type="noConversion"/>
  </si>
  <si>
    <t xml:space="preserve">   安排预算稳定调节基金</t>
    <phoneticPr fontId="38" type="noConversion"/>
  </si>
  <si>
    <t xml:space="preserve">   调出资金</t>
    <phoneticPr fontId="38" type="noConversion"/>
  </si>
  <si>
    <t xml:space="preserve">   年终结余</t>
    <phoneticPr fontId="38" type="noConversion"/>
  </si>
  <si>
    <t>支出项目</t>
    <phoneticPr fontId="38" type="noConversion"/>
  </si>
  <si>
    <t>附表1-2</t>
    <phoneticPr fontId="38" type="noConversion"/>
  </si>
  <si>
    <t>单位：万元</t>
  </si>
  <si>
    <t>项目</t>
  </si>
  <si>
    <t>合计</t>
  </si>
  <si>
    <t xml:space="preserve">  基本工资</t>
  </si>
  <si>
    <t xml:space="preserve">  津贴补贴</t>
  </si>
  <si>
    <t xml:space="preserve">  奖金</t>
  </si>
  <si>
    <t xml:space="preserve">  绩效工资</t>
  </si>
  <si>
    <t xml:space="preserve">  其他工资福利支出</t>
  </si>
  <si>
    <t xml:space="preserve">  物业管理费</t>
  </si>
  <si>
    <t xml:space="preserve">  公务用车运行维护费</t>
  </si>
  <si>
    <t xml:space="preserve">  其他商品和服务支出</t>
  </si>
  <si>
    <t xml:space="preserve">  离休费</t>
  </si>
  <si>
    <t xml:space="preserve">  退休费</t>
  </si>
  <si>
    <t xml:space="preserve">  生活补助</t>
  </si>
  <si>
    <t xml:space="preserve">  助学金</t>
  </si>
  <si>
    <t xml:space="preserve">  住房公积金</t>
  </si>
  <si>
    <t xml:space="preserve">  提租补贴</t>
  </si>
  <si>
    <t xml:space="preserve">  其他对个人和家庭的补助支出</t>
  </si>
  <si>
    <t xml:space="preserve">  社会保障缴费</t>
  </si>
  <si>
    <t xml:space="preserve">  伙食补助费</t>
  </si>
  <si>
    <t xml:space="preserve">  办公费</t>
  </si>
  <si>
    <t xml:space="preserve">  印刷费</t>
  </si>
  <si>
    <t xml:space="preserve">  咨询费</t>
  </si>
  <si>
    <t xml:space="preserve">  手续费</t>
  </si>
  <si>
    <t xml:space="preserve">  水费</t>
  </si>
  <si>
    <t xml:space="preserve">  电费</t>
  </si>
  <si>
    <t xml:space="preserve">  邮电费</t>
  </si>
  <si>
    <t xml:space="preserve">  取暖费</t>
  </si>
  <si>
    <t xml:space="preserve">  差旅费</t>
  </si>
  <si>
    <t xml:space="preserve">  因公出国(境)费用 </t>
  </si>
  <si>
    <t xml:space="preserve">  维修(护)费</t>
  </si>
  <si>
    <t xml:space="preserve">  租赁费</t>
  </si>
  <si>
    <t xml:space="preserve">  会议费</t>
  </si>
  <si>
    <t xml:space="preserve">  培训费</t>
  </si>
  <si>
    <t xml:space="preserve">  公务接待费</t>
  </si>
  <si>
    <t xml:space="preserve">  专用材料费</t>
  </si>
  <si>
    <t xml:space="preserve">  被装购置费</t>
  </si>
  <si>
    <t xml:space="preserve">  专用燃料费</t>
  </si>
  <si>
    <t xml:space="preserve">  劳务费</t>
  </si>
  <si>
    <t xml:space="preserve">  委托业务费</t>
  </si>
  <si>
    <t xml:space="preserve">  工会经费</t>
  </si>
  <si>
    <t xml:space="preserve">  福利费</t>
  </si>
  <si>
    <t xml:space="preserve">  其他交通费用</t>
  </si>
  <si>
    <t xml:space="preserve">  税金及附加费用</t>
  </si>
  <si>
    <t xml:space="preserve">  退职(役)费</t>
  </si>
  <si>
    <t xml:space="preserve">  抚恤金</t>
  </si>
  <si>
    <t xml:space="preserve">  救济费</t>
  </si>
  <si>
    <t xml:space="preserve">  医疗费</t>
  </si>
  <si>
    <t xml:space="preserve">  奖励金</t>
  </si>
  <si>
    <t xml:space="preserve">  生产补贴</t>
  </si>
  <si>
    <t xml:space="preserve">  购房补贴</t>
  </si>
  <si>
    <t xml:space="preserve">  房屋建筑物购建</t>
  </si>
  <si>
    <t xml:space="preserve">  办公设备购置</t>
  </si>
  <si>
    <t xml:space="preserve">  专用设备购置</t>
  </si>
  <si>
    <t xml:space="preserve">  基础设施建设</t>
  </si>
  <si>
    <t xml:space="preserve">  大型修缮</t>
  </si>
  <si>
    <t xml:space="preserve">  信息网络及软件购置更新</t>
  </si>
  <si>
    <t xml:space="preserve">  物资储备</t>
  </si>
  <si>
    <t xml:space="preserve">  土地补偿</t>
  </si>
  <si>
    <t xml:space="preserve">  安置补助</t>
  </si>
  <si>
    <t xml:space="preserve">  地上附着物和青苗补偿</t>
  </si>
  <si>
    <t xml:space="preserve">  拆迁补偿</t>
  </si>
  <si>
    <t xml:space="preserve">  公务用车购置</t>
  </si>
  <si>
    <t xml:space="preserve">  其他交通工具购置</t>
  </si>
  <si>
    <t xml:space="preserve">  其他资本性支出</t>
  </si>
  <si>
    <t xml:space="preserve">  企业政策性补贴</t>
  </si>
  <si>
    <t xml:space="preserve">  事业单位补贴</t>
  </si>
  <si>
    <t xml:space="preserve">  财政贴息</t>
  </si>
  <si>
    <t xml:space="preserve">  其他对企事业单位的补贴</t>
  </si>
  <si>
    <t xml:space="preserve">  国内债务付息</t>
  </si>
  <si>
    <t xml:space="preserve">  国外债务付息</t>
  </si>
  <si>
    <t xml:space="preserve">  赠与</t>
  </si>
  <si>
    <t>合  计</t>
    <phoneticPr fontId="38" type="noConversion"/>
  </si>
  <si>
    <t>合   计</t>
    <phoneticPr fontId="38" type="noConversion"/>
  </si>
  <si>
    <t>1、因公出国（境）费用</t>
  </si>
  <si>
    <t>2、公务接待费</t>
  </si>
  <si>
    <t>上年预算数</t>
    <phoneticPr fontId="38" type="noConversion"/>
  </si>
  <si>
    <t> 单位：万元</t>
  </si>
  <si>
    <t>本年收入小计</t>
  </si>
  <si>
    <t>债务收入</t>
  </si>
  <si>
    <t>转移性收入</t>
  </si>
  <si>
    <t xml:space="preserve">           上年结余收入</t>
    <phoneticPr fontId="38" type="noConversion"/>
  </si>
  <si>
    <t xml:space="preserve">           调入资金</t>
    <phoneticPr fontId="38" type="noConversion"/>
  </si>
  <si>
    <t>一、文化体育与传媒支出</t>
  </si>
  <si>
    <t>二、社会保障和就业支出</t>
  </si>
  <si>
    <t>三、节能环保支出</t>
  </si>
  <si>
    <t>四、城乡社区支出</t>
  </si>
  <si>
    <t>五、农林水支出</t>
  </si>
  <si>
    <t>六、交通运输支出</t>
  </si>
  <si>
    <t>七、资源勘探信息等支出</t>
  </si>
  <si>
    <t>八、商业服务业等支出</t>
  </si>
  <si>
    <t>九、其他支出</t>
  </si>
  <si>
    <t>十、债务付息支出</t>
  </si>
  <si>
    <t>十一、债务发行费用支出</t>
  </si>
  <si>
    <t>本年支出小计</t>
  </si>
  <si>
    <t>小计</t>
  </si>
  <si>
    <t>一、利润收入</t>
  </si>
  <si>
    <t>二、股利、股息收入</t>
  </si>
  <si>
    <t>三、产权转让收入</t>
  </si>
  <si>
    <t>四、清算收入</t>
  </si>
  <si>
    <t>本年收入合计</t>
  </si>
  <si>
    <t>一、解决历史遗留问题及改革成本支出</t>
  </si>
  <si>
    <t>二、国有企业资本金注入</t>
  </si>
  <si>
    <t>三、国有企业政策性补贴</t>
  </si>
  <si>
    <t>四、金融国有资本经营预算支出</t>
  </si>
  <si>
    <t xml:space="preserve">    调出资金</t>
  </si>
  <si>
    <t>本年支出总计</t>
  </si>
  <si>
    <t>一、企业职工基本养老保险基金收入</t>
  </si>
  <si>
    <t xml:space="preserve">          利息收入</t>
  </si>
  <si>
    <t xml:space="preserve">          财政补贴收入</t>
  </si>
  <si>
    <t xml:space="preserve">          其他收入</t>
  </si>
  <si>
    <t>二、城乡居民基本养老保险基金收入</t>
  </si>
  <si>
    <t>三、机关事业单位基本养老保险基金收入</t>
  </si>
  <si>
    <t>四、职工基本医疗保险基金收入</t>
  </si>
  <si>
    <t>五、居民基本医疗保险基金收入</t>
  </si>
  <si>
    <t>(二) 新型农村合作医疗基金收入</t>
  </si>
  <si>
    <t>六、工伤保险基金收入</t>
  </si>
  <si>
    <t>七、失业保险基金收入</t>
  </si>
  <si>
    <t>八、生育保险基金收入</t>
  </si>
  <si>
    <t>合    计</t>
  </si>
  <si>
    <t xml:space="preserve">    其中：保险费收入</t>
  </si>
  <si>
    <t>一、企业职工基本养老保险基金支出</t>
  </si>
  <si>
    <t>二、城乡居民基本养老保险基金支出</t>
  </si>
  <si>
    <t>三、机关事业单位基本养老保险基金支出</t>
  </si>
  <si>
    <t>四、职工基本医疗保险基金支出</t>
  </si>
  <si>
    <t>五、居民基本医疗保险基金支出</t>
  </si>
  <si>
    <t xml:space="preserve"> (一) 城乡居民基本医疗保险基金支出</t>
  </si>
  <si>
    <t>(二) 新型农村合作医疗基金支出</t>
  </si>
  <si>
    <t xml:space="preserve"> (三) 城镇居民基本医疗保险基金支出</t>
  </si>
  <si>
    <t>六、工伤保险基金支出</t>
  </si>
  <si>
    <t>七、失业保险基金支出</t>
  </si>
  <si>
    <t>八、生育保险基金支出</t>
  </si>
  <si>
    <t>项　目</t>
  </si>
  <si>
    <t>项      目</t>
  </si>
  <si>
    <t xml:space="preserve">          其他企业职工基本养老保险基金支出</t>
    <phoneticPr fontId="38" type="noConversion"/>
  </si>
  <si>
    <t xml:space="preserve">        其中：城乡居民基本医疗保险基金医疗待遇支出</t>
    <phoneticPr fontId="38" type="noConversion"/>
  </si>
  <si>
    <t xml:space="preserve">              大病医疗保险支出</t>
    <phoneticPr fontId="38" type="noConversion"/>
  </si>
  <si>
    <t xml:space="preserve">              其他城乡居民基本医疗保险基金支出</t>
    <phoneticPr fontId="38" type="noConversion"/>
  </si>
  <si>
    <t xml:space="preserve">        其中：新型农村合作医疗基金医疗待遇支出</t>
    <phoneticPr fontId="38" type="noConversion"/>
  </si>
  <si>
    <t xml:space="preserve">              大病医疗保险支出</t>
    <phoneticPr fontId="38" type="noConversion"/>
  </si>
  <si>
    <t xml:space="preserve">              其他新型农村合作医疗基金支出</t>
    <phoneticPr fontId="38" type="noConversion"/>
  </si>
  <si>
    <t xml:space="preserve">        其中：城镇居民基本医疗保险基金医疗待遇支出</t>
    <phoneticPr fontId="38" type="noConversion"/>
  </si>
  <si>
    <t xml:space="preserve">              其他城镇居民基本医疗保险基金支出</t>
    <phoneticPr fontId="38" type="noConversion"/>
  </si>
  <si>
    <t xml:space="preserve">    其中：工伤保险基金支出</t>
    <phoneticPr fontId="38" type="noConversion"/>
  </si>
  <si>
    <t xml:space="preserve">          工伤保险待遇</t>
    <phoneticPr fontId="38" type="noConversion"/>
  </si>
  <si>
    <t xml:space="preserve">          劳动能力鉴定支出</t>
    <phoneticPr fontId="38" type="noConversion"/>
  </si>
  <si>
    <t xml:space="preserve">          工伤预防费用支出</t>
    <phoneticPr fontId="38" type="noConversion"/>
  </si>
  <si>
    <t xml:space="preserve">          其他工伤保险基金支出</t>
    <phoneticPr fontId="38" type="noConversion"/>
  </si>
  <si>
    <t xml:space="preserve">          医疗保险费</t>
    <phoneticPr fontId="38" type="noConversion"/>
  </si>
  <si>
    <t xml:space="preserve">          职业培训和职业介绍补贴</t>
    <phoneticPr fontId="38" type="noConversion"/>
  </si>
  <si>
    <t xml:space="preserve">          其他失业保险基金支出</t>
    <phoneticPr fontId="38" type="noConversion"/>
  </si>
  <si>
    <t xml:space="preserve">    其中：生育保险基金支出</t>
    <phoneticPr fontId="38" type="noConversion"/>
  </si>
  <si>
    <t xml:space="preserve">          生育医疗费用支出</t>
    <phoneticPr fontId="38" type="noConversion"/>
  </si>
  <si>
    <t xml:space="preserve">          生育津贴支出</t>
    <phoneticPr fontId="38" type="noConversion"/>
  </si>
  <si>
    <t xml:space="preserve">          其他生育保险基金支出</t>
    <phoneticPr fontId="38" type="noConversion"/>
  </si>
  <si>
    <t xml:space="preserve">    其中：基本养老金</t>
    <phoneticPr fontId="38" type="noConversion"/>
  </si>
  <si>
    <t xml:space="preserve">          医疗补助金</t>
    <phoneticPr fontId="38" type="noConversion"/>
  </si>
  <si>
    <t xml:space="preserve">          丧葬抚恤补助</t>
    <phoneticPr fontId="38" type="noConversion"/>
  </si>
  <si>
    <t xml:space="preserve">    其中：基础养老金支出</t>
    <phoneticPr fontId="38" type="noConversion"/>
  </si>
  <si>
    <t xml:space="preserve">          个人账户养老金支出</t>
    <phoneticPr fontId="38" type="noConversion"/>
  </si>
  <si>
    <t xml:space="preserve">          丧葬抚恤补助支出</t>
    <phoneticPr fontId="38" type="noConversion"/>
  </si>
  <si>
    <t xml:space="preserve">          其他城乡居民基本养老保险基金支出</t>
    <phoneticPr fontId="38" type="noConversion"/>
  </si>
  <si>
    <t xml:space="preserve">    其中：基本养老金支出</t>
    <phoneticPr fontId="38" type="noConversion"/>
  </si>
  <si>
    <t xml:space="preserve">          其他机关事业单位基本养老保险基金支出</t>
    <phoneticPr fontId="38" type="noConversion"/>
  </si>
  <si>
    <t xml:space="preserve">    其中：城镇职工基本医疗保险统筹基金</t>
    <phoneticPr fontId="38" type="noConversion"/>
  </si>
  <si>
    <t xml:space="preserve">          城镇职工医疗保险个人账户基金</t>
    <phoneticPr fontId="38" type="noConversion"/>
  </si>
  <si>
    <t xml:space="preserve">          其他城镇职工基本医疗保险基金支出</t>
    <phoneticPr fontId="38" type="noConversion"/>
  </si>
  <si>
    <t xml:space="preserve">    其中：保险费收入</t>
    <phoneticPr fontId="38" type="noConversion"/>
  </si>
  <si>
    <t xml:space="preserve">          财政补贴收入</t>
    <phoneticPr fontId="38" type="noConversion"/>
  </si>
  <si>
    <t xml:space="preserve">          利息收入</t>
    <phoneticPr fontId="38" type="noConversion"/>
  </si>
  <si>
    <t xml:space="preserve">          其他收入</t>
    <phoneticPr fontId="38" type="noConversion"/>
  </si>
  <si>
    <t xml:space="preserve">          动用上年结余收入</t>
  </si>
  <si>
    <t xml:space="preserve">          动用上年结余收入</t>
    <phoneticPr fontId="38" type="noConversion"/>
  </si>
  <si>
    <t xml:space="preserve"> (一) 城乡居民基本医疗保险基金收入</t>
  </si>
  <si>
    <t xml:space="preserve"> (三) 城镇居民基本医疗保险基金收入</t>
  </si>
  <si>
    <t xml:space="preserve">          丧葬抚恤补助</t>
    <phoneticPr fontId="38" type="noConversion"/>
  </si>
  <si>
    <t xml:space="preserve">    其中：失业保险金</t>
    <phoneticPr fontId="38" type="noConversion"/>
  </si>
  <si>
    <r>
      <t xml:space="preserve"> (</t>
    </r>
    <r>
      <rPr>
        <sz val="11"/>
        <color indexed="8"/>
        <rFont val="宋体"/>
        <family val="7"/>
        <charset val="134"/>
      </rPr>
      <t>一</t>
    </r>
    <r>
      <rPr>
        <sz val="11"/>
        <color indexed="8"/>
        <rFont val="Times New Roman"/>
        <family val="22"/>
        <charset val="134"/>
      </rPr>
      <t xml:space="preserve">) </t>
    </r>
    <r>
      <rPr>
        <sz val="11"/>
        <color indexed="8"/>
        <rFont val="宋体"/>
        <family val="7"/>
        <charset val="134"/>
      </rPr>
      <t>城乡居民基本医疗保险基金收入</t>
    </r>
  </si>
  <si>
    <r>
      <t xml:space="preserve"> (</t>
    </r>
    <r>
      <rPr>
        <sz val="11"/>
        <color indexed="8"/>
        <rFont val="宋体"/>
        <family val="7"/>
        <charset val="134"/>
      </rPr>
      <t>三</t>
    </r>
    <r>
      <rPr>
        <sz val="11"/>
        <color indexed="8"/>
        <rFont val="Times New Roman"/>
        <family val="22"/>
        <charset val="134"/>
      </rPr>
      <t xml:space="preserve">) </t>
    </r>
    <r>
      <rPr>
        <sz val="11"/>
        <color indexed="8"/>
        <rFont val="宋体"/>
        <family val="7"/>
        <charset val="134"/>
      </rPr>
      <t>城镇居民基本医疗保险基金收入</t>
    </r>
  </si>
  <si>
    <t>国有企业退休人员社会化管理补助支出</t>
  </si>
  <si>
    <t>国有企业棚户区改造支出</t>
  </si>
  <si>
    <t>国有企业改革成本支出</t>
  </si>
  <si>
    <t>离休干部医药补助支出</t>
  </si>
  <si>
    <t>其他解决历史遗留问题及改革成本支出</t>
  </si>
  <si>
    <t>公益性设施投资支出</t>
  </si>
  <si>
    <t>前瞻性战略性产业发展支出</t>
  </si>
  <si>
    <t>生态环境保护支出</t>
  </si>
  <si>
    <t>支持科技进步支出</t>
  </si>
  <si>
    <t>保障国有经济安全支出</t>
  </si>
  <si>
    <t>对外投资合作支出</t>
  </si>
  <si>
    <t>其他国有企业资本金注入</t>
  </si>
  <si>
    <t>一、解决历史遗留问题及改革成本支出</t>
    <phoneticPr fontId="38" type="noConversion"/>
  </si>
  <si>
    <t>二、国有企业资本金注入</t>
    <phoneticPr fontId="38" type="noConversion"/>
  </si>
  <si>
    <t>三、国有企业政策性补贴</t>
    <phoneticPr fontId="38" type="noConversion"/>
  </si>
  <si>
    <t>四、金融国有资本经营预算支出</t>
    <phoneticPr fontId="38" type="noConversion"/>
  </si>
  <si>
    <t>五、其他国有资本经营预算支出</t>
    <phoneticPr fontId="38" type="noConversion"/>
  </si>
  <si>
    <t>国有企业办公共服务机构移交补助支出</t>
    <phoneticPr fontId="38" type="noConversion"/>
  </si>
  <si>
    <t>国有企业办职教幼教补助支出</t>
    <phoneticPr fontId="38" type="noConversion"/>
  </si>
  <si>
    <t>“三供一业”移交补助支出</t>
    <phoneticPr fontId="38" type="noConversion"/>
  </si>
  <si>
    <t xml:space="preserve"> 其中：厂办大集体改革支出</t>
    <phoneticPr fontId="38" type="noConversion"/>
  </si>
  <si>
    <t xml:space="preserve"> 其中：国有经济结构调整支出</t>
    <phoneticPr fontId="38" type="noConversion"/>
  </si>
  <si>
    <t xml:space="preserve"> 其中：国有企业政策性补贴</t>
    <phoneticPr fontId="38" type="noConversion"/>
  </si>
  <si>
    <t xml:space="preserve"> 其中：资本性支出</t>
    <phoneticPr fontId="38" type="noConversion"/>
  </si>
  <si>
    <t xml:space="preserve">       改革性支出</t>
    <phoneticPr fontId="38" type="noConversion"/>
  </si>
  <si>
    <t xml:space="preserve">      其他金融国有资本经营预算支出</t>
    <phoneticPr fontId="38" type="noConversion"/>
  </si>
  <si>
    <t xml:space="preserve">  其中：其他国有资本经营预算支出</t>
    <phoneticPr fontId="38" type="noConversion"/>
  </si>
  <si>
    <t>…………………</t>
    <phoneticPr fontId="38" type="noConversion"/>
  </si>
  <si>
    <t xml:space="preserve">    国有资本经营预算转移支付支出</t>
  </si>
  <si>
    <t>支出合计</t>
    <phoneticPr fontId="38" type="noConversion"/>
  </si>
  <si>
    <t>五、其他国有资本经营预算收入</t>
    <phoneticPr fontId="38" type="noConversion"/>
  </si>
  <si>
    <t xml:space="preserve">    国有资本经营预算转移支付支出</t>
    <phoneticPr fontId="38" type="noConversion"/>
  </si>
  <si>
    <t xml:space="preserve">    国有资本经营预算转移支付收入</t>
    <phoneticPr fontId="38" type="noConversion"/>
  </si>
  <si>
    <t xml:space="preserve">    上年结转收入</t>
  </si>
  <si>
    <t xml:space="preserve">    上年结转收入</t>
    <phoneticPr fontId="38" type="noConversion"/>
  </si>
  <si>
    <t xml:space="preserve">  其中：国有控股公司股利、股息收入</t>
    <phoneticPr fontId="38" type="noConversion"/>
  </si>
  <si>
    <t xml:space="preserve"> 国有参股公司股利、股息收入</t>
    <phoneticPr fontId="38" type="noConversion"/>
  </si>
  <si>
    <t xml:space="preserve"> 金融企业股利、股息收入</t>
    <phoneticPr fontId="38" type="noConversion"/>
  </si>
  <si>
    <t xml:space="preserve"> 其他国有企业股利、股息收入</t>
    <phoneticPr fontId="38" type="noConversion"/>
  </si>
  <si>
    <t>收入总计</t>
    <phoneticPr fontId="38" type="noConversion"/>
  </si>
  <si>
    <t>支出总计</t>
    <phoneticPr fontId="38" type="noConversion"/>
  </si>
  <si>
    <t>当年预算数</t>
  </si>
  <si>
    <t>上年执行数</t>
  </si>
  <si>
    <t>预算数为上年执行数的％</t>
  </si>
  <si>
    <t xml:space="preserve">债务转贷支出 </t>
  </si>
  <si>
    <t xml:space="preserve">债务转贷支出 </t>
    <phoneticPr fontId="38" type="noConversion"/>
  </si>
  <si>
    <t>调出资金</t>
  </si>
  <si>
    <t>调出资金</t>
    <phoneticPr fontId="38" type="noConversion"/>
  </si>
  <si>
    <t>年终结余</t>
  </si>
  <si>
    <t>年终结余</t>
    <phoneticPr fontId="38" type="noConversion"/>
  </si>
  <si>
    <t xml:space="preserve">           债务转贷收入 </t>
  </si>
  <si>
    <t xml:space="preserve">           债务转贷收入 </t>
    <phoneticPr fontId="38" type="noConversion"/>
  </si>
  <si>
    <t xml:space="preserve">   上级补助收入</t>
    <phoneticPr fontId="38" type="noConversion"/>
  </si>
  <si>
    <t xml:space="preserve">           上级补助收入</t>
    <phoneticPr fontId="38" type="noConversion"/>
  </si>
  <si>
    <t>补助下级支出</t>
  </si>
  <si>
    <t>补助下级支出</t>
    <phoneticPr fontId="38" type="noConversion"/>
  </si>
  <si>
    <t>上解上级支出</t>
  </si>
  <si>
    <t>上解上级支出</t>
    <phoneticPr fontId="38" type="noConversion"/>
  </si>
  <si>
    <t xml:space="preserve">           下级上解收入</t>
    <phoneticPr fontId="38" type="noConversion"/>
  </si>
  <si>
    <t xml:space="preserve">           上年结余收入</t>
  </si>
  <si>
    <t xml:space="preserve">           调入资金</t>
  </si>
  <si>
    <t>本年收入小计</t>
    <phoneticPr fontId="38" type="noConversion"/>
  </si>
  <si>
    <t>债务收入</t>
    <phoneticPr fontId="38" type="noConversion"/>
  </si>
  <si>
    <t>转移性收入</t>
    <phoneticPr fontId="38" type="noConversion"/>
  </si>
  <si>
    <t xml:space="preserve">           上级补助收入</t>
    <phoneticPr fontId="38" type="noConversion"/>
  </si>
  <si>
    <t xml:space="preserve">           下级上解收入</t>
    <phoneticPr fontId="38" type="noConversion"/>
  </si>
  <si>
    <t>收入合计</t>
    <phoneticPr fontId="38" type="noConversion"/>
  </si>
  <si>
    <t>二、商品和服务支出</t>
    <phoneticPr fontId="38" type="noConversion"/>
  </si>
  <si>
    <t>三、对个人和家庭的补助</t>
    <phoneticPr fontId="38" type="noConversion"/>
  </si>
  <si>
    <t>六、对企事业单位的补贴</t>
    <phoneticPr fontId="38" type="noConversion"/>
  </si>
  <si>
    <t>一、工资福利支出</t>
    <phoneticPr fontId="38" type="noConversion"/>
  </si>
  <si>
    <t>一、工资福利支出</t>
    <phoneticPr fontId="38" type="noConversion"/>
  </si>
  <si>
    <t>二、商品和服务支出</t>
    <phoneticPr fontId="38" type="noConversion"/>
  </si>
  <si>
    <t>四、基本建设支出</t>
    <phoneticPr fontId="38" type="noConversion"/>
  </si>
  <si>
    <t>四、其他资本性支出</t>
    <phoneticPr fontId="38" type="noConversion"/>
  </si>
  <si>
    <t>五、其他资本性支出</t>
    <phoneticPr fontId="38" type="noConversion"/>
  </si>
  <si>
    <t>五、对企事业单位的补贴</t>
    <phoneticPr fontId="38" type="noConversion"/>
  </si>
  <si>
    <t>六、债务利息支出</t>
    <phoneticPr fontId="38" type="noConversion"/>
  </si>
  <si>
    <t>八、其他支出</t>
    <phoneticPr fontId="38" type="noConversion"/>
  </si>
  <si>
    <t>七、债务利息支出</t>
    <phoneticPr fontId="38" type="noConversion"/>
  </si>
  <si>
    <t>七、其他支出</t>
    <phoneticPr fontId="38" type="noConversion"/>
  </si>
  <si>
    <t xml:space="preserve">  其中：××企业(名称)利润收入</t>
    <phoneticPr fontId="38" type="noConversion"/>
  </si>
  <si>
    <t>收入项目</t>
    <phoneticPr fontId="38" type="noConversion"/>
  </si>
  <si>
    <t>一、税收返还</t>
  </si>
  <si>
    <t>二、一般性转移支付</t>
  </si>
  <si>
    <t>三、专项转移支付</t>
  </si>
  <si>
    <t>附表1-1</t>
    <phoneticPr fontId="38" type="noConversion"/>
  </si>
  <si>
    <t>附表1-5</t>
    <phoneticPr fontId="38" type="noConversion"/>
  </si>
  <si>
    <t>附表1-6</t>
    <phoneticPr fontId="38" type="noConversion"/>
  </si>
  <si>
    <t>单位：万元</t>
    <phoneticPr fontId="38" type="noConversion"/>
  </si>
  <si>
    <t>附表1-7</t>
    <phoneticPr fontId="38" type="noConversion"/>
  </si>
  <si>
    <t>附表1-9</t>
    <phoneticPr fontId="38" type="noConversion"/>
  </si>
  <si>
    <t>附表1-8</t>
    <phoneticPr fontId="38" type="noConversion"/>
  </si>
  <si>
    <t>附表1-10</t>
    <phoneticPr fontId="38" type="noConversion"/>
  </si>
  <si>
    <t>附表1-11</t>
    <phoneticPr fontId="38" type="noConversion"/>
  </si>
  <si>
    <t>附表1-12</t>
    <phoneticPr fontId="38" type="noConversion"/>
  </si>
  <si>
    <t>附表1-13</t>
    <phoneticPr fontId="38" type="noConversion"/>
  </si>
  <si>
    <t>附表1-14</t>
    <phoneticPr fontId="38" type="noConversion"/>
  </si>
  <si>
    <t>附表1-15</t>
    <phoneticPr fontId="38" type="noConversion"/>
  </si>
  <si>
    <t>附表1-16</t>
    <phoneticPr fontId="38" type="noConversion"/>
  </si>
  <si>
    <t>附表1-17</t>
    <phoneticPr fontId="38" type="noConversion"/>
  </si>
  <si>
    <t>附表1-18</t>
    <phoneticPr fontId="38" type="noConversion"/>
  </si>
  <si>
    <t>附表1-19</t>
    <phoneticPr fontId="38" type="noConversion"/>
  </si>
  <si>
    <t>附表1-20</t>
    <phoneticPr fontId="38" type="noConversion"/>
  </si>
  <si>
    <t>附表1-21</t>
    <phoneticPr fontId="38" type="noConversion"/>
  </si>
  <si>
    <t>项   目</t>
    <phoneticPr fontId="38" type="noConversion"/>
  </si>
  <si>
    <t>备注：</t>
    <phoneticPr fontId="38" type="noConversion"/>
  </si>
  <si>
    <t>一、港口建设费收入</t>
    <phoneticPr fontId="38" type="noConversion"/>
  </si>
  <si>
    <t>二、国家电影事业发展专项资金收入</t>
    <phoneticPr fontId="38" type="noConversion"/>
  </si>
  <si>
    <t>三、城市公用事业附加收入</t>
    <phoneticPr fontId="38" type="noConversion"/>
  </si>
  <si>
    <t>四、国有土地收益基金收入</t>
    <phoneticPr fontId="38" type="noConversion"/>
  </si>
  <si>
    <t>五、农业土地开发资金收入</t>
    <phoneticPr fontId="38" type="noConversion"/>
  </si>
  <si>
    <t>六、国有土地使用权出让收入</t>
    <phoneticPr fontId="38" type="noConversion"/>
  </si>
  <si>
    <t>七、大中型水库库区基金收入</t>
    <phoneticPr fontId="38" type="noConversion"/>
  </si>
  <si>
    <t>八、彩票公益金收入</t>
    <phoneticPr fontId="38" type="noConversion"/>
  </si>
  <si>
    <t>九、城市基础设施配套费收入</t>
    <phoneticPr fontId="38" type="noConversion"/>
  </si>
  <si>
    <t>十、小型水库移民扶助基金收入</t>
    <phoneticPr fontId="38" type="noConversion"/>
  </si>
  <si>
    <t>十一、国家重大水利工程建设基金收入</t>
    <phoneticPr fontId="38" type="noConversion"/>
  </si>
  <si>
    <t>十二、污水处理费收入</t>
    <phoneticPr fontId="38" type="noConversion"/>
  </si>
  <si>
    <t>十三、彩票发行机构和彩票销售机构的业务费用</t>
    <phoneticPr fontId="38" type="noConversion"/>
  </si>
  <si>
    <t>十四、其他政府性基金收入</t>
    <phoneticPr fontId="38" type="noConversion"/>
  </si>
  <si>
    <t>决算数</t>
  </si>
  <si>
    <t>支出总计</t>
  </si>
  <si>
    <t>其他支出</t>
  </si>
  <si>
    <t>项  目</t>
  </si>
  <si>
    <t>一、“三公”经费支出</t>
  </si>
  <si>
    <t>（一）支出合计</t>
  </si>
  <si>
    <t xml:space="preserve">    （1）公务用车购置费</t>
  </si>
  <si>
    <t xml:space="preserve">    （1）国内接待费</t>
  </si>
  <si>
    <t xml:space="preserve">    （2）国（境）外接待费</t>
  </si>
  <si>
    <t>（二）相关统计数</t>
  </si>
  <si>
    <t>1、</t>
    <phoneticPr fontId="38" type="noConversion"/>
  </si>
  <si>
    <t>2、</t>
    <phoneticPr fontId="38" type="noConversion"/>
  </si>
  <si>
    <t>3、</t>
    <phoneticPr fontId="38" type="noConversion"/>
  </si>
  <si>
    <t>4、</t>
    <phoneticPr fontId="38" type="noConversion"/>
  </si>
  <si>
    <t>5、</t>
    <phoneticPr fontId="38" type="noConversion"/>
  </si>
  <si>
    <t>6、</t>
    <phoneticPr fontId="38" type="noConversion"/>
  </si>
  <si>
    <t>7、</t>
    <phoneticPr fontId="38" type="noConversion"/>
  </si>
  <si>
    <t>8、</t>
    <phoneticPr fontId="38" type="noConversion"/>
  </si>
  <si>
    <t>9、</t>
    <phoneticPr fontId="38" type="noConversion"/>
  </si>
  <si>
    <t>10、</t>
    <phoneticPr fontId="38" type="noConversion"/>
  </si>
  <si>
    <t>11、</t>
    <phoneticPr fontId="38" type="noConversion"/>
  </si>
  <si>
    <t>12、</t>
    <phoneticPr fontId="38" type="noConversion"/>
  </si>
  <si>
    <t>13、</t>
    <phoneticPr fontId="38" type="noConversion"/>
  </si>
  <si>
    <t>14、</t>
    <phoneticPr fontId="38" type="noConversion"/>
  </si>
  <si>
    <t>15、</t>
    <phoneticPr fontId="38" type="noConversion"/>
  </si>
  <si>
    <t>16、</t>
    <phoneticPr fontId="38" type="noConversion"/>
  </si>
  <si>
    <t>17、</t>
    <phoneticPr fontId="38" type="noConversion"/>
  </si>
  <si>
    <t>18、</t>
    <phoneticPr fontId="38" type="noConversion"/>
  </si>
  <si>
    <t>19、</t>
    <phoneticPr fontId="38" type="noConversion"/>
  </si>
  <si>
    <t>20、</t>
    <phoneticPr fontId="38" type="noConversion"/>
  </si>
  <si>
    <t>21、</t>
    <phoneticPr fontId="38" type="noConversion"/>
  </si>
  <si>
    <t>附表1-3</t>
    <phoneticPr fontId="38" type="noConversion"/>
  </si>
  <si>
    <t>22、</t>
    <phoneticPr fontId="38" type="noConversion"/>
  </si>
  <si>
    <t>小计</t>
    <phoneticPr fontId="38" type="noConversion"/>
  </si>
  <si>
    <t>政府性基金预算</t>
    <phoneticPr fontId="38" type="noConversion"/>
  </si>
  <si>
    <t>类级科目名称/专项资金立项名称</t>
  </si>
  <si>
    <t>2017年预算安排金额</t>
  </si>
  <si>
    <t>单位：万元</t>
    <phoneticPr fontId="38" type="noConversion"/>
  </si>
  <si>
    <t>其中：</t>
    <phoneticPr fontId="38" type="noConversion"/>
  </si>
  <si>
    <t>公共财政预算</t>
    <phoneticPr fontId="38" type="noConversion"/>
  </si>
  <si>
    <t>二、公共安全支出</t>
    <phoneticPr fontId="38" type="noConversion"/>
  </si>
  <si>
    <t>三、教育支出</t>
    <phoneticPr fontId="38" type="noConversion"/>
  </si>
  <si>
    <t>四、科学技术支出</t>
    <phoneticPr fontId="38" type="noConversion"/>
  </si>
  <si>
    <t>五、文化体育与传媒支出</t>
    <phoneticPr fontId="38" type="noConversion"/>
  </si>
  <si>
    <t>六、社会保障和就业支出</t>
    <phoneticPr fontId="38" type="noConversion"/>
  </si>
  <si>
    <t>七、医疗卫生与计划生育支出</t>
    <phoneticPr fontId="38" type="noConversion"/>
  </si>
  <si>
    <t>八、节能环保支出</t>
    <phoneticPr fontId="38" type="noConversion"/>
  </si>
  <si>
    <t>九、城乡社区支出</t>
    <phoneticPr fontId="38" type="noConversion"/>
  </si>
  <si>
    <t>十、农林水支出</t>
    <phoneticPr fontId="38" type="noConversion"/>
  </si>
  <si>
    <t>十一、交通运输支出</t>
    <phoneticPr fontId="38" type="noConversion"/>
  </si>
  <si>
    <t>十二、资源勘探信息等支出</t>
    <phoneticPr fontId="38" type="noConversion"/>
  </si>
  <si>
    <t>十三、商业服务业等支出</t>
    <phoneticPr fontId="38" type="noConversion"/>
  </si>
  <si>
    <t>十四、金融支出</t>
    <phoneticPr fontId="38" type="noConversion"/>
  </si>
  <si>
    <t>十五、援助其他地区支出</t>
    <phoneticPr fontId="38" type="noConversion"/>
  </si>
  <si>
    <t>十六、国土海洋气象等支出</t>
    <phoneticPr fontId="38" type="noConversion"/>
  </si>
  <si>
    <t>十七、住房保障支出</t>
    <phoneticPr fontId="38" type="noConversion"/>
  </si>
  <si>
    <t>十八、粮油物资储备支出</t>
    <phoneticPr fontId="38" type="noConversion"/>
  </si>
  <si>
    <t>附件</t>
    <phoneticPr fontId="38" type="noConversion"/>
  </si>
  <si>
    <t xml:space="preserve">1.按照党中央、国务院有关文件及部门预算管理有关规定，“三公”经费包括因公出国（境）费、公务用车购置及运行费和公务接待费。（1）因公出国（境）费，指单位工作人员公务出国（境）的住宿费、旅费、伙食补助费、杂费、培训费等支出。（2）公务用车购置及运行费，指单位公务用车购置费及租用费、燃料费、维修费、过路过桥费、保险费、安全奖励费用等支出，公务用车指用于履行公务的机动车辆，包括领导干部用车、一般公务用车和执法执勤用车。（3）公务接待费，指单位按规定开支的各类公务接待（含外宾接待）支出。     </t>
    <phoneticPr fontId="38" type="noConversion"/>
  </si>
  <si>
    <t>3、公务用车购置及运行费</t>
    <phoneticPr fontId="38" type="noConversion"/>
  </si>
  <si>
    <t xml:space="preserve">    国有资本经营预算转移支付收入</t>
    <phoneticPr fontId="38" type="noConversion"/>
  </si>
  <si>
    <t>五、其他国有资本经营预算收入</t>
    <phoneticPr fontId="38" type="noConversion"/>
  </si>
  <si>
    <t>单位：万元</t>
    <phoneticPr fontId="101" type="noConversion"/>
  </si>
  <si>
    <t>一、政府债务余额情况</t>
    <phoneticPr fontId="101" type="noConversion"/>
  </si>
  <si>
    <t>二、政府债务限额情况</t>
    <phoneticPr fontId="101" type="noConversion"/>
  </si>
  <si>
    <t>23、</t>
  </si>
  <si>
    <t>24、</t>
  </si>
  <si>
    <t>附表1-24</t>
    <phoneticPr fontId="101" type="noConversion"/>
  </si>
  <si>
    <r>
      <t>附表1</t>
    </r>
    <r>
      <rPr>
        <sz val="12"/>
        <rFont val="宋体"/>
        <family val="3"/>
        <charset val="134"/>
      </rPr>
      <t>-22</t>
    </r>
    <phoneticPr fontId="38" type="noConversion"/>
  </si>
  <si>
    <t>附表1-23</t>
    <phoneticPr fontId="101" type="noConversion"/>
  </si>
  <si>
    <t>2017年度一般公共预算收入预算表</t>
    <phoneticPr fontId="38" type="noConversion"/>
  </si>
  <si>
    <t>2017年度一般公共预算本级基本支出经济分类情况表</t>
    <phoneticPr fontId="38" type="noConversion"/>
  </si>
  <si>
    <t>2017年度一般公共预算本级支出经济分类情况表</t>
    <phoneticPr fontId="38" type="noConversion"/>
  </si>
  <si>
    <t>2017年度一般公共预算本级收入预算表</t>
    <phoneticPr fontId="38" type="noConversion"/>
  </si>
  <si>
    <t>2017年度一般公共预算支出预算表</t>
    <phoneticPr fontId="38" type="noConversion"/>
  </si>
  <si>
    <t>2017年度本级一般公共预算“三公”经费支出预算表</t>
    <phoneticPr fontId="38" type="noConversion"/>
  </si>
  <si>
    <t>潭城镇</t>
    <phoneticPr fontId="38" type="noConversion"/>
  </si>
  <si>
    <t>苏澳镇</t>
    <phoneticPr fontId="38" type="noConversion"/>
  </si>
  <si>
    <t>流水镇</t>
    <phoneticPr fontId="38" type="noConversion"/>
  </si>
  <si>
    <t>澳前镇</t>
    <phoneticPr fontId="38" type="noConversion"/>
  </si>
  <si>
    <t>平原镇</t>
    <phoneticPr fontId="38" type="noConversion"/>
  </si>
  <si>
    <t>北厝镇</t>
    <phoneticPr fontId="38" type="noConversion"/>
  </si>
  <si>
    <t>敖东镇</t>
    <phoneticPr fontId="38" type="noConversion"/>
  </si>
  <si>
    <t>岚城乡</t>
    <phoneticPr fontId="38" type="noConversion"/>
  </si>
  <si>
    <t>中楼乡</t>
    <phoneticPr fontId="38" type="noConversion"/>
  </si>
  <si>
    <t>白青乡</t>
    <phoneticPr fontId="38" type="noConversion"/>
  </si>
  <si>
    <t>屿头乡</t>
    <phoneticPr fontId="38" type="noConversion"/>
  </si>
  <si>
    <t>大练乡</t>
    <phoneticPr fontId="38" type="noConversion"/>
  </si>
  <si>
    <t>芦洋乡</t>
    <phoneticPr fontId="38" type="noConversion"/>
  </si>
  <si>
    <t>东庠乡</t>
    <phoneticPr fontId="38" type="noConversion"/>
  </si>
  <si>
    <t>南海乡</t>
    <phoneticPr fontId="38" type="noConversion"/>
  </si>
  <si>
    <t>2017年度政府性基金本级收入预算表</t>
    <phoneticPr fontId="38" type="noConversion"/>
  </si>
  <si>
    <t>2017年度政府性基金转移支付预算表</t>
    <phoneticPr fontId="38" type="noConversion"/>
  </si>
  <si>
    <t>2017年度政府性基金本级支出预算表</t>
    <phoneticPr fontId="38" type="noConversion"/>
  </si>
  <si>
    <t>2017年度国有资本经营收入预算表</t>
    <phoneticPr fontId="38" type="noConversion"/>
  </si>
  <si>
    <t>2017年度国有资本经营支出预算表</t>
    <phoneticPr fontId="38" type="noConversion"/>
  </si>
  <si>
    <t>2017年度本级国有资本经营收入预算表</t>
    <phoneticPr fontId="38" type="noConversion"/>
  </si>
  <si>
    <t>2017年度本级国有资本经营支出预算表</t>
    <phoneticPr fontId="38" type="noConversion"/>
  </si>
  <si>
    <t>2017年度社会保险基金预算支出表</t>
    <phoneticPr fontId="70" type="noConversion"/>
  </si>
  <si>
    <t>2017年度社会保险基金预算收入表</t>
    <phoneticPr fontId="70" type="noConversion"/>
  </si>
  <si>
    <t>2017年度本级社会保险基金预算收入表</t>
    <phoneticPr fontId="38" type="noConversion"/>
  </si>
  <si>
    <t>2017年度本级社会保险基金预算支出表</t>
    <phoneticPr fontId="38" type="noConversion"/>
  </si>
  <si>
    <t>2017年度本级财政专项资金管理清单目录</t>
    <phoneticPr fontId="38" type="noConversion"/>
  </si>
  <si>
    <t xml:space="preserve"> </t>
    <phoneticPr fontId="38" type="noConversion"/>
  </si>
  <si>
    <t>2017年度政府性基金收入预算表</t>
    <phoneticPr fontId="38" type="noConversion"/>
  </si>
  <si>
    <t>支出总计</t>
    <phoneticPr fontId="38" type="noConversion"/>
  </si>
  <si>
    <t>2017年度政府性基金支出预算表</t>
    <phoneticPr fontId="38" type="noConversion"/>
  </si>
  <si>
    <t xml:space="preserve"> </t>
    <phoneticPr fontId="38" type="noConversion"/>
  </si>
  <si>
    <t xml:space="preserve"> </t>
    <phoneticPr fontId="38" type="noConversion"/>
  </si>
  <si>
    <t>敖东镇</t>
    <phoneticPr fontId="38" type="noConversion"/>
  </si>
  <si>
    <t>澳前镇</t>
    <phoneticPr fontId="38" type="noConversion"/>
  </si>
  <si>
    <t>北厝镇</t>
    <phoneticPr fontId="38" type="noConversion"/>
  </si>
  <si>
    <t>流水镇</t>
    <phoneticPr fontId="38" type="noConversion"/>
  </si>
  <si>
    <t>平原镇</t>
    <phoneticPr fontId="38" type="noConversion"/>
  </si>
  <si>
    <t>苏澳镇</t>
    <phoneticPr fontId="38" type="noConversion"/>
  </si>
  <si>
    <t>潭城镇</t>
    <phoneticPr fontId="38" type="noConversion"/>
  </si>
  <si>
    <t>白青乡</t>
    <phoneticPr fontId="38" type="noConversion"/>
  </si>
  <si>
    <t>大练乡</t>
    <phoneticPr fontId="38" type="noConversion"/>
  </si>
  <si>
    <t>东庠乡</t>
    <phoneticPr fontId="38" type="noConversion"/>
  </si>
  <si>
    <t>岚城乡</t>
    <phoneticPr fontId="38" type="noConversion"/>
  </si>
  <si>
    <t>芦洋乡</t>
    <phoneticPr fontId="38" type="noConversion"/>
  </si>
  <si>
    <t>南海乡</t>
    <phoneticPr fontId="38" type="noConversion"/>
  </si>
  <si>
    <t>屿头乡</t>
    <phoneticPr fontId="38" type="noConversion"/>
  </si>
  <si>
    <t>中楼乡</t>
    <phoneticPr fontId="38" type="noConversion"/>
  </si>
  <si>
    <t xml:space="preserve">    国有土地使用权出让收入安排的支出</t>
  </si>
  <si>
    <t xml:space="preserve">    国有土地收益基金支出</t>
  </si>
  <si>
    <t xml:space="preserve">    农业土地开发资金支出</t>
  </si>
  <si>
    <t xml:space="preserve">    城市基础设施配套费安排的支出</t>
  </si>
  <si>
    <t xml:space="preserve">    城市公用事业附加安排的支出</t>
    <phoneticPr fontId="38" type="noConversion"/>
  </si>
  <si>
    <t xml:space="preserve">    污水处理费安排的支出</t>
    <phoneticPr fontId="38" type="noConversion"/>
  </si>
  <si>
    <t xml:space="preserve">  大中型水库移民后期扶持基金支出</t>
  </si>
  <si>
    <t xml:space="preserve">  小型水库移民扶助基金及对应专项债务收入安排的支出</t>
  </si>
  <si>
    <t xml:space="preserve">  大中型水库库区基金及对应专项债务收入安排的支出</t>
  </si>
  <si>
    <t xml:space="preserve">  国家重大水利工程建设基金及对应专项债务收入安排的支出</t>
  </si>
  <si>
    <t xml:space="preserve">  新型墙体材料专项基金及对应专项债务收入安排的支出</t>
  </si>
  <si>
    <t xml:space="preserve">  旅游发展基金支出</t>
  </si>
  <si>
    <t xml:space="preserve">  彩票公益金及对应专项债务收入安排的支出</t>
  </si>
  <si>
    <t xml:space="preserve">  其他政府性基金及对应专项债务收入安排的支出</t>
  </si>
  <si>
    <t xml:space="preserve">   接收其他地区援助收入</t>
  </si>
  <si>
    <t xml:space="preserve">   债券转贷收入</t>
  </si>
  <si>
    <t xml:space="preserve">   调入资金</t>
  </si>
  <si>
    <t xml:space="preserve">   调入预算稳定调节基金</t>
  </si>
  <si>
    <t xml:space="preserve">   上年结余收入</t>
  </si>
  <si>
    <t xml:space="preserve">   下级上解收入</t>
  </si>
  <si>
    <t xml:space="preserve">      专项转移支付收入</t>
  </si>
  <si>
    <t xml:space="preserve">      一般性转移支付收入</t>
  </si>
  <si>
    <t xml:space="preserve">      返还性收入</t>
  </si>
  <si>
    <t xml:space="preserve">   上级补助收入</t>
  </si>
  <si>
    <t>四、转移性收入</t>
  </si>
  <si>
    <t>三、债务收入</t>
  </si>
  <si>
    <t>一般公共预算收入合计</t>
    <phoneticPr fontId="38" type="noConversion"/>
  </si>
  <si>
    <t>上年决算数</t>
    <phoneticPr fontId="38" type="noConversion"/>
  </si>
  <si>
    <t>决算数为上年决算数的％</t>
  </si>
  <si>
    <t>决算数为预算数的％</t>
  </si>
  <si>
    <t>调整预算数</t>
    <phoneticPr fontId="38" type="noConversion"/>
  </si>
  <si>
    <t>收入项目</t>
  </si>
  <si>
    <t>2016年度平潭一般公共预算收入决算表</t>
    <phoneticPr fontId="38" type="noConversion"/>
  </si>
  <si>
    <t>附表2-1</t>
  </si>
  <si>
    <t xml:space="preserve">   年终结余</t>
  </si>
  <si>
    <t xml:space="preserve">   调出资金</t>
  </si>
  <si>
    <t xml:space="preserve">   安排预算稳定调节基金</t>
  </si>
  <si>
    <t xml:space="preserve">   国债转贷资金结余</t>
  </si>
  <si>
    <t xml:space="preserve">   拨付国债转贷资金数</t>
  </si>
  <si>
    <t>按照财政部规定，将预算周转金调入预算稳定调节基金时，增设预算周转金以负数填列。</t>
    <phoneticPr fontId="38" type="noConversion"/>
  </si>
  <si>
    <t xml:space="preserve">   增设预算周转金</t>
  </si>
  <si>
    <t xml:space="preserve">   债务转贷支出</t>
  </si>
  <si>
    <t xml:space="preserve">   援助其他地区支出</t>
  </si>
  <si>
    <t xml:space="preserve">   上解上级支出</t>
  </si>
  <si>
    <t xml:space="preserve">      专项转移支付支出</t>
  </si>
  <si>
    <t xml:space="preserve">      一般性转移支付支出</t>
  </si>
  <si>
    <t xml:space="preserve">      返还性支出</t>
  </si>
  <si>
    <t xml:space="preserve">   补助下级支出</t>
  </si>
  <si>
    <t>债务还本支出</t>
    <phoneticPr fontId="38" type="noConversion"/>
  </si>
  <si>
    <t>一般公共预算支出合计</t>
    <phoneticPr fontId="38" type="noConversion"/>
  </si>
  <si>
    <t>备注</t>
    <phoneticPr fontId="38" type="noConversion"/>
  </si>
  <si>
    <t>上年决算数</t>
    <phoneticPr fontId="38" type="noConversion"/>
  </si>
  <si>
    <t>调整预算数</t>
    <phoneticPr fontId="38" type="noConversion"/>
  </si>
  <si>
    <t>支出项目</t>
  </si>
  <si>
    <t>2016年度平潭一般公共预算支出决算表</t>
    <phoneticPr fontId="38" type="noConversion"/>
  </si>
  <si>
    <t>附表2-2</t>
  </si>
  <si>
    <t>一般公共预算收入合计</t>
    <phoneticPr fontId="38" type="noConversion"/>
  </si>
  <si>
    <t>2016年度平潭一般公共预算本级收入决算表</t>
    <phoneticPr fontId="38" type="noConversion"/>
  </si>
  <si>
    <t>附表2-3</t>
  </si>
  <si>
    <t xml:space="preserve">  地方政府一般债务发行费用支出</t>
  </si>
  <si>
    <t xml:space="preserve">  中央政府国外债务发行费用支出</t>
  </si>
  <si>
    <t xml:space="preserve">  中央政府国内债务发行费用支出</t>
  </si>
  <si>
    <t>债务发行费用支出</t>
  </si>
  <si>
    <t xml:space="preserve">    地方政府其他一般债务付息支出</t>
  </si>
  <si>
    <t xml:space="preserve">    地方政府向国际组织借款付息支出</t>
  </si>
  <si>
    <t xml:space="preserve">    地方政府向外国政府借款付息支出</t>
  </si>
  <si>
    <t xml:space="preserve">    地方政府一般债券付息支出</t>
  </si>
  <si>
    <t xml:space="preserve">  地方政府一般债务付息支出</t>
  </si>
  <si>
    <t xml:space="preserve">    中央政府其他国外借款付息支出</t>
  </si>
  <si>
    <t xml:space="preserve">    中央政府向国际组织借款付息支出</t>
  </si>
  <si>
    <t xml:space="preserve">    中央政府向外国政府借款付息支出</t>
  </si>
  <si>
    <t xml:space="preserve">    中央政府境外发行主权债券付息支出</t>
  </si>
  <si>
    <t xml:space="preserve">  中央政府国外债务付息支出</t>
  </si>
  <si>
    <t xml:space="preserve">  中央政府国内债务付息支出</t>
  </si>
  <si>
    <t>债务付息支出</t>
  </si>
  <si>
    <t xml:space="preserve">    其他支出(项)</t>
  </si>
  <si>
    <t xml:space="preserve">  其他支出(款)</t>
  </si>
  <si>
    <t>其他支出(类)</t>
  </si>
  <si>
    <t xml:space="preserve">    其他重要商品储备支出</t>
  </si>
  <si>
    <t xml:space="preserve">    战略物资储备</t>
  </si>
  <si>
    <t xml:space="preserve">    食盐储备</t>
  </si>
  <si>
    <t xml:space="preserve">    医药储备</t>
  </si>
  <si>
    <t xml:space="preserve">    羊毛储备</t>
  </si>
  <si>
    <t xml:space="preserve">    边销茶储备</t>
  </si>
  <si>
    <t xml:space="preserve">    农药储备</t>
  </si>
  <si>
    <t xml:space="preserve">    化肥储备</t>
  </si>
  <si>
    <t xml:space="preserve">    肉类储备</t>
  </si>
  <si>
    <t xml:space="preserve">    食糖储备</t>
  </si>
  <si>
    <t xml:space="preserve">    棉花储备</t>
  </si>
  <si>
    <t xml:space="preserve">  重要商品储备</t>
  </si>
  <si>
    <t xml:space="preserve">    其他粮油储备支出</t>
  </si>
  <si>
    <t xml:space="preserve">    最低收购价政策支出</t>
  </si>
  <si>
    <t xml:space="preserve">    储备粮(油)库建设</t>
  </si>
  <si>
    <t xml:space="preserve">    储备粮油差价补贴</t>
  </si>
  <si>
    <t xml:space="preserve">    储备粮油补贴</t>
  </si>
  <si>
    <t xml:space="preserve">  粮油储备</t>
  </si>
  <si>
    <t xml:space="preserve">    其他能源储备</t>
  </si>
  <si>
    <t xml:space="preserve">    煤炭储备</t>
  </si>
  <si>
    <t xml:space="preserve">    天然铀能源储备</t>
  </si>
  <si>
    <t xml:space="preserve">    国家留成油串换石油储备支出</t>
  </si>
  <si>
    <t xml:space="preserve">    石油储备支出</t>
  </si>
  <si>
    <t xml:space="preserve">  能源储备</t>
  </si>
  <si>
    <t xml:space="preserve">    其他物资事务支出</t>
  </si>
  <si>
    <t xml:space="preserve">    事业运行</t>
  </si>
  <si>
    <t xml:space="preserve">    仓库安防</t>
  </si>
  <si>
    <t xml:space="preserve">    仓库建设</t>
  </si>
  <si>
    <t xml:space="preserve">    物资轮换</t>
  </si>
  <si>
    <t xml:space="preserve">    物资转移</t>
  </si>
  <si>
    <t xml:space="preserve">    专项贷款利息</t>
  </si>
  <si>
    <t xml:space="preserve">    物资保管与保养</t>
  </si>
  <si>
    <t xml:space="preserve">    护库武警和民兵支出</t>
  </si>
  <si>
    <t xml:space="preserve">    铁路专用线</t>
  </si>
  <si>
    <t xml:space="preserve">    机关服务</t>
  </si>
  <si>
    <t xml:space="preserve">    一般行政管理事务</t>
  </si>
  <si>
    <t xml:space="preserve">    行政运行</t>
  </si>
  <si>
    <t xml:space="preserve">  物资事务</t>
  </si>
  <si>
    <t xml:space="preserve">    其他粮油事务支出</t>
  </si>
  <si>
    <t xml:space="preserve">    粮油市场调控专项资金</t>
  </si>
  <si>
    <t xml:space="preserve">    粮食风险基金</t>
  </si>
  <si>
    <t xml:space="preserve">    处理陈化粮补贴</t>
  </si>
  <si>
    <t xml:space="preserve">    粮食财务挂账消化款</t>
  </si>
  <si>
    <t xml:space="preserve">    粮食财务挂账利息补贴</t>
  </si>
  <si>
    <t xml:space="preserve">    国家粮油差价补贴</t>
  </si>
  <si>
    <t xml:space="preserve">    粮食专项业务活动</t>
  </si>
  <si>
    <t xml:space="preserve">    粮食信息统计</t>
  </si>
  <si>
    <t xml:space="preserve">    粮食财务与审计支出</t>
  </si>
  <si>
    <t xml:space="preserve">  粮油事务</t>
  </si>
  <si>
    <t>粮油物资储备支出</t>
  </si>
  <si>
    <t xml:space="preserve">    其他城乡社区住宅支出</t>
  </si>
  <si>
    <t xml:space="preserve">    住房公积金管理</t>
  </si>
  <si>
    <t xml:space="preserve">    公有住房建设和维修改造支出</t>
  </si>
  <si>
    <t xml:space="preserve">  城乡社区住宅</t>
  </si>
  <si>
    <t xml:space="preserve">    购房补贴</t>
  </si>
  <si>
    <t xml:space="preserve">    提租补贴</t>
  </si>
  <si>
    <t xml:space="preserve">    住房公积金</t>
  </si>
  <si>
    <t xml:space="preserve">  住房改革支出</t>
  </si>
  <si>
    <t xml:space="preserve">    其他保障性安居工程支出</t>
  </si>
  <si>
    <t xml:space="preserve">    保障性住房租金补贴</t>
  </si>
  <si>
    <t xml:space="preserve">    公共租赁住房</t>
  </si>
  <si>
    <t xml:space="preserve">    农村危房改造</t>
  </si>
  <si>
    <t xml:space="preserve">    少数民族地区游牧民定居工程</t>
  </si>
  <si>
    <t xml:space="preserve">    棚户区改造</t>
  </si>
  <si>
    <t xml:space="preserve">    沉陷区治理</t>
  </si>
  <si>
    <t xml:space="preserve">    廉租住房</t>
  </si>
  <si>
    <t xml:space="preserve">  保障性安居工程支出</t>
  </si>
  <si>
    <t>住房保障支出</t>
  </si>
  <si>
    <t xml:space="preserve">    其他国土海洋气象等支出(项)</t>
  </si>
  <si>
    <t xml:space="preserve">  其他国土海洋气象等支出(款)</t>
  </si>
  <si>
    <t xml:space="preserve">    其他气象事务支出</t>
  </si>
  <si>
    <t xml:space="preserve">    气象资金审计稽查</t>
  </si>
  <si>
    <t xml:space="preserve">    气象法规与标准</t>
  </si>
  <si>
    <t xml:space="preserve">    气象卫星</t>
  </si>
  <si>
    <t xml:space="preserve">    气象基础设施建设与维修</t>
  </si>
  <si>
    <t xml:space="preserve">    气象装备保障维护</t>
  </si>
  <si>
    <t xml:space="preserve">    气象服务</t>
  </si>
  <si>
    <t xml:space="preserve">    气象预报预测</t>
  </si>
  <si>
    <t xml:space="preserve">    气象信息传输及管理</t>
  </si>
  <si>
    <t xml:space="preserve">    气象探测</t>
  </si>
  <si>
    <t xml:space="preserve">    气象事业机构</t>
  </si>
  <si>
    <t xml:space="preserve">  气象事务</t>
  </si>
  <si>
    <t xml:space="preserve">    其他地震事务支出</t>
  </si>
  <si>
    <t xml:space="preserve">    地震事业机构</t>
  </si>
  <si>
    <t xml:space="preserve">    防震减灾基础管理</t>
  </si>
  <si>
    <t xml:space="preserve">    防震减灾信息管理</t>
  </si>
  <si>
    <t xml:space="preserve">    地震环境探察</t>
  </si>
  <si>
    <t xml:space="preserve">    地震应急救援</t>
  </si>
  <si>
    <t xml:space="preserve">    地震灾害预防</t>
  </si>
  <si>
    <t xml:space="preserve">    地震预测预报</t>
  </si>
  <si>
    <t xml:space="preserve">    地震监测</t>
  </si>
  <si>
    <t xml:space="preserve">  地震事务</t>
  </si>
  <si>
    <t xml:space="preserve">    其他测绘事务支出</t>
  </si>
  <si>
    <t xml:space="preserve">    测绘工程建设</t>
  </si>
  <si>
    <t xml:space="preserve">    航空摄影</t>
  </si>
  <si>
    <t xml:space="preserve">    基础测绘</t>
  </si>
  <si>
    <t xml:space="preserve">  测绘事务</t>
  </si>
  <si>
    <t xml:space="preserve">    其他海洋管理事务支出</t>
  </si>
  <si>
    <t xml:space="preserve">    海岛和海域保护</t>
  </si>
  <si>
    <t xml:space="preserve">    无居民海岛使用金支出</t>
  </si>
  <si>
    <t xml:space="preserve">    海洋工程排污费支出</t>
  </si>
  <si>
    <t xml:space="preserve">    海水淡化</t>
  </si>
  <si>
    <t xml:space="preserve">    海港航标维护</t>
  </si>
  <si>
    <t xml:space="preserve">    海洋矿产资源勘探研究</t>
  </si>
  <si>
    <t xml:space="preserve">    极地考察</t>
  </si>
  <si>
    <t xml:space="preserve">    海洋卫星</t>
  </si>
  <si>
    <t xml:space="preserve">    海洋防灾减灾</t>
  </si>
  <si>
    <t xml:space="preserve">    海洋执法监察</t>
  </si>
  <si>
    <t xml:space="preserve">    海洋权益维护</t>
  </si>
  <si>
    <t xml:space="preserve">    海洋调查评价</t>
  </si>
  <si>
    <t xml:space="preserve">    海洋环境保护与监测</t>
  </si>
  <si>
    <t xml:space="preserve">    海域使用管理</t>
  </si>
  <si>
    <t xml:space="preserve">  海洋管理事务</t>
  </si>
  <si>
    <t xml:space="preserve">    其他国土资源事务支出</t>
  </si>
  <si>
    <t xml:space="preserve">    地质勘查基金(周转金)支出</t>
  </si>
  <si>
    <t xml:space="preserve">    国外风险勘查</t>
  </si>
  <si>
    <t xml:space="preserve">    地质转产项目财政贴息</t>
  </si>
  <si>
    <t xml:space="preserve">    地质矿产资源利用与保护</t>
  </si>
  <si>
    <t xml:space="preserve">    地质及矿产资源调查</t>
  </si>
  <si>
    <t xml:space="preserve">    土地资源储备支出</t>
  </si>
  <si>
    <t xml:space="preserve">    地质灾害防治</t>
  </si>
  <si>
    <t xml:space="preserve">    国土整治</t>
  </si>
  <si>
    <t xml:space="preserve">    国土资源调查</t>
  </si>
  <si>
    <t xml:space="preserve">    国土资源行业业务管理</t>
  </si>
  <si>
    <t xml:space="preserve">    国土资源社会公益服务</t>
  </si>
  <si>
    <t xml:space="preserve">    土地资源利用与保护</t>
  </si>
  <si>
    <t xml:space="preserve">    土地资源调查</t>
  </si>
  <si>
    <t xml:space="preserve">    国土资源规划及管理</t>
  </si>
  <si>
    <t xml:space="preserve">  国土资源事务</t>
  </si>
  <si>
    <t>国土海洋气象等支出</t>
  </si>
  <si>
    <t xml:space="preserve">  其他支出</t>
  </si>
  <si>
    <t xml:space="preserve">  住房保障</t>
  </si>
  <si>
    <t xml:space="preserve">  交通运输</t>
  </si>
  <si>
    <t xml:space="preserve">  农业</t>
  </si>
  <si>
    <t xml:space="preserve">  节能环保</t>
  </si>
  <si>
    <t xml:space="preserve">  医疗卫生</t>
  </si>
  <si>
    <t xml:space="preserve">  文化体育与传媒</t>
  </si>
  <si>
    <t xml:space="preserve">  教育</t>
  </si>
  <si>
    <t xml:space="preserve">  一般公共服务</t>
  </si>
  <si>
    <t>援助其他地区支出</t>
  </si>
  <si>
    <t xml:space="preserve">    其他金融支出(项)</t>
  </si>
  <si>
    <t xml:space="preserve">  其他金融支出(款)</t>
  </si>
  <si>
    <t xml:space="preserve">    其他金融调控支出</t>
  </si>
  <si>
    <t xml:space="preserve">    中央银行亏损补贴</t>
  </si>
  <si>
    <t xml:space="preserve">  金融调控支出</t>
  </si>
  <si>
    <t xml:space="preserve">    其他金融发展支出</t>
  </si>
  <si>
    <t xml:space="preserve">    风险基金补助</t>
  </si>
  <si>
    <t xml:space="preserve">    补充资本金</t>
  </si>
  <si>
    <t xml:space="preserve">    商业银行贷款贴息</t>
  </si>
  <si>
    <t xml:space="preserve">    政策性银行亏损补贴</t>
  </si>
  <si>
    <t xml:space="preserve">  金融发展支出</t>
  </si>
  <si>
    <t xml:space="preserve">    金融部门其他监管支出</t>
  </si>
  <si>
    <t xml:space="preserve">    反洗钱</t>
  </si>
  <si>
    <t xml:space="preserve">    从业人员资格考试</t>
  </si>
  <si>
    <t xml:space="preserve">    金融行业电子化建设</t>
  </si>
  <si>
    <t xml:space="preserve">    金融稽查与案件处理</t>
  </si>
  <si>
    <t xml:space="preserve">    重点金融机构监管</t>
  </si>
  <si>
    <t xml:space="preserve">    反假币</t>
  </si>
  <si>
    <t xml:space="preserve">    金融服务</t>
  </si>
  <si>
    <t xml:space="preserve">    货币发行</t>
  </si>
  <si>
    <t xml:space="preserve">  金融部门监管支出</t>
  </si>
  <si>
    <t xml:space="preserve">    金融部门其他行政支出</t>
  </si>
  <si>
    <t xml:space="preserve">    安全防卫</t>
  </si>
  <si>
    <t xml:space="preserve">  金融部门行政支出</t>
  </si>
  <si>
    <t>金融支出</t>
  </si>
  <si>
    <t xml:space="preserve">    其他商业服务业等支出(项)</t>
  </si>
  <si>
    <t xml:space="preserve">    服务业基础设施建设</t>
  </si>
  <si>
    <t xml:space="preserve">  其他商业服务业等支出(款)</t>
  </si>
  <si>
    <t xml:space="preserve">    其他涉外发展服务支出</t>
  </si>
  <si>
    <t xml:space="preserve">    外商投资环境建设补助资金</t>
  </si>
  <si>
    <t xml:space="preserve">  涉外发展服务支出</t>
  </si>
  <si>
    <t xml:space="preserve">    其他旅游业管理与服务支出</t>
  </si>
  <si>
    <t xml:space="preserve">    旅游行业业务管理</t>
  </si>
  <si>
    <t xml:space="preserve">    旅游宣传</t>
  </si>
  <si>
    <t xml:space="preserve">  旅游业管理与服务支出</t>
  </si>
  <si>
    <t xml:space="preserve">    其他商业流通事务支出</t>
  </si>
  <si>
    <t xml:space="preserve">    民贸民品贷款贴息</t>
  </si>
  <si>
    <t xml:space="preserve">    民贸企业补贴</t>
  </si>
  <si>
    <t xml:space="preserve">    市场监测及信息管理</t>
  </si>
  <si>
    <t xml:space="preserve">    食品流通安全补贴</t>
  </si>
  <si>
    <t xml:space="preserve">  商业流通事务</t>
  </si>
  <si>
    <t>商业服务业等支出</t>
  </si>
  <si>
    <t xml:space="preserve">    其他资源勘探信息等支出(项)</t>
  </si>
  <si>
    <t xml:space="preserve">    重点产业振兴和技术改造项目贷款贴息</t>
  </si>
  <si>
    <t xml:space="preserve">    中药材扶持资金支出</t>
  </si>
  <si>
    <t xml:space="preserve">    技术改造支出</t>
  </si>
  <si>
    <t xml:space="preserve">    建设项目贷款贴息</t>
  </si>
  <si>
    <t xml:space="preserve">    黄金事务</t>
  </si>
  <si>
    <t xml:space="preserve">  其他资源勘探信息等支出(款)</t>
  </si>
  <si>
    <t xml:space="preserve">    其他支持中小企业发展和管理支出</t>
  </si>
  <si>
    <t xml:space="preserve">    中小企业发展专项</t>
  </si>
  <si>
    <t xml:space="preserve">    科技型中小企业技术创新基金</t>
  </si>
  <si>
    <t xml:space="preserve">  支持中小企业发展和管理支出</t>
  </si>
  <si>
    <t xml:space="preserve">    其他国有资产监管支出</t>
  </si>
  <si>
    <t xml:space="preserve">    中央企业专项管理</t>
  </si>
  <si>
    <t xml:space="preserve">    国有企业监事会专项</t>
  </si>
  <si>
    <t xml:space="preserve">  国有资产监管</t>
  </si>
  <si>
    <t xml:space="preserve">    其他安全生产监管支出</t>
  </si>
  <si>
    <t xml:space="preserve">    煤炭安全</t>
  </si>
  <si>
    <t xml:space="preserve">    应急救援支出</t>
  </si>
  <si>
    <t xml:space="preserve">    安全监管监察专项</t>
  </si>
  <si>
    <t xml:space="preserve">    国务院安委会专项</t>
  </si>
  <si>
    <t xml:space="preserve">  安全生产监管</t>
  </si>
  <si>
    <t xml:space="preserve">    其他工业和信息产业监管支出</t>
  </si>
  <si>
    <t xml:space="preserve">    技术基础研究</t>
  </si>
  <si>
    <t xml:space="preserve">    行业监管</t>
  </si>
  <si>
    <t xml:space="preserve">    电子专项工程</t>
  </si>
  <si>
    <t xml:space="preserve">    工业和信息产业支持</t>
  </si>
  <si>
    <t xml:space="preserve">    工业和信息产业战略研究与标准制定</t>
  </si>
  <si>
    <t xml:space="preserve">    无线电监管</t>
  </si>
  <si>
    <t xml:space="preserve">    专用通信</t>
  </si>
  <si>
    <t xml:space="preserve">    信息安全建设</t>
  </si>
  <si>
    <t xml:space="preserve">    战备应急</t>
  </si>
  <si>
    <t xml:space="preserve">  工业和信息产业监管</t>
  </si>
  <si>
    <t xml:space="preserve">    其他建筑业支出</t>
  </si>
  <si>
    <t xml:space="preserve">  建筑业</t>
  </si>
  <si>
    <t xml:space="preserve">    其他制造业支出</t>
  </si>
  <si>
    <t xml:space="preserve">    有色金属冶炼及压延加工业</t>
  </si>
  <si>
    <t xml:space="preserve">    黑色金属冶炼及压延加工业</t>
  </si>
  <si>
    <t xml:space="preserve">    化学原料及化学制品制造业</t>
  </si>
  <si>
    <t xml:space="preserve">    石油加工、炼焦及核燃料加工业</t>
  </si>
  <si>
    <t xml:space="preserve">    工艺品及其他制造业</t>
  </si>
  <si>
    <t xml:space="preserve">    电气机械及器材制造业</t>
  </si>
  <si>
    <t xml:space="preserve">    交通运输设备制造业</t>
  </si>
  <si>
    <t xml:space="preserve">    通信设备、计算机及其他电子设备制造业</t>
  </si>
  <si>
    <t xml:space="preserve">    非金属矿物制品业</t>
  </si>
  <si>
    <t xml:space="preserve">    医药制造业</t>
  </si>
  <si>
    <t xml:space="preserve">    纺织业</t>
  </si>
  <si>
    <t xml:space="preserve">  制造业</t>
  </si>
  <si>
    <t xml:space="preserve">    其他资源勘探业支出</t>
  </si>
  <si>
    <t xml:space="preserve">    非金属矿勘探和采选</t>
  </si>
  <si>
    <t xml:space="preserve">    有色金属矿勘探和采选</t>
  </si>
  <si>
    <t xml:space="preserve">    黑色金属矿勘探和采选</t>
  </si>
  <si>
    <t xml:space="preserve">    石油和天然气勘探开采</t>
  </si>
  <si>
    <t xml:space="preserve">    煤炭勘探开采和洗选</t>
  </si>
  <si>
    <t xml:space="preserve">  资源勘探开发</t>
  </si>
  <si>
    <t>资源勘探信息等支出</t>
  </si>
  <si>
    <t xml:space="preserve">    其他交通运输支出(项)</t>
  </si>
  <si>
    <t xml:space="preserve">    公共交通运营补助</t>
  </si>
  <si>
    <t xml:space="preserve">  其他交通运输支出(款)</t>
  </si>
  <si>
    <t xml:space="preserve">    车辆购置税其他支出</t>
  </si>
  <si>
    <t xml:space="preserve">    车辆购置税用于老旧汽车报废更新补贴支出</t>
  </si>
  <si>
    <t xml:space="preserve">    车辆购置税用于农村公路建设支出</t>
  </si>
  <si>
    <t xml:space="preserve">    车辆购置税用于公路等基础设施建设支出</t>
  </si>
  <si>
    <t xml:space="preserve">  车辆购置税支出</t>
  </si>
  <si>
    <t xml:space="preserve">    其他邮政业支出</t>
  </si>
  <si>
    <t xml:space="preserve">    邮政普遍服务与特殊服务</t>
  </si>
  <si>
    <t xml:space="preserve">  邮政业支出</t>
  </si>
  <si>
    <t xml:space="preserve">    成品油价格改革补贴其他支出</t>
  </si>
  <si>
    <t xml:space="preserve">    对出租车的补贴</t>
  </si>
  <si>
    <t xml:space="preserve">    对农村道路客运的补贴</t>
  </si>
  <si>
    <t xml:space="preserve">    对城市公交的补贴</t>
  </si>
  <si>
    <t xml:space="preserve">  成品油价格改革对交通运输的补贴</t>
  </si>
  <si>
    <t xml:space="preserve">    其他民用航空运输支出</t>
  </si>
  <si>
    <t xml:space="preserve">    民航专项运输</t>
  </si>
  <si>
    <t xml:space="preserve">    民用航空安全</t>
  </si>
  <si>
    <t xml:space="preserve">    民航还贷专项支出</t>
  </si>
  <si>
    <t xml:space="preserve">    空管系统建设</t>
  </si>
  <si>
    <t xml:space="preserve">    机场建设</t>
  </si>
  <si>
    <t xml:space="preserve">  民用航空运输</t>
  </si>
  <si>
    <t xml:space="preserve">    其他铁路运输支出</t>
  </si>
  <si>
    <t xml:space="preserve">    铁路专项运输</t>
  </si>
  <si>
    <t xml:space="preserve">    铁路安全</t>
  </si>
  <si>
    <t xml:space="preserve">    铁路还贷专项</t>
  </si>
  <si>
    <t xml:space="preserve">    铁路路网建设</t>
  </si>
  <si>
    <t xml:space="preserve">  铁路运输</t>
  </si>
  <si>
    <t xml:space="preserve">    其他公路水路运输支出</t>
  </si>
  <si>
    <t xml:space="preserve">    取消政府还贷二级公路收费专项支出</t>
  </si>
  <si>
    <t xml:space="preserve">    口岸建设</t>
  </si>
  <si>
    <t xml:space="preserve">    水路运输管理支出</t>
  </si>
  <si>
    <t xml:space="preserve">    航标事业发展支出</t>
  </si>
  <si>
    <t xml:space="preserve">    海事管理</t>
  </si>
  <si>
    <t xml:space="preserve">    远洋运输</t>
  </si>
  <si>
    <t xml:space="preserve">    内河运输</t>
  </si>
  <si>
    <t xml:space="preserve">    救助打捞</t>
  </si>
  <si>
    <t xml:space="preserve">    船舶检验</t>
  </si>
  <si>
    <t xml:space="preserve">    航务管理</t>
  </si>
  <si>
    <t xml:space="preserve">    三峡库区通航管理</t>
  </si>
  <si>
    <t xml:space="preserve">    安全通信</t>
  </si>
  <si>
    <t xml:space="preserve">    航道维护</t>
  </si>
  <si>
    <t xml:space="preserve">    港口设施</t>
  </si>
  <si>
    <t xml:space="preserve">    公路和运输技术标准化建设</t>
  </si>
  <si>
    <t xml:space="preserve">    公路客货运站(场)建设</t>
  </si>
  <si>
    <t xml:space="preserve">    公路运输管理</t>
  </si>
  <si>
    <t xml:space="preserve">    公路还贷专项</t>
  </si>
  <si>
    <t xml:space="preserve">    公路和运输安全</t>
  </si>
  <si>
    <t xml:space="preserve">    公路和运输信息化建设</t>
  </si>
  <si>
    <t xml:space="preserve">    公路路政管理</t>
  </si>
  <si>
    <t xml:space="preserve">    特大型桥梁建设</t>
  </si>
  <si>
    <t xml:space="preserve">    公路养护</t>
  </si>
  <si>
    <t xml:space="preserve">    公路改建</t>
  </si>
  <si>
    <t xml:space="preserve">    公路新建</t>
  </si>
  <si>
    <t xml:space="preserve">  公路水路运输</t>
  </si>
  <si>
    <t>交通运输支出</t>
  </si>
  <si>
    <t xml:space="preserve">    其他农林水支出(项)</t>
  </si>
  <si>
    <t xml:space="preserve">    化解其他公益性乡村债务支出</t>
  </si>
  <si>
    <t xml:space="preserve">  其他农林水支出(款)</t>
  </si>
  <si>
    <t xml:space="preserve">    其他目标价格补贴</t>
  </si>
  <si>
    <t xml:space="preserve">    大豆目标价格补贴</t>
  </si>
  <si>
    <t xml:space="preserve">    棉花目标价格补贴</t>
  </si>
  <si>
    <t xml:space="preserve">  目标价格补贴</t>
  </si>
  <si>
    <t xml:space="preserve">    其他普惠金融发展支出</t>
  </si>
  <si>
    <t xml:space="preserve">    补充小额担保贷款基金</t>
  </si>
  <si>
    <t xml:space="preserve">    小额担保贷款贴息</t>
  </si>
  <si>
    <t xml:space="preserve">    农业保险保费补贴</t>
  </si>
  <si>
    <t xml:space="preserve">    涉农贷款增量奖励</t>
  </si>
  <si>
    <t xml:space="preserve">    支持农村金融机构</t>
  </si>
  <si>
    <t xml:space="preserve">  普惠金融发展支出</t>
  </si>
  <si>
    <t xml:space="preserve">    其他农村综合改革支出</t>
  </si>
  <si>
    <t xml:space="preserve">    农村综合改革示范试点补助</t>
  </si>
  <si>
    <t xml:space="preserve">    对村集体经济组织的补助</t>
  </si>
  <si>
    <t xml:space="preserve">    对村民委员会和村党支部的补助</t>
  </si>
  <si>
    <t xml:space="preserve">    国有农场办社会职能改革补助</t>
  </si>
  <si>
    <t xml:space="preserve">    对村级一事一议的补助</t>
  </si>
  <si>
    <t xml:space="preserve">  农村综合改革</t>
  </si>
  <si>
    <t xml:space="preserve">    其他农业综合开发支出</t>
  </si>
  <si>
    <t xml:space="preserve">    科技示范</t>
  </si>
  <si>
    <t xml:space="preserve">    产业化经营</t>
  </si>
  <si>
    <t xml:space="preserve">    土地治理</t>
  </si>
  <si>
    <t xml:space="preserve">    机构运行</t>
  </si>
  <si>
    <t xml:space="preserve">  农业综合开发</t>
  </si>
  <si>
    <t xml:space="preserve">    其他扶贫支出</t>
  </si>
  <si>
    <t xml:space="preserve">    扶贫事业机构</t>
  </si>
  <si>
    <t xml:space="preserve">    “三西”农业建设专项补助</t>
  </si>
  <si>
    <t xml:space="preserve">    扶贫贷款奖补和贴息</t>
  </si>
  <si>
    <t xml:space="preserve">    社会发展</t>
  </si>
  <si>
    <t xml:space="preserve">    生产发展</t>
  </si>
  <si>
    <t xml:space="preserve">    农村基础设施建设</t>
  </si>
  <si>
    <t xml:space="preserve">  扶贫</t>
  </si>
  <si>
    <t xml:space="preserve">    其他南水北调支出</t>
  </si>
  <si>
    <t xml:space="preserve">    环境、移民及水资源管理与保护</t>
  </si>
  <si>
    <t xml:space="preserve">    南水北调技术推广</t>
  </si>
  <si>
    <t xml:space="preserve">    前期工作</t>
  </si>
  <si>
    <t xml:space="preserve">    工程稽查</t>
  </si>
  <si>
    <t xml:space="preserve">    政策研究与信息管理</t>
  </si>
  <si>
    <t xml:space="preserve">    南水北调工程建设</t>
  </si>
  <si>
    <t xml:space="preserve">  南水北调</t>
  </si>
  <si>
    <t xml:space="preserve">    其他水利支出</t>
  </si>
  <si>
    <t xml:space="preserve">    农村人畜饮水</t>
  </si>
  <si>
    <t xml:space="preserve">    水利建设移民支出</t>
  </si>
  <si>
    <t xml:space="preserve">    信息管理</t>
  </si>
  <si>
    <t xml:space="preserve">    砂石资源费支出</t>
  </si>
  <si>
    <t xml:space="preserve">    水资源费安排的支出</t>
  </si>
  <si>
    <t xml:space="preserve">    水利安全监督</t>
  </si>
  <si>
    <t xml:space="preserve">    大中型水库移民后期扶持专项支出</t>
  </si>
  <si>
    <t xml:space="preserve">    江河湖库水系综合整治</t>
  </si>
  <si>
    <t xml:space="preserve">    国际河流治理与管理</t>
  </si>
  <si>
    <t xml:space="preserve">    水利技术推广</t>
  </si>
  <si>
    <t xml:space="preserve">    农田水利</t>
  </si>
  <si>
    <t xml:space="preserve">    抗旱</t>
  </si>
  <si>
    <t xml:space="preserve">    防汛</t>
  </si>
  <si>
    <t xml:space="preserve">    水文测报</t>
  </si>
  <si>
    <t xml:space="preserve">    水质监测</t>
  </si>
  <si>
    <t xml:space="preserve">    水资源节约管理与保护</t>
  </si>
  <si>
    <t xml:space="preserve">    水土保持</t>
  </si>
  <si>
    <t xml:space="preserve">    水利执法监督</t>
  </si>
  <si>
    <t xml:space="preserve">    水利前期工作</t>
  </si>
  <si>
    <t xml:space="preserve">    长江黄河等流域管理</t>
  </si>
  <si>
    <t xml:space="preserve">    水利工程运行与维护</t>
  </si>
  <si>
    <t xml:space="preserve">    水利工程建设</t>
  </si>
  <si>
    <t xml:space="preserve">    水利行业业务管理</t>
  </si>
  <si>
    <t xml:space="preserve">  水利</t>
  </si>
  <si>
    <t xml:space="preserve">    其他林业支出</t>
  </si>
  <si>
    <t xml:space="preserve">    林业防灾减灾</t>
  </si>
  <si>
    <t xml:space="preserve">    成品油价格改革对林业的补贴</t>
  </si>
  <si>
    <t xml:space="preserve">    林业贷款贴息</t>
  </si>
  <si>
    <t xml:space="preserve">    林区公共支出</t>
  </si>
  <si>
    <t xml:space="preserve">    林业资金审计稽查</t>
  </si>
  <si>
    <t xml:space="preserve">    林业政策制定与宣传</t>
  </si>
  <si>
    <t xml:space="preserve">    林业产业化</t>
  </si>
  <si>
    <t xml:space="preserve">    林业对外合作与交流</t>
  </si>
  <si>
    <t xml:space="preserve">    林业工程与项目管理</t>
  </si>
  <si>
    <t xml:space="preserve">    林业质量安全</t>
  </si>
  <si>
    <t xml:space="preserve">    防沙治沙</t>
  </si>
  <si>
    <t xml:space="preserve">    林业检疫检测</t>
  </si>
  <si>
    <t xml:space="preserve">    林业执法与监督</t>
  </si>
  <si>
    <t xml:space="preserve">    湿地保护</t>
  </si>
  <si>
    <t xml:space="preserve">    动植物保护</t>
  </si>
  <si>
    <t xml:space="preserve">    林业自然保护区</t>
  </si>
  <si>
    <t xml:space="preserve">    森林生态效益补偿</t>
  </si>
  <si>
    <t xml:space="preserve">    森林资源监测</t>
  </si>
  <si>
    <t xml:space="preserve">    森林资源管理</t>
  </si>
  <si>
    <t xml:space="preserve">    林业技术推广</t>
  </si>
  <si>
    <t xml:space="preserve">    森林培育</t>
  </si>
  <si>
    <t xml:space="preserve">    林业事业机构</t>
  </si>
  <si>
    <t xml:space="preserve">  林业</t>
  </si>
  <si>
    <t xml:space="preserve">    其他农业支出</t>
  </si>
  <si>
    <t xml:space="preserve">    对高校毕业生到基层任职补助</t>
  </si>
  <si>
    <t xml:space="preserve">    成品油价格改革对渔业的补贴</t>
  </si>
  <si>
    <t xml:space="preserve">    农村道路建设</t>
  </si>
  <si>
    <t xml:space="preserve">    农业资源保护修复与利用</t>
  </si>
  <si>
    <t xml:space="preserve">    综合财力补助</t>
  </si>
  <si>
    <t xml:space="preserve">    农村公益事业</t>
  </si>
  <si>
    <t xml:space="preserve">    农产品加工与促销</t>
  </si>
  <si>
    <t xml:space="preserve">    农业组织化与产业化经营</t>
  </si>
  <si>
    <t xml:space="preserve">    农业生产支持补贴</t>
  </si>
  <si>
    <t xml:space="preserve">    农业结构调整补贴</t>
  </si>
  <si>
    <t xml:space="preserve">    稳定农民收入补贴</t>
  </si>
  <si>
    <t xml:space="preserve">    防灾救灾</t>
  </si>
  <si>
    <t xml:space="preserve">    对外交流与合作</t>
  </si>
  <si>
    <t xml:space="preserve">    农业行业业务管理</t>
  </si>
  <si>
    <t xml:space="preserve">    统计监测与信息服务</t>
  </si>
  <si>
    <t xml:space="preserve">    执法监管</t>
  </si>
  <si>
    <t xml:space="preserve">    农产品质量安全</t>
  </si>
  <si>
    <t xml:space="preserve">    病虫害控制</t>
  </si>
  <si>
    <t xml:space="preserve">    科技转化与推广服务</t>
  </si>
  <si>
    <t xml:space="preserve">    农垦运行</t>
  </si>
  <si>
    <t>农林水支出</t>
  </si>
  <si>
    <t xml:space="preserve">    其他城乡社区支出(项)</t>
  </si>
  <si>
    <t xml:space="preserve">  其他城乡社区支出(款)</t>
  </si>
  <si>
    <t xml:space="preserve">    建设市场管理与监督(项)</t>
  </si>
  <si>
    <t xml:space="preserve">  建设市场管理与监督(款)</t>
  </si>
  <si>
    <t xml:space="preserve">    城乡社区环境卫生(项)</t>
  </si>
  <si>
    <t xml:space="preserve">  城乡社区环境卫生(款)</t>
  </si>
  <si>
    <t xml:space="preserve">    其他城乡社区公共设施支出</t>
  </si>
  <si>
    <t xml:space="preserve">    小城镇基础设施建设</t>
  </si>
  <si>
    <t xml:space="preserve">  城乡社区公共设施</t>
  </si>
  <si>
    <t xml:space="preserve">    城乡社区规划与管理(项)</t>
  </si>
  <si>
    <t xml:space="preserve">  城乡社区规划与管理(款)</t>
  </si>
  <si>
    <t xml:space="preserve">    其他城乡社区管理事务支出</t>
  </si>
  <si>
    <t xml:space="preserve">    执业资格注册、资质审查</t>
  </si>
  <si>
    <t xml:space="preserve">    住宅建设与房地产市场监管</t>
  </si>
  <si>
    <t xml:space="preserve">    国家重点风景区规划与保护</t>
  </si>
  <si>
    <t xml:space="preserve">    市政公用行业市场监管</t>
  </si>
  <si>
    <t xml:space="preserve">    工程建设管理</t>
  </si>
  <si>
    <t xml:space="preserve">    工程建设标准规范编制与监管</t>
  </si>
  <si>
    <t xml:space="preserve">    城管执法</t>
  </si>
  <si>
    <t xml:space="preserve">  城乡社区管理事务</t>
  </si>
  <si>
    <t>城乡社区支出</t>
  </si>
  <si>
    <t xml:space="preserve">    其他节能环保支出(项)</t>
  </si>
  <si>
    <t xml:space="preserve">  其他节能环保支出(款)</t>
  </si>
  <si>
    <t xml:space="preserve">    其他能源管理事务支出</t>
  </si>
  <si>
    <t xml:space="preserve">    农村电网建设</t>
  </si>
  <si>
    <t xml:space="preserve">    信息化建设</t>
  </si>
  <si>
    <t xml:space="preserve">    能源调查</t>
  </si>
  <si>
    <t xml:space="preserve">    石油储备发展管理</t>
  </si>
  <si>
    <t xml:space="preserve">    能源管理</t>
  </si>
  <si>
    <t xml:space="preserve">    能源行业管理</t>
  </si>
  <si>
    <t xml:space="preserve">    能源科技装备</t>
  </si>
  <si>
    <t xml:space="preserve">    能源战略规划与实施</t>
  </si>
  <si>
    <t xml:space="preserve">    能源预测预警</t>
  </si>
  <si>
    <t xml:space="preserve">  能源管理事务</t>
  </si>
  <si>
    <t xml:space="preserve">    循环经济(项)</t>
  </si>
  <si>
    <t xml:space="preserve">  循环经济(款)</t>
  </si>
  <si>
    <t xml:space="preserve">    可再生能源(项)</t>
  </si>
  <si>
    <t xml:space="preserve">  可再生能源(款)</t>
  </si>
  <si>
    <t xml:space="preserve">    其他污染减排支出</t>
  </si>
  <si>
    <t xml:space="preserve">    清洁生产专项支出</t>
  </si>
  <si>
    <t xml:space="preserve">    减排专项支出</t>
  </si>
  <si>
    <t xml:space="preserve">    环境执法监察</t>
  </si>
  <si>
    <t xml:space="preserve">    环境监测与信息</t>
  </si>
  <si>
    <t xml:space="preserve">  污染减排</t>
  </si>
  <si>
    <t xml:space="preserve">    能源节约利用(项)</t>
  </si>
  <si>
    <t xml:space="preserve">  能源节约利用(款)</t>
  </si>
  <si>
    <t xml:space="preserve">    已垦草原退耕还草(项)</t>
  </si>
  <si>
    <t xml:space="preserve">  已垦草原退耕还草(款)</t>
  </si>
  <si>
    <t xml:space="preserve">    其他退牧还草支出</t>
  </si>
  <si>
    <t xml:space="preserve">    退牧还草工程建设</t>
  </si>
  <si>
    <t xml:space="preserve">  退牧还草</t>
  </si>
  <si>
    <t xml:space="preserve">    其他风沙荒漠治理支出</t>
  </si>
  <si>
    <t xml:space="preserve">    京津风沙源治理工程建设</t>
  </si>
  <si>
    <t xml:space="preserve">  风沙荒漠治理</t>
  </si>
  <si>
    <t xml:space="preserve">    其他退耕还林支出</t>
  </si>
  <si>
    <t xml:space="preserve">    退耕还林工程建设</t>
  </si>
  <si>
    <t xml:space="preserve">    退耕还林粮食费用补贴</t>
  </si>
  <si>
    <t xml:space="preserve">    退耕还林粮食折现补贴</t>
  </si>
  <si>
    <t xml:space="preserve">    退耕现金</t>
  </si>
  <si>
    <t xml:space="preserve">  退耕还林</t>
  </si>
  <si>
    <t xml:space="preserve">    其他天然林保护支出</t>
  </si>
  <si>
    <t xml:space="preserve">    天然林保护工程建设</t>
  </si>
  <si>
    <t xml:space="preserve">    政策性社会性支出补助</t>
  </si>
  <si>
    <t xml:space="preserve">    社会保险补助</t>
  </si>
  <si>
    <t xml:space="preserve">    森林管护</t>
  </si>
  <si>
    <t xml:space="preserve">  天然林保护</t>
  </si>
  <si>
    <t xml:space="preserve">    其他自然生态保护支出</t>
  </si>
  <si>
    <t xml:space="preserve">    生物及物种资源保护</t>
  </si>
  <si>
    <t xml:space="preserve">    自然保护区</t>
  </si>
  <si>
    <t xml:space="preserve">    农村环境保护</t>
  </si>
  <si>
    <t xml:space="preserve">    生态保护</t>
  </si>
  <si>
    <t xml:space="preserve">  自然生态保护</t>
  </si>
  <si>
    <t xml:space="preserve">    其他污染防治支出</t>
  </si>
  <si>
    <t xml:space="preserve">    排污费安排的支出</t>
  </si>
  <si>
    <t xml:space="preserve">    辐射</t>
  </si>
  <si>
    <t xml:space="preserve">    放射源和放射性废物监管</t>
  </si>
  <si>
    <t xml:space="preserve">    固体废弃物与化学品</t>
  </si>
  <si>
    <t xml:space="preserve">    噪声</t>
  </si>
  <si>
    <t xml:space="preserve">    水体</t>
  </si>
  <si>
    <t xml:space="preserve">    大气</t>
  </si>
  <si>
    <t xml:space="preserve">  污染防治</t>
  </si>
  <si>
    <t xml:space="preserve">    其他环境监测与监察支出</t>
  </si>
  <si>
    <t xml:space="preserve">    核与辐射安全监督</t>
  </si>
  <si>
    <t xml:space="preserve">    建设项目环评审查与监督</t>
  </si>
  <si>
    <t xml:space="preserve">  环境监测与监察</t>
  </si>
  <si>
    <t xml:space="preserve">    其他环境保护管理事务支出</t>
  </si>
  <si>
    <t xml:space="preserve">    环境保护行政许可</t>
  </si>
  <si>
    <t xml:space="preserve">    环境国际合作及履约</t>
  </si>
  <si>
    <t xml:space="preserve">    环境保护法规、规划及标准</t>
  </si>
  <si>
    <t xml:space="preserve">    环境保护宣传</t>
  </si>
  <si>
    <t xml:space="preserve">  环境保护管理事务</t>
  </si>
  <si>
    <t>节能环保支出</t>
  </si>
  <si>
    <t xml:space="preserve">    其他医疗卫生与计划生育支出(项)</t>
  </si>
  <si>
    <t xml:space="preserve">  其他医疗卫生与计划生育支出(款)</t>
  </si>
  <si>
    <t xml:space="preserve">    其他食品和药品监督管理事务支出</t>
  </si>
  <si>
    <t xml:space="preserve">    食品安全事务</t>
  </si>
  <si>
    <t xml:space="preserve">    医疗器械事务</t>
  </si>
  <si>
    <t xml:space="preserve">    化妆品事务</t>
  </si>
  <si>
    <t xml:space="preserve">    药品事务</t>
  </si>
  <si>
    <t xml:space="preserve">  食品和药品监督管理事务</t>
  </si>
  <si>
    <t xml:space="preserve">    其他计划生育事务支出</t>
  </si>
  <si>
    <t xml:space="preserve">    计划生育服务</t>
  </si>
  <si>
    <t xml:space="preserve">    计划生育机构</t>
  </si>
  <si>
    <t xml:space="preserve">  计划生育事务</t>
  </si>
  <si>
    <t xml:space="preserve">    其他中医药支出</t>
  </si>
  <si>
    <t xml:space="preserve">    中医(民族医)药专项</t>
  </si>
  <si>
    <t xml:space="preserve">  中医药</t>
  </si>
  <si>
    <t xml:space="preserve">    其他医疗保障支出</t>
  </si>
  <si>
    <t xml:space="preserve">    疾病应急救助</t>
  </si>
  <si>
    <t xml:space="preserve">    城乡医疗救助</t>
  </si>
  <si>
    <t xml:space="preserve">    城镇居民基本医疗保险</t>
  </si>
  <si>
    <t xml:space="preserve">    新型农村合作医疗</t>
  </si>
  <si>
    <t xml:space="preserve">    优抚对象医疗补助</t>
  </si>
  <si>
    <t xml:space="preserve">    公务员医疗补助</t>
  </si>
  <si>
    <t xml:space="preserve">    事业单位医疗</t>
  </si>
  <si>
    <t xml:space="preserve">    行政单位医疗</t>
  </si>
  <si>
    <t xml:space="preserve">  医疗保障</t>
  </si>
  <si>
    <t xml:space="preserve">    其他公共卫生支出</t>
  </si>
  <si>
    <t xml:space="preserve">    突发公共卫生事件应急处理</t>
  </si>
  <si>
    <t xml:space="preserve">    重大公共卫生专项</t>
  </si>
  <si>
    <t xml:space="preserve">    基本公共卫生服务</t>
  </si>
  <si>
    <t xml:space="preserve">    其他专业公共卫生机构</t>
  </si>
  <si>
    <t xml:space="preserve">    采供血机构</t>
  </si>
  <si>
    <t xml:space="preserve">    应急救治机构</t>
  </si>
  <si>
    <t xml:space="preserve">    精神卫生机构</t>
  </si>
  <si>
    <t xml:space="preserve">    妇幼保健机构</t>
  </si>
  <si>
    <t xml:space="preserve">    卫生监督机构</t>
  </si>
  <si>
    <t xml:space="preserve">    疾病预防控制机构</t>
  </si>
  <si>
    <t xml:space="preserve">  公共卫生</t>
  </si>
  <si>
    <t xml:space="preserve">    其他基层医疗卫生机构支出</t>
  </si>
  <si>
    <t xml:space="preserve">    乡镇卫生院</t>
  </si>
  <si>
    <t xml:space="preserve">    城市社区卫生机构</t>
  </si>
  <si>
    <t xml:space="preserve">  基层医疗卫生机构</t>
  </si>
  <si>
    <t xml:space="preserve">    其他公立医院支出</t>
  </si>
  <si>
    <t xml:space="preserve">    处理医疗欠费</t>
  </si>
  <si>
    <t xml:space="preserve">    行业医院</t>
  </si>
  <si>
    <t xml:space="preserve">    福利医院</t>
  </si>
  <si>
    <t xml:space="preserve">    其他专科医院</t>
  </si>
  <si>
    <t xml:space="preserve">    儿童医院</t>
  </si>
  <si>
    <t xml:space="preserve">    妇产医院</t>
  </si>
  <si>
    <t xml:space="preserve">    精神病医院</t>
  </si>
  <si>
    <t xml:space="preserve">    职业病防治医院</t>
  </si>
  <si>
    <t xml:space="preserve">    传染病医院</t>
  </si>
  <si>
    <t xml:space="preserve">    中医(民族)医院</t>
  </si>
  <si>
    <t xml:space="preserve">    综合医院</t>
  </si>
  <si>
    <t xml:space="preserve">  公立医院</t>
  </si>
  <si>
    <t xml:space="preserve">    其他医疗卫生与计划生育管理事务支出</t>
  </si>
  <si>
    <t xml:space="preserve">  医疗卫生与计划生育管理事务</t>
  </si>
  <si>
    <t>医疗卫生与计划生育支出</t>
  </si>
  <si>
    <t xml:space="preserve">    其他社会保障和就业支出(项)</t>
  </si>
  <si>
    <t xml:space="preserve">  其他社会保障和就业支出(款)</t>
  </si>
  <si>
    <t xml:space="preserve">    其他农村生活救助</t>
  </si>
  <si>
    <t xml:space="preserve">    其他城市生活救助</t>
  </si>
  <si>
    <t xml:space="preserve">  其他生活救助</t>
  </si>
  <si>
    <t xml:space="preserve">    交强险罚款收入补助基金支出</t>
  </si>
  <si>
    <t xml:space="preserve">    交强险营业税补助基金支出</t>
  </si>
  <si>
    <t xml:space="preserve">  补充道路交通事故社会救助基金</t>
  </si>
  <si>
    <t xml:space="preserve">    农村五保供养支出</t>
  </si>
  <si>
    <t xml:space="preserve">    城市特困人员供养支出</t>
  </si>
  <si>
    <t xml:space="preserve">  特困人员供养</t>
  </si>
  <si>
    <t xml:space="preserve">    流浪乞讨人员救助支出</t>
  </si>
  <si>
    <t xml:space="preserve">    临时救助支出</t>
  </si>
  <si>
    <t xml:space="preserve">  临时救助</t>
  </si>
  <si>
    <t xml:space="preserve">    农村最低生活保障金支出</t>
  </si>
  <si>
    <t xml:space="preserve">    城市最低生活保障金支出</t>
  </si>
  <si>
    <t xml:space="preserve">  最低生活保障</t>
  </si>
  <si>
    <t xml:space="preserve">    其他红十字事业支出</t>
  </si>
  <si>
    <t xml:space="preserve">  红十字事业</t>
  </si>
  <si>
    <t xml:space="preserve">    其他自然灾害生活救助支出</t>
  </si>
  <si>
    <t xml:space="preserve">    自然灾害灾后重建补助</t>
  </si>
  <si>
    <t xml:space="preserve">    地方自然灾害生活补助</t>
  </si>
  <si>
    <t xml:space="preserve">    中央自然灾害生活补助</t>
  </si>
  <si>
    <t xml:space="preserve">  自然灾害生活救助</t>
  </si>
  <si>
    <t xml:space="preserve">    其他残疾人事业支出</t>
  </si>
  <si>
    <t xml:space="preserve">    残疾人体育</t>
  </si>
  <si>
    <t xml:space="preserve">    残疾人就业和扶贫</t>
  </si>
  <si>
    <t xml:space="preserve">    残疾人康复</t>
  </si>
  <si>
    <t xml:space="preserve">  残疾人事业</t>
  </si>
  <si>
    <t xml:space="preserve">    其他社会福利支出</t>
  </si>
  <si>
    <t xml:space="preserve">    社会福利事业单位</t>
  </si>
  <si>
    <t xml:space="preserve">    殡葬</t>
  </si>
  <si>
    <t xml:space="preserve">    假肢矫形</t>
  </si>
  <si>
    <t xml:space="preserve">    老年福利</t>
  </si>
  <si>
    <t xml:space="preserve">    儿童福利</t>
  </si>
  <si>
    <t xml:space="preserve">  社会福利</t>
  </si>
  <si>
    <t xml:space="preserve">    其他退役安置支出</t>
  </si>
  <si>
    <t xml:space="preserve">    退役士兵管理教育</t>
  </si>
  <si>
    <t xml:space="preserve">    军队移交政府离退休干部管理机构</t>
  </si>
  <si>
    <t xml:space="preserve">    军队移交政府的离退休人员安置</t>
  </si>
  <si>
    <t xml:space="preserve">    退役士兵安置</t>
  </si>
  <si>
    <t xml:space="preserve">  退役安置</t>
  </si>
  <si>
    <t xml:space="preserve">    其他优抚支出</t>
  </si>
  <si>
    <t xml:space="preserve">    农村籍退役士兵老年生活补助</t>
  </si>
  <si>
    <t xml:space="preserve">    义务兵优待</t>
  </si>
  <si>
    <t xml:space="preserve">    优抚事业单位支出</t>
  </si>
  <si>
    <t xml:space="preserve">    在乡复员、退伍军人生活补助</t>
  </si>
  <si>
    <t xml:space="preserve">    伤残抚恤</t>
  </si>
  <si>
    <t xml:space="preserve">    死亡抚恤</t>
  </si>
  <si>
    <t xml:space="preserve">  抚恤</t>
  </si>
  <si>
    <t xml:space="preserve">    其他就业补助支出</t>
  </si>
  <si>
    <t xml:space="preserve">    求职创业补贴</t>
  </si>
  <si>
    <t xml:space="preserve">    高技能人才培养补助</t>
  </si>
  <si>
    <t xml:space="preserve">    就业见习补贴</t>
  </si>
  <si>
    <t xml:space="preserve">    特定就业政策支出</t>
  </si>
  <si>
    <t xml:space="preserve">    职业技能鉴定补贴</t>
  </si>
  <si>
    <t xml:space="preserve">    公益性岗位补贴</t>
  </si>
  <si>
    <t xml:space="preserve">    社会保险补贴</t>
  </si>
  <si>
    <t xml:space="preserve">    职业培训补贴</t>
  </si>
  <si>
    <t xml:space="preserve">    就业创业服务补贴</t>
  </si>
  <si>
    <t xml:space="preserve">  就业补助</t>
  </si>
  <si>
    <t xml:space="preserve">    其他企业改革发展补助</t>
  </si>
  <si>
    <t xml:space="preserve">    厂办大集体改革补助</t>
  </si>
  <si>
    <t xml:space="preserve">    企业关闭破产补助</t>
  </si>
  <si>
    <t xml:space="preserve">  企业改革补助</t>
  </si>
  <si>
    <t xml:space="preserve">    其他行政事业单位离退休支出</t>
  </si>
  <si>
    <t xml:space="preserve">    对机关事业单位基本养老保险基金的补助</t>
  </si>
  <si>
    <t xml:space="preserve">    机关事业单位职业年金缴费支出</t>
  </si>
  <si>
    <t xml:space="preserve">    机关事业单位基本养老保险缴费支出</t>
  </si>
  <si>
    <t xml:space="preserve">    未归口管理的行政单位离退休</t>
  </si>
  <si>
    <t xml:space="preserve">    离退休人员管理机构</t>
  </si>
  <si>
    <t xml:space="preserve">    事业单位离退休</t>
  </si>
  <si>
    <t xml:space="preserve">    归口管理的行政单位离退休</t>
  </si>
  <si>
    <t xml:space="preserve">  行政事业单位离退休</t>
  </si>
  <si>
    <t xml:space="preserve">    用一般公共预算补充基金</t>
  </si>
  <si>
    <t xml:space="preserve">  补充全国社会保障基金</t>
  </si>
  <si>
    <t xml:space="preserve">    财政对其他社会保险基金的补助</t>
  </si>
  <si>
    <t xml:space="preserve">    财政对城乡居民基本养老保险基金的补助</t>
  </si>
  <si>
    <t xml:space="preserve">    财政对生育保险基金的补助</t>
  </si>
  <si>
    <t xml:space="preserve">    财政对工伤保险基金的补助</t>
  </si>
  <si>
    <t xml:space="preserve">    财政对基本医疗保险基金的补助</t>
  </si>
  <si>
    <t xml:space="preserve">    财政对失业保险基金的补助</t>
  </si>
  <si>
    <t xml:space="preserve">    财政对基本养老保险基金的补助</t>
  </si>
  <si>
    <t xml:space="preserve">  财政对社会保险基金的补助</t>
  </si>
  <si>
    <t xml:space="preserve">    其他民政管理事务支出</t>
  </si>
  <si>
    <t xml:space="preserve">    部队供应</t>
  </si>
  <si>
    <t xml:space="preserve">    基层政权和社区建设</t>
  </si>
  <si>
    <t xml:space="preserve">    行政区划和地名管理</t>
  </si>
  <si>
    <t xml:space="preserve">    民间组织管理</t>
  </si>
  <si>
    <t xml:space="preserve">    老龄事务</t>
  </si>
  <si>
    <t xml:space="preserve">    拥军优属</t>
  </si>
  <si>
    <t xml:space="preserve">  民政管理事务</t>
  </si>
  <si>
    <t xml:space="preserve">    其他人力资源和社会保障管理事务支出</t>
  </si>
  <si>
    <t xml:space="preserve">    劳动人事争议调解仲裁</t>
  </si>
  <si>
    <t xml:space="preserve">    公共就业服务和职业技能鉴定机构</t>
  </si>
  <si>
    <t xml:space="preserve">    劳动关系和维权</t>
  </si>
  <si>
    <t xml:space="preserve">    社会保险经办机构</t>
  </si>
  <si>
    <t xml:space="preserve">    社会保险业务管理事务</t>
  </si>
  <si>
    <t xml:space="preserve">    就业管理事务</t>
  </si>
  <si>
    <t xml:space="preserve">    劳动保障监察</t>
  </si>
  <si>
    <t xml:space="preserve">    综合业务管理</t>
  </si>
  <si>
    <t xml:space="preserve">  人力资源和社会保障管理事务</t>
  </si>
  <si>
    <t>社会保障和就业支出</t>
  </si>
  <si>
    <t xml:space="preserve">    其他文化体育与传媒支出(项)</t>
  </si>
  <si>
    <t xml:space="preserve">    文化产业发展专项支出</t>
  </si>
  <si>
    <t xml:space="preserve">    宣传文化发展专项支出</t>
  </si>
  <si>
    <t xml:space="preserve">  其他文化体育与传媒支出(款)</t>
  </si>
  <si>
    <t xml:space="preserve">    其他新闻出版广播影视支出</t>
  </si>
  <si>
    <t xml:space="preserve">    版权管理</t>
  </si>
  <si>
    <t xml:space="preserve">    出版发行</t>
  </si>
  <si>
    <t xml:space="preserve">    新闻通讯</t>
  </si>
  <si>
    <t xml:space="preserve">    电影</t>
  </si>
  <si>
    <t xml:space="preserve">    电视</t>
  </si>
  <si>
    <t xml:space="preserve">    广播</t>
  </si>
  <si>
    <t xml:space="preserve">  新闻出版广播影视</t>
  </si>
  <si>
    <t xml:space="preserve">    其他体育支出</t>
  </si>
  <si>
    <t xml:space="preserve">    体育交流与合作</t>
  </si>
  <si>
    <t xml:space="preserve">    群众体育</t>
  </si>
  <si>
    <t xml:space="preserve">    体育场馆</t>
  </si>
  <si>
    <t xml:space="preserve">    体育训练</t>
  </si>
  <si>
    <t xml:space="preserve">    体育竞赛</t>
  </si>
  <si>
    <t xml:space="preserve">    运动项目管理</t>
  </si>
  <si>
    <t xml:space="preserve">  体育</t>
  </si>
  <si>
    <t xml:space="preserve">    其他文物支出</t>
  </si>
  <si>
    <t xml:space="preserve">    历史名城与古迹</t>
  </si>
  <si>
    <t xml:space="preserve">    博物馆</t>
  </si>
  <si>
    <t xml:space="preserve">    文物保护</t>
  </si>
  <si>
    <t xml:space="preserve">  文物</t>
  </si>
  <si>
    <t xml:space="preserve">    其他文化支出</t>
  </si>
  <si>
    <t xml:space="preserve">    文化市场管理</t>
  </si>
  <si>
    <t xml:space="preserve">    文化创作与保护</t>
  </si>
  <si>
    <t xml:space="preserve">    文化交流与合作</t>
  </si>
  <si>
    <t xml:space="preserve">    群众文化</t>
  </si>
  <si>
    <t xml:space="preserve">    文化活动</t>
  </si>
  <si>
    <t xml:space="preserve">    艺术表演团体</t>
  </si>
  <si>
    <t xml:space="preserve">    艺术表演场所</t>
  </si>
  <si>
    <t xml:space="preserve">    文化展示及纪念机构</t>
  </si>
  <si>
    <t xml:space="preserve">    图书馆</t>
  </si>
  <si>
    <t xml:space="preserve">  文化</t>
  </si>
  <si>
    <t>文化体育与传媒支出</t>
  </si>
  <si>
    <t xml:space="preserve">    其他科学技术支出(项)</t>
  </si>
  <si>
    <t xml:space="preserve">    转制科研机构</t>
  </si>
  <si>
    <t xml:space="preserve">    核应急</t>
  </si>
  <si>
    <t xml:space="preserve">    科技奖励</t>
  </si>
  <si>
    <t xml:space="preserve">  其他科学技术支出(款)</t>
  </si>
  <si>
    <t xml:space="preserve">    重点研发计划</t>
  </si>
  <si>
    <t xml:space="preserve">    科技重大专项</t>
  </si>
  <si>
    <t xml:space="preserve">  科技重大项目</t>
  </si>
  <si>
    <t xml:space="preserve">    其他科技交流与合作支出</t>
  </si>
  <si>
    <t xml:space="preserve">    重大科技合作项目</t>
  </si>
  <si>
    <t xml:space="preserve">    国际交流与合作</t>
  </si>
  <si>
    <t xml:space="preserve">  科技交流与合作</t>
  </si>
  <si>
    <t xml:space="preserve">    其他科学技术普及支出</t>
  </si>
  <si>
    <t xml:space="preserve">    科技馆站</t>
  </si>
  <si>
    <t xml:space="preserve">    学术交流活动</t>
  </si>
  <si>
    <t xml:space="preserve">    青少年科技活动</t>
  </si>
  <si>
    <t xml:space="preserve">    科普活动</t>
  </si>
  <si>
    <t xml:space="preserve">  科学技术普及</t>
  </si>
  <si>
    <t xml:space="preserve">    其他社会科学支出</t>
  </si>
  <si>
    <t xml:space="preserve">    社科基金支出</t>
  </si>
  <si>
    <t xml:space="preserve">    社会科学研究</t>
  </si>
  <si>
    <t xml:space="preserve">    社会科学研究机构</t>
  </si>
  <si>
    <t xml:space="preserve">  社会科学</t>
  </si>
  <si>
    <t xml:space="preserve">    其他科技条件与服务支出</t>
  </si>
  <si>
    <t xml:space="preserve">    科技条件专项</t>
  </si>
  <si>
    <t xml:space="preserve">    技术创新服务体系</t>
  </si>
  <si>
    <t xml:space="preserve">  科技条件与服务</t>
  </si>
  <si>
    <t xml:space="preserve">    其他技术研究与开发支出</t>
  </si>
  <si>
    <t xml:space="preserve">    科技成果转化与扩散</t>
  </si>
  <si>
    <t xml:space="preserve">    产业技术研究与开发</t>
  </si>
  <si>
    <t xml:space="preserve">    应用技术研究与开发</t>
  </si>
  <si>
    <t xml:space="preserve">  技术研究与开发</t>
  </si>
  <si>
    <t xml:space="preserve">    其他应用研究支出</t>
  </si>
  <si>
    <t xml:space="preserve">    专项科研试制</t>
  </si>
  <si>
    <t xml:space="preserve">    高技术研究</t>
  </si>
  <si>
    <t xml:space="preserve">    社会公益研究</t>
  </si>
  <si>
    <t xml:space="preserve">  应用研究</t>
  </si>
  <si>
    <t xml:space="preserve">    其他基础研究支出</t>
  </si>
  <si>
    <t xml:space="preserve">    专项技术基础</t>
  </si>
  <si>
    <t xml:space="preserve">    专项基础科研</t>
  </si>
  <si>
    <t xml:space="preserve">    重大科学工程</t>
  </si>
  <si>
    <t xml:space="preserve">    重点实验室及相关设施</t>
  </si>
  <si>
    <t xml:space="preserve">    自然科学基金</t>
  </si>
  <si>
    <t xml:space="preserve">    重点基础研究规划</t>
  </si>
  <si>
    <t xml:space="preserve">  基础研究</t>
  </si>
  <si>
    <t xml:space="preserve">    其他科学技术管理事务支出</t>
  </si>
  <si>
    <t xml:space="preserve">  科学技术管理事务</t>
  </si>
  <si>
    <t>科学技术支出</t>
  </si>
  <si>
    <t xml:space="preserve">    其他教育支出(项)</t>
  </si>
  <si>
    <t xml:space="preserve">  其他教育支出(款)</t>
  </si>
  <si>
    <t xml:space="preserve">    其他教育费附加安排的支出</t>
  </si>
  <si>
    <t xml:space="preserve">    中等职业学校教学设施</t>
  </si>
  <si>
    <t xml:space="preserve">    城市中小学教学设施</t>
  </si>
  <si>
    <t xml:space="preserve">    城市中小学校舍建设</t>
  </si>
  <si>
    <t xml:space="preserve">    农村中小学教学设施</t>
  </si>
  <si>
    <t xml:space="preserve">    农村中小学校舍建设</t>
  </si>
  <si>
    <t xml:space="preserve">  教育费附加安排的支出</t>
  </si>
  <si>
    <t xml:space="preserve">    其他进修及培训</t>
  </si>
  <si>
    <t xml:space="preserve">    退役士兵能力提升</t>
  </si>
  <si>
    <t xml:space="preserve">    培训支出</t>
  </si>
  <si>
    <t xml:space="preserve">    干部教育</t>
  </si>
  <si>
    <t xml:space="preserve">    教师进修</t>
  </si>
  <si>
    <t xml:space="preserve">  进修及培训</t>
  </si>
  <si>
    <t xml:space="preserve">    其他特殊教育支出</t>
  </si>
  <si>
    <t xml:space="preserve">    工读学校教育</t>
  </si>
  <si>
    <t xml:space="preserve">    特殊学校教育</t>
  </si>
  <si>
    <t xml:space="preserve">  特殊教育</t>
  </si>
  <si>
    <t xml:space="preserve">    其他留学教育支出</t>
  </si>
  <si>
    <t xml:space="preserve">    来华留学教育</t>
  </si>
  <si>
    <t xml:space="preserve">    出国留学教育</t>
  </si>
  <si>
    <t xml:space="preserve">  留学教育</t>
  </si>
  <si>
    <t xml:space="preserve">    其他广播电视教育支出</t>
  </si>
  <si>
    <t xml:space="preserve">    教育电视台</t>
  </si>
  <si>
    <t xml:space="preserve">    广播电视学校</t>
  </si>
  <si>
    <t xml:space="preserve">  广播电视教育</t>
  </si>
  <si>
    <t xml:space="preserve">    其他成人教育支出</t>
  </si>
  <si>
    <t xml:space="preserve">    成人广播电视教育</t>
  </si>
  <si>
    <t xml:space="preserve">    成人高等教育</t>
  </si>
  <si>
    <t xml:space="preserve">    成人中等教育</t>
  </si>
  <si>
    <t xml:space="preserve">    成人初等教育</t>
  </si>
  <si>
    <t xml:space="preserve">  成人教育</t>
  </si>
  <si>
    <t xml:space="preserve">    其他职业教育支出</t>
  </si>
  <si>
    <t xml:space="preserve">    高等职业教育</t>
  </si>
  <si>
    <t xml:space="preserve">    职业高中教育</t>
  </si>
  <si>
    <t xml:space="preserve">    技校教育</t>
  </si>
  <si>
    <t xml:space="preserve">    中专教育</t>
  </si>
  <si>
    <t xml:space="preserve">    初等职业教育</t>
  </si>
  <si>
    <t xml:space="preserve">  职业教育</t>
  </si>
  <si>
    <t xml:space="preserve">    其他普通教育支出</t>
  </si>
  <si>
    <t xml:space="preserve">    化解普通高中债务支出</t>
  </si>
  <si>
    <t xml:space="preserve">    化解农村义务教育债务支出</t>
  </si>
  <si>
    <t xml:space="preserve">    高等教育</t>
  </si>
  <si>
    <t xml:space="preserve">    高中教育</t>
  </si>
  <si>
    <t xml:space="preserve">    初中教育</t>
  </si>
  <si>
    <t xml:space="preserve">    小学教育</t>
  </si>
  <si>
    <t xml:space="preserve">    学前教育</t>
  </si>
  <si>
    <t xml:space="preserve">  普通教育</t>
  </si>
  <si>
    <t xml:space="preserve">    其他教育管理事务支出</t>
  </si>
  <si>
    <t xml:space="preserve">  教育管理事务</t>
  </si>
  <si>
    <t>教育支出</t>
  </si>
  <si>
    <t xml:space="preserve">    其他消防</t>
  </si>
  <si>
    <t xml:space="preserve">    其他公共安全支出(项)</t>
  </si>
  <si>
    <t xml:space="preserve">  其他公共安全支出(款)</t>
  </si>
  <si>
    <t xml:space="preserve">    其他海警支出</t>
  </si>
  <si>
    <t xml:space="preserve">    基础设施建设及维护</t>
  </si>
  <si>
    <t xml:space="preserve">    信息化建设及运行维护</t>
  </si>
  <si>
    <t xml:space="preserve">    装备建设和运行维护</t>
  </si>
  <si>
    <t xml:space="preserve">    维权执法业务</t>
  </si>
  <si>
    <t xml:space="preserve">    一般管理事务</t>
  </si>
  <si>
    <t xml:space="preserve">    公安现役基本支出</t>
  </si>
  <si>
    <t xml:space="preserve">  海警</t>
  </si>
  <si>
    <t xml:space="preserve">    其他缉私警察支出</t>
  </si>
  <si>
    <t xml:space="preserve">    网络运行及维护</t>
  </si>
  <si>
    <t xml:space="preserve">    禁毒及缉毒</t>
  </si>
  <si>
    <t xml:space="preserve">    缉私情报</t>
  </si>
  <si>
    <t xml:space="preserve">    专项缉私活动支出</t>
  </si>
  <si>
    <t xml:space="preserve">  缉私警察</t>
  </si>
  <si>
    <t xml:space="preserve">    其他国家保密支出</t>
  </si>
  <si>
    <t xml:space="preserve">    保密管理</t>
  </si>
  <si>
    <t xml:space="preserve">    保密技术</t>
  </si>
  <si>
    <t xml:space="preserve">  国家保密</t>
  </si>
  <si>
    <t xml:space="preserve">    其他强制隔离戒毒支出</t>
  </si>
  <si>
    <t xml:space="preserve">    所政设施建设</t>
  </si>
  <si>
    <t xml:space="preserve">    强制隔离戒毒人员教育</t>
  </si>
  <si>
    <t xml:space="preserve">    强制隔离戒毒人员生活</t>
  </si>
  <si>
    <t xml:space="preserve">  强制隔离戒毒</t>
  </si>
  <si>
    <t xml:space="preserve">    其他监狱支出</t>
  </si>
  <si>
    <t xml:space="preserve">    狱政设施建设</t>
  </si>
  <si>
    <t xml:space="preserve">    犯人改造</t>
  </si>
  <si>
    <t xml:space="preserve">    犯人生活</t>
  </si>
  <si>
    <t xml:space="preserve">  监狱</t>
  </si>
  <si>
    <t xml:space="preserve">    其他司法支出</t>
  </si>
  <si>
    <t xml:space="preserve">    司法鉴定</t>
  </si>
  <si>
    <t xml:space="preserve">    社区矫正</t>
  </si>
  <si>
    <t xml:space="preserve">    仲裁</t>
  </si>
  <si>
    <t xml:space="preserve">    司法统一考试</t>
  </si>
  <si>
    <t xml:space="preserve">    法律援助</t>
  </si>
  <si>
    <t xml:space="preserve">    律师公证管理</t>
  </si>
  <si>
    <t xml:space="preserve">    普法宣传</t>
  </si>
  <si>
    <t xml:space="preserve">    基层司法业务</t>
  </si>
  <si>
    <t xml:space="preserve">  司法</t>
  </si>
  <si>
    <t xml:space="preserve">    其他法院支出</t>
  </si>
  <si>
    <t xml:space="preserve">    “两庭”建设</t>
  </si>
  <si>
    <t xml:space="preserve">    案件执行</t>
  </si>
  <si>
    <t xml:space="preserve">    案件审判</t>
  </si>
  <si>
    <t xml:space="preserve">  法院</t>
  </si>
  <si>
    <t xml:space="preserve">    其他检察支出</t>
  </si>
  <si>
    <t xml:space="preserve">    “两房”建设</t>
  </si>
  <si>
    <t xml:space="preserve">    控告申诉</t>
  </si>
  <si>
    <t xml:space="preserve">    执行监督</t>
  </si>
  <si>
    <t xml:space="preserve">    侦查监督</t>
  </si>
  <si>
    <t xml:space="preserve">    公诉和审判监督</t>
  </si>
  <si>
    <t xml:space="preserve">    查办和预防职务犯罪</t>
  </si>
  <si>
    <t xml:space="preserve">  检察</t>
  </si>
  <si>
    <t xml:space="preserve">    其他国家安全支出</t>
  </si>
  <si>
    <t xml:space="preserve">    安全业务</t>
  </si>
  <si>
    <t xml:space="preserve">  国家安全</t>
  </si>
  <si>
    <t xml:space="preserve">    其他公安支出</t>
  </si>
  <si>
    <t xml:space="preserve">    警犬繁育及训养</t>
  </si>
  <si>
    <t xml:space="preserve">    拘押收教场所管理</t>
  </si>
  <si>
    <t xml:space="preserve">    居民身份证管理</t>
  </si>
  <si>
    <t xml:space="preserve">    反恐怖</t>
  </si>
  <si>
    <t xml:space="preserve">    网络侦控管理</t>
  </si>
  <si>
    <t xml:space="preserve">    道路交通管理</t>
  </si>
  <si>
    <t xml:space="preserve">    禁毒管理</t>
  </si>
  <si>
    <t xml:space="preserve">    防范和处理邪教犯罪</t>
  </si>
  <si>
    <t xml:space="preserve">    行动技术管理</t>
  </si>
  <si>
    <t xml:space="preserve">    出入境管理</t>
  </si>
  <si>
    <t xml:space="preserve">    经济犯罪侦查</t>
  </si>
  <si>
    <t xml:space="preserve">    刑事侦查</t>
  </si>
  <si>
    <t xml:space="preserve">    国内安全保卫</t>
  </si>
  <si>
    <t xml:space="preserve">    治安管理</t>
  </si>
  <si>
    <t xml:space="preserve">  公安</t>
  </si>
  <si>
    <t xml:space="preserve">    其他武装警察支出</t>
  </si>
  <si>
    <t xml:space="preserve">    交通</t>
  </si>
  <si>
    <t xml:space="preserve">    水电</t>
  </si>
  <si>
    <t xml:space="preserve">    森林</t>
  </si>
  <si>
    <t xml:space="preserve">    黄金</t>
  </si>
  <si>
    <t xml:space="preserve">    警卫</t>
  </si>
  <si>
    <t xml:space="preserve">    消防</t>
  </si>
  <si>
    <t xml:space="preserve">    边防</t>
  </si>
  <si>
    <t xml:space="preserve">    内卫</t>
  </si>
  <si>
    <t xml:space="preserve">  武装警察</t>
  </si>
  <si>
    <t>公共安全支出</t>
  </si>
  <si>
    <t xml:space="preserve">    其他国防支出(项)</t>
  </si>
  <si>
    <t xml:space="preserve">  其他国防支出(款)</t>
  </si>
  <si>
    <t xml:space="preserve">    其他国防动员支出</t>
  </si>
  <si>
    <t xml:space="preserve">    民兵</t>
  </si>
  <si>
    <t xml:space="preserve">    预备役部队</t>
  </si>
  <si>
    <t xml:space="preserve">    国防教育</t>
  </si>
  <si>
    <t xml:space="preserve">    交通战备</t>
  </si>
  <si>
    <t xml:space="preserve">    人民防空</t>
  </si>
  <si>
    <t xml:space="preserve">    经济动员</t>
  </si>
  <si>
    <t xml:space="preserve">    兵役征集</t>
  </si>
  <si>
    <t xml:space="preserve">  国防动员</t>
  </si>
  <si>
    <t xml:space="preserve">    专项工程(项)</t>
  </si>
  <si>
    <t xml:space="preserve">  专项工程(款)</t>
  </si>
  <si>
    <t xml:space="preserve">    国防科研事业(项)</t>
  </si>
  <si>
    <t xml:space="preserve">  国防科研事业(款)</t>
  </si>
  <si>
    <t xml:space="preserve">    现役部队(项)</t>
  </si>
  <si>
    <t xml:space="preserve">  现役部队(款)</t>
  </si>
  <si>
    <t>国防支出</t>
  </si>
  <si>
    <t xml:space="preserve">    其他外交支出(项)</t>
  </si>
  <si>
    <t xml:space="preserve">  其他外交支出(款)</t>
  </si>
  <si>
    <t xml:space="preserve">    其他支出</t>
  </si>
  <si>
    <t xml:space="preserve">    边界界桩维护</t>
  </si>
  <si>
    <t xml:space="preserve">    边界联检</t>
  </si>
  <si>
    <t xml:space="preserve">    边界勘界</t>
  </si>
  <si>
    <t xml:space="preserve">  边界勘界联检</t>
  </si>
  <si>
    <t xml:space="preserve">    对外宣传(项)</t>
  </si>
  <si>
    <t xml:space="preserve">  对外宣传(款)</t>
  </si>
  <si>
    <t xml:space="preserve">    其他对外合作与交流支出</t>
  </si>
  <si>
    <t xml:space="preserve">    国际交流活动</t>
  </si>
  <si>
    <t xml:space="preserve">    在华国际会议</t>
  </si>
  <si>
    <t xml:space="preserve">  对外合作与交流</t>
  </si>
  <si>
    <t xml:space="preserve">    其他国际组织支出</t>
  </si>
  <si>
    <t xml:space="preserve">    国际组织股金及基金</t>
  </si>
  <si>
    <t xml:space="preserve">    维和摊款</t>
  </si>
  <si>
    <t xml:space="preserve">    国际组织捐赠</t>
  </si>
  <si>
    <t xml:space="preserve">    国际组织会费</t>
  </si>
  <si>
    <t xml:space="preserve">  国际组织</t>
  </si>
  <si>
    <t xml:space="preserve">    其他对外援助支出</t>
  </si>
  <si>
    <t xml:space="preserve">    对外医疗援助</t>
  </si>
  <si>
    <t xml:space="preserve">    对外优惠贷款援助及贴息</t>
  </si>
  <si>
    <t xml:space="preserve">    对外科技合作援助</t>
  </si>
  <si>
    <t xml:space="preserve">    对外一般物资援助</t>
  </si>
  <si>
    <t xml:space="preserve">    对外成套项目援助</t>
  </si>
  <si>
    <t xml:space="preserve">  对外援助</t>
  </si>
  <si>
    <t xml:space="preserve">    其他驻外机构支出</t>
  </si>
  <si>
    <t xml:space="preserve">    驻外使领馆(团、处)</t>
  </si>
  <si>
    <t xml:space="preserve">  驻外机构</t>
  </si>
  <si>
    <t xml:space="preserve">    其他外交管理事务支出</t>
  </si>
  <si>
    <t xml:space="preserve">    专项业务</t>
  </si>
  <si>
    <t xml:space="preserve">  外交管理事务</t>
  </si>
  <si>
    <t>外交支出</t>
  </si>
  <si>
    <t xml:space="preserve">    其他一般公共服务支出(项)</t>
  </si>
  <si>
    <t xml:space="preserve">    国家赔偿费用支出</t>
  </si>
  <si>
    <t xml:space="preserve">  其他一般公共服务支出(款)</t>
  </si>
  <si>
    <t xml:space="preserve">    其他共产党事务支出(项)</t>
  </si>
  <si>
    <t xml:space="preserve">  其他共产党事务支出(款)</t>
  </si>
  <si>
    <t xml:space="preserve">    其他对外联络事务支出</t>
  </si>
  <si>
    <t xml:space="preserve">  对外联络事务</t>
  </si>
  <si>
    <t xml:space="preserve">    其他统战事务支出</t>
  </si>
  <si>
    <t xml:space="preserve">  统战事务</t>
  </si>
  <si>
    <t xml:space="preserve">    其他宣传事务支出</t>
  </si>
  <si>
    <t xml:space="preserve">  宣传事务</t>
  </si>
  <si>
    <t xml:space="preserve">    其他组织事务支出</t>
  </si>
  <si>
    <t xml:space="preserve">  组织事务</t>
  </si>
  <si>
    <t xml:space="preserve">    其他党委办公厅(室)及相关机构事务支出</t>
  </si>
  <si>
    <t xml:space="preserve">  党委办公厅(室)及相关机构事务</t>
  </si>
  <si>
    <t xml:space="preserve">    其他群众团体事务支出</t>
  </si>
  <si>
    <t xml:space="preserve">    工会疗养休养</t>
  </si>
  <si>
    <t xml:space="preserve">    厂务公开</t>
  </si>
  <si>
    <t xml:space="preserve">  群众团体事务</t>
  </si>
  <si>
    <t xml:space="preserve">    其他民主党派及工商联事务支出</t>
  </si>
  <si>
    <t xml:space="preserve">    参政议政</t>
  </si>
  <si>
    <t xml:space="preserve">  民主党派及工商联事务</t>
  </si>
  <si>
    <t xml:space="preserve">    其他档案事务支出</t>
  </si>
  <si>
    <t xml:space="preserve">    档案馆</t>
  </si>
  <si>
    <t xml:space="preserve">  档案事务</t>
  </si>
  <si>
    <t xml:space="preserve">    其他港澳台侨事务支出</t>
  </si>
  <si>
    <t xml:space="preserve">    华侨事务</t>
  </si>
  <si>
    <t xml:space="preserve">    台湾事务</t>
  </si>
  <si>
    <t xml:space="preserve">    港澳事务</t>
  </si>
  <si>
    <t xml:space="preserve">  港澳台侨事务</t>
  </si>
  <si>
    <t xml:space="preserve">    其他宗教事务支出</t>
  </si>
  <si>
    <t xml:space="preserve">    宗教工作专项</t>
  </si>
  <si>
    <t xml:space="preserve">  宗教事务</t>
  </si>
  <si>
    <t xml:space="preserve">    其他民族事务支出</t>
  </si>
  <si>
    <t xml:space="preserve">    民族工作专项</t>
  </si>
  <si>
    <t xml:space="preserve">  民族事务</t>
  </si>
  <si>
    <t xml:space="preserve">    其他质量技术监督与检验检疫事务支出</t>
  </si>
  <si>
    <t xml:space="preserve">    标准化管理</t>
  </si>
  <si>
    <t xml:space="preserve">    认证认可监督管理</t>
  </si>
  <si>
    <t xml:space="preserve">    质量技术监督技术支持</t>
  </si>
  <si>
    <t xml:space="preserve">    质量技术监督行政执法及业务管理</t>
  </si>
  <si>
    <t xml:space="preserve">    出入境检验检疫技术支持</t>
  </si>
  <si>
    <t xml:space="preserve">    出入境检验检疫行政执法和业务管理</t>
  </si>
  <si>
    <t xml:space="preserve">  质量技术监督与检验检疫事务</t>
  </si>
  <si>
    <t xml:space="preserve">    其他工商行政管理事务支出</t>
  </si>
  <si>
    <t xml:space="preserve">    消费者权益保护</t>
  </si>
  <si>
    <t xml:space="preserve">    执法办案专项</t>
  </si>
  <si>
    <t xml:space="preserve">    工商行政管理专项</t>
  </si>
  <si>
    <t xml:space="preserve">  工商行政管理事务</t>
  </si>
  <si>
    <t xml:space="preserve">    其他知识产权事务支出</t>
  </si>
  <si>
    <t xml:space="preserve">    知识产权宏观管理</t>
  </si>
  <si>
    <t xml:space="preserve">    国际组织专项活动</t>
  </si>
  <si>
    <t xml:space="preserve">    专利执法</t>
  </si>
  <si>
    <t xml:space="preserve">    专利试点和产业化推进</t>
  </si>
  <si>
    <t xml:space="preserve">    国家知识产权战略</t>
  </si>
  <si>
    <t xml:space="preserve">    专利审批</t>
  </si>
  <si>
    <t xml:space="preserve">  知识产权事务</t>
  </si>
  <si>
    <t xml:space="preserve">    其他商贸事务支出</t>
  </si>
  <si>
    <t xml:space="preserve">    招商引资</t>
  </si>
  <si>
    <t xml:space="preserve">    国内贸易管理</t>
  </si>
  <si>
    <t xml:space="preserve">    外资管理</t>
  </si>
  <si>
    <t xml:space="preserve">    国际经济合作</t>
  </si>
  <si>
    <t xml:space="preserve">    对外贸易管理</t>
  </si>
  <si>
    <t xml:space="preserve">  商贸事务</t>
  </si>
  <si>
    <t xml:space="preserve">    其他纪检监察事务支出</t>
  </si>
  <si>
    <t xml:space="preserve">    中央巡视</t>
  </si>
  <si>
    <t xml:space="preserve">    派驻派出机构</t>
  </si>
  <si>
    <t xml:space="preserve">    大案要案查处</t>
  </si>
  <si>
    <t xml:space="preserve">  纪检监察事务</t>
  </si>
  <si>
    <t xml:space="preserve">    其他人力资源事务支出</t>
  </si>
  <si>
    <t xml:space="preserve">    公务员综合管理</t>
  </si>
  <si>
    <t xml:space="preserve">    公务员招考</t>
  </si>
  <si>
    <t xml:space="preserve">    公务员履职能力提升</t>
  </si>
  <si>
    <t xml:space="preserve">    公务员考核</t>
  </si>
  <si>
    <t xml:space="preserve">    引进人才费用</t>
  </si>
  <si>
    <t xml:space="preserve">    博士后日常经费</t>
  </si>
  <si>
    <t xml:space="preserve">    军队转业干部安置</t>
  </si>
  <si>
    <t xml:space="preserve">    资助留学回国人员</t>
  </si>
  <si>
    <t xml:space="preserve">    政府特殊津贴</t>
  </si>
  <si>
    <t xml:space="preserve">  人力资源事务</t>
  </si>
  <si>
    <t xml:space="preserve">    其他海关事务支出</t>
  </si>
  <si>
    <t xml:space="preserve">    口岸电子执法系统建设与维护</t>
  </si>
  <si>
    <t xml:space="preserve">    缉私办案</t>
  </si>
  <si>
    <t xml:space="preserve">    收费业务</t>
  </si>
  <si>
    <t xml:space="preserve">  海关事务</t>
  </si>
  <si>
    <t xml:space="preserve">    其他审计事务支出</t>
  </si>
  <si>
    <t xml:space="preserve">    审计管理</t>
  </si>
  <si>
    <t xml:space="preserve">    审计业务</t>
  </si>
  <si>
    <t xml:space="preserve">  审计事务</t>
  </si>
  <si>
    <t xml:space="preserve">    其他税收事务支出</t>
  </si>
  <si>
    <t xml:space="preserve">    协税护税</t>
  </si>
  <si>
    <t xml:space="preserve">    税务宣传</t>
  </si>
  <si>
    <t xml:space="preserve">    代扣代收代征税款手续费</t>
  </si>
  <si>
    <t xml:space="preserve">    税务登记证及发票管理</t>
  </si>
  <si>
    <t xml:space="preserve">    税务办案</t>
  </si>
  <si>
    <t xml:space="preserve">  税收事务</t>
  </si>
  <si>
    <t xml:space="preserve">    其他财政事务支出</t>
  </si>
  <si>
    <t xml:space="preserve">    财政委托业务支出</t>
  </si>
  <si>
    <t xml:space="preserve">    财政监察</t>
  </si>
  <si>
    <t xml:space="preserve">    财政国库业务</t>
  </si>
  <si>
    <t xml:space="preserve">    预算改革业务</t>
  </si>
  <si>
    <t xml:space="preserve">  财政事务</t>
  </si>
  <si>
    <t xml:space="preserve">    其他统计信息事务支出</t>
  </si>
  <si>
    <t xml:space="preserve">    统计抽样调查</t>
  </si>
  <si>
    <t xml:space="preserve">    专项普查活动</t>
  </si>
  <si>
    <t xml:space="preserve">    统计管理</t>
  </si>
  <si>
    <t xml:space="preserve">    专项统计业务</t>
  </si>
  <si>
    <t xml:space="preserve">    信息事务</t>
  </si>
  <si>
    <t xml:space="preserve">  统计信息事务</t>
  </si>
  <si>
    <t xml:space="preserve">    其他发展与改革事务支出</t>
  </si>
  <si>
    <t xml:space="preserve">    应对气候变化管理事务</t>
  </si>
  <si>
    <t xml:space="preserve">    物价管理</t>
  </si>
  <si>
    <t xml:space="preserve">    经济体制改革研究</t>
  </si>
  <si>
    <t xml:space="preserve">    社会事业发展规划</t>
  </si>
  <si>
    <t xml:space="preserve">    日常经济运行调节</t>
  </si>
  <si>
    <t xml:space="preserve">    战略规划与实施</t>
  </si>
  <si>
    <t xml:space="preserve">  发展与改革事务</t>
  </si>
  <si>
    <t xml:space="preserve">    其他政府办公厅(室)及相关机构事务支出</t>
  </si>
  <si>
    <t xml:space="preserve">    参事事务</t>
  </si>
  <si>
    <t xml:space="preserve">    信访事务</t>
  </si>
  <si>
    <t xml:space="preserve">    法制建设</t>
  </si>
  <si>
    <t xml:space="preserve">    政务公开审批</t>
  </si>
  <si>
    <t xml:space="preserve">    专项业务活动</t>
  </si>
  <si>
    <t xml:space="preserve">    专项服务</t>
  </si>
  <si>
    <t xml:space="preserve">  政府办公厅(室)及相关机构事务</t>
  </si>
  <si>
    <t xml:space="preserve">    其他政协事务支出</t>
  </si>
  <si>
    <t xml:space="preserve">    委员视察</t>
  </si>
  <si>
    <t xml:space="preserve">    政协会议</t>
  </si>
  <si>
    <t xml:space="preserve">  政协事务</t>
  </si>
  <si>
    <t xml:space="preserve">    其他人大事务支出</t>
  </si>
  <si>
    <t xml:space="preserve">    人大信访工作</t>
  </si>
  <si>
    <t xml:space="preserve">    代表工作</t>
  </si>
  <si>
    <t xml:space="preserve">    人大代表履职能力提升</t>
  </si>
  <si>
    <t xml:space="preserve">    人大监督</t>
  </si>
  <si>
    <t xml:space="preserve">    人大立法</t>
  </si>
  <si>
    <t xml:space="preserve">    人大会议</t>
  </si>
  <si>
    <t xml:space="preserve">  人大事务</t>
  </si>
  <si>
    <t>一般公共服务支出</t>
    <phoneticPr fontId="38" type="noConversion"/>
  </si>
  <si>
    <t>一般公共预算支出</t>
  </si>
  <si>
    <t>决算数</t>
    <phoneticPr fontId="38" type="noConversion"/>
  </si>
  <si>
    <t>2016年度平潭一般公共预算本级支出决算表</t>
    <phoneticPr fontId="38" type="noConversion"/>
  </si>
  <si>
    <t>附表2-4</t>
  </si>
  <si>
    <t>合   计</t>
  </si>
  <si>
    <t>八、其他支出</t>
  </si>
  <si>
    <t>七、债务利息支出</t>
  </si>
  <si>
    <t>六、对企事业单位的补贴</t>
  </si>
  <si>
    <t>五、其他资本性支出</t>
  </si>
  <si>
    <t>四、基本建设支出</t>
  </si>
  <si>
    <t>三、对个人和家庭的补助</t>
  </si>
  <si>
    <t>二、商品和服务支出</t>
  </si>
  <si>
    <t>一、工资福利支出</t>
  </si>
  <si>
    <t>项   目</t>
  </si>
  <si>
    <t>2016年度平潭一般公共预算本级支出决算经济分类决算表(试编)</t>
    <phoneticPr fontId="38" type="noConversion"/>
  </si>
  <si>
    <t>附表2-5</t>
  </si>
  <si>
    <t>合  计</t>
  </si>
  <si>
    <t>七、其他支出</t>
    <phoneticPr fontId="38" type="noConversion"/>
  </si>
  <si>
    <t>六、债务利息支出</t>
  </si>
  <si>
    <t>五、对企事业单位的补贴</t>
  </si>
  <si>
    <t>四、其他资本性支出</t>
  </si>
  <si>
    <t>2016年度平潭一般公共预算本级基本支出决算经济分类决算表(试编)</t>
    <phoneticPr fontId="38" type="noConversion"/>
  </si>
  <si>
    <t>附表2-6</t>
  </si>
  <si>
    <t xml:space="preserve">    粮油物资储备</t>
  </si>
  <si>
    <t xml:space="preserve">    住房保障</t>
  </si>
  <si>
    <t xml:space="preserve">    国土海洋气象等</t>
  </si>
  <si>
    <t xml:space="preserve">    金融</t>
  </si>
  <si>
    <t xml:space="preserve">    商业服务业等</t>
  </si>
  <si>
    <t xml:space="preserve">    资源勘探信息等</t>
  </si>
  <si>
    <t xml:space="preserve">    交通运输</t>
  </si>
  <si>
    <t xml:space="preserve">    农林水</t>
  </si>
  <si>
    <t xml:space="preserve">    城乡社区</t>
  </si>
  <si>
    <t xml:space="preserve">    节能环保</t>
  </si>
  <si>
    <t xml:space="preserve">    医疗卫生与计划生育</t>
  </si>
  <si>
    <t xml:space="preserve">    社会保障和就业</t>
  </si>
  <si>
    <t xml:space="preserve">    文化体育与传媒</t>
  </si>
  <si>
    <t xml:space="preserve">    科学技术</t>
  </si>
  <si>
    <t xml:space="preserve">    教育</t>
  </si>
  <si>
    <t xml:space="preserve">    公共安全</t>
  </si>
  <si>
    <t xml:space="preserve">    国防</t>
  </si>
  <si>
    <t xml:space="preserve">    外交</t>
  </si>
  <si>
    <t xml:space="preserve">    一般公共服务</t>
  </si>
  <si>
    <t xml:space="preserve">  专项转移支付支出</t>
  </si>
  <si>
    <t xml:space="preserve">    其他一般性转移支付支出</t>
  </si>
  <si>
    <t xml:space="preserve">    固定数额补助支出</t>
  </si>
  <si>
    <t xml:space="preserve">    重点生态功能区转移支付支出</t>
  </si>
  <si>
    <t xml:space="preserve">    产粮(油)大县奖励资金支出</t>
  </si>
  <si>
    <t xml:space="preserve">    农村综合改革转移支付支出</t>
  </si>
  <si>
    <t xml:space="preserve">    新型农村合作医疗等转移支付支出</t>
  </si>
  <si>
    <t xml:space="preserve">    基本养老保险和低保等转移支付支出</t>
  </si>
  <si>
    <t xml:space="preserve">    义务教育等转移支付支出</t>
  </si>
  <si>
    <t xml:space="preserve">    基层公检法司转移支付支出</t>
  </si>
  <si>
    <t xml:space="preserve">    成品油价格和税费改革转移支付补助支出</t>
  </si>
  <si>
    <t xml:space="preserve">    企业事业单位划转补助支出</t>
  </si>
  <si>
    <t xml:space="preserve">    资源枯竭型城市转移支付补助支出</t>
  </si>
  <si>
    <t xml:space="preserve">    化解债务补助支出</t>
  </si>
  <si>
    <t xml:space="preserve">    结算补助支出</t>
  </si>
  <si>
    <t xml:space="preserve">    县级基本财力保障机制奖补资金支出</t>
  </si>
  <si>
    <t xml:space="preserve">    老少边穷转移支付支出</t>
  </si>
  <si>
    <t xml:space="preserve">    均衡性转移支付支出</t>
  </si>
  <si>
    <t xml:space="preserve">    体制补助支出</t>
  </si>
  <si>
    <t xml:space="preserve">  一般性转移支付支出</t>
  </si>
  <si>
    <t xml:space="preserve">    其他税收返还支出</t>
  </si>
  <si>
    <t xml:space="preserve">    成品油价格和税费改革税收返还支出</t>
  </si>
  <si>
    <t xml:space="preserve">    所得税基数返还支出</t>
  </si>
  <si>
    <t xml:space="preserve">    增值税和消费税税收返还支出</t>
  </si>
  <si>
    <t xml:space="preserve">  返还性支出</t>
  </si>
  <si>
    <t>2016年度平潭区对下转移支付决算表</t>
    <phoneticPr fontId="38" type="noConversion"/>
  </si>
  <si>
    <t>附表2-7</t>
  </si>
  <si>
    <t>备注：本表数据来源于区级各部门决算汇总，为部门当年实际支出数，与试编的区级经济分类决算数口径不同，不具备可比性。</t>
    <phoneticPr fontId="38" type="noConversion"/>
  </si>
  <si>
    <t xml:space="preserve">  8．国（境）外公务接待人次（人）</t>
  </si>
  <si>
    <t xml:space="preserve">  7．国（境）外公务接待批次（个）</t>
  </si>
  <si>
    <t xml:space="preserve">     其中：外事接待人次（人）</t>
  </si>
  <si>
    <t xml:space="preserve">  6．国内公务接待人次（人）</t>
  </si>
  <si>
    <t xml:space="preserve">     其中：外事接待批次（个）</t>
  </si>
  <si>
    <t xml:space="preserve">  5．国内公务接待批次（个）</t>
  </si>
  <si>
    <t xml:space="preserve">  4．公务用车保有量（辆）</t>
  </si>
  <si>
    <t xml:space="preserve">  3．公务用车购置数（辆）</t>
  </si>
  <si>
    <t xml:space="preserve">  2．因公出国（境）人次数（人）</t>
  </si>
  <si>
    <t xml:space="preserve">  1．因公出国（境）团组数（个）</t>
  </si>
  <si>
    <t xml:space="preserve">         其中：外事接待费</t>
  </si>
  <si>
    <t xml:space="preserve">  3．公务接待费</t>
  </si>
  <si>
    <t xml:space="preserve">    （2）公务用车运行维护费</t>
  </si>
  <si>
    <t xml:space="preserve">  2．公务用车购置及运行维护费</t>
  </si>
  <si>
    <t xml:space="preserve">  1．因公出国（境）费</t>
  </si>
  <si>
    <t>统计数</t>
    <phoneticPr fontId="38" type="noConversion"/>
  </si>
  <si>
    <t>金额单位：万元</t>
    <phoneticPr fontId="38" type="noConversion"/>
  </si>
  <si>
    <t>2016年度平潭区本级一般公共预算“三公”经费支出决算表</t>
    <phoneticPr fontId="38" type="noConversion"/>
  </si>
  <si>
    <t>附表2-8</t>
    <phoneticPr fontId="38" type="noConversion"/>
  </si>
  <si>
    <t xml:space="preserve">           下级上解收入</t>
  </si>
  <si>
    <t xml:space="preserve">           上级补助收入</t>
  </si>
  <si>
    <t>十四、其他政府性基金收入</t>
  </si>
  <si>
    <t>十三、彩票发行机构和彩票销售机构的业务费用</t>
  </si>
  <si>
    <t>十二、污水处理费收入</t>
  </si>
  <si>
    <t>十一、国家重大水利工程建设基金收入</t>
  </si>
  <si>
    <t>十、小型水库移民扶助基金收入</t>
  </si>
  <si>
    <t>九、城市基础设施配套费收入</t>
  </si>
  <si>
    <t>八、彩票公益金收入</t>
  </si>
  <si>
    <t>七、大中型水库库区基金收入</t>
  </si>
  <si>
    <t>六、国有土地使用权出让收入</t>
  </si>
  <si>
    <t>五、农业土地开发资金收入</t>
  </si>
  <si>
    <t>四、国有土地收益基金收入</t>
  </si>
  <si>
    <t>三、城市公用事业附加收入</t>
  </si>
  <si>
    <t>二、国家电影事业发展专项资金收入</t>
  </si>
  <si>
    <t>一、港口建设费收入</t>
  </si>
  <si>
    <t>2016年度平潭政府性基金收入决算表</t>
    <phoneticPr fontId="38" type="noConversion"/>
  </si>
  <si>
    <t>附表2-9</t>
  </si>
  <si>
    <t>2016年度平潭政府性基金支出决算表</t>
    <phoneticPr fontId="38" type="noConversion"/>
  </si>
  <si>
    <t>附表2-10</t>
  </si>
  <si>
    <t>2016年度平潭政府性基金本级收入决算表</t>
    <phoneticPr fontId="38" type="noConversion"/>
  </si>
  <si>
    <t>附表2-11</t>
  </si>
  <si>
    <t>本年支出小计</t>
    <phoneticPr fontId="38" type="noConversion"/>
  </si>
  <si>
    <t xml:space="preserve">  烟草企业上缴专项收入安排的支出</t>
  </si>
  <si>
    <t xml:space="preserve">  彩票发行销售机构业务费安排的支出</t>
  </si>
  <si>
    <t xml:space="preserve">    中央特别国债经营基金财务支出</t>
  </si>
  <si>
    <t xml:space="preserve">    中央特别国债经营基金支出</t>
  </si>
  <si>
    <t xml:space="preserve">  农网还贷资金支出</t>
  </si>
  <si>
    <t xml:space="preserve">  散装水泥专项资金及对应专项债务收入安排的支出</t>
  </si>
  <si>
    <t xml:space="preserve">  民航发展基金支出</t>
  </si>
  <si>
    <t xml:space="preserve">  船舶油污损害赔偿基金支出</t>
  </si>
  <si>
    <t xml:space="preserve">  铁路建设基金支出</t>
  </si>
  <si>
    <t xml:space="preserve">  港口建设费及对应专项债务收入安排的支出</t>
  </si>
  <si>
    <t xml:space="preserve">  车辆通行费及对应专项债务收入安排的支出</t>
  </si>
  <si>
    <t xml:space="preserve">  海南省高等级公路车辆通行附加费及对应专项债务收入安排的支出</t>
  </si>
  <si>
    <t xml:space="preserve">  南水北调工程基金及对应专项债务收入安排的支出</t>
  </si>
  <si>
    <t xml:space="preserve">  三峡水库库区基金支出</t>
  </si>
  <si>
    <t xml:space="preserve">  新菜地开发建设基金及对应专项债务收入安排的支出</t>
  </si>
  <si>
    <t xml:space="preserve">  污水处理费及对应专项债务收入安排的支出</t>
  </si>
  <si>
    <t xml:space="preserve">  城市基础设施配套费及对应专项债务收入安排的支出</t>
  </si>
  <si>
    <t xml:space="preserve">  新增建设用地土地有偿使用费及对应专项债务收入安排的支出</t>
  </si>
  <si>
    <t xml:space="preserve">  农业土地开发资金及对应专项债务收入安排的支出</t>
  </si>
  <si>
    <t xml:space="preserve">  国有土地收益基金及对应专项债务收入安排的支出</t>
  </si>
  <si>
    <t xml:space="preserve">  城市公用事业附加及对应专项债务收入安排的支出</t>
  </si>
  <si>
    <t xml:space="preserve">  国有土地使用权出让收入及对应专项债务收入安排的支出</t>
  </si>
  <si>
    <t xml:space="preserve">  废弃电器电子产品处理基金支出</t>
  </si>
  <si>
    <t xml:space="preserve">  可再生能源电价附加收入安排的支出</t>
  </si>
  <si>
    <t xml:space="preserve">  国家电影事业发展专项资金及对应专项债务收入安排的支出</t>
  </si>
  <si>
    <t xml:space="preserve">  核电站乏燃料处理处置基金支出</t>
  </si>
  <si>
    <t>政府性基金支出</t>
  </si>
  <si>
    <t>2016年度平潭政府性基金本级支出决算表</t>
    <phoneticPr fontId="38" type="noConversion"/>
  </si>
  <si>
    <t>附表2-12</t>
  </si>
  <si>
    <t>2016年度平潭政府性基金转移支付决算表</t>
    <phoneticPr fontId="38" type="noConversion"/>
  </si>
  <si>
    <t>附表2-13</t>
  </si>
  <si>
    <t xml:space="preserve">    国有资本经营预算转移支付收入</t>
  </si>
  <si>
    <t>六、其他国有资本经营预算收入</t>
  </si>
  <si>
    <t>五、国有资本经营预算转移支付收入</t>
  </si>
  <si>
    <t>上年决算数</t>
  </si>
  <si>
    <t>决算数为上年决算数的％</t>
    <phoneticPr fontId="38" type="noConversion"/>
  </si>
  <si>
    <t>2016年度平潭国有资本经营收入决算表</t>
    <phoneticPr fontId="38" type="noConversion"/>
  </si>
  <si>
    <t>附表2-14</t>
  </si>
  <si>
    <t xml:space="preserve">    年终结余</t>
    <phoneticPr fontId="38" type="noConversion"/>
  </si>
  <si>
    <t>五、其他国有资本经营预算支出</t>
  </si>
  <si>
    <t>预算数</t>
  </si>
  <si>
    <t>2016年度平潭国有资本经营支出决算表</t>
    <phoneticPr fontId="38" type="noConversion"/>
  </si>
  <si>
    <t>附表2-15</t>
  </si>
  <si>
    <t>五、其他国有资本经营预算收入</t>
  </si>
  <si>
    <t xml:space="preserve"> 其他国有企业股利、股息收入</t>
  </si>
  <si>
    <t xml:space="preserve"> 金融企业股利、股息收入</t>
  </si>
  <si>
    <t xml:space="preserve"> 国有参股公司股利、股息收入</t>
  </si>
  <si>
    <t xml:space="preserve">  其中：国有控股公司股利、股息收入</t>
  </si>
  <si>
    <t xml:space="preserve">        县粮油工业公司利润收入</t>
    <phoneticPr fontId="38" type="noConversion"/>
  </si>
  <si>
    <t xml:space="preserve">        土地开发集团公司利润收入</t>
    <phoneticPr fontId="38" type="noConversion"/>
  </si>
  <si>
    <t xml:space="preserve">        交投集团公司利润收入</t>
    <phoneticPr fontId="38" type="noConversion"/>
  </si>
  <si>
    <t xml:space="preserve">  其中：城投集团公司利润收入</t>
    <phoneticPr fontId="38" type="noConversion"/>
  </si>
  <si>
    <t>2016年度平潭本级国有资本经营收入决算表</t>
    <phoneticPr fontId="38" type="noConversion"/>
  </si>
  <si>
    <t>附表2-16</t>
  </si>
  <si>
    <t xml:space="preserve">  其中：其他国有资本经营预算支出</t>
  </si>
  <si>
    <t xml:space="preserve">      其他金融国有资本经营预算支出</t>
  </si>
  <si>
    <t xml:space="preserve">       改革性支出</t>
  </si>
  <si>
    <t xml:space="preserve"> 其中：资本性支出</t>
  </si>
  <si>
    <t xml:space="preserve"> 其中：国有企业政策性补贴</t>
  </si>
  <si>
    <t xml:space="preserve"> 其中：国有经济结构调整支出</t>
  </si>
  <si>
    <t>国有企业办公共服务机构移交补助支出</t>
  </si>
  <si>
    <t>国有企业办职教幼教补助支出</t>
  </si>
  <si>
    <t>“三供一业”移交补助支出</t>
  </si>
  <si>
    <t xml:space="preserve"> 其中：厂办大集体改革支出</t>
  </si>
  <si>
    <t>2016年度平潭本级国有资本经营支出决算表</t>
    <phoneticPr fontId="38" type="noConversion"/>
  </si>
  <si>
    <t>附表2-17</t>
  </si>
  <si>
    <t>2016年度平潭社会保险基金决算收入表</t>
    <phoneticPr fontId="38" type="noConversion"/>
  </si>
  <si>
    <t>附表2-18</t>
  </si>
  <si>
    <t>2016年度平潭社会保险基金决算支出表</t>
    <phoneticPr fontId="38" type="noConversion"/>
  </si>
  <si>
    <t>附表2-19</t>
  </si>
  <si>
    <t xml:space="preserve">          转移收入</t>
    <phoneticPr fontId="38" type="noConversion"/>
  </si>
  <si>
    <t xml:space="preserve">           动用上年结余收入</t>
  </si>
  <si>
    <t xml:space="preserve">           其他收入</t>
  </si>
  <si>
    <t xml:space="preserve">             利息收入</t>
  </si>
  <si>
    <t xml:space="preserve">             财政补贴收入</t>
  </si>
  <si>
    <t xml:space="preserve">  其中：保险费收入</t>
  </si>
  <si>
    <t xml:space="preserve"> (二) 城镇居民基本医疗保险基金收入</t>
    <phoneticPr fontId="38" type="noConversion"/>
  </si>
  <si>
    <t xml:space="preserve"> (一)新型农村合作医疗基金收入</t>
    <phoneticPr fontId="38" type="noConversion"/>
  </si>
  <si>
    <t xml:space="preserve"> (一) 城乡居民基本医疗保险基金收入</t>
    <phoneticPr fontId="38" type="noConversion"/>
  </si>
  <si>
    <t xml:space="preserve">          投资收益</t>
    <phoneticPr fontId="38" type="noConversion"/>
  </si>
  <si>
    <t xml:space="preserve">          转移收入(含上级补助)</t>
    <phoneticPr fontId="38" type="noConversion"/>
  </si>
  <si>
    <t>2016年度平潭本级社会保险基金决算收入表</t>
    <phoneticPr fontId="38" type="noConversion"/>
  </si>
  <si>
    <t>附表2-20</t>
  </si>
  <si>
    <t xml:space="preserve">          其他生育保险基金支出</t>
  </si>
  <si>
    <t xml:space="preserve">          生育津贴支出</t>
  </si>
  <si>
    <t xml:space="preserve">          生育医疗费用支出</t>
  </si>
  <si>
    <t xml:space="preserve">    其中：生育保险基金支出</t>
  </si>
  <si>
    <t xml:space="preserve">          上解上级支出</t>
    <phoneticPr fontId="38" type="noConversion"/>
  </si>
  <si>
    <t xml:space="preserve">          其他失业保险基金支出</t>
  </si>
  <si>
    <t xml:space="preserve">          稳定岗位补贴支出</t>
    <phoneticPr fontId="38" type="noConversion"/>
  </si>
  <si>
    <t xml:space="preserve">          丧葬抚恤补助</t>
  </si>
  <si>
    <t xml:space="preserve">          医疗补助金支出</t>
    <phoneticPr fontId="38" type="noConversion"/>
  </si>
  <si>
    <t xml:space="preserve">    其中：失业保险金支出</t>
    <phoneticPr fontId="38" type="noConversion"/>
  </si>
  <si>
    <t xml:space="preserve">          工伤预防费用支出</t>
  </si>
  <si>
    <t xml:space="preserve">          劳动能力鉴定支出</t>
  </si>
  <si>
    <t xml:space="preserve">          工伤保险待遇</t>
  </si>
  <si>
    <t xml:space="preserve">    其中：工伤保险基金支出</t>
  </si>
  <si>
    <t xml:space="preserve">              其他城镇居民基本医疗保险基金支出</t>
  </si>
  <si>
    <t xml:space="preserve">              大病医疗保险支出</t>
  </si>
  <si>
    <t xml:space="preserve">        其中：居民基本医疗保险基金医疗待遇支出</t>
    <phoneticPr fontId="38" type="noConversion"/>
  </si>
  <si>
    <t xml:space="preserve"> (二) 城镇居民基本医疗保险基金支出</t>
    <phoneticPr fontId="38" type="noConversion"/>
  </si>
  <si>
    <t xml:space="preserve">              其他新型农村合作医疗基金支出</t>
  </si>
  <si>
    <t xml:space="preserve">        其中：新型农村合作医疗基金医疗待遇支出</t>
  </si>
  <si>
    <t xml:space="preserve"> (一) 新型农村合作医疗基金支出</t>
    <phoneticPr fontId="38" type="noConversion"/>
  </si>
  <si>
    <t xml:space="preserve">              其他城乡居民基本医疗保险基金支出</t>
  </si>
  <si>
    <t xml:space="preserve">        其中：城乡居民基本医疗保险基金医疗待遇支出</t>
    <phoneticPr fontId="38" type="noConversion"/>
  </si>
  <si>
    <t xml:space="preserve">          转移支出</t>
    <phoneticPr fontId="38" type="noConversion"/>
  </si>
  <si>
    <t xml:space="preserve">          其他支出</t>
    <phoneticPr fontId="38" type="noConversion"/>
  </si>
  <si>
    <t>　　其中：基本医疗保险待遇支出</t>
    <phoneticPr fontId="38" type="noConversion"/>
  </si>
  <si>
    <t>　　其中：基本养老金支出</t>
    <phoneticPr fontId="38" type="noConversion"/>
  </si>
  <si>
    <t xml:space="preserve">          其他城乡居民基本养老保险基金支出</t>
  </si>
  <si>
    <t xml:space="preserve">          丧葬抚恤补助支出</t>
  </si>
  <si>
    <t xml:space="preserve">          个人账户养老金支出</t>
  </si>
  <si>
    <t xml:space="preserve">    其中：基础养老金支出</t>
  </si>
  <si>
    <t xml:space="preserve">          转移支出(含上解支出)</t>
    <phoneticPr fontId="38" type="noConversion"/>
  </si>
  <si>
    <t xml:space="preserve">          医疗补助金</t>
  </si>
  <si>
    <t xml:space="preserve">    其中：基本养老金</t>
  </si>
  <si>
    <t>2016年度平潭本级社会保险基金决算支出表</t>
    <phoneticPr fontId="38" type="noConversion"/>
  </si>
  <si>
    <t>附表2-21</t>
  </si>
  <si>
    <t>附表1-1：2017年度一般公共预算收入预算表</t>
    <phoneticPr fontId="38" type="noConversion"/>
  </si>
  <si>
    <t>附表1-2：2017年度一般公共预算支出预算表</t>
    <phoneticPr fontId="38" type="noConversion"/>
  </si>
  <si>
    <t>附表1-3：2017年度一般公共预算本级收入预算表</t>
    <phoneticPr fontId="38" type="noConversion"/>
  </si>
  <si>
    <t>附表1-4：2017年度一般公共预算本级支出预算表</t>
    <phoneticPr fontId="38" type="noConversion"/>
  </si>
  <si>
    <t>附表1-5：2017年度一般公共预算本级支出经济分类情况表</t>
    <phoneticPr fontId="38" type="noConversion"/>
  </si>
  <si>
    <t>附表1-6：2017年度一般公共预算本级基本支出经济分类情况表</t>
    <phoneticPr fontId="38" type="noConversion"/>
  </si>
  <si>
    <t>附表1-8：2017年度本级一般公共预算“三公”经费支出预算表</t>
    <phoneticPr fontId="38" type="noConversion"/>
  </si>
  <si>
    <t>附表1-9：2017年度政府性基金收入预算表</t>
    <phoneticPr fontId="38" type="noConversion"/>
  </si>
  <si>
    <t>附表1-10：2017年度政府性基金支出预算表</t>
    <phoneticPr fontId="38" type="noConversion"/>
  </si>
  <si>
    <t>附表1-11：2017年度政府性基金本级收入预算表</t>
    <phoneticPr fontId="38" type="noConversion"/>
  </si>
  <si>
    <t>附表1-12：2017年度政府性基金本级支出预算表</t>
    <phoneticPr fontId="38" type="noConversion"/>
  </si>
  <si>
    <t>附表1-13：2017年度政府性基金转移支付预算表</t>
    <phoneticPr fontId="38" type="noConversion"/>
  </si>
  <si>
    <t>附表1-14：2017年度国有资本经营收入预算表</t>
    <phoneticPr fontId="38" type="noConversion"/>
  </si>
  <si>
    <t>附表1-15：2017年度国有资本经营支出预算表</t>
    <phoneticPr fontId="38" type="noConversion"/>
  </si>
  <si>
    <t>附表1-16：2017年度本级国有资本经营收入预算表</t>
    <phoneticPr fontId="38" type="noConversion"/>
  </si>
  <si>
    <t>附表1-17：2017年度本级国有资本经营支出预算表</t>
    <phoneticPr fontId="38" type="noConversion"/>
  </si>
  <si>
    <t>附表1-18：2017年度社会保险基金预算收入表</t>
    <phoneticPr fontId="38" type="noConversion"/>
  </si>
  <si>
    <t>附表1-19：2017年度社会保险基金预算支出表</t>
    <phoneticPr fontId="38" type="noConversion"/>
  </si>
  <si>
    <t>附表1-20：2017年度本级社会保险基金预算收入表</t>
    <phoneticPr fontId="38" type="noConversion"/>
  </si>
  <si>
    <t>附表1-21：2017年度本级社会保险基金预算支出表</t>
    <phoneticPr fontId="38" type="noConversion"/>
  </si>
  <si>
    <t>附表1-22：2017年度本级财政专项资金管理清单目录</t>
    <phoneticPr fontId="38" type="noConversion"/>
  </si>
  <si>
    <t>附表2-1：2016年度一般公共决算收入决算表</t>
    <phoneticPr fontId="38" type="noConversion"/>
  </si>
  <si>
    <t>附表2-2：2016年度一般公共决算支出决算表</t>
    <phoneticPr fontId="38" type="noConversion"/>
  </si>
  <si>
    <t>附表2-3：2016年度一般公共决算本级收入决算表</t>
    <phoneticPr fontId="38" type="noConversion"/>
  </si>
  <si>
    <t>附表2-4：2016年度一般公共决算本级支出决算表</t>
    <phoneticPr fontId="38" type="noConversion"/>
  </si>
  <si>
    <t>附表2-5：2016年度一般公共预算本级支出决算经济分类情况表</t>
    <phoneticPr fontId="38" type="noConversion"/>
  </si>
  <si>
    <t>附表2-6：2016年度一般公共预算本级基本支出决算经济分类情况表</t>
    <phoneticPr fontId="38" type="noConversion"/>
  </si>
  <si>
    <t>附表2-7：2016年度对下税收返还和转移支付决算表</t>
    <phoneticPr fontId="38" type="noConversion"/>
  </si>
  <si>
    <t>附表2-8：2016年度本级一般公共决算“三公”经费支出决算表</t>
    <phoneticPr fontId="38" type="noConversion"/>
  </si>
  <si>
    <t>附表2-9：2016年度政府性基金收入决算表</t>
    <phoneticPr fontId="38" type="noConversion"/>
  </si>
  <si>
    <t>附表2-10：2016年度政府性基金支出决算表</t>
    <phoneticPr fontId="38" type="noConversion"/>
  </si>
  <si>
    <t>附表2-11：2016年度政府性基金本级收入决算表</t>
    <phoneticPr fontId="38" type="noConversion"/>
  </si>
  <si>
    <t>附表2-12：2016年度政府性基金本级支出决算表</t>
    <phoneticPr fontId="38" type="noConversion"/>
  </si>
  <si>
    <t>附表2-13：2016年度政府性基金转移支付决算表</t>
    <phoneticPr fontId="38" type="noConversion"/>
  </si>
  <si>
    <t>附表2-14：2016年度国有资本经营收入决算表</t>
    <phoneticPr fontId="38" type="noConversion"/>
  </si>
  <si>
    <t>附表2-15：2016年度国有资本经营支出决算表</t>
    <phoneticPr fontId="38" type="noConversion"/>
  </si>
  <si>
    <t>附表2-16：2016年度本级国有资本经营收入决算表</t>
    <phoneticPr fontId="38" type="noConversion"/>
  </si>
  <si>
    <t>附表2-17：2016年度本级国有资本经营支出决算表</t>
    <phoneticPr fontId="38" type="noConversion"/>
  </si>
  <si>
    <t>附表2-18：2016年度社会保险基金决算收入表</t>
    <phoneticPr fontId="38" type="noConversion"/>
  </si>
  <si>
    <t>附表2-19：2016年度社会保险基金决算支出表</t>
    <phoneticPr fontId="38" type="noConversion"/>
  </si>
  <si>
    <t>附表2-20：2016年度本级社会保险基金决算收入表</t>
    <phoneticPr fontId="38" type="noConversion"/>
  </si>
  <si>
    <t>附表2-21：2016年度本级社会保险基金决算支出表</t>
    <phoneticPr fontId="38" type="noConversion"/>
  </si>
  <si>
    <t>2017年度预决算公开表</t>
    <phoneticPr fontId="38" type="noConversion"/>
  </si>
  <si>
    <t>一、政府预算公开</t>
    <phoneticPr fontId="38" type="noConversion"/>
  </si>
  <si>
    <t>二、政府决算公开</t>
    <phoneticPr fontId="38" type="noConversion"/>
  </si>
  <si>
    <t>其中：（1）公务用车运行费</t>
    <phoneticPr fontId="70" type="noConversion"/>
  </si>
  <si>
    <t xml:space="preserve">      （2）公务用车购置费</t>
    <phoneticPr fontId="70" type="noConversion"/>
  </si>
  <si>
    <t>2016-2017年政府一般债务余额和限额情况表</t>
    <phoneticPr fontId="101" type="noConversion"/>
  </si>
  <si>
    <t>2016-2017年政府专项债务余额和限额情况表</t>
    <phoneticPr fontId="101" type="noConversion"/>
  </si>
  <si>
    <t>1、2015年末专项债务余额</t>
    <phoneticPr fontId="101" type="noConversion"/>
  </si>
  <si>
    <t>2、2016年新增专项债务额</t>
    <phoneticPr fontId="101" type="noConversion"/>
  </si>
  <si>
    <t>3、2016年偿还专项债务本金</t>
    <phoneticPr fontId="101" type="noConversion"/>
  </si>
  <si>
    <t>4、2016年末专项债务余额</t>
    <phoneticPr fontId="101" type="noConversion"/>
  </si>
  <si>
    <t>1．2016年专项债务限额</t>
    <phoneticPr fontId="101" type="noConversion"/>
  </si>
  <si>
    <t>2．2017年新增专项债务限额</t>
    <phoneticPr fontId="101" type="noConversion"/>
  </si>
  <si>
    <t>3．2017年专项债务限额</t>
    <phoneticPr fontId="101" type="noConversion"/>
  </si>
  <si>
    <t>1、2015年末一般债务余额</t>
    <phoneticPr fontId="101" type="noConversion"/>
  </si>
  <si>
    <t>2、2016年新增一般债务额</t>
    <phoneticPr fontId="101" type="noConversion"/>
  </si>
  <si>
    <t>3、2016年偿还一般债务本金</t>
    <phoneticPr fontId="101" type="noConversion"/>
  </si>
  <si>
    <t>4、2016年末一般债务余额</t>
    <phoneticPr fontId="101" type="noConversion"/>
  </si>
  <si>
    <t>1．2016年一般债务限额</t>
    <phoneticPr fontId="101" type="noConversion"/>
  </si>
  <si>
    <t>2．2017年新增一般债务限额</t>
    <phoneticPr fontId="101" type="noConversion"/>
  </si>
  <si>
    <t>3．2017年一般债务限额</t>
    <phoneticPr fontId="101" type="noConversion"/>
  </si>
  <si>
    <t>2.经汇总，本级2016年使用一般公共预算拨款安排的“三公”经费决算数为2093万元。其中，因公出国（境）经费177万元，下降29.6%；公务接待费578万元，公务用车购置经费182万元，增长115.4%，公务用车运行经费1155万元，下降12.8%。“三公”经费预算变动的主要原因是严格控制因公出国（境）规模导致因公出国（境）经费减少，规范公务接待工作，严格执行中央关于党政机关国内公务接待的管理规定，公务接待费下降。</t>
    <phoneticPr fontId="38" type="noConversion"/>
  </si>
  <si>
    <t>2.经汇总，本级2017年使用一般公共预算拨款安排的“三公”经费预算数为1295.27万元，比上年预算数减少973.06万元。其中，因公出国（境）经费180万元，与上年预算数相比增长1.66%；公务接待费484.60万元，与上年预算数相比下降16.17%；公务用车购置经费0万元，与上年预算数相比下降100%；公务用车运行经费630.65万元，与上年预算数相比下降52.85%。“三公”经费预算变动的主要原因是招商引资的需求增加导致因公出国（境）经费增长，受车改政策影响，公务用车购置及运行经费减少。</t>
    <phoneticPr fontId="38" type="noConversion"/>
  </si>
  <si>
    <t>附表1-23：2016-2017年政府一般债务余额和限额情况表</t>
    <phoneticPr fontId="38" type="noConversion"/>
  </si>
  <si>
    <t>附表1-24：2016-2017年政府专项债务余额和限额情况表</t>
    <phoneticPr fontId="38" type="noConversion"/>
  </si>
  <si>
    <t>附表1-7：2017年度一般公共预算对下税收返还和转移支付预算表</t>
    <phoneticPr fontId="38" type="noConversion"/>
  </si>
  <si>
    <t>2017年度一般公共预算对下税收返还和转移支付预算表</t>
    <phoneticPr fontId="38" type="noConversion"/>
  </si>
  <si>
    <r>
      <t>说明：平潭综合实验区本级政府无下级政府，不存在对下级政府的转移支付情况，其所属的1</t>
    </r>
    <r>
      <rPr>
        <sz val="12"/>
        <rFont val="宋体"/>
        <family val="3"/>
        <charset val="134"/>
      </rPr>
      <t>5个乡镇作为财政一级预算单位管理。</t>
    </r>
    <phoneticPr fontId="38" type="noConversion"/>
  </si>
  <si>
    <t>说明：平潭综合实验区本级政府无下级政府，不存在对下级政府的政府性基金转移支付情况，其所属的15个乡镇作为财政一级预算单位管理。</t>
    <phoneticPr fontId="38" type="noConversion"/>
  </si>
  <si>
    <t>一、政府债务余额情况</t>
  </si>
  <si>
    <t>2016年末一般债务余额</t>
  </si>
  <si>
    <t>二、政府债务限额情况</t>
  </si>
  <si>
    <t>2016年一般债务限额</t>
  </si>
  <si>
    <t>2016年末专项债务余额</t>
  </si>
  <si>
    <t>2016年专项债务限额</t>
  </si>
  <si>
    <t>22、</t>
    <phoneticPr fontId="38" type="noConversion"/>
  </si>
  <si>
    <t>附表2-22：2016年平潭综合实验区政府一般债务余额和限额情况表</t>
    <phoneticPr fontId="38" type="noConversion"/>
  </si>
  <si>
    <t>25、</t>
  </si>
  <si>
    <t>附表2-23：2016年平潭综合实验区本级政府一般债务余额和限额情况表</t>
    <phoneticPr fontId="38" type="noConversion"/>
  </si>
  <si>
    <t>附表2-24：2016年平潭综合实验区政府专项债务余额和限额情况表</t>
    <phoneticPr fontId="38" type="noConversion"/>
  </si>
  <si>
    <t>附表2-25：2016年平潭综合实验区本级政府专项债务余额和限额情况表</t>
    <phoneticPr fontId="38" type="noConversion"/>
  </si>
  <si>
    <t>2016年平潭综合实验区本级政府一般债务余额和限额情况表</t>
    <phoneticPr fontId="101" type="noConversion"/>
  </si>
  <si>
    <t>2016年平潭综合实验区政府专项债务余额和限额情况表</t>
    <phoneticPr fontId="101" type="noConversion"/>
  </si>
  <si>
    <t>2016年平潭综合实验区本级政府专项债务余额和限额情况表</t>
    <phoneticPr fontId="101" type="noConversion"/>
  </si>
  <si>
    <t>2016年平潭综合实验区政府一般债务余额和限额情况表</t>
    <phoneticPr fontId="101" type="noConversion"/>
  </si>
  <si>
    <t>附表2-22</t>
    <phoneticPr fontId="38" type="noConversion"/>
  </si>
  <si>
    <t>附表2-23</t>
    <phoneticPr fontId="38" type="noConversion"/>
  </si>
  <si>
    <t>附表2-24</t>
    <phoneticPr fontId="38" type="noConversion"/>
  </si>
  <si>
    <t>附表2-25</t>
    <phoneticPr fontId="38" type="noConversion"/>
  </si>
  <si>
    <t xml:space="preserve">    人大事务</t>
  </si>
  <si>
    <t xml:space="preserve">    政协事务</t>
  </si>
  <si>
    <t xml:space="preserve">    发展与改革事务</t>
  </si>
  <si>
    <t xml:space="preserve">    统计信息事务</t>
  </si>
  <si>
    <t xml:space="preserve">    财政事务</t>
  </si>
  <si>
    <t xml:space="preserve">    税收事务</t>
  </si>
  <si>
    <t xml:space="preserve">    审计事务</t>
  </si>
  <si>
    <t xml:space="preserve">    海关事务</t>
  </si>
  <si>
    <t xml:space="preserve">    人力资源事务</t>
  </si>
  <si>
    <t xml:space="preserve">    纪检监察事务</t>
  </si>
  <si>
    <t xml:space="preserve">    商贸事务</t>
  </si>
  <si>
    <t xml:space="preserve">    工商行政管理事务</t>
  </si>
  <si>
    <t xml:space="preserve">    质量技术监督与检验检疫事务</t>
  </si>
  <si>
    <t xml:space="preserve">    宗教事务</t>
  </si>
  <si>
    <t xml:space="preserve">    港澳台侨事务</t>
  </si>
  <si>
    <t xml:space="preserve">    档案事务</t>
  </si>
  <si>
    <t xml:space="preserve">    民主党派及工商联事务</t>
  </si>
  <si>
    <t xml:space="preserve">    群众团体事务</t>
  </si>
  <si>
    <t xml:space="preserve">    党委办公厅（室）及相关机构事务</t>
  </si>
  <si>
    <t xml:space="preserve">    组织事务</t>
  </si>
  <si>
    <t xml:space="preserve">    宣传事务</t>
  </si>
  <si>
    <t xml:space="preserve">    统战事务</t>
  </si>
  <si>
    <t xml:space="preserve">    其他共产党事务支出</t>
  </si>
  <si>
    <t xml:space="preserve">    国防动员</t>
  </si>
  <si>
    <t xml:space="preserve">    武装警察</t>
  </si>
  <si>
    <t xml:space="preserve">    公安</t>
  </si>
  <si>
    <t xml:space="preserve">    国家安全</t>
  </si>
  <si>
    <t xml:space="preserve">    检察</t>
  </si>
  <si>
    <t xml:space="preserve">    法院</t>
  </si>
  <si>
    <t xml:space="preserve">    司法</t>
  </si>
  <si>
    <t xml:space="preserve">    国家保密</t>
  </si>
  <si>
    <t xml:space="preserve">    教育管理事务</t>
  </si>
  <si>
    <t xml:space="preserve">    普通教育</t>
  </si>
  <si>
    <t xml:space="preserve">    职业教育</t>
  </si>
  <si>
    <t xml:space="preserve">    特殊教育</t>
  </si>
  <si>
    <t xml:space="preserve">    进修及培训</t>
  </si>
  <si>
    <t xml:space="preserve">    教育费附加安排的支出</t>
  </si>
  <si>
    <t xml:space="preserve">    科学技术管理事务</t>
  </si>
  <si>
    <t xml:space="preserve">    基础研究</t>
  </si>
  <si>
    <t xml:space="preserve">    科技条件与服务</t>
  </si>
  <si>
    <t xml:space="preserve">    科学技术普及</t>
  </si>
  <si>
    <t xml:space="preserve">    文化</t>
  </si>
  <si>
    <t xml:space="preserve">    文物</t>
  </si>
  <si>
    <t xml:space="preserve">    体育</t>
  </si>
  <si>
    <t xml:space="preserve">    广播影视</t>
  </si>
  <si>
    <t xml:space="preserve">    新闻出版</t>
  </si>
  <si>
    <t xml:space="preserve">    人力资源和社会保障管理事务</t>
  </si>
  <si>
    <t xml:space="preserve">    民政管理事务</t>
  </si>
  <si>
    <t xml:space="preserve">    财政对社会保险基金的补助</t>
  </si>
  <si>
    <t xml:space="preserve">    行政事业单位离退休</t>
  </si>
  <si>
    <t xml:space="preserve">    就业补助</t>
  </si>
  <si>
    <t xml:space="preserve">    抚恤</t>
  </si>
  <si>
    <t xml:space="preserve">    退役安置</t>
  </si>
  <si>
    <t xml:space="preserve">    社会福利</t>
  </si>
  <si>
    <t xml:space="preserve">    残疾人事业</t>
  </si>
  <si>
    <t xml:space="preserve">    自然灾害生活救助</t>
  </si>
  <si>
    <t xml:space="preserve">    红十字事业</t>
  </si>
  <si>
    <t xml:space="preserve">    公立医院</t>
  </si>
  <si>
    <t xml:space="preserve">    基层医疗卫生机构</t>
  </si>
  <si>
    <t xml:space="preserve">    公共卫生</t>
  </si>
  <si>
    <t xml:space="preserve">    医疗保障</t>
  </si>
  <si>
    <t xml:space="preserve">    食品和药品监督管理事务</t>
  </si>
  <si>
    <t xml:space="preserve">    环境保护管理事务</t>
  </si>
  <si>
    <t xml:space="preserve">    环境监测与监察</t>
  </si>
  <si>
    <t xml:space="preserve">    污染防治</t>
  </si>
  <si>
    <t xml:space="preserve">    城乡社区管理事务</t>
  </si>
  <si>
    <t xml:space="preserve">    城乡社区公共设施</t>
  </si>
  <si>
    <t xml:space="preserve">    农业</t>
  </si>
  <si>
    <t xml:space="preserve">    林业</t>
  </si>
  <si>
    <t xml:space="preserve">    水利</t>
  </si>
  <si>
    <t xml:space="preserve">    扶贫</t>
  </si>
  <si>
    <t xml:space="preserve">    农村综合改革</t>
  </si>
  <si>
    <t xml:space="preserve">    公路水路运输</t>
  </si>
  <si>
    <t xml:space="preserve">    铁路运输</t>
  </si>
  <si>
    <t xml:space="preserve">    安全生产监管</t>
  </si>
  <si>
    <t xml:space="preserve">    国有资产监管</t>
  </si>
  <si>
    <t xml:space="preserve">    支持中小企业发展和管理支出</t>
  </si>
  <si>
    <t xml:space="preserve">    商业流通事务</t>
  </si>
  <si>
    <t xml:space="preserve">    旅游业管理与服务支出</t>
  </si>
  <si>
    <t xml:space="preserve">    涉外发展服务支出</t>
  </si>
  <si>
    <t xml:space="preserve">    金融部门行政支出</t>
  </si>
  <si>
    <t xml:space="preserve">    国土资源事务</t>
  </si>
  <si>
    <t xml:space="preserve">    海洋管理事务</t>
  </si>
  <si>
    <t xml:space="preserve">    地震事务</t>
  </si>
  <si>
    <t xml:space="preserve">    气象事务</t>
  </si>
  <si>
    <t xml:space="preserve">    保障性安居工程支出</t>
  </si>
  <si>
    <t xml:space="preserve">    住房改革支出</t>
  </si>
  <si>
    <t xml:space="preserve">    粮油事务</t>
  </si>
  <si>
    <t xml:space="preserve">    粮油储备</t>
  </si>
  <si>
    <t xml:space="preserve">    其他支出(款)</t>
  </si>
  <si>
    <t>说明：平潭综合实验区本级政府无下级政府，不存在对下级政府的转移支付情况，其所属的15个乡镇作为财政一级预算单位管理。2016年度区对乡镇一般公共预算补助支出26645万元，比上年增长48.36%；乡镇对区一般公共预算上解收入4825万元，比上年增长21.60%。乡镇2016年一般公共预算本级支出23028万元，比上年增长40.11%。</t>
    <phoneticPr fontId="38" type="noConversion"/>
  </si>
  <si>
    <t>说明：平潭综合实验区本级政府无下级政府，不存在对下级政府的转移支付情况，其所属的15个乡镇作为财政一级预算单位管理。2016年度区对乡镇政府性基金预算补助支出7340万元，比上年增长513.71%；乡镇对区政府性基金预算上解收入0万元。乡镇2016年政府性基金预算本级支出4755万元，比上年增长916.03%。</t>
    <phoneticPr fontId="38" type="noConversion"/>
  </si>
  <si>
    <t>支出总计</t>
    <phoneticPr fontId="0" type="noConversion"/>
  </si>
  <si>
    <t xml:space="preserve">   年终结余</t>
    <phoneticPr fontId="0" type="noConversion"/>
  </si>
  <si>
    <t xml:space="preserve">   调出资金</t>
    <phoneticPr fontId="0" type="noConversion"/>
  </si>
  <si>
    <t xml:space="preserve"> </t>
    <phoneticPr fontId="0" type="noConversion"/>
  </si>
  <si>
    <t xml:space="preserve">   安排预算稳定调节基金</t>
    <phoneticPr fontId="0" type="noConversion"/>
  </si>
  <si>
    <t xml:space="preserve">   国债转贷资金结余</t>
    <phoneticPr fontId="0" type="noConversion"/>
  </si>
  <si>
    <t xml:space="preserve">   拨付国债转贷资金数</t>
    <phoneticPr fontId="0" type="noConversion"/>
  </si>
  <si>
    <t xml:space="preserve">   增设预算周转金</t>
    <phoneticPr fontId="0" type="noConversion"/>
  </si>
  <si>
    <t xml:space="preserve">   债务转贷支出</t>
    <phoneticPr fontId="0" type="noConversion"/>
  </si>
  <si>
    <t xml:space="preserve">   援助其他地区支出</t>
    <phoneticPr fontId="0" type="noConversion"/>
  </si>
  <si>
    <t xml:space="preserve">   上解上级支出</t>
    <phoneticPr fontId="0" type="noConversion"/>
  </si>
  <si>
    <t xml:space="preserve">      专项转移支付支出</t>
    <phoneticPr fontId="0" type="noConversion"/>
  </si>
  <si>
    <t xml:space="preserve">      一般性转移支付支出</t>
    <phoneticPr fontId="0" type="noConversion"/>
  </si>
  <si>
    <t xml:space="preserve">      返还性支出</t>
    <phoneticPr fontId="0" type="noConversion"/>
  </si>
  <si>
    <t xml:space="preserve">   补助下级支出</t>
    <phoneticPr fontId="0" type="noConversion"/>
  </si>
  <si>
    <t xml:space="preserve">    地方政府一般债务发行费用支出</t>
    <phoneticPr fontId="0" type="noConversion"/>
  </si>
  <si>
    <t>二十四、债务发行费用支出</t>
    <phoneticPr fontId="0" type="noConversion"/>
  </si>
  <si>
    <t xml:space="preserve">      地方政府其他一般债务付息支出</t>
    <phoneticPr fontId="0" type="noConversion"/>
  </si>
  <si>
    <t xml:space="preserve">      地方政府一般债券还本支出</t>
  </si>
  <si>
    <t xml:space="preserve">    一般债务付息支出</t>
  </si>
  <si>
    <t xml:space="preserve"> </t>
  </si>
  <si>
    <t xml:space="preserve">    年初预留</t>
  </si>
  <si>
    <t xml:space="preserve">      其他支出</t>
  </si>
  <si>
    <t xml:space="preserve">      预备费</t>
  </si>
  <si>
    <t xml:space="preserve">      其他粮油储备支出</t>
    <phoneticPr fontId="0" type="noConversion"/>
  </si>
  <si>
    <t xml:space="preserve">      储备粮(油)库建设</t>
    <phoneticPr fontId="0" type="noConversion"/>
  </si>
  <si>
    <t xml:space="preserve">      粮食风险基金</t>
    <phoneticPr fontId="0" type="noConversion"/>
  </si>
  <si>
    <t xml:space="preserve">      粮食财务挂账利息补贴</t>
    <phoneticPr fontId="0" type="noConversion"/>
  </si>
  <si>
    <t xml:space="preserve">      一般行政管理事务</t>
  </si>
  <si>
    <t xml:space="preserve">      行政运行</t>
  </si>
  <si>
    <t xml:space="preserve">      提租补贴</t>
  </si>
  <si>
    <t xml:space="preserve">      住房公积金</t>
  </si>
  <si>
    <t xml:space="preserve">      其他保障性安居工程支出</t>
  </si>
  <si>
    <t xml:space="preserve">      棚户区改造</t>
    <phoneticPr fontId="0" type="noConversion"/>
  </si>
  <si>
    <t xml:space="preserve">      气象装备保障维护</t>
  </si>
  <si>
    <t xml:space="preserve">      气象服务</t>
  </si>
  <si>
    <t xml:space="preserve">      气象预报预测</t>
  </si>
  <si>
    <t xml:space="preserve">      其他地震事务支出</t>
    <phoneticPr fontId="0" type="noConversion"/>
  </si>
  <si>
    <t xml:space="preserve">      地震灾害预防</t>
    <phoneticPr fontId="0" type="noConversion"/>
  </si>
  <si>
    <t xml:space="preserve">      其他海洋管理事务支出</t>
  </si>
  <si>
    <t xml:space="preserve">      事业运行</t>
  </si>
  <si>
    <t xml:space="preserve">      海岛和海域保护</t>
    <phoneticPr fontId="0" type="noConversion"/>
  </si>
  <si>
    <t xml:space="preserve">      海洋执法监察</t>
  </si>
  <si>
    <t xml:space="preserve">      海洋权益维护</t>
    <phoneticPr fontId="0" type="noConversion"/>
  </si>
  <si>
    <t xml:space="preserve">      机关服务</t>
  </si>
  <si>
    <t xml:space="preserve">      金融部门其他监管支出</t>
  </si>
  <si>
    <t xml:space="preserve">    金融部门监管支出</t>
  </si>
  <si>
    <t xml:space="preserve">      金融部门其他行政支出</t>
  </si>
  <si>
    <t xml:space="preserve">      其他商业服务业等支出(项)</t>
    <phoneticPr fontId="0" type="noConversion"/>
  </si>
  <si>
    <t xml:space="preserve">      服务业基础设施建设</t>
    <phoneticPr fontId="0" type="noConversion"/>
  </si>
  <si>
    <t xml:space="preserve">    其他商业服务业等支出</t>
  </si>
  <si>
    <t xml:space="preserve">      其他涉外发展服务支出</t>
    <phoneticPr fontId="0" type="noConversion"/>
  </si>
  <si>
    <t xml:space="preserve">      其他旅游业管理与服务支出</t>
    <phoneticPr fontId="0" type="noConversion"/>
  </si>
  <si>
    <t xml:space="preserve">      旅游宣传</t>
  </si>
  <si>
    <t xml:space="preserve">      机关服务</t>
    <phoneticPr fontId="0" type="noConversion"/>
  </si>
  <si>
    <t xml:space="preserve">      其他商业流通事务支出</t>
    <phoneticPr fontId="0" type="noConversion"/>
  </si>
  <si>
    <t xml:space="preserve">      其他资源勘探信息等支出(项)</t>
    <phoneticPr fontId="0" type="noConversion"/>
  </si>
  <si>
    <t xml:space="preserve">      中小企业发展专项</t>
  </si>
  <si>
    <t xml:space="preserve">      其他安全生产监管支出</t>
    <phoneticPr fontId="0" type="noConversion"/>
  </si>
  <si>
    <t xml:space="preserve">      其他制造业支出</t>
    <phoneticPr fontId="0" type="noConversion"/>
  </si>
  <si>
    <t xml:space="preserve">    制造业</t>
  </si>
  <si>
    <t xml:space="preserve">      公共交通运营补助</t>
  </si>
  <si>
    <t xml:space="preserve">    其他交通运输支出</t>
  </si>
  <si>
    <t xml:space="preserve">    邮政业支出</t>
  </si>
  <si>
    <t xml:space="preserve">      港口设施</t>
    <phoneticPr fontId="0" type="noConversion"/>
  </si>
  <si>
    <t xml:space="preserve">      其他公路水路运输支出</t>
  </si>
  <si>
    <t xml:space="preserve">      海事管理</t>
  </si>
  <si>
    <t xml:space="preserve">      公路和运输安全</t>
  </si>
  <si>
    <t xml:space="preserve">      公路养护</t>
  </si>
  <si>
    <t xml:space="preserve">      公路建设</t>
  </si>
  <si>
    <t xml:space="preserve">      其他农林水支出</t>
  </si>
  <si>
    <t xml:space="preserve">    其他农林水事务支出</t>
  </si>
  <si>
    <t xml:space="preserve">      涉农贷款增量奖励</t>
  </si>
  <si>
    <t xml:space="preserve">    普惠金融发展支出</t>
  </si>
  <si>
    <t xml:space="preserve">      对村级一事一议的补助</t>
  </si>
  <si>
    <t xml:space="preserve">      其他扶贫支出</t>
    <phoneticPr fontId="0" type="noConversion"/>
  </si>
  <si>
    <t xml:space="preserve">      生产发展</t>
    <phoneticPr fontId="0" type="noConversion"/>
  </si>
  <si>
    <t xml:space="preserve">      农村基础设施建设</t>
    <phoneticPr fontId="0" type="noConversion"/>
  </si>
  <si>
    <t xml:space="preserve">      水资源费安排的支出</t>
    <phoneticPr fontId="0" type="noConversion"/>
  </si>
  <si>
    <t xml:space="preserve">      农田水利</t>
    <phoneticPr fontId="0" type="noConversion"/>
  </si>
  <si>
    <t xml:space="preserve">      防汛</t>
    <phoneticPr fontId="0" type="noConversion"/>
  </si>
  <si>
    <t xml:space="preserve">      水土保持</t>
    <phoneticPr fontId="0" type="noConversion"/>
  </si>
  <si>
    <t xml:space="preserve">      防汛</t>
  </si>
  <si>
    <t xml:space="preserve">      水利前期工作</t>
  </si>
  <si>
    <t xml:space="preserve">      水利工程运行与维护</t>
    <phoneticPr fontId="0" type="noConversion"/>
  </si>
  <si>
    <t xml:space="preserve">      水利工程建设</t>
  </si>
  <si>
    <t xml:space="preserve">      水利行业业务管理</t>
    <phoneticPr fontId="0" type="noConversion"/>
  </si>
  <si>
    <t xml:space="preserve">      行政运行</t>
    <phoneticPr fontId="0" type="noConversion"/>
  </si>
  <si>
    <t xml:space="preserve">      其他林业支出</t>
    <phoneticPr fontId="0" type="noConversion"/>
  </si>
  <si>
    <t xml:space="preserve">      林业防灾减灾</t>
    <phoneticPr fontId="0" type="noConversion"/>
  </si>
  <si>
    <t xml:space="preserve">      动植物保护</t>
    <phoneticPr fontId="0" type="noConversion"/>
  </si>
  <si>
    <t xml:space="preserve">      森林生态效益补偿</t>
    <phoneticPr fontId="0" type="noConversion"/>
  </si>
  <si>
    <t xml:space="preserve">      林业防灾减灾</t>
  </si>
  <si>
    <t xml:space="preserve">      森林资源管理</t>
  </si>
  <si>
    <t xml:space="preserve">      林业技术推广</t>
    <phoneticPr fontId="0" type="noConversion"/>
  </si>
  <si>
    <t xml:space="preserve">      森林培育</t>
  </si>
  <si>
    <t xml:space="preserve">      林业事业机构</t>
  </si>
  <si>
    <t xml:space="preserve">      其他农业支出</t>
    <phoneticPr fontId="0" type="noConversion"/>
  </si>
  <si>
    <t xml:space="preserve">      对高校毕业生到基层任职补助</t>
    <phoneticPr fontId="0" type="noConversion"/>
  </si>
  <si>
    <t xml:space="preserve">      成品油价格改革对渔业的补贴</t>
    <phoneticPr fontId="0" type="noConversion"/>
  </si>
  <si>
    <t xml:space="preserve">      农业生产支持补贴</t>
    <phoneticPr fontId="0" type="noConversion"/>
  </si>
  <si>
    <t xml:space="preserve">      执法监管</t>
    <phoneticPr fontId="0" type="noConversion"/>
  </si>
  <si>
    <t xml:space="preserve">      农产品质量安全</t>
  </si>
  <si>
    <t xml:space="preserve">      病虫害控制</t>
  </si>
  <si>
    <t xml:space="preserve">      科技转化与推广服务</t>
    <phoneticPr fontId="0" type="noConversion"/>
  </si>
  <si>
    <t xml:space="preserve">      农垦运行</t>
  </si>
  <si>
    <t xml:space="preserve">      其他城乡社区支出</t>
  </si>
  <si>
    <t xml:space="preserve">    其他城乡社区支出</t>
  </si>
  <si>
    <t xml:space="preserve">    建设市场管理与监督</t>
  </si>
  <si>
    <t xml:space="preserve">      城乡社区环境卫生</t>
  </si>
  <si>
    <t xml:space="preserve">    城乡社区环境卫生</t>
  </si>
  <si>
    <t xml:space="preserve">      其他城乡社区公共设施支出</t>
  </si>
  <si>
    <t xml:space="preserve">      小城镇基础设施建设</t>
  </si>
  <si>
    <t xml:space="preserve">      城乡社区规划与管理</t>
  </si>
  <si>
    <t xml:space="preserve">    城乡社区规划与管理</t>
  </si>
  <si>
    <t xml:space="preserve">      其他城乡社区管理事务支出</t>
  </si>
  <si>
    <t xml:space="preserve">      工程建设标准规范编制与监管</t>
  </si>
  <si>
    <t xml:space="preserve">      城管执法</t>
  </si>
  <si>
    <t xml:space="preserve">       减排专项支出</t>
    <phoneticPr fontId="0" type="noConversion"/>
  </si>
  <si>
    <t xml:space="preserve">    污染减排</t>
    <phoneticPr fontId="0" type="noConversion"/>
  </si>
  <si>
    <t xml:space="preserve">       其他污染防治支出</t>
    <phoneticPr fontId="0" type="noConversion"/>
  </si>
  <si>
    <t xml:space="preserve">       排污费安排的支出</t>
    <phoneticPr fontId="0" type="noConversion"/>
  </si>
  <si>
    <t xml:space="preserve">       固体废弃物与化学品</t>
    <phoneticPr fontId="0" type="noConversion"/>
  </si>
  <si>
    <t xml:space="preserve">       水体</t>
    <phoneticPr fontId="0" type="noConversion"/>
  </si>
  <si>
    <t xml:space="preserve">       大气</t>
    <phoneticPr fontId="0" type="noConversion"/>
  </si>
  <si>
    <t xml:space="preserve">      其他环境监测与监察支出</t>
  </si>
  <si>
    <t xml:space="preserve">       其他环境保护管理事务支出</t>
    <phoneticPr fontId="0" type="noConversion"/>
  </si>
  <si>
    <t xml:space="preserve">       其他医疗卫生与计划生育支出(项)</t>
    <phoneticPr fontId="0" type="noConversion"/>
  </si>
  <si>
    <t xml:space="preserve">    其他医疗卫生计生支出</t>
  </si>
  <si>
    <t xml:space="preserve">      优抚对象医疗补助</t>
  </si>
  <si>
    <t xml:space="preserve">    优抚对象医疗</t>
    <phoneticPr fontId="0" type="noConversion"/>
  </si>
  <si>
    <t xml:space="preserve">       其他中医药支出</t>
    <phoneticPr fontId="0" type="noConversion"/>
  </si>
  <si>
    <t xml:space="preserve">       中医(民族医)药专项</t>
    <phoneticPr fontId="0" type="noConversion"/>
  </si>
  <si>
    <t xml:space="preserve">    中医药</t>
    <phoneticPr fontId="0" type="noConversion"/>
  </si>
  <si>
    <t xml:space="preserve">      城乡医疗救助</t>
  </si>
  <si>
    <t xml:space="preserve">    医疗救助</t>
  </si>
  <si>
    <t xml:space="preserve">      财政对其他基本医疗保险基金的补助</t>
  </si>
  <si>
    <t xml:space="preserve">      财政对城镇居民基本医疗保险基金的补助</t>
  </si>
  <si>
    <t xml:space="preserve">      财政对新型农村合作医疗基金的补助</t>
  </si>
  <si>
    <t xml:space="preserve">       公务员医疗补助</t>
  </si>
  <si>
    <t xml:space="preserve">       其他行政事业单位医疗支出</t>
  </si>
  <si>
    <t xml:space="preserve">    行政事业单位医疗</t>
  </si>
  <si>
    <t xml:space="preserve">       其他食品和药品监督管理事务支出</t>
    <phoneticPr fontId="0" type="noConversion"/>
  </si>
  <si>
    <t xml:space="preserve">       事业运行</t>
  </si>
  <si>
    <t xml:space="preserve">       食品安全事务</t>
  </si>
  <si>
    <t xml:space="preserve">       药品事务</t>
  </si>
  <si>
    <t xml:space="preserve">       一般行政管理事务</t>
  </si>
  <si>
    <t xml:space="preserve">       行政运行</t>
    <phoneticPr fontId="0" type="noConversion"/>
  </si>
  <si>
    <t xml:space="preserve">       其他计划生育事务支出</t>
  </si>
  <si>
    <t xml:space="preserve">       计划生育服务</t>
  </si>
  <si>
    <t xml:space="preserve">       计划生育机构</t>
  </si>
  <si>
    <t xml:space="preserve">    计划生育事务</t>
  </si>
  <si>
    <t xml:space="preserve">       其他医疗保障支出</t>
    <phoneticPr fontId="0" type="noConversion"/>
  </si>
  <si>
    <t xml:space="preserve">       疾病应急救助</t>
    <phoneticPr fontId="0" type="noConversion"/>
  </si>
  <si>
    <t xml:space="preserve">       城乡医疗救助</t>
    <phoneticPr fontId="0" type="noConversion"/>
  </si>
  <si>
    <t xml:space="preserve">       城镇居民基本医疗保险</t>
    <phoneticPr fontId="0" type="noConversion"/>
  </si>
  <si>
    <t xml:space="preserve">       新型农村合作医疗</t>
    <phoneticPr fontId="0" type="noConversion"/>
  </si>
  <si>
    <t xml:space="preserve">       优抚对象医疗补助</t>
    <phoneticPr fontId="0" type="noConversion"/>
  </si>
  <si>
    <t xml:space="preserve">       公务员医疗补助</t>
    <phoneticPr fontId="0" type="noConversion"/>
  </si>
  <si>
    <t xml:space="preserve">       事业单位医疗</t>
    <phoneticPr fontId="0" type="noConversion"/>
  </si>
  <si>
    <t xml:space="preserve">       其他公共卫生支出</t>
  </si>
  <si>
    <t xml:space="preserve">       重大公共卫生专项</t>
    <phoneticPr fontId="0" type="noConversion"/>
  </si>
  <si>
    <t xml:space="preserve">       其他专业公共卫生机构</t>
    <phoneticPr fontId="0" type="noConversion"/>
  </si>
  <si>
    <t xml:space="preserve">       基本公共卫生服务</t>
  </si>
  <si>
    <t xml:space="preserve">       精神卫生机构</t>
  </si>
  <si>
    <t xml:space="preserve">       妇幼保健机构</t>
  </si>
  <si>
    <t xml:space="preserve">       卫生监督机构</t>
  </si>
  <si>
    <t xml:space="preserve">       疾病预防控制机构</t>
  </si>
  <si>
    <t xml:space="preserve">       其他基层医疗卫生机构支出</t>
  </si>
  <si>
    <t xml:space="preserve">       乡镇卫生院</t>
  </si>
  <si>
    <t xml:space="preserve">       城市社区卫生机构</t>
  </si>
  <si>
    <t xml:space="preserve">       其他公立医院支出</t>
  </si>
  <si>
    <t xml:space="preserve">       精神病医院</t>
  </si>
  <si>
    <t xml:space="preserve">       中医（民族）医院</t>
  </si>
  <si>
    <t xml:space="preserve">       综合医院</t>
  </si>
  <si>
    <t xml:space="preserve">       其他医疗卫生与计划生育管理事务支出</t>
  </si>
  <si>
    <t xml:space="preserve">       行政运行</t>
  </si>
  <si>
    <t xml:space="preserve">    医疗卫生与计生管理事务</t>
  </si>
  <si>
    <t xml:space="preserve">       其他社会保障和就业支出</t>
  </si>
  <si>
    <t xml:space="preserve">    其他社会保障和就业支出</t>
  </si>
  <si>
    <t xml:space="preserve">       其他农村生活救助</t>
  </si>
  <si>
    <t xml:space="preserve">    其他生活救助</t>
  </si>
  <si>
    <t xml:space="preserve">       农村五保供养支出</t>
    <phoneticPr fontId="0" type="noConversion"/>
  </si>
  <si>
    <t xml:space="preserve">       农村特困人员救助供养支出</t>
  </si>
  <si>
    <t xml:space="preserve">    特困人员供养</t>
  </si>
  <si>
    <t xml:space="preserve">       流浪乞讨人员救助支出</t>
  </si>
  <si>
    <t xml:space="preserve">       临时救助支出</t>
  </si>
  <si>
    <t xml:space="preserve">    临时救助</t>
  </si>
  <si>
    <t xml:space="preserve">       农村最低生活保障金支出</t>
  </si>
  <si>
    <t xml:space="preserve">       城市最低生活保障金支出</t>
  </si>
  <si>
    <t xml:space="preserve">    最低生活保障</t>
  </si>
  <si>
    <t xml:space="preserve">       地方自然灾害生活补助</t>
  </si>
  <si>
    <t xml:space="preserve">       中央自然灾害生活补助</t>
    <phoneticPr fontId="0" type="noConversion"/>
  </si>
  <si>
    <t xml:space="preserve">       其他残疾人事业支出</t>
  </si>
  <si>
    <t xml:space="preserve">       残疾人生活和护理补贴</t>
  </si>
  <si>
    <t xml:space="preserve">       残疾人体育</t>
  </si>
  <si>
    <t xml:space="preserve">       残疾人就业和扶贫</t>
  </si>
  <si>
    <t xml:space="preserve">       残疾人康复</t>
  </si>
  <si>
    <t xml:space="preserve">       机关服务</t>
  </si>
  <si>
    <t xml:space="preserve">       其他社会福利支出</t>
  </si>
  <si>
    <t xml:space="preserve">       社会福利事业单位</t>
  </si>
  <si>
    <t xml:space="preserve">       殡葬</t>
  </si>
  <si>
    <t xml:space="preserve">       老年福利</t>
  </si>
  <si>
    <t xml:space="preserve">       儿童福利</t>
  </si>
  <si>
    <t xml:space="preserve">       其他退役安置支出</t>
  </si>
  <si>
    <t xml:space="preserve">       军队移交政府离退休干部管理机构</t>
  </si>
  <si>
    <t xml:space="preserve">       军队移交政府的离退休人员安置</t>
    <phoneticPr fontId="0" type="noConversion"/>
  </si>
  <si>
    <t xml:space="preserve">       退役士兵安置</t>
  </si>
  <si>
    <t xml:space="preserve">       其他优抚支出</t>
  </si>
  <si>
    <t xml:space="preserve">       农村籍退役士兵老年生活补助</t>
  </si>
  <si>
    <t xml:space="preserve">       义务兵优待</t>
  </si>
  <si>
    <t xml:space="preserve">       在乡复员、退伍军人生活补助</t>
  </si>
  <si>
    <t xml:space="preserve">       伤残抚恤</t>
  </si>
  <si>
    <t xml:space="preserve">       死亡抚恤</t>
  </si>
  <si>
    <t xml:space="preserve">       其他就业补助支出</t>
    <phoneticPr fontId="0" type="noConversion"/>
  </si>
  <si>
    <t xml:space="preserve">       其他行政事业单位离退休支出</t>
    <phoneticPr fontId="0" type="noConversion"/>
  </si>
  <si>
    <t xml:space="preserve">       机关事业单位职业年金缴费支出</t>
  </si>
  <si>
    <t xml:space="preserve">       未归口管理的行政单位离退休</t>
    <phoneticPr fontId="0" type="noConversion"/>
  </si>
  <si>
    <t xml:space="preserve">       离退休人员管理机构</t>
  </si>
  <si>
    <t xml:space="preserve">       事业单位离退休</t>
  </si>
  <si>
    <t xml:space="preserve">       归口管理的行政单位离退休</t>
  </si>
  <si>
    <t xml:space="preserve">       财政对城乡居民基本养老保险基金的补助</t>
  </si>
  <si>
    <t xml:space="preserve">       基层政权和社区建设</t>
    <phoneticPr fontId="0" type="noConversion"/>
  </si>
  <si>
    <t xml:space="preserve">       行政区划和地名管理</t>
  </si>
  <si>
    <t xml:space="preserve">       老龄事务</t>
  </si>
  <si>
    <t xml:space="preserve">       拥军优属</t>
  </si>
  <si>
    <t xml:space="preserve">       其他人力资源和社会保障管理事务支出</t>
  </si>
  <si>
    <t xml:space="preserve">       劳动人事争议调解仲裁</t>
  </si>
  <si>
    <t xml:space="preserve">       社会保险经办机构</t>
  </si>
  <si>
    <t xml:space="preserve">       社会保险业务管理事务</t>
    <phoneticPr fontId="0" type="noConversion"/>
  </si>
  <si>
    <t xml:space="preserve">       一般行政管理事务</t>
    <phoneticPr fontId="0" type="noConversion"/>
  </si>
  <si>
    <t xml:space="preserve">       其他文化体育与传媒支出(项)</t>
    <phoneticPr fontId="0" type="noConversion"/>
  </si>
  <si>
    <t xml:space="preserve">       文化产业发展专项支出</t>
    <phoneticPr fontId="0" type="noConversion"/>
  </si>
  <si>
    <t xml:space="preserve">       宣传文化发展专项支出</t>
    <phoneticPr fontId="0" type="noConversion"/>
  </si>
  <si>
    <t xml:space="preserve">    其他文化体育与传媒支出</t>
  </si>
  <si>
    <t xml:space="preserve">       其他新闻出版广播影视支出</t>
    <phoneticPr fontId="0" type="noConversion"/>
  </si>
  <si>
    <t xml:space="preserve">       新闻通讯</t>
    <phoneticPr fontId="0" type="noConversion"/>
  </si>
  <si>
    <t xml:space="preserve">       电影</t>
    <phoneticPr fontId="0" type="noConversion"/>
  </si>
  <si>
    <t xml:space="preserve">       电视</t>
    <phoneticPr fontId="0" type="noConversion"/>
  </si>
  <si>
    <t xml:space="preserve">       广播</t>
    <phoneticPr fontId="0" type="noConversion"/>
  </si>
  <si>
    <t xml:space="preserve">       其他新闻出版广播影视支出</t>
  </si>
  <si>
    <t xml:space="preserve">       出版发行</t>
  </si>
  <si>
    <t xml:space="preserve">       电视</t>
  </si>
  <si>
    <t xml:space="preserve">       群众体育</t>
  </si>
  <si>
    <t xml:space="preserve">       体育场馆</t>
  </si>
  <si>
    <t xml:space="preserve">       体育竞赛</t>
  </si>
  <si>
    <t xml:space="preserve">       历史名城与古迹</t>
  </si>
  <si>
    <t xml:space="preserve">       博物馆</t>
  </si>
  <si>
    <t xml:space="preserve">       文物保护</t>
  </si>
  <si>
    <t xml:space="preserve">       其他文化支出</t>
    <phoneticPr fontId="0" type="noConversion"/>
  </si>
  <si>
    <t xml:space="preserve">       文化创作与保护</t>
    <phoneticPr fontId="0" type="noConversion"/>
  </si>
  <si>
    <t xml:space="preserve">       群众文化</t>
  </si>
  <si>
    <t xml:space="preserve">       艺术表演团体</t>
  </si>
  <si>
    <t xml:space="preserve">       图书馆</t>
  </si>
  <si>
    <t xml:space="preserve">       其他科学技术支出</t>
  </si>
  <si>
    <t xml:space="preserve">       机构运行</t>
    <phoneticPr fontId="0" type="noConversion"/>
  </si>
  <si>
    <t xml:space="preserve">       其他技术研究与开发支出</t>
  </si>
  <si>
    <t xml:space="preserve">       科技条件专项</t>
    <phoneticPr fontId="0" type="noConversion"/>
  </si>
  <si>
    <t xml:space="preserve">       产业技术研究与开发</t>
    <phoneticPr fontId="0" type="noConversion"/>
  </si>
  <si>
    <t xml:space="preserve">       机构运行</t>
  </si>
  <si>
    <t xml:space="preserve">       其他科学技术管理事务支出</t>
  </si>
  <si>
    <t xml:space="preserve">        其他教育支出</t>
  </si>
  <si>
    <t xml:space="preserve">    其他教育支出</t>
  </si>
  <si>
    <t xml:space="preserve">       其他教育费附加安排的支出</t>
  </si>
  <si>
    <t xml:space="preserve">       干部教育</t>
  </si>
  <si>
    <t xml:space="preserve">       教师进修</t>
  </si>
  <si>
    <t xml:space="preserve">       特殊学校教育</t>
  </si>
  <si>
    <t xml:space="preserve">       高等职业教育</t>
  </si>
  <si>
    <t xml:space="preserve">       中专教育</t>
  </si>
  <si>
    <t xml:space="preserve">       其他普通教育支出</t>
  </si>
  <si>
    <t xml:space="preserve">       高等教育</t>
    <phoneticPr fontId="0" type="noConversion"/>
  </si>
  <si>
    <t xml:space="preserve">       高中教育</t>
  </si>
  <si>
    <t xml:space="preserve">       初中教育</t>
  </si>
  <si>
    <t xml:space="preserve">       小学教育</t>
  </si>
  <si>
    <t xml:space="preserve">       学前教育</t>
  </si>
  <si>
    <t xml:space="preserve">       其他教育管理事务支出</t>
  </si>
  <si>
    <t xml:space="preserve">       其他公共安全支出(项)</t>
    <phoneticPr fontId="0" type="noConversion"/>
  </si>
  <si>
    <t xml:space="preserve">    其他公共安全支出(款)</t>
    <phoneticPr fontId="0" type="noConversion"/>
  </si>
  <si>
    <t xml:space="preserve">       其他司法支出</t>
    <phoneticPr fontId="0" type="noConversion"/>
  </si>
  <si>
    <t xml:space="preserve">       社区矫正</t>
  </si>
  <si>
    <t xml:space="preserve">       法律援助</t>
  </si>
  <si>
    <t xml:space="preserve">       律师公证管理</t>
  </si>
  <si>
    <t xml:space="preserve">       普法宣传</t>
  </si>
  <si>
    <t xml:space="preserve">       基层司法业务</t>
  </si>
  <si>
    <t xml:space="preserve">       其他法院支出</t>
    <phoneticPr fontId="0" type="noConversion"/>
  </si>
  <si>
    <t xml:space="preserve">       其他检察支出</t>
    <phoneticPr fontId="0" type="noConversion"/>
  </si>
  <si>
    <t xml:space="preserve">       “两房”建设</t>
    <phoneticPr fontId="0" type="noConversion"/>
  </si>
  <si>
    <t xml:space="preserve">       其他公安支出</t>
  </si>
  <si>
    <t xml:space="preserve">       信息化建设</t>
  </si>
  <si>
    <t xml:space="preserve">       拘押收教场所管理</t>
  </si>
  <si>
    <t xml:space="preserve">       网络运行及维护</t>
  </si>
  <si>
    <t xml:space="preserve">       居民身份证管理</t>
    <phoneticPr fontId="0" type="noConversion"/>
  </si>
  <si>
    <t xml:space="preserve">       反恐怖</t>
    <phoneticPr fontId="0" type="noConversion"/>
  </si>
  <si>
    <t xml:space="preserve">       道路交通管理</t>
  </si>
  <si>
    <t xml:space="preserve">       禁毒管理</t>
  </si>
  <si>
    <t xml:space="preserve">       出入境管理</t>
  </si>
  <si>
    <t xml:space="preserve">       经济犯罪侦查</t>
  </si>
  <si>
    <t xml:space="preserve">       刑事侦查</t>
  </si>
  <si>
    <t xml:space="preserve">       国内安全保卫</t>
  </si>
  <si>
    <t xml:space="preserve">       治安管理</t>
  </si>
  <si>
    <t xml:space="preserve">       警卫</t>
  </si>
  <si>
    <t xml:space="preserve">       消防</t>
  </si>
  <si>
    <t xml:space="preserve">       边防</t>
  </si>
  <si>
    <t xml:space="preserve">       内卫</t>
  </si>
  <si>
    <t xml:space="preserve">       其他国防支出(项)</t>
    <phoneticPr fontId="0" type="noConversion"/>
  </si>
  <si>
    <t xml:space="preserve">    其他国防支出</t>
  </si>
  <si>
    <t xml:space="preserve">       其他国防动员支出</t>
  </si>
  <si>
    <t xml:space="preserve">       民兵</t>
  </si>
  <si>
    <t xml:space="preserve">       国防教育</t>
  </si>
  <si>
    <t xml:space="preserve">       人民防空</t>
  </si>
  <si>
    <t xml:space="preserve">       兵役征集</t>
  </si>
  <si>
    <t xml:space="preserve">       现役部队</t>
  </si>
  <si>
    <t xml:space="preserve">    现役部队</t>
  </si>
  <si>
    <t xml:space="preserve">       其他宣传事务支出</t>
  </si>
  <si>
    <t xml:space="preserve">       其他党委办公厅（室）及相关机构事务支出</t>
  </si>
  <si>
    <t xml:space="preserve">       其他群众团体事务支出</t>
    <phoneticPr fontId="0" type="noConversion"/>
  </si>
  <si>
    <t xml:space="preserve">       档案馆</t>
    <phoneticPr fontId="0" type="noConversion"/>
  </si>
  <si>
    <t xml:space="preserve">       华侨事务</t>
  </si>
  <si>
    <t xml:space="preserve">       台湾事务</t>
  </si>
  <si>
    <t xml:space="preserve">       宗教工作专项</t>
    <phoneticPr fontId="0" type="noConversion"/>
  </si>
  <si>
    <t xml:space="preserve">       出入境检验检疫行政执法和业务管理</t>
    <phoneticPr fontId="0" type="noConversion"/>
  </si>
  <si>
    <t xml:space="preserve">       其他质量技术监督与检验检疫事务支出</t>
  </si>
  <si>
    <t xml:space="preserve">       其他工商行政管理事务支出</t>
  </si>
  <si>
    <t xml:space="preserve">       执法办案专项</t>
  </si>
  <si>
    <t xml:space="preserve">       工商行政管理专项</t>
  </si>
  <si>
    <t xml:space="preserve">       招商引资</t>
  </si>
  <si>
    <t xml:space="preserve">       其他人力资源事务支出</t>
    <phoneticPr fontId="0" type="noConversion"/>
  </si>
  <si>
    <t xml:space="preserve">       引进人才费用</t>
    <phoneticPr fontId="0" type="noConversion"/>
  </si>
  <si>
    <t xml:space="preserve">       军队转业干部安置</t>
    <phoneticPr fontId="0" type="noConversion"/>
  </si>
  <si>
    <t xml:space="preserve">       其他海关事务支出</t>
    <phoneticPr fontId="0" type="noConversion"/>
  </si>
  <si>
    <t xml:space="preserve">       信息化建设</t>
    <phoneticPr fontId="0" type="noConversion"/>
  </si>
  <si>
    <t xml:space="preserve">       财政国库业务</t>
    <phoneticPr fontId="0" type="noConversion"/>
  </si>
  <si>
    <t xml:space="preserve">       预算改革业务</t>
    <phoneticPr fontId="0" type="noConversion"/>
  </si>
  <si>
    <t xml:space="preserve">       财政国库业务</t>
  </si>
  <si>
    <t xml:space="preserve">       专项普查活动</t>
  </si>
  <si>
    <t xml:space="preserve">       其他发展与改革事务支出</t>
    <phoneticPr fontId="0" type="noConversion"/>
  </si>
  <si>
    <t xml:space="preserve">       事业运行</t>
    <phoneticPr fontId="0" type="noConversion"/>
  </si>
  <si>
    <t xml:space="preserve">       物价管理</t>
    <phoneticPr fontId="0" type="noConversion"/>
  </si>
  <si>
    <t xml:space="preserve">       战略规划与实施</t>
    <phoneticPr fontId="0" type="noConversion"/>
  </si>
  <si>
    <t xml:space="preserve">       其他政府办公厅(室)及相关机构事务支出</t>
    <phoneticPr fontId="0" type="noConversion"/>
  </si>
  <si>
    <t xml:space="preserve">       信访事务</t>
  </si>
  <si>
    <t xml:space="preserve">       专项业务活动</t>
    <phoneticPr fontId="0" type="noConversion"/>
  </si>
  <si>
    <t xml:space="preserve">    政府办公厅(室)及相关机构事务</t>
  </si>
  <si>
    <t xml:space="preserve">       代表工作</t>
  </si>
  <si>
    <t xml:space="preserve">       人大代表履职能力提升</t>
  </si>
  <si>
    <t xml:space="preserve">       人大会议</t>
  </si>
  <si>
    <t>预算数为上年执行数的％</t>
    <phoneticPr fontId="0" type="noConversion"/>
  </si>
  <si>
    <t>上年执行数</t>
    <phoneticPr fontId="0" type="noConversion"/>
  </si>
  <si>
    <t>当年预算数</t>
    <phoneticPr fontId="0" type="noConversion"/>
  </si>
  <si>
    <t>支出项目</t>
    <phoneticPr fontId="0" type="noConversion"/>
  </si>
  <si>
    <t>单位：万元</t>
    <phoneticPr fontId="0" type="noConversion"/>
  </si>
  <si>
    <t>2017年度一般公共预算本级支出预算表</t>
    <phoneticPr fontId="0" type="noConversion"/>
  </si>
  <si>
    <t>附表1-4</t>
    <phoneticPr fontId="0" type="noConversion"/>
  </si>
</sst>
</file>

<file path=xl/styles.xml><?xml version="1.0" encoding="utf-8"?>
<styleSheet xmlns="http://schemas.openxmlformats.org/spreadsheetml/2006/main">
  <numFmts count="26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#,##0;\-#,##0;&quot;-&quot;"/>
    <numFmt numFmtId="178" formatCode="_-* #,##0.00_-;\-* #,##0.00_-;_-* &quot;-&quot;??_-;_-@_-"/>
    <numFmt numFmtId="179" formatCode="\$#,##0.00;\(\$#,##0.00\)"/>
    <numFmt numFmtId="180" formatCode="_-* #,##0_-;\-* #,##0_-;_-* &quot;-&quot;_-;_-@_-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  <numFmt numFmtId="190" formatCode="#,##0_ ;[Red]\-#,##0\ "/>
    <numFmt numFmtId="191" formatCode="#,##0.00_ "/>
    <numFmt numFmtId="192" formatCode="0.0_ "/>
    <numFmt numFmtId="193" formatCode="0.00_);[Red]\(0.00\)"/>
    <numFmt numFmtId="194" formatCode="0.0_);[Red]\(0.0\)"/>
    <numFmt numFmtId="195" formatCode="0.00_);\(0.00\)"/>
    <numFmt numFmtId="196" formatCode="0_);[Red]\(0\)"/>
    <numFmt numFmtId="197" formatCode="0_ "/>
    <numFmt numFmtId="198" formatCode="0.00_ "/>
  </numFmts>
  <fonts count="112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7"/>
      <charset val="134"/>
    </font>
    <font>
      <sz val="12"/>
      <name val="黑体"/>
      <family val="3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6"/>
      <name val="宋体"/>
      <family val="3"/>
      <charset val="134"/>
    </font>
    <font>
      <b/>
      <sz val="16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8"/>
      <name val="方正小标宋简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color indexed="8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name val="黑体"/>
      <family val="3"/>
      <charset val="134"/>
    </font>
    <font>
      <sz val="12"/>
      <name val="宋体"/>
      <family val="3"/>
      <charset val="134"/>
    </font>
    <font>
      <sz val="11"/>
      <name val="宋体"/>
      <family val="3"/>
      <charset val="134"/>
      <scheme val="major"/>
    </font>
    <font>
      <b/>
      <sz val="11"/>
      <name val="宋体"/>
      <family val="3"/>
      <charset val="134"/>
      <scheme val="major"/>
    </font>
    <font>
      <sz val="12"/>
      <color indexed="8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9"/>
      <name val="宋体"/>
      <family val="2"/>
      <charset val="134"/>
      <scheme val="minor"/>
    </font>
    <font>
      <sz val="16"/>
      <color indexed="8"/>
      <name val="方正小标宋简体"/>
      <family val="4"/>
      <charset val="134"/>
    </font>
    <font>
      <sz val="12"/>
      <color indexed="9"/>
      <name val="宋体"/>
      <family val="3"/>
      <charset val="134"/>
    </font>
    <font>
      <b/>
      <sz val="11"/>
      <name val="宋体"/>
      <family val="3"/>
      <charset val="134"/>
    </font>
    <font>
      <sz val="10"/>
      <name val="宋体"/>
      <family val="3"/>
      <charset val="134"/>
      <scheme val="minor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11"/>
      <color indexed="64"/>
      <name val="宋体"/>
      <family val="3"/>
      <charset val="134"/>
    </font>
    <font>
      <sz val="11"/>
      <color indexed="64"/>
      <name val="宋体"/>
      <family val="3"/>
      <charset val="134"/>
      <scheme val="minor"/>
    </font>
    <font>
      <sz val="11"/>
      <color indexed="8"/>
      <name val="宋体"/>
      <family val="7"/>
      <charset val="134"/>
    </font>
    <font>
      <sz val="11"/>
      <color indexed="8"/>
      <name val="Times New Roman"/>
      <family val="22"/>
      <charset val="134"/>
    </font>
    <font>
      <sz val="11"/>
      <color indexed="8"/>
      <name val="黑体"/>
      <family val="3"/>
      <charset val="134"/>
    </font>
    <font>
      <b/>
      <sz val="11"/>
      <color indexed="8"/>
      <name val="宋体"/>
      <family val="7"/>
      <charset val="134"/>
    </font>
    <font>
      <sz val="16"/>
      <color indexed="8"/>
      <name val="方正小标宋简体"/>
      <family val="3"/>
      <charset val="134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2"/>
      <color indexed="8"/>
      <name val="宋体"/>
      <family val="3"/>
      <charset val="134"/>
      <scheme val="minor"/>
    </font>
    <font>
      <b/>
      <sz val="26"/>
      <name val="方正小标宋_GBK"/>
      <family val="4"/>
      <charset val="134"/>
    </font>
    <font>
      <sz val="16"/>
      <color indexed="8"/>
      <name val="方正小标宋_GBK"/>
      <family val="4"/>
      <charset val="134"/>
    </font>
    <font>
      <sz val="16"/>
      <name val="宋体"/>
      <family val="3"/>
      <charset val="134"/>
      <scheme val="minor"/>
    </font>
    <font>
      <sz val="16"/>
      <name val="方正小标宋简体"/>
      <family val="3"/>
      <charset val="134"/>
    </font>
    <font>
      <sz val="12"/>
      <name val="宋体"/>
      <family val="3"/>
      <charset val="134"/>
      <scheme val="minor"/>
    </font>
    <font>
      <sz val="10"/>
      <color indexed="8"/>
      <name val="宋体"/>
      <family val="3"/>
      <charset val="134"/>
    </font>
    <font>
      <b/>
      <sz val="16"/>
      <name val="楷体"/>
      <family val="3"/>
      <charset val="134"/>
    </font>
    <font>
      <sz val="14"/>
      <name val="宋体"/>
      <family val="3"/>
      <charset val="134"/>
    </font>
    <font>
      <sz val="18"/>
      <name val="方正小标宋_GBK"/>
      <family val="4"/>
      <charset val="134"/>
    </font>
    <font>
      <sz val="16"/>
      <color theme="1"/>
      <name val="方正小标宋_GBK"/>
      <family val="4"/>
      <charset val="134"/>
    </font>
    <font>
      <sz val="9"/>
      <name val="宋体"/>
      <family val="3"/>
      <charset val="134"/>
      <scheme val="minor"/>
    </font>
    <font>
      <sz val="9"/>
      <color theme="1"/>
      <name val="Arial"/>
      <family val="2"/>
    </font>
    <font>
      <sz val="12"/>
      <color theme="1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1"/>
      <name val="黑体"/>
      <family val="3"/>
      <charset val="134"/>
    </font>
    <font>
      <b/>
      <sz val="10"/>
      <name val="宋体"/>
      <family val="3"/>
      <charset val="134"/>
    </font>
    <font>
      <b/>
      <sz val="9"/>
      <name val="宋体"/>
      <family val="3"/>
      <charset val="134"/>
    </font>
    <font>
      <sz val="10"/>
      <color indexed="10"/>
      <name val="宋体"/>
      <family val="3"/>
      <charset val="134"/>
    </font>
    <font>
      <b/>
      <sz val="16"/>
      <color indexed="8"/>
      <name val="宋体"/>
      <family val="3"/>
      <charset val="134"/>
    </font>
    <font>
      <sz val="18"/>
      <name val="方正小标宋简体"/>
      <family val="4"/>
      <charset val="134"/>
    </font>
  </fonts>
  <fills count="5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  <fill>
      <patternFill patternType="mediumGray">
        <fgColor indexed="9"/>
        <bgColor indexed="75"/>
      </patternFill>
    </fill>
    <fill>
      <patternFill patternType="solid">
        <fgColor indexed="14"/>
        <bgColor indexed="64"/>
      </patternFill>
    </fill>
    <fill>
      <patternFill patternType="solid">
        <fgColor indexed="41"/>
        <bgColor indexed="64"/>
      </patternFill>
    </fill>
    <fill>
      <patternFill patternType="mediumGray">
        <fgColor indexed="9"/>
        <bgColor indexed="9"/>
      </patternFill>
    </fill>
    <fill>
      <patternFill patternType="solid">
        <fgColor theme="0"/>
      </patternFill>
    </fill>
    <fill>
      <patternFill patternType="mediumGray">
        <fgColor indexed="9"/>
        <bgColor theme="0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432">
    <xf numFmtId="0" fontId="0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6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0" borderId="1">
      <alignment horizontal="distributed" vertical="center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9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8" borderId="8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12" borderId="0" applyNumberFormat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8" fontId="4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6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8" fillId="0" borderId="1">
      <alignment horizontal="distributed" vertical="center" wrapText="1"/>
    </xf>
    <xf numFmtId="0" fontId="2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8" fillId="0" borderId="1">
      <alignment horizontal="distributed" vertical="center" wrapText="1"/>
    </xf>
    <xf numFmtId="0" fontId="2" fillId="0" borderId="0">
      <alignment vertical="center"/>
    </xf>
    <xf numFmtId="0" fontId="13" fillId="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9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9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3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17" borderId="7" applyNumberFormat="0" applyAlignment="0" applyProtection="0">
      <alignment vertical="center"/>
    </xf>
    <xf numFmtId="0" fontId="2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9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 applyNumberFormat="0" applyFill="0" applyBorder="0" applyAlignment="0" applyProtection="0">
      <alignment vertical="top"/>
      <protection locked="0"/>
    </xf>
    <xf numFmtId="0" fontId="22" fillId="10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9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9" fillId="6" borderId="5" applyNumberForma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9" fillId="6" borderId="5" applyNumberFormat="0" applyAlignment="0" applyProtection="0">
      <alignment vertical="center"/>
    </xf>
    <xf numFmtId="0" fontId="2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9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9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3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13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16" borderId="0" applyNumberFormat="0" applyBorder="0" applyAlignment="0" applyProtection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9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9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9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9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9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9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9" fillId="6" borderId="5" applyNumberForma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9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8" fillId="8" borderId="8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1" fontId="8" fillId="0" borderId="1">
      <alignment vertical="center"/>
      <protection locked="0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37" fontId="3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49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9" fillId="21" borderId="11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9" fillId="21" borderId="11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9" fillId="21" borderId="11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6" borderId="0" applyNumberFormat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6" borderId="0" applyNumberFormat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1" fontId="8" fillId="0" borderId="1">
      <alignment vertical="center"/>
      <protection locked="0"/>
    </xf>
    <xf numFmtId="0" fontId="6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9" borderId="0" applyNumberFormat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49" fillId="21" borderId="11" applyNumberFormat="0" applyFon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9" fillId="21" borderId="11" applyNumberFormat="0" applyFon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9" fillId="21" borderId="11" applyNumberFormat="0" applyFon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49" fillId="21" borderId="11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49" fillId="21" borderId="11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49" fillId="21" borderId="11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49" fillId="21" borderId="11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4" fillId="19" borderId="0" applyNumberFormat="0" applyBorder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4" fillId="1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4" fillId="19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16" borderId="0" applyNumberFormat="0" applyBorder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16" borderId="0" applyNumberFormat="0" applyBorder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16" borderId="0" applyNumberFormat="0" applyBorder="0" applyAlignment="0" applyProtection="0">
      <alignment vertical="center"/>
    </xf>
    <xf numFmtId="0" fontId="49" fillId="21" borderId="11" applyNumberFormat="0" applyFon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7" fillId="17" borderId="7" applyNumberForma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7" fillId="17" borderId="7" applyNumberForma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185" fontId="8" fillId="0" borderId="1">
      <alignment vertical="center"/>
      <protection locked="0"/>
    </xf>
    <xf numFmtId="43" fontId="49" fillId="0" borderId="0" applyFont="0" applyFill="0" applyBorder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185" fontId="8" fillId="0" borderId="1">
      <alignment vertical="center"/>
      <protection locked="0"/>
    </xf>
    <xf numFmtId="0" fontId="13" fillId="23" borderId="0" applyNumberFormat="0" applyBorder="0" applyAlignment="0" applyProtection="0">
      <alignment vertical="center"/>
    </xf>
    <xf numFmtId="185" fontId="8" fillId="0" borderId="1">
      <alignment vertical="center"/>
      <protection locked="0"/>
    </xf>
    <xf numFmtId="0" fontId="13" fillId="23" borderId="0" applyNumberFormat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185" fontId="8" fillId="0" borderId="1">
      <alignment vertical="center"/>
      <protection locked="0"/>
    </xf>
    <xf numFmtId="0" fontId="13" fillId="23" borderId="0" applyNumberFormat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3" fillId="23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23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177" fontId="41" fillId="0" borderId="0" applyFill="0" applyBorder="0" applyAlignment="0">
      <alignment vertical="center"/>
    </xf>
    <xf numFmtId="0" fontId="6" fillId="0" borderId="0">
      <alignment vertical="center"/>
    </xf>
    <xf numFmtId="41" fontId="49" fillId="0" borderId="0" applyFont="0" applyFill="0" applyBorder="0" applyAlignment="0" applyProtection="0">
      <alignment vertical="center"/>
    </xf>
    <xf numFmtId="182" fontId="42" fillId="0" borderId="0">
      <alignment vertical="center"/>
    </xf>
    <xf numFmtId="0" fontId="2" fillId="0" borderId="0">
      <alignment vertical="center"/>
    </xf>
    <xf numFmtId="187" fontId="49" fillId="0" borderId="0" applyFont="0" applyFill="0" applyBorder="0" applyAlignment="0" applyProtection="0">
      <alignment vertical="center"/>
    </xf>
    <xf numFmtId="176" fontId="49" fillId="0" borderId="0" applyFont="0" applyFill="0" applyBorder="0" applyAlignment="0" applyProtection="0">
      <alignment vertical="center"/>
    </xf>
    <xf numFmtId="184" fontId="49" fillId="0" borderId="0" applyFont="0" applyFill="0" applyBorder="0" applyAlignment="0" applyProtection="0">
      <alignment vertical="center"/>
    </xf>
    <xf numFmtId="0" fontId="19" fillId="2" borderId="5" applyNumberFormat="0" applyAlignment="0" applyProtection="0">
      <alignment vertical="center"/>
    </xf>
    <xf numFmtId="179" fontId="42" fillId="0" borderId="0">
      <alignment vertical="center"/>
    </xf>
    <xf numFmtId="0" fontId="40" fillId="0" borderId="0" applyProtection="0">
      <alignment vertical="center"/>
    </xf>
    <xf numFmtId="186" fontId="42" fillId="0" borderId="0">
      <alignment vertical="center"/>
    </xf>
    <xf numFmtId="183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" fontId="40" fillId="0" borderId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43" fillId="0" borderId="15" applyNumberFormat="0" applyAlignment="0" applyProtection="0">
      <alignment horizontal="left" vertical="center"/>
    </xf>
    <xf numFmtId="0" fontId="14" fillId="5" borderId="0" applyNumberFormat="0" applyBorder="0" applyAlignment="0" applyProtection="0">
      <alignment vertical="center"/>
    </xf>
    <xf numFmtId="0" fontId="43" fillId="0" borderId="2">
      <alignment horizontal="left" vertical="center"/>
    </xf>
    <xf numFmtId="0" fontId="44" fillId="0" borderId="0" applyProtection="0">
      <alignment vertical="center"/>
    </xf>
    <xf numFmtId="0" fontId="43" fillId="0" borderId="0" applyProtection="0">
      <alignment vertical="center"/>
    </xf>
    <xf numFmtId="0" fontId="45" fillId="0" borderId="0">
      <alignment vertical="center"/>
    </xf>
    <xf numFmtId="0" fontId="6" fillId="0" borderId="0">
      <alignment vertical="center"/>
    </xf>
    <xf numFmtId="1" fontId="15" fillId="0" borderId="0">
      <alignment vertical="center"/>
    </xf>
    <xf numFmtId="0" fontId="40" fillId="0" borderId="16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9" fillId="0" borderId="0" applyFon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2" fillId="0" borderId="0">
      <alignment vertical="center"/>
    </xf>
    <xf numFmtId="9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9" fillId="0" borderId="0" applyFont="0" applyFill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9" fillId="0" borderId="0" applyFont="0" applyFill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9" fillId="0" borderId="0" applyFont="0" applyFill="0" applyBorder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46" fillId="0" borderId="0">
      <alignment horizontal="centerContinuous"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19" fillId="2" borderId="5" applyNumberFormat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9" fillId="2" borderId="5" applyNumberForma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8" fillId="8" borderId="8" applyNumberFormat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top"/>
      <protection locked="0"/>
    </xf>
    <xf numFmtId="0" fontId="22" fillId="10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top"/>
      <protection locked="0"/>
    </xf>
    <xf numFmtId="0" fontId="22" fillId="10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181" fontId="49" fillId="0" borderId="0" applyFont="0" applyFill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8" fillId="2" borderId="8" applyNumberFormat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>
      <alignment horizontal="centerContinuous"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43" fontId="49" fillId="0" borderId="0" applyFont="0" applyFill="0" applyBorder="0" applyAlignment="0" applyProtection="0">
      <alignment vertical="center"/>
    </xf>
    <xf numFmtId="0" fontId="8" fillId="0" borderId="1">
      <alignment horizontal="distributed" vertical="center" wrapText="1"/>
    </xf>
    <xf numFmtId="43" fontId="49" fillId="0" borderId="0" applyFont="0" applyFill="0" applyBorder="0" applyAlignment="0" applyProtection="0">
      <alignment vertical="center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43" fontId="49" fillId="0" borderId="0" applyFont="0" applyFill="0" applyBorder="0" applyAlignment="0" applyProtection="0">
      <alignment vertical="center"/>
    </xf>
    <xf numFmtId="0" fontId="8" fillId="0" borderId="1">
      <alignment horizontal="distributed" vertical="center" wrapText="1"/>
    </xf>
    <xf numFmtId="0" fontId="8" fillId="0" borderId="1">
      <alignment horizontal="distributed" vertical="center" wrapText="1"/>
    </xf>
    <xf numFmtId="0" fontId="25" fillId="1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4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83" fontId="49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9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49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7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20" borderId="0" applyNumberFormat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3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16" borderId="0" applyNumberFormat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8" borderId="8" applyNumberFormat="0" applyAlignment="0" applyProtection="0">
      <alignment vertical="center"/>
    </xf>
    <xf numFmtId="0" fontId="2" fillId="0" borderId="0">
      <alignment vertical="center"/>
    </xf>
    <xf numFmtId="0" fontId="28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2" borderId="8" applyNumberFormat="0" applyAlignment="0" applyProtection="0">
      <alignment vertical="center"/>
    </xf>
    <xf numFmtId="0" fontId="2" fillId="0" borderId="0">
      <alignment vertical="center"/>
    </xf>
    <xf numFmtId="0" fontId="28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5" fontId="8" fillId="0" borderId="1">
      <alignment vertical="center"/>
      <protection locked="0"/>
    </xf>
    <xf numFmtId="0" fontId="27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9" fillId="6" borderId="5" applyNumberForma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8" borderId="8" applyNumberFormat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" fillId="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8" fillId="8" borderId="8" applyNumberFormat="0" applyAlignment="0" applyProtection="0">
      <alignment vertical="center"/>
    </xf>
    <xf numFmtId="0" fontId="2" fillId="0" borderId="0">
      <alignment vertical="center"/>
    </xf>
    <xf numFmtId="0" fontId="3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49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9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9" fillId="0" borderId="0" applyFont="0" applyFill="0" applyBorder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8" fillId="2" borderId="8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183" fontId="49" fillId="0" borderId="0" applyFont="0" applyFill="0" applyBorder="0" applyAlignment="0" applyProtection="0">
      <alignment vertical="center"/>
    </xf>
    <xf numFmtId="0" fontId="19" fillId="2" borderId="5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19" fillId="2" borderId="5" applyNumberFormat="0" applyAlignment="0" applyProtection="0">
      <alignment vertical="center"/>
    </xf>
    <xf numFmtId="0" fontId="19" fillId="2" borderId="5" applyNumberFormat="0" applyAlignment="0" applyProtection="0">
      <alignment vertical="center"/>
    </xf>
    <xf numFmtId="0" fontId="19" fillId="2" borderId="5" applyNumberFormat="0" applyAlignment="0" applyProtection="0">
      <alignment vertical="center"/>
    </xf>
    <xf numFmtId="0" fontId="19" fillId="2" borderId="5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19" fillId="2" borderId="5" applyNumberFormat="0" applyAlignment="0" applyProtection="0">
      <alignment vertical="center"/>
    </xf>
    <xf numFmtId="0" fontId="19" fillId="2" borderId="5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7" fillId="17" borderId="7" applyNumberFormat="0" applyAlignment="0" applyProtection="0">
      <alignment vertical="center"/>
    </xf>
    <xf numFmtId="0" fontId="49" fillId="21" borderId="11" applyNumberFormat="0" applyFont="0" applyAlignment="0" applyProtection="0">
      <alignment vertical="center"/>
    </xf>
    <xf numFmtId="0" fontId="27" fillId="17" borderId="7" applyNumberFormat="0" applyAlignment="0" applyProtection="0">
      <alignment vertical="center"/>
    </xf>
    <xf numFmtId="0" fontId="27" fillId="17" borderId="7" applyNumberFormat="0" applyAlignment="0" applyProtection="0">
      <alignment vertical="center"/>
    </xf>
    <xf numFmtId="0" fontId="27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185" fontId="8" fillId="0" borderId="1">
      <alignment vertical="center"/>
      <protection locked="0"/>
    </xf>
    <xf numFmtId="0" fontId="26" fillId="17" borderId="7" applyNumberFormat="0" applyAlignment="0" applyProtection="0">
      <alignment vertical="center"/>
    </xf>
    <xf numFmtId="185" fontId="8" fillId="0" borderId="1">
      <alignment vertical="center"/>
      <protection locked="0"/>
    </xf>
    <xf numFmtId="0" fontId="26" fillId="17" borderId="7" applyNumberFormat="0" applyAlignment="0" applyProtection="0">
      <alignment vertical="center"/>
    </xf>
    <xf numFmtId="185" fontId="8" fillId="0" borderId="1">
      <alignment vertical="center"/>
      <protection locked="0"/>
    </xf>
    <xf numFmtId="0" fontId="26" fillId="17" borderId="7" applyNumberFormat="0" applyAlignment="0" applyProtection="0">
      <alignment vertical="center"/>
    </xf>
    <xf numFmtId="185" fontId="8" fillId="0" borderId="1">
      <alignment vertical="center"/>
      <protection locked="0"/>
    </xf>
    <xf numFmtId="0" fontId="26" fillId="17" borderId="7" applyNumberFormat="0" applyAlignment="0" applyProtection="0">
      <alignment vertical="center"/>
    </xf>
    <xf numFmtId="185" fontId="8" fillId="0" borderId="1">
      <alignment vertical="center"/>
      <protection locked="0"/>
    </xf>
    <xf numFmtId="0" fontId="26" fillId="17" borderId="7" applyNumberFormat="0" applyAlignment="0" applyProtection="0">
      <alignment vertical="center"/>
    </xf>
    <xf numFmtId="185" fontId="8" fillId="0" borderId="1">
      <alignment vertical="center"/>
      <protection locked="0"/>
    </xf>
    <xf numFmtId="0" fontId="26" fillId="17" borderId="7" applyNumberFormat="0" applyAlignment="0" applyProtection="0">
      <alignment vertical="center"/>
    </xf>
    <xf numFmtId="185" fontId="8" fillId="0" borderId="1">
      <alignment vertical="center"/>
      <protection locked="0"/>
    </xf>
    <xf numFmtId="0" fontId="26" fillId="17" borderId="7" applyNumberFormat="0" applyAlignment="0" applyProtection="0">
      <alignment vertical="center"/>
    </xf>
    <xf numFmtId="185" fontId="8" fillId="0" borderId="1">
      <alignment vertical="center"/>
      <protection locked="0"/>
    </xf>
    <xf numFmtId="0" fontId="27" fillId="17" borderId="7" applyNumberFormat="0" applyAlignment="0" applyProtection="0">
      <alignment vertical="center"/>
    </xf>
    <xf numFmtId="185" fontId="8" fillId="0" borderId="1">
      <alignment vertical="center"/>
      <protection locked="0"/>
    </xf>
    <xf numFmtId="0" fontId="28" fillId="8" borderId="8" applyNumberFormat="0" applyAlignment="0" applyProtection="0">
      <alignment vertical="center"/>
    </xf>
    <xf numFmtId="0" fontId="27" fillId="17" borderId="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48" fillId="0" borderId="0">
      <alignment vertical="center"/>
    </xf>
    <xf numFmtId="0" fontId="49" fillId="0" borderId="0" applyFont="0" applyFill="0" applyBorder="0" applyAlignment="0" applyProtection="0">
      <alignment vertical="center"/>
    </xf>
    <xf numFmtId="4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0" fontId="28" fillId="2" borderId="8" applyNumberFormat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3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8" fillId="8" borderId="8" applyNumberFormat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28" fillId="2" borderId="8" applyNumberFormat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28" fillId="8" borderId="8" applyNumberFormat="0" applyAlignment="0" applyProtection="0">
      <alignment vertical="center"/>
    </xf>
    <xf numFmtId="0" fontId="28" fillId="2" borderId="8" applyNumberFormat="0" applyAlignment="0" applyProtection="0">
      <alignment vertical="center"/>
    </xf>
    <xf numFmtId="0" fontId="28" fillId="2" borderId="8" applyNumberFormat="0" applyAlignment="0" applyProtection="0">
      <alignment vertical="center"/>
    </xf>
    <xf numFmtId="0" fontId="28" fillId="2" borderId="8" applyNumberFormat="0" applyAlignment="0" applyProtection="0">
      <alignment vertical="center"/>
    </xf>
    <xf numFmtId="0" fontId="28" fillId="8" borderId="8" applyNumberFormat="0" applyAlignment="0" applyProtection="0">
      <alignment vertical="center"/>
    </xf>
    <xf numFmtId="0" fontId="28" fillId="8" borderId="8" applyNumberFormat="0" applyAlignment="0" applyProtection="0">
      <alignment vertical="center"/>
    </xf>
    <xf numFmtId="0" fontId="28" fillId="8" borderId="8" applyNumberFormat="0" applyAlignment="0" applyProtection="0">
      <alignment vertical="center"/>
    </xf>
    <xf numFmtId="0" fontId="28" fillId="8" borderId="8" applyNumberFormat="0" applyAlignment="0" applyProtection="0">
      <alignment vertical="center"/>
    </xf>
    <xf numFmtId="0" fontId="28" fillId="8" borderId="8" applyNumberFormat="0" applyAlignment="0" applyProtection="0">
      <alignment vertical="center"/>
    </xf>
    <xf numFmtId="0" fontId="28" fillId="8" borderId="8" applyNumberFormat="0" applyAlignment="0" applyProtection="0">
      <alignment vertical="center"/>
    </xf>
    <xf numFmtId="0" fontId="28" fillId="8" borderId="8" applyNumberFormat="0" applyAlignment="0" applyProtection="0">
      <alignment vertical="center"/>
    </xf>
    <xf numFmtId="0" fontId="28" fillId="8" borderId="8" applyNumberFormat="0" applyAlignment="0" applyProtection="0">
      <alignment vertical="center"/>
    </xf>
    <xf numFmtId="0" fontId="28" fillId="8" borderId="8" applyNumberFormat="0" applyAlignment="0" applyProtection="0">
      <alignment vertical="center"/>
    </xf>
    <xf numFmtId="0" fontId="28" fillId="8" borderId="8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1" fontId="8" fillId="0" borderId="1">
      <alignment vertical="center"/>
      <protection locked="0"/>
    </xf>
    <xf numFmtId="0" fontId="47" fillId="0" borderId="0">
      <alignment vertical="center"/>
    </xf>
    <xf numFmtId="185" fontId="8" fillId="0" borderId="1">
      <alignment vertical="center"/>
      <protection locked="0"/>
    </xf>
    <xf numFmtId="185" fontId="8" fillId="0" borderId="1">
      <alignment vertical="center"/>
      <protection locked="0"/>
    </xf>
    <xf numFmtId="0" fontId="15" fillId="0" borderId="0">
      <alignment vertical="center"/>
    </xf>
    <xf numFmtId="0" fontId="49" fillId="21" borderId="11" applyNumberFormat="0" applyFont="0" applyAlignment="0" applyProtection="0">
      <alignment vertical="center"/>
    </xf>
    <xf numFmtId="0" fontId="49" fillId="21" borderId="11" applyNumberFormat="0" applyFont="0" applyAlignment="0" applyProtection="0">
      <alignment vertical="center"/>
    </xf>
    <xf numFmtId="0" fontId="49" fillId="21" borderId="11" applyNumberFormat="0" applyFont="0" applyAlignment="0" applyProtection="0">
      <alignment vertical="center"/>
    </xf>
    <xf numFmtId="0" fontId="49" fillId="21" borderId="11" applyNumberFormat="0" applyFont="0" applyAlignment="0" applyProtection="0">
      <alignment vertical="center"/>
    </xf>
    <xf numFmtId="0" fontId="49" fillId="21" borderId="11" applyNumberFormat="0" applyFont="0" applyAlignment="0" applyProtection="0">
      <alignment vertical="center"/>
    </xf>
    <xf numFmtId="0" fontId="49" fillId="21" borderId="11" applyNumberFormat="0" applyFont="0" applyAlignment="0" applyProtection="0">
      <alignment vertical="center"/>
    </xf>
    <xf numFmtId="0" fontId="49" fillId="21" borderId="11" applyNumberFormat="0" applyFont="0" applyAlignment="0" applyProtection="0">
      <alignment vertical="center"/>
    </xf>
    <xf numFmtId="0" fontId="49" fillId="21" borderId="11" applyNumberFormat="0" applyFont="0" applyAlignment="0" applyProtection="0">
      <alignment vertical="center"/>
    </xf>
    <xf numFmtId="0" fontId="49" fillId="21" borderId="11" applyNumberFormat="0" applyFont="0" applyAlignment="0" applyProtection="0">
      <alignment vertical="center"/>
    </xf>
    <xf numFmtId="0" fontId="49" fillId="21" borderId="11" applyNumberFormat="0" applyFont="0" applyAlignment="0" applyProtection="0">
      <alignment vertical="center"/>
    </xf>
    <xf numFmtId="0" fontId="2" fillId="0" borderId="0"/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6" fillId="21" borderId="11" applyNumberFormat="0" applyFon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53" fillId="0" borderId="0"/>
    <xf numFmtId="0" fontId="6" fillId="0" borderId="0"/>
    <xf numFmtId="0" fontId="6" fillId="0" borderId="0"/>
    <xf numFmtId="0" fontId="56" fillId="0" borderId="0"/>
    <xf numFmtId="0" fontId="6" fillId="0" borderId="0"/>
    <xf numFmtId="0" fontId="13" fillId="2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56" fillId="0" borderId="0"/>
    <xf numFmtId="0" fontId="56" fillId="0" borderId="0"/>
    <xf numFmtId="0" fontId="6" fillId="0" borderId="0"/>
    <xf numFmtId="0" fontId="5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6" fillId="0" borderId="0"/>
    <xf numFmtId="0" fontId="56" fillId="0" borderId="0"/>
    <xf numFmtId="0" fontId="56" fillId="0" borderId="0"/>
    <xf numFmtId="0" fontId="6" fillId="0" borderId="0"/>
    <xf numFmtId="0" fontId="56" fillId="0" borderId="0"/>
    <xf numFmtId="0" fontId="6" fillId="0" borderId="0"/>
    <xf numFmtId="0" fontId="56" fillId="0" borderId="0"/>
    <xf numFmtId="0" fontId="56" fillId="0" borderId="0"/>
    <xf numFmtId="0" fontId="6" fillId="0" borderId="0"/>
    <xf numFmtId="0" fontId="56" fillId="0" borderId="0"/>
    <xf numFmtId="0" fontId="56" fillId="0" borderId="0"/>
    <xf numFmtId="0" fontId="6" fillId="0" borderId="0"/>
    <xf numFmtId="0" fontId="13" fillId="23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0" borderId="0"/>
    <xf numFmtId="0" fontId="56" fillId="0" borderId="0"/>
    <xf numFmtId="0" fontId="56" fillId="0" borderId="0"/>
    <xf numFmtId="0" fontId="6" fillId="0" borderId="0"/>
    <xf numFmtId="0" fontId="56" fillId="0" borderId="0"/>
    <xf numFmtId="0" fontId="6" fillId="0" borderId="0"/>
    <xf numFmtId="0" fontId="56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2" fillId="0" borderId="0"/>
    <xf numFmtId="0" fontId="2" fillId="0" borderId="0"/>
    <xf numFmtId="0" fontId="56" fillId="0" borderId="0"/>
    <xf numFmtId="0" fontId="56" fillId="0" borderId="0"/>
    <xf numFmtId="0" fontId="6" fillId="0" borderId="0"/>
    <xf numFmtId="0" fontId="56" fillId="0" borderId="0"/>
    <xf numFmtId="0" fontId="6" fillId="0" borderId="0"/>
    <xf numFmtId="0" fontId="56" fillId="0" borderId="0"/>
    <xf numFmtId="0" fontId="6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2" fillId="0" borderId="0"/>
    <xf numFmtId="0" fontId="38" fillId="0" borderId="0"/>
    <xf numFmtId="0" fontId="38" fillId="0" borderId="0"/>
    <xf numFmtId="0" fontId="38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6" fillId="0" borderId="0">
      <alignment vertical="center"/>
    </xf>
    <xf numFmtId="0" fontId="2" fillId="0" borderId="0"/>
    <xf numFmtId="0" fontId="56" fillId="0" borderId="0">
      <alignment vertical="center"/>
    </xf>
    <xf numFmtId="0" fontId="6" fillId="0" borderId="0">
      <alignment vertical="center"/>
    </xf>
    <xf numFmtId="0" fontId="2" fillId="0" borderId="0"/>
    <xf numFmtId="0" fontId="5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3" fillId="24" borderId="0" applyNumberFormat="0" applyBorder="0" applyAlignment="0" applyProtection="0">
      <alignment vertical="center"/>
    </xf>
    <xf numFmtId="0" fontId="56" fillId="0" borderId="0"/>
    <xf numFmtId="0" fontId="56" fillId="0" borderId="0"/>
    <xf numFmtId="0" fontId="56" fillId="0" borderId="0"/>
    <xf numFmtId="0" fontId="6" fillId="0" borderId="0"/>
    <xf numFmtId="0" fontId="56" fillId="0" borderId="0"/>
    <xf numFmtId="0" fontId="6" fillId="0" borderId="0"/>
    <xf numFmtId="0" fontId="2" fillId="0" borderId="0"/>
    <xf numFmtId="0" fontId="56" fillId="0" borderId="0"/>
    <xf numFmtId="0" fontId="6" fillId="0" borderId="0"/>
    <xf numFmtId="0" fontId="6" fillId="0" borderId="0"/>
    <xf numFmtId="0" fontId="56" fillId="0" borderId="0"/>
    <xf numFmtId="0" fontId="2" fillId="0" borderId="0"/>
    <xf numFmtId="0" fontId="6" fillId="0" borderId="0"/>
    <xf numFmtId="0" fontId="53" fillId="0" borderId="0"/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0" fontId="19" fillId="40" borderId="5" applyNumberFormat="0" applyAlignment="0" applyProtection="0">
      <alignment vertical="center"/>
    </xf>
    <xf numFmtId="0" fontId="19" fillId="40" borderId="5" applyNumberFormat="0" applyAlignment="0" applyProtection="0">
      <alignment vertical="center"/>
    </xf>
    <xf numFmtId="0" fontId="19" fillId="40" borderId="5" applyNumberFormat="0" applyAlignment="0" applyProtection="0">
      <alignment vertical="center"/>
    </xf>
    <xf numFmtId="0" fontId="19" fillId="40" borderId="5" applyNumberFormat="0" applyAlignment="0" applyProtection="0">
      <alignment vertical="center"/>
    </xf>
    <xf numFmtId="0" fontId="19" fillId="40" borderId="5" applyNumberFormat="0" applyAlignment="0" applyProtection="0">
      <alignment vertical="center"/>
    </xf>
    <xf numFmtId="0" fontId="19" fillId="40" borderId="5" applyNumberFormat="0" applyAlignment="0" applyProtection="0">
      <alignment vertical="center"/>
    </xf>
    <xf numFmtId="0" fontId="19" fillId="40" borderId="5" applyNumberFormat="0" applyAlignment="0" applyProtection="0">
      <alignment vertical="center"/>
    </xf>
    <xf numFmtId="0" fontId="26" fillId="41" borderId="7" applyNumberFormat="0" applyAlignment="0" applyProtection="0">
      <alignment vertical="center"/>
    </xf>
    <xf numFmtId="0" fontId="26" fillId="41" borderId="7" applyNumberFormat="0" applyAlignment="0" applyProtection="0">
      <alignment vertical="center"/>
    </xf>
    <xf numFmtId="0" fontId="26" fillId="41" borderId="7" applyNumberFormat="0" applyAlignment="0" applyProtection="0">
      <alignment vertical="center"/>
    </xf>
    <xf numFmtId="0" fontId="26" fillId="41" borderId="7" applyNumberFormat="0" applyAlignment="0" applyProtection="0">
      <alignment vertical="center"/>
    </xf>
    <xf numFmtId="0" fontId="26" fillId="41" borderId="7" applyNumberFormat="0" applyAlignment="0" applyProtection="0">
      <alignment vertical="center"/>
    </xf>
    <xf numFmtId="0" fontId="26" fillId="41" borderId="7" applyNumberFormat="0" applyAlignment="0" applyProtection="0">
      <alignment vertical="center"/>
    </xf>
    <xf numFmtId="0" fontId="26" fillId="41" borderId="7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28" fillId="40" borderId="8" applyNumberFormat="0" applyAlignment="0" applyProtection="0">
      <alignment vertical="center"/>
    </xf>
    <xf numFmtId="0" fontId="28" fillId="40" borderId="8" applyNumberFormat="0" applyAlignment="0" applyProtection="0">
      <alignment vertical="center"/>
    </xf>
    <xf numFmtId="0" fontId="28" fillId="40" borderId="8" applyNumberFormat="0" applyAlignment="0" applyProtection="0">
      <alignment vertical="center"/>
    </xf>
    <xf numFmtId="0" fontId="28" fillId="40" borderId="8" applyNumberFormat="0" applyAlignment="0" applyProtection="0">
      <alignment vertical="center"/>
    </xf>
    <xf numFmtId="0" fontId="28" fillId="40" borderId="8" applyNumberFormat="0" applyAlignment="0" applyProtection="0">
      <alignment vertical="center"/>
    </xf>
    <xf numFmtId="0" fontId="28" fillId="40" borderId="8" applyNumberFormat="0" applyAlignment="0" applyProtection="0">
      <alignment vertical="center"/>
    </xf>
    <xf numFmtId="0" fontId="28" fillId="40" borderId="8" applyNumberFormat="0" applyAlignment="0" applyProtection="0">
      <alignment vertical="center"/>
    </xf>
    <xf numFmtId="0" fontId="29" fillId="31" borderId="5" applyNumberFormat="0" applyAlignment="0" applyProtection="0">
      <alignment vertical="center"/>
    </xf>
    <xf numFmtId="0" fontId="29" fillId="31" borderId="5" applyNumberFormat="0" applyAlignment="0" applyProtection="0">
      <alignment vertical="center"/>
    </xf>
    <xf numFmtId="0" fontId="29" fillId="31" borderId="5" applyNumberFormat="0" applyAlignment="0" applyProtection="0">
      <alignment vertical="center"/>
    </xf>
    <xf numFmtId="0" fontId="29" fillId="31" borderId="5" applyNumberFormat="0" applyAlignment="0" applyProtection="0">
      <alignment vertical="center"/>
    </xf>
    <xf numFmtId="0" fontId="29" fillId="31" borderId="5" applyNumberFormat="0" applyAlignment="0" applyProtection="0">
      <alignment vertical="center"/>
    </xf>
    <xf numFmtId="0" fontId="29" fillId="31" borderId="5" applyNumberFormat="0" applyAlignment="0" applyProtection="0">
      <alignment vertical="center"/>
    </xf>
    <xf numFmtId="0" fontId="29" fillId="31" borderId="5" applyNumberFormat="0" applyAlignment="0" applyProtection="0">
      <alignment vertical="center"/>
    </xf>
    <xf numFmtId="0" fontId="54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6" fillId="47" borderId="11" applyNumberFormat="0" applyFont="0" applyAlignment="0" applyProtection="0">
      <alignment vertical="center"/>
    </xf>
    <xf numFmtId="0" fontId="6" fillId="47" borderId="11" applyNumberFormat="0" applyFont="0" applyAlignment="0" applyProtection="0">
      <alignment vertical="center"/>
    </xf>
    <xf numFmtId="0" fontId="6" fillId="47" borderId="11" applyNumberFormat="0" applyFont="0" applyAlignment="0" applyProtection="0">
      <alignment vertical="center"/>
    </xf>
    <xf numFmtId="0" fontId="6" fillId="47" borderId="11" applyNumberFormat="0" applyFont="0" applyAlignment="0" applyProtection="0">
      <alignment vertical="center"/>
    </xf>
    <xf numFmtId="0" fontId="6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62" fillId="0" borderId="0"/>
    <xf numFmtId="0" fontId="2" fillId="0" borderId="0"/>
    <xf numFmtId="0" fontId="2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" fillId="0" borderId="0"/>
    <xf numFmtId="0" fontId="6" fillId="1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67" fillId="0" borderId="14" applyNumberFormat="0" applyFill="0" applyAlignment="0" applyProtection="0">
      <alignment vertical="center"/>
    </xf>
    <xf numFmtId="0" fontId="68" fillId="0" borderId="18" applyNumberFormat="0" applyFill="0" applyAlignment="0" applyProtection="0">
      <alignment vertical="center"/>
    </xf>
    <xf numFmtId="0" fontId="69" fillId="0" borderId="19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" fillId="0" borderId="0">
      <alignment vertical="center"/>
    </xf>
    <xf numFmtId="0" fontId="54" fillId="0" borderId="0"/>
    <xf numFmtId="0" fontId="5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177" fontId="53" fillId="0" borderId="0" applyFill="0" applyBorder="0" applyAlignment="0"/>
    <xf numFmtId="41" fontId="54" fillId="0" borderId="0" applyFont="0" applyFill="0" applyBorder="0" applyAlignment="0" applyProtection="0"/>
    <xf numFmtId="182" fontId="86" fillId="0" borderId="0"/>
    <xf numFmtId="176" fontId="54" fillId="0" borderId="0" applyFont="0" applyFill="0" applyBorder="0" applyAlignment="0" applyProtection="0"/>
    <xf numFmtId="179" fontId="86" fillId="0" borderId="0"/>
    <xf numFmtId="0" fontId="87" fillId="0" borderId="0" applyProtection="0"/>
    <xf numFmtId="186" fontId="86" fillId="0" borderId="0"/>
    <xf numFmtId="2" fontId="87" fillId="0" borderId="0" applyProtection="0"/>
    <xf numFmtId="0" fontId="88" fillId="0" borderId="15" applyNumberFormat="0" applyAlignment="0" applyProtection="0">
      <alignment horizontal="left" vertical="center"/>
    </xf>
    <xf numFmtId="0" fontId="88" fillId="0" borderId="2">
      <alignment horizontal="left" vertical="center"/>
    </xf>
    <xf numFmtId="0" fontId="89" fillId="0" borderId="0" applyProtection="0"/>
    <xf numFmtId="0" fontId="88" fillId="0" borderId="0" applyProtection="0"/>
    <xf numFmtId="37" fontId="84" fillId="0" borderId="0"/>
    <xf numFmtId="0" fontId="87" fillId="0" borderId="16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56" fillId="0" borderId="0"/>
    <xf numFmtId="0" fontId="56" fillId="0" borderId="0"/>
    <xf numFmtId="0" fontId="56" fillId="0" borderId="0"/>
    <xf numFmtId="0" fontId="56" fillId="0" borderId="0"/>
    <xf numFmtId="0" fontId="6" fillId="0" borderId="0"/>
    <xf numFmtId="0" fontId="56" fillId="0" borderId="0"/>
    <xf numFmtId="0" fontId="6" fillId="0" borderId="0"/>
    <xf numFmtId="0" fontId="56" fillId="0" borderId="0"/>
    <xf numFmtId="0" fontId="56" fillId="0" borderId="0"/>
    <xf numFmtId="0" fontId="6" fillId="0" borderId="0"/>
    <xf numFmtId="0" fontId="5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5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5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9" fillId="48" borderId="5" applyNumberFormat="0" applyAlignment="0" applyProtection="0">
      <alignment vertical="center"/>
    </xf>
    <xf numFmtId="0" fontId="19" fillId="48" borderId="5" applyNumberFormat="0" applyAlignment="0" applyProtection="0">
      <alignment vertical="center"/>
    </xf>
    <xf numFmtId="0" fontId="19" fillId="40" borderId="5" applyNumberFormat="0" applyAlignment="0" applyProtection="0">
      <alignment vertical="center"/>
    </xf>
    <xf numFmtId="0" fontId="19" fillId="48" borderId="5" applyNumberFormat="0" applyAlignment="0" applyProtection="0">
      <alignment vertical="center"/>
    </xf>
    <xf numFmtId="0" fontId="19" fillId="48" borderId="5" applyNumberFormat="0" applyAlignment="0" applyProtection="0">
      <alignment vertical="center"/>
    </xf>
    <xf numFmtId="0" fontId="19" fillId="48" borderId="5" applyNumberFormat="0" applyAlignment="0" applyProtection="0">
      <alignment vertical="center"/>
    </xf>
    <xf numFmtId="0" fontId="19" fillId="48" borderId="5" applyNumberFormat="0" applyAlignment="0" applyProtection="0">
      <alignment vertical="center"/>
    </xf>
    <xf numFmtId="0" fontId="19" fillId="48" borderId="5" applyNumberFormat="0" applyAlignment="0" applyProtection="0">
      <alignment vertical="center"/>
    </xf>
    <xf numFmtId="0" fontId="19" fillId="48" borderId="5" applyNumberFormat="0" applyAlignment="0" applyProtection="0">
      <alignment vertical="center"/>
    </xf>
    <xf numFmtId="0" fontId="19" fillId="48" borderId="5" applyNumberFormat="0" applyAlignment="0" applyProtection="0">
      <alignment vertical="center"/>
    </xf>
    <xf numFmtId="0" fontId="19" fillId="40" borderId="5" applyNumberFormat="0" applyAlignment="0" applyProtection="0">
      <alignment vertical="center"/>
    </xf>
    <xf numFmtId="0" fontId="19" fillId="40" borderId="5" applyNumberFormat="0" applyAlignment="0" applyProtection="0">
      <alignment vertical="center"/>
    </xf>
    <xf numFmtId="0" fontId="19" fillId="40" borderId="5" applyNumberFormat="0" applyAlignment="0" applyProtection="0">
      <alignment vertical="center"/>
    </xf>
    <xf numFmtId="0" fontId="19" fillId="40" borderId="5" applyNumberFormat="0" applyAlignment="0" applyProtection="0">
      <alignment vertical="center"/>
    </xf>
    <xf numFmtId="0" fontId="19" fillId="40" borderId="5" applyNumberFormat="0" applyAlignment="0" applyProtection="0">
      <alignment vertical="center"/>
    </xf>
    <xf numFmtId="0" fontId="19" fillId="40" borderId="5" applyNumberFormat="0" applyAlignment="0" applyProtection="0">
      <alignment vertical="center"/>
    </xf>
    <xf numFmtId="0" fontId="19" fillId="40" borderId="5" applyNumberFormat="0" applyAlignment="0" applyProtection="0">
      <alignment vertical="center"/>
    </xf>
    <xf numFmtId="0" fontId="19" fillId="40" borderId="5" applyNumberFormat="0" applyAlignment="0" applyProtection="0">
      <alignment vertical="center"/>
    </xf>
    <xf numFmtId="0" fontId="19" fillId="40" borderId="5" applyNumberFormat="0" applyAlignment="0" applyProtection="0">
      <alignment vertical="center"/>
    </xf>
    <xf numFmtId="0" fontId="19" fillId="40" borderId="5" applyNumberFormat="0" applyAlignment="0" applyProtection="0">
      <alignment vertical="center"/>
    </xf>
    <xf numFmtId="0" fontId="19" fillId="40" borderId="5" applyNumberFormat="0" applyAlignment="0" applyProtection="0">
      <alignment vertical="center"/>
    </xf>
    <xf numFmtId="0" fontId="19" fillId="40" borderId="5" applyNumberFormat="0" applyAlignment="0" applyProtection="0">
      <alignment vertical="center"/>
    </xf>
    <xf numFmtId="0" fontId="19" fillId="40" borderId="5" applyNumberFormat="0" applyAlignment="0" applyProtection="0">
      <alignment vertical="center"/>
    </xf>
    <xf numFmtId="0" fontId="19" fillId="40" borderId="5" applyNumberFormat="0" applyAlignment="0" applyProtection="0">
      <alignment vertical="center"/>
    </xf>
    <xf numFmtId="0" fontId="19" fillId="40" borderId="5" applyNumberFormat="0" applyAlignment="0" applyProtection="0">
      <alignment vertical="center"/>
    </xf>
    <xf numFmtId="0" fontId="19" fillId="48" borderId="5" applyNumberFormat="0" applyAlignment="0" applyProtection="0">
      <alignment vertical="center"/>
    </xf>
    <xf numFmtId="0" fontId="19" fillId="48" borderId="5" applyNumberFormat="0" applyAlignment="0" applyProtection="0">
      <alignment vertical="center"/>
    </xf>
    <xf numFmtId="0" fontId="19" fillId="48" borderId="5" applyNumberFormat="0" applyAlignment="0" applyProtection="0">
      <alignment vertical="center"/>
    </xf>
    <xf numFmtId="0" fontId="27" fillId="41" borderId="7" applyNumberFormat="0" applyAlignment="0" applyProtection="0">
      <alignment vertical="center"/>
    </xf>
    <xf numFmtId="0" fontId="27" fillId="41" borderId="7" applyNumberFormat="0" applyAlignment="0" applyProtection="0">
      <alignment vertical="center"/>
    </xf>
    <xf numFmtId="0" fontId="26" fillId="41" borderId="7" applyNumberFormat="0" applyAlignment="0" applyProtection="0">
      <alignment vertical="center"/>
    </xf>
    <xf numFmtId="0" fontId="27" fillId="41" borderId="7" applyNumberFormat="0" applyAlignment="0" applyProtection="0">
      <alignment vertical="center"/>
    </xf>
    <xf numFmtId="0" fontId="27" fillId="41" borderId="7" applyNumberFormat="0" applyAlignment="0" applyProtection="0">
      <alignment vertical="center"/>
    </xf>
    <xf numFmtId="0" fontId="27" fillId="41" borderId="7" applyNumberFormat="0" applyAlignment="0" applyProtection="0">
      <alignment vertical="center"/>
    </xf>
    <xf numFmtId="0" fontId="27" fillId="41" borderId="7" applyNumberFormat="0" applyAlignment="0" applyProtection="0">
      <alignment vertical="center"/>
    </xf>
    <xf numFmtId="0" fontId="27" fillId="41" borderId="7" applyNumberFormat="0" applyAlignment="0" applyProtection="0">
      <alignment vertical="center"/>
    </xf>
    <xf numFmtId="0" fontId="27" fillId="41" borderId="7" applyNumberFormat="0" applyAlignment="0" applyProtection="0">
      <alignment vertical="center"/>
    </xf>
    <xf numFmtId="0" fontId="27" fillId="41" borderId="7" applyNumberFormat="0" applyAlignment="0" applyProtection="0">
      <alignment vertical="center"/>
    </xf>
    <xf numFmtId="0" fontId="26" fillId="41" borderId="7" applyNumberFormat="0" applyAlignment="0" applyProtection="0">
      <alignment vertical="center"/>
    </xf>
    <xf numFmtId="0" fontId="26" fillId="41" borderId="7" applyNumberFormat="0" applyAlignment="0" applyProtection="0">
      <alignment vertical="center"/>
    </xf>
    <xf numFmtId="0" fontId="26" fillId="41" borderId="7" applyNumberFormat="0" applyAlignment="0" applyProtection="0">
      <alignment vertical="center"/>
    </xf>
    <xf numFmtId="0" fontId="26" fillId="41" borderId="7" applyNumberFormat="0" applyAlignment="0" applyProtection="0">
      <alignment vertical="center"/>
    </xf>
    <xf numFmtId="0" fontId="26" fillId="41" borderId="7" applyNumberFormat="0" applyAlignment="0" applyProtection="0">
      <alignment vertical="center"/>
    </xf>
    <xf numFmtId="0" fontId="26" fillId="41" borderId="7" applyNumberFormat="0" applyAlignment="0" applyProtection="0">
      <alignment vertical="center"/>
    </xf>
    <xf numFmtId="0" fontId="26" fillId="41" borderId="7" applyNumberFormat="0" applyAlignment="0" applyProtection="0">
      <alignment vertical="center"/>
    </xf>
    <xf numFmtId="0" fontId="26" fillId="41" borderId="7" applyNumberFormat="0" applyAlignment="0" applyProtection="0">
      <alignment vertical="center"/>
    </xf>
    <xf numFmtId="0" fontId="26" fillId="41" borderId="7" applyNumberFormat="0" applyAlignment="0" applyProtection="0">
      <alignment vertical="center"/>
    </xf>
    <xf numFmtId="0" fontId="26" fillId="41" borderId="7" applyNumberFormat="0" applyAlignment="0" applyProtection="0">
      <alignment vertical="center"/>
    </xf>
    <xf numFmtId="0" fontId="26" fillId="41" borderId="7" applyNumberFormat="0" applyAlignment="0" applyProtection="0">
      <alignment vertical="center"/>
    </xf>
    <xf numFmtId="0" fontId="26" fillId="41" borderId="7" applyNumberFormat="0" applyAlignment="0" applyProtection="0">
      <alignment vertical="center"/>
    </xf>
    <xf numFmtId="0" fontId="26" fillId="41" borderId="7" applyNumberFormat="0" applyAlignment="0" applyProtection="0">
      <alignment vertical="center"/>
    </xf>
    <xf numFmtId="0" fontId="26" fillId="41" borderId="7" applyNumberFormat="0" applyAlignment="0" applyProtection="0">
      <alignment vertical="center"/>
    </xf>
    <xf numFmtId="0" fontId="26" fillId="41" borderId="7" applyNumberFormat="0" applyAlignment="0" applyProtection="0">
      <alignment vertical="center"/>
    </xf>
    <xf numFmtId="0" fontId="27" fillId="41" borderId="7" applyNumberFormat="0" applyAlignment="0" applyProtection="0">
      <alignment vertical="center"/>
    </xf>
    <xf numFmtId="0" fontId="27" fillId="41" borderId="7" applyNumberFormat="0" applyAlignment="0" applyProtection="0">
      <alignment vertical="center"/>
    </xf>
    <xf numFmtId="0" fontId="27" fillId="41" borderId="7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28" fillId="48" borderId="8" applyNumberFormat="0" applyAlignment="0" applyProtection="0">
      <alignment vertical="center"/>
    </xf>
    <xf numFmtId="0" fontId="28" fillId="48" borderId="8" applyNumberFormat="0" applyAlignment="0" applyProtection="0">
      <alignment vertical="center"/>
    </xf>
    <xf numFmtId="0" fontId="28" fillId="40" borderId="8" applyNumberFormat="0" applyAlignment="0" applyProtection="0">
      <alignment vertical="center"/>
    </xf>
    <xf numFmtId="0" fontId="28" fillId="48" borderId="8" applyNumberFormat="0" applyAlignment="0" applyProtection="0">
      <alignment vertical="center"/>
    </xf>
    <xf numFmtId="0" fontId="28" fillId="48" borderId="8" applyNumberFormat="0" applyAlignment="0" applyProtection="0">
      <alignment vertical="center"/>
    </xf>
    <xf numFmtId="0" fontId="28" fillId="48" borderId="8" applyNumberFormat="0" applyAlignment="0" applyProtection="0">
      <alignment vertical="center"/>
    </xf>
    <xf numFmtId="0" fontId="28" fillId="48" borderId="8" applyNumberFormat="0" applyAlignment="0" applyProtection="0">
      <alignment vertical="center"/>
    </xf>
    <xf numFmtId="0" fontId="28" fillId="48" borderId="8" applyNumberFormat="0" applyAlignment="0" applyProtection="0">
      <alignment vertical="center"/>
    </xf>
    <xf numFmtId="0" fontId="28" fillId="48" borderId="8" applyNumberFormat="0" applyAlignment="0" applyProtection="0">
      <alignment vertical="center"/>
    </xf>
    <xf numFmtId="0" fontId="28" fillId="48" borderId="8" applyNumberFormat="0" applyAlignment="0" applyProtection="0">
      <alignment vertical="center"/>
    </xf>
    <xf numFmtId="0" fontId="28" fillId="40" borderId="8" applyNumberFormat="0" applyAlignment="0" applyProtection="0">
      <alignment vertical="center"/>
    </xf>
    <xf numFmtId="0" fontId="28" fillId="40" borderId="8" applyNumberFormat="0" applyAlignment="0" applyProtection="0">
      <alignment vertical="center"/>
    </xf>
    <xf numFmtId="0" fontId="28" fillId="40" borderId="8" applyNumberFormat="0" applyAlignment="0" applyProtection="0">
      <alignment vertical="center"/>
    </xf>
    <xf numFmtId="0" fontId="28" fillId="40" borderId="8" applyNumberFormat="0" applyAlignment="0" applyProtection="0">
      <alignment vertical="center"/>
    </xf>
    <xf numFmtId="0" fontId="28" fillId="40" borderId="8" applyNumberFormat="0" applyAlignment="0" applyProtection="0">
      <alignment vertical="center"/>
    </xf>
    <xf numFmtId="0" fontId="28" fillId="40" borderId="8" applyNumberFormat="0" applyAlignment="0" applyProtection="0">
      <alignment vertical="center"/>
    </xf>
    <xf numFmtId="0" fontId="28" fillId="40" borderId="8" applyNumberFormat="0" applyAlignment="0" applyProtection="0">
      <alignment vertical="center"/>
    </xf>
    <xf numFmtId="0" fontId="28" fillId="40" borderId="8" applyNumberFormat="0" applyAlignment="0" applyProtection="0">
      <alignment vertical="center"/>
    </xf>
    <xf numFmtId="0" fontId="28" fillId="40" borderId="8" applyNumberFormat="0" applyAlignment="0" applyProtection="0">
      <alignment vertical="center"/>
    </xf>
    <xf numFmtId="0" fontId="28" fillId="40" borderId="8" applyNumberFormat="0" applyAlignment="0" applyProtection="0">
      <alignment vertical="center"/>
    </xf>
    <xf numFmtId="0" fontId="28" fillId="40" borderId="8" applyNumberFormat="0" applyAlignment="0" applyProtection="0">
      <alignment vertical="center"/>
    </xf>
    <xf numFmtId="0" fontId="28" fillId="40" borderId="8" applyNumberFormat="0" applyAlignment="0" applyProtection="0">
      <alignment vertical="center"/>
    </xf>
    <xf numFmtId="0" fontId="28" fillId="40" borderId="8" applyNumberFormat="0" applyAlignment="0" applyProtection="0">
      <alignment vertical="center"/>
    </xf>
    <xf numFmtId="0" fontId="28" fillId="40" borderId="8" applyNumberFormat="0" applyAlignment="0" applyProtection="0">
      <alignment vertical="center"/>
    </xf>
    <xf numFmtId="0" fontId="28" fillId="40" borderId="8" applyNumberFormat="0" applyAlignment="0" applyProtection="0">
      <alignment vertical="center"/>
    </xf>
    <xf numFmtId="0" fontId="28" fillId="48" borderId="8" applyNumberFormat="0" applyAlignment="0" applyProtection="0">
      <alignment vertical="center"/>
    </xf>
    <xf numFmtId="0" fontId="28" fillId="48" borderId="8" applyNumberFormat="0" applyAlignment="0" applyProtection="0">
      <alignment vertical="center"/>
    </xf>
    <xf numFmtId="0" fontId="28" fillId="48" borderId="8" applyNumberFormat="0" applyAlignment="0" applyProtection="0">
      <alignment vertical="center"/>
    </xf>
    <xf numFmtId="0" fontId="29" fillId="31" borderId="5" applyNumberFormat="0" applyAlignment="0" applyProtection="0">
      <alignment vertical="center"/>
    </xf>
    <xf numFmtId="0" fontId="29" fillId="31" borderId="5" applyNumberFormat="0" applyAlignment="0" applyProtection="0">
      <alignment vertical="center"/>
    </xf>
    <xf numFmtId="0" fontId="29" fillId="31" borderId="5" applyNumberFormat="0" applyAlignment="0" applyProtection="0">
      <alignment vertical="center"/>
    </xf>
    <xf numFmtId="0" fontId="29" fillId="31" borderId="5" applyNumberFormat="0" applyAlignment="0" applyProtection="0">
      <alignment vertical="center"/>
    </xf>
    <xf numFmtId="0" fontId="29" fillId="31" borderId="5" applyNumberFormat="0" applyAlignment="0" applyProtection="0">
      <alignment vertical="center"/>
    </xf>
    <xf numFmtId="0" fontId="29" fillId="31" borderId="5" applyNumberFormat="0" applyAlignment="0" applyProtection="0">
      <alignment vertical="center"/>
    </xf>
    <xf numFmtId="0" fontId="29" fillId="31" borderId="5" applyNumberFormat="0" applyAlignment="0" applyProtection="0">
      <alignment vertical="center"/>
    </xf>
    <xf numFmtId="0" fontId="29" fillId="31" borderId="5" applyNumberFormat="0" applyAlignment="0" applyProtection="0">
      <alignment vertical="center"/>
    </xf>
    <xf numFmtId="0" fontId="29" fillId="31" borderId="5" applyNumberFormat="0" applyAlignment="0" applyProtection="0">
      <alignment vertical="center"/>
    </xf>
    <xf numFmtId="0" fontId="29" fillId="31" borderId="5" applyNumberFormat="0" applyAlignment="0" applyProtection="0">
      <alignment vertical="center"/>
    </xf>
    <xf numFmtId="0" fontId="29" fillId="31" borderId="5" applyNumberFormat="0" applyAlignment="0" applyProtection="0">
      <alignment vertical="center"/>
    </xf>
    <xf numFmtId="0" fontId="29" fillId="31" borderId="5" applyNumberFormat="0" applyAlignment="0" applyProtection="0">
      <alignment vertical="center"/>
    </xf>
    <xf numFmtId="0" fontId="29" fillId="31" borderId="5" applyNumberFormat="0" applyAlignment="0" applyProtection="0">
      <alignment vertical="center"/>
    </xf>
    <xf numFmtId="0" fontId="29" fillId="31" borderId="5" applyNumberFormat="0" applyAlignment="0" applyProtection="0">
      <alignment vertical="center"/>
    </xf>
    <xf numFmtId="0" fontId="29" fillId="31" borderId="5" applyNumberFormat="0" applyAlignment="0" applyProtection="0">
      <alignment vertical="center"/>
    </xf>
    <xf numFmtId="0" fontId="29" fillId="31" borderId="5" applyNumberFormat="0" applyAlignment="0" applyProtection="0">
      <alignment vertical="center"/>
    </xf>
    <xf numFmtId="0" fontId="29" fillId="31" borderId="5" applyNumberFormat="0" applyAlignment="0" applyProtection="0">
      <alignment vertical="center"/>
    </xf>
    <xf numFmtId="0" fontId="29" fillId="31" borderId="5" applyNumberFormat="0" applyAlignment="0" applyProtection="0">
      <alignment vertical="center"/>
    </xf>
    <xf numFmtId="0" fontId="29" fillId="31" borderId="5" applyNumberFormat="0" applyAlignment="0" applyProtection="0">
      <alignment vertical="center"/>
    </xf>
    <xf numFmtId="0" fontId="29" fillId="31" borderId="5" applyNumberFormat="0" applyAlignment="0" applyProtection="0">
      <alignment vertical="center"/>
    </xf>
    <xf numFmtId="0" fontId="29" fillId="31" borderId="5" applyNumberFormat="0" applyAlignment="0" applyProtection="0">
      <alignment vertical="center"/>
    </xf>
    <xf numFmtId="0" fontId="85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8" fillId="0" borderId="0"/>
    <xf numFmtId="0" fontId="2" fillId="0" borderId="0"/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/>
  </cellStyleXfs>
  <cellXfs count="400">
    <xf numFmtId="0" fontId="0" fillId="0" borderId="0" xfId="0" applyAlignment="1">
      <alignment vertical="center"/>
    </xf>
    <xf numFmtId="0" fontId="5" fillId="0" borderId="0" xfId="1837" applyFont="1" applyAlignment="1">
      <alignment vertical="top"/>
    </xf>
    <xf numFmtId="0" fontId="11" fillId="0" borderId="0" xfId="1837" applyFont="1">
      <alignment vertical="center"/>
    </xf>
    <xf numFmtId="0" fontId="2" fillId="0" borderId="0" xfId="1837" applyFont="1">
      <alignment vertical="center"/>
    </xf>
    <xf numFmtId="0" fontId="2" fillId="0" borderId="0" xfId="2393"/>
    <xf numFmtId="0" fontId="5" fillId="0" borderId="0" xfId="2393" applyFont="1" applyFill="1" applyAlignment="1">
      <alignment vertical="center"/>
    </xf>
    <xf numFmtId="0" fontId="2" fillId="0" borderId="0" xfId="2393" applyFont="1"/>
    <xf numFmtId="0" fontId="2" fillId="0" borderId="0" xfId="2393" applyFont="1" applyFill="1"/>
    <xf numFmtId="0" fontId="7" fillId="0" borderId="0" xfId="0" applyFont="1" applyAlignment="1">
      <alignment horizontal="right" vertical="center"/>
    </xf>
    <xf numFmtId="0" fontId="57" fillId="0" borderId="17" xfId="1502" applyFont="1" applyBorder="1">
      <alignment vertical="center"/>
    </xf>
    <xf numFmtId="1" fontId="58" fillId="0" borderId="17" xfId="2393" applyNumberFormat="1" applyFont="1" applyFill="1" applyBorder="1" applyAlignment="1" applyProtection="1">
      <alignment vertical="center"/>
      <protection locked="0"/>
    </xf>
    <xf numFmtId="1" fontId="58" fillId="0" borderId="17" xfId="2393" applyNumberFormat="1" applyFont="1" applyFill="1" applyBorder="1" applyAlignment="1" applyProtection="1">
      <alignment horizontal="left" vertical="center"/>
      <protection locked="0"/>
    </xf>
    <xf numFmtId="0" fontId="58" fillId="0" borderId="17" xfId="2393" applyFont="1" applyFill="1" applyBorder="1" applyAlignment="1">
      <alignment horizontal="left" vertical="center"/>
    </xf>
    <xf numFmtId="0" fontId="59" fillId="0" borderId="17" xfId="1502" applyFont="1" applyBorder="1">
      <alignment vertical="center"/>
    </xf>
    <xf numFmtId="1" fontId="60" fillId="0" borderId="17" xfId="2393" applyNumberFormat="1" applyFont="1" applyFill="1" applyBorder="1" applyAlignment="1" applyProtection="1">
      <alignment vertical="center"/>
      <protection locked="0"/>
    </xf>
    <xf numFmtId="0" fontId="61" fillId="0" borderId="17" xfId="2393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3" fontId="63" fillId="0" borderId="1" xfId="2802" applyNumberFormat="1" applyFont="1" applyFill="1" applyBorder="1" applyAlignment="1" applyProtection="1">
      <alignment vertical="center"/>
    </xf>
    <xf numFmtId="0" fontId="63" fillId="0" borderId="1" xfId="2801" applyFont="1" applyFill="1" applyBorder="1"/>
    <xf numFmtId="1" fontId="63" fillId="0" borderId="1" xfId="2801" applyNumberFormat="1" applyFont="1" applyFill="1" applyBorder="1" applyAlignment="1" applyProtection="1">
      <alignment vertical="center"/>
      <protection locked="0"/>
    </xf>
    <xf numFmtId="1" fontId="63" fillId="0" borderId="1" xfId="2801" applyNumberFormat="1" applyFont="1" applyFill="1" applyBorder="1" applyAlignment="1" applyProtection="1">
      <alignment horizontal="left" vertical="center"/>
      <protection locked="0"/>
    </xf>
    <xf numFmtId="0" fontId="63" fillId="0" borderId="1" xfId="0" applyFont="1" applyBorder="1" applyAlignment="1">
      <alignment vertical="center"/>
    </xf>
    <xf numFmtId="0" fontId="63" fillId="0" borderId="1" xfId="2801" applyNumberFormat="1" applyFont="1" applyFill="1" applyBorder="1" applyAlignment="1" applyProtection="1">
      <alignment vertical="center"/>
      <protection locked="0"/>
    </xf>
    <xf numFmtId="0" fontId="63" fillId="0" borderId="1" xfId="2801" applyNumberFormat="1" applyFont="1" applyBorder="1" applyAlignment="1" applyProtection="1">
      <alignment vertical="center"/>
      <protection locked="0"/>
    </xf>
    <xf numFmtId="0" fontId="9" fillId="0" borderId="0" xfId="1530">
      <alignment vertical="center"/>
    </xf>
    <xf numFmtId="1" fontId="9" fillId="0" borderId="0" xfId="1530" applyNumberFormat="1">
      <alignment vertical="center"/>
    </xf>
    <xf numFmtId="0" fontId="9" fillId="0" borderId="0" xfId="1526">
      <alignment vertical="center"/>
    </xf>
    <xf numFmtId="0" fontId="9" fillId="0" borderId="0" xfId="1526" applyAlignment="1">
      <alignment horizontal="left" vertical="center" wrapText="1"/>
    </xf>
    <xf numFmtId="0" fontId="10" fillId="0" borderId="1" xfId="1526" applyFont="1" applyFill="1" applyBorder="1" applyAlignment="1">
      <alignment horizontal="center" vertical="center" wrapText="1"/>
    </xf>
    <xf numFmtId="0" fontId="6" fillId="0" borderId="1" xfId="2556" applyFont="1" applyFill="1" applyBorder="1" applyAlignment="1">
      <alignment horizontal="left" vertical="center"/>
    </xf>
    <xf numFmtId="0" fontId="10" fillId="0" borderId="1" xfId="1526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0" borderId="0" xfId="0" applyFont="1" applyBorder="1">
      <alignment vertical="center"/>
    </xf>
    <xf numFmtId="0" fontId="6" fillId="0" borderId="0" xfId="1502" applyBorder="1">
      <alignment vertical="center"/>
    </xf>
    <xf numFmtId="0" fontId="65" fillId="0" borderId="0" xfId="1502" applyFont="1" applyBorder="1" applyAlignment="1">
      <alignment vertical="center"/>
    </xf>
    <xf numFmtId="0" fontId="6" fillId="0" borderId="0" xfId="1502" applyFont="1" applyBorder="1" applyAlignment="1">
      <alignment horizontal="right" vertical="center"/>
    </xf>
    <xf numFmtId="190" fontId="2" fillId="0" borderId="0" xfId="2835" applyNumberFormat="1">
      <alignment vertical="center"/>
    </xf>
    <xf numFmtId="0" fontId="3" fillId="0" borderId="0" xfId="2835" applyFont="1" applyAlignment="1">
      <alignment horizontal="center" vertical="center"/>
    </xf>
    <xf numFmtId="43" fontId="73" fillId="0" borderId="1" xfId="2836" applyFont="1" applyBorder="1" applyAlignment="1">
      <alignment horizontal="center" vertical="center" wrapText="1"/>
    </xf>
    <xf numFmtId="0" fontId="3" fillId="0" borderId="1" xfId="2835" applyFont="1" applyBorder="1" applyAlignment="1">
      <alignment horizontal="distributed" vertical="center" wrapText="1" indent="3"/>
    </xf>
    <xf numFmtId="0" fontId="72" fillId="0" borderId="0" xfId="2835" applyFont="1">
      <alignment vertical="center"/>
    </xf>
    <xf numFmtId="0" fontId="2" fillId="0" borderId="0" xfId="2835" applyFont="1">
      <alignment vertical="center"/>
    </xf>
    <xf numFmtId="0" fontId="2" fillId="0" borderId="0" xfId="2835">
      <alignment vertical="center"/>
    </xf>
    <xf numFmtId="190" fontId="2" fillId="0" borderId="0" xfId="2835" applyNumberFormat="1" applyAlignment="1">
      <alignment horizontal="right" vertical="center"/>
    </xf>
    <xf numFmtId="0" fontId="6" fillId="0" borderId="0" xfId="1502" applyBorder="1">
      <alignment vertical="center"/>
    </xf>
    <xf numFmtId="0" fontId="65" fillId="0" borderId="0" xfId="1502" applyFont="1" applyBorder="1" applyAlignment="1">
      <alignment vertical="center"/>
    </xf>
    <xf numFmtId="0" fontId="6" fillId="0" borderId="0" xfId="1502">
      <alignment vertical="center"/>
    </xf>
    <xf numFmtId="0" fontId="6" fillId="0" borderId="0" xfId="1502" applyFont="1" applyBorder="1" applyAlignment="1">
      <alignment horizontal="right" vertical="center"/>
    </xf>
    <xf numFmtId="0" fontId="6" fillId="0" borderId="0" xfId="1502" applyBorder="1">
      <alignment vertical="center"/>
    </xf>
    <xf numFmtId="0" fontId="65" fillId="0" borderId="0" xfId="1502" applyFont="1" applyBorder="1" applyAlignment="1">
      <alignment vertical="center"/>
    </xf>
    <xf numFmtId="0" fontId="6" fillId="0" borderId="0" xfId="1502" applyBorder="1">
      <alignment vertical="center"/>
    </xf>
    <xf numFmtId="0" fontId="65" fillId="0" borderId="0" xfId="1502" applyFont="1" applyBorder="1" applyAlignment="1">
      <alignment vertical="center"/>
    </xf>
    <xf numFmtId="0" fontId="6" fillId="0" borderId="0" xfId="1502" applyFont="1" applyBorder="1" applyAlignment="1">
      <alignment horizontal="right" vertical="center"/>
    </xf>
    <xf numFmtId="1" fontId="64" fillId="0" borderId="1" xfId="2801" applyNumberFormat="1" applyFont="1" applyFill="1" applyBorder="1" applyAlignment="1" applyProtection="1">
      <alignment vertical="center"/>
      <protection locked="0"/>
    </xf>
    <xf numFmtId="0" fontId="2" fillId="0" borderId="0" xfId="1523" applyAlignment="1"/>
    <xf numFmtId="0" fontId="2" fillId="0" borderId="0" xfId="1523" applyFill="1" applyAlignment="1"/>
    <xf numFmtId="0" fontId="2" fillId="0" borderId="0" xfId="1523" applyNumberFormat="1" applyFont="1" applyFill="1" applyBorder="1" applyAlignment="1" applyProtection="1"/>
    <xf numFmtId="0" fontId="8" fillId="0" borderId="0" xfId="2835" applyFont="1">
      <alignment vertical="center"/>
    </xf>
    <xf numFmtId="0" fontId="74" fillId="0" borderId="0" xfId="0" applyFont="1" applyAlignment="1">
      <alignment vertical="center"/>
    </xf>
    <xf numFmtId="0" fontId="74" fillId="0" borderId="0" xfId="2835" applyFont="1">
      <alignment vertical="center"/>
    </xf>
    <xf numFmtId="0" fontId="74" fillId="0" borderId="1" xfId="1502" applyFont="1" applyBorder="1">
      <alignment vertical="center"/>
    </xf>
    <xf numFmtId="0" fontId="74" fillId="0" borderId="0" xfId="0" applyFont="1">
      <alignment vertical="center"/>
    </xf>
    <xf numFmtId="0" fontId="74" fillId="0" borderId="0" xfId="1526" applyFont="1">
      <alignment vertical="center"/>
    </xf>
    <xf numFmtId="0" fontId="59" fillId="0" borderId="1" xfId="1530" applyFont="1" applyFill="1" applyBorder="1" applyAlignment="1">
      <alignment horizontal="center" vertical="center"/>
    </xf>
    <xf numFmtId="0" fontId="57" fillId="0" borderId="1" xfId="2556" applyFont="1" applyFill="1" applyBorder="1" applyAlignment="1">
      <alignment horizontal="left" vertical="center"/>
    </xf>
    <xf numFmtId="0" fontId="59" fillId="0" borderId="1" xfId="1530" applyFont="1" applyBorder="1" applyAlignment="1">
      <alignment horizontal="center" vertical="center"/>
    </xf>
    <xf numFmtId="0" fontId="60" fillId="0" borderId="1" xfId="2804" applyFont="1" applyBorder="1" applyAlignment="1">
      <alignment horizontal="center" vertical="center"/>
    </xf>
    <xf numFmtId="0" fontId="58" fillId="0" borderId="1" xfId="2817" applyFont="1" applyBorder="1" applyAlignment="1">
      <alignment horizontal="center" vertical="center"/>
    </xf>
    <xf numFmtId="0" fontId="58" fillId="0" borderId="1" xfId="2817" applyFont="1" applyBorder="1" applyAlignment="1">
      <alignment vertical="center"/>
    </xf>
    <xf numFmtId="0" fontId="57" fillId="0" borderId="1" xfId="1502" applyFont="1" applyBorder="1">
      <alignment vertical="center"/>
    </xf>
    <xf numFmtId="0" fontId="59" fillId="0" borderId="1" xfId="1502" applyFont="1" applyBorder="1" applyAlignment="1">
      <alignment horizontal="center" vertical="center"/>
    </xf>
    <xf numFmtId="0" fontId="59" fillId="0" borderId="1" xfId="1502" applyFont="1" applyBorder="1">
      <alignment vertical="center"/>
    </xf>
    <xf numFmtId="0" fontId="57" fillId="0" borderId="1" xfId="1502" applyFont="1" applyBorder="1" applyAlignment="1">
      <alignment horizontal="left" vertical="center"/>
    </xf>
    <xf numFmtId="0" fontId="6" fillId="0" borderId="1" xfId="1523" applyNumberFormat="1" applyFont="1" applyFill="1" applyBorder="1" applyAlignment="1" applyProtection="1">
      <alignment horizontal="left" vertical="center" wrapText="1"/>
    </xf>
    <xf numFmtId="0" fontId="79" fillId="0" borderId="1" xfId="1523" applyNumberFormat="1" applyFont="1" applyFill="1" applyBorder="1" applyAlignment="1" applyProtection="1">
      <alignment horizontal="left" vertical="center" wrapText="1"/>
    </xf>
    <xf numFmtId="49" fontId="77" fillId="0" borderId="1" xfId="2839" applyNumberFormat="1" applyFont="1" applyBorder="1"/>
    <xf numFmtId="49" fontId="77" fillId="0" borderId="1" xfId="2845" applyNumberFormat="1" applyFont="1" applyBorder="1"/>
    <xf numFmtId="49" fontId="77" fillId="0" borderId="1" xfId="2846" applyNumberFormat="1" applyFont="1" applyBorder="1"/>
    <xf numFmtId="49" fontId="77" fillId="0" borderId="1" xfId="2849" applyNumberFormat="1" applyFont="1" applyBorder="1"/>
    <xf numFmtId="0" fontId="80" fillId="0" borderId="1" xfId="1523" applyNumberFormat="1" applyFont="1" applyFill="1" applyBorder="1" applyAlignment="1" applyProtection="1">
      <alignment horizontal="left" vertical="center" wrapText="1" indent="1"/>
    </xf>
    <xf numFmtId="49" fontId="77" fillId="0" borderId="1" xfId="2847" applyNumberFormat="1" applyFont="1" applyBorder="1"/>
    <xf numFmtId="0" fontId="79" fillId="0" borderId="1" xfId="1523" applyNumberFormat="1" applyFont="1" applyFill="1" applyBorder="1" applyAlignment="1" applyProtection="1">
      <alignment horizontal="left" vertical="center" wrapText="1" indent="1"/>
    </xf>
    <xf numFmtId="49" fontId="77" fillId="0" borderId="1" xfId="2843" applyNumberFormat="1" applyFont="1" applyBorder="1"/>
    <xf numFmtId="49" fontId="77" fillId="0" borderId="1" xfId="2844" applyNumberFormat="1" applyFont="1" applyBorder="1"/>
    <xf numFmtId="49" fontId="77" fillId="0" borderId="1" xfId="2850" applyNumberFormat="1" applyFont="1" applyBorder="1"/>
    <xf numFmtId="49" fontId="77" fillId="0" borderId="1" xfId="2841" applyNumberFormat="1" applyFont="1" applyBorder="1"/>
    <xf numFmtId="49" fontId="77" fillId="0" borderId="1" xfId="2842" applyNumberFormat="1" applyFont="1" applyBorder="1"/>
    <xf numFmtId="0" fontId="81" fillId="0" borderId="1" xfId="1523" applyNumberFormat="1" applyFont="1" applyFill="1" applyBorder="1" applyAlignment="1" applyProtection="1">
      <alignment horizontal="center" vertical="center" wrapText="1"/>
    </xf>
    <xf numFmtId="0" fontId="10" fillId="0" borderId="1" xfId="1523" applyNumberFormat="1" applyFont="1" applyFill="1" applyBorder="1" applyAlignment="1" applyProtection="1">
      <alignment horizontal="left" vertical="center" wrapText="1"/>
    </xf>
    <xf numFmtId="0" fontId="73" fillId="0" borderId="1" xfId="2835" applyFont="1" applyBorder="1" applyAlignment="1">
      <alignment horizontal="distributed" vertical="center" wrapText="1" indent="3"/>
    </xf>
    <xf numFmtId="190" fontId="73" fillId="0" borderId="1" xfId="2835" applyNumberFormat="1" applyFont="1" applyBorder="1" applyAlignment="1">
      <alignment horizontal="center" vertical="center" wrapText="1"/>
    </xf>
    <xf numFmtId="0" fontId="82" fillId="0" borderId="1" xfId="1523" applyNumberFormat="1" applyFont="1" applyFill="1" applyBorder="1" applyAlignment="1" applyProtection="1">
      <alignment horizontal="center" vertical="center" wrapText="1"/>
    </xf>
    <xf numFmtId="0" fontId="58" fillId="0" borderId="0" xfId="2835" applyFont="1">
      <alignment vertical="center"/>
    </xf>
    <xf numFmtId="0" fontId="73" fillId="0" borderId="0" xfId="2835" applyFont="1">
      <alignment vertical="center"/>
    </xf>
    <xf numFmtId="49" fontId="78" fillId="0" borderId="1" xfId="2851" applyNumberFormat="1" applyFont="1" applyBorder="1"/>
    <xf numFmtId="0" fontId="58" fillId="0" borderId="1" xfId="0" applyFont="1" applyBorder="1" applyAlignment="1">
      <alignment vertical="center"/>
    </xf>
    <xf numFmtId="49" fontId="78" fillId="0" borderId="1" xfId="2851" applyNumberFormat="1" applyFont="1" applyBorder="1" applyAlignment="1">
      <alignment horizontal="left" indent="2"/>
    </xf>
    <xf numFmtId="49" fontId="78" fillId="0" borderId="1" xfId="2851" applyNumberFormat="1" applyFont="1" applyBorder="1" applyAlignment="1"/>
    <xf numFmtId="0" fontId="57" fillId="0" borderId="1" xfId="1502" applyFont="1" applyBorder="1" applyAlignment="1">
      <alignment horizontal="left" vertical="center" indent="2"/>
    </xf>
    <xf numFmtId="0" fontId="57" fillId="0" borderId="1" xfId="1502" applyFont="1" applyBorder="1" applyAlignment="1">
      <alignment vertical="center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vertical="center"/>
    </xf>
    <xf numFmtId="0" fontId="73" fillId="0" borderId="1" xfId="0" applyFont="1" applyBorder="1" applyAlignment="1">
      <alignment horizontal="center" vertical="center"/>
    </xf>
    <xf numFmtId="0" fontId="6" fillId="0" borderId="0" xfId="1502" applyBorder="1" applyAlignment="1">
      <alignment horizontal="right" vertical="center"/>
    </xf>
    <xf numFmtId="1" fontId="58" fillId="0" borderId="17" xfId="2393" applyNumberFormat="1" applyFont="1" applyFill="1" applyBorder="1" applyAlignment="1" applyProtection="1">
      <alignment horizontal="left" vertical="center" indent="1"/>
      <protection locked="0"/>
    </xf>
    <xf numFmtId="0" fontId="58" fillId="0" borderId="1" xfId="2852" applyFont="1" applyBorder="1">
      <alignment vertical="center"/>
    </xf>
    <xf numFmtId="0" fontId="2" fillId="0" borderId="0" xfId="2852" applyFont="1" applyAlignment="1">
      <alignment horizontal="center" vertical="center"/>
    </xf>
    <xf numFmtId="0" fontId="60" fillId="0" borderId="17" xfId="2393" applyFont="1" applyFill="1" applyBorder="1" applyAlignment="1">
      <alignment horizontal="center" vertical="center" wrapText="1"/>
    </xf>
    <xf numFmtId="0" fontId="60" fillId="0" borderId="1" xfId="2393" applyFont="1" applyFill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 wrapText="1"/>
    </xf>
    <xf numFmtId="0" fontId="60" fillId="0" borderId="1" xfId="2852" applyFont="1" applyBorder="1">
      <alignment vertical="center"/>
    </xf>
    <xf numFmtId="0" fontId="64" fillId="0" borderId="1" xfId="2393" applyFont="1" applyFill="1" applyBorder="1" applyAlignment="1">
      <alignment horizontal="center" vertical="center" wrapText="1"/>
    </xf>
    <xf numFmtId="0" fontId="64" fillId="0" borderId="1" xfId="0" applyFont="1" applyBorder="1" applyAlignment="1">
      <alignment horizontal="center" vertical="center" wrapText="1"/>
    </xf>
    <xf numFmtId="0" fontId="61" fillId="0" borderId="1" xfId="2393" applyFont="1" applyFill="1" applyBorder="1" applyAlignment="1">
      <alignment horizontal="center" vertical="center"/>
    </xf>
    <xf numFmtId="1" fontId="60" fillId="0" borderId="1" xfId="2393" applyNumberFormat="1" applyFont="1" applyFill="1" applyBorder="1" applyAlignment="1" applyProtection="1">
      <alignment vertical="center"/>
      <protection locked="0"/>
    </xf>
    <xf numFmtId="1" fontId="58" fillId="0" borderId="1" xfId="2393" applyNumberFormat="1" applyFont="1" applyFill="1" applyBorder="1" applyAlignment="1" applyProtection="1">
      <alignment horizontal="left" vertical="center"/>
      <protection locked="0"/>
    </xf>
    <xf numFmtId="1" fontId="58" fillId="0" borderId="1" xfId="2393" applyNumberFormat="1" applyFont="1" applyFill="1" applyBorder="1" applyAlignment="1" applyProtection="1">
      <alignment vertical="center"/>
      <protection locked="0"/>
    </xf>
    <xf numFmtId="0" fontId="58" fillId="0" borderId="1" xfId="2393" applyFont="1" applyFill="1" applyBorder="1" applyAlignment="1">
      <alignment horizontal="left" vertical="center"/>
    </xf>
    <xf numFmtId="0" fontId="58" fillId="0" borderId="1" xfId="2393" applyFont="1" applyBorder="1" applyAlignment="1"/>
    <xf numFmtId="0" fontId="60" fillId="0" borderId="1" xfId="2852" applyFont="1" applyBorder="1" applyAlignment="1">
      <alignment horizontal="center" vertical="center" wrapText="1"/>
    </xf>
    <xf numFmtId="0" fontId="65" fillId="0" borderId="0" xfId="1530" applyFont="1">
      <alignment vertical="center"/>
    </xf>
    <xf numFmtId="0" fontId="65" fillId="0" borderId="0" xfId="1526" applyFont="1">
      <alignment vertical="center"/>
    </xf>
    <xf numFmtId="0" fontId="65" fillId="0" borderId="0" xfId="1526" applyFont="1" applyAlignment="1">
      <alignment horizontal="right" vertical="center"/>
    </xf>
    <xf numFmtId="0" fontId="65" fillId="0" borderId="0" xfId="1502" applyFont="1" applyBorder="1" applyAlignment="1">
      <alignment horizontal="right" vertical="center"/>
    </xf>
    <xf numFmtId="0" fontId="90" fillId="0" borderId="1" xfId="1502" applyFont="1" applyBorder="1" applyAlignment="1">
      <alignment horizontal="center" vertical="center"/>
    </xf>
    <xf numFmtId="0" fontId="90" fillId="0" borderId="1" xfId="1502" applyFont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0" xfId="1837" applyFont="1" applyAlignment="1">
      <alignment horizontal="center" vertical="center"/>
    </xf>
    <xf numFmtId="0" fontId="2" fillId="0" borderId="0" xfId="1523" applyAlignment="1">
      <alignment horizontal="right"/>
    </xf>
    <xf numFmtId="0" fontId="0" fillId="0" borderId="0" xfId="0" applyAlignment="1"/>
    <xf numFmtId="0" fontId="0" fillId="0" borderId="0" xfId="0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23" xfId="0" applyFont="1" applyBorder="1" applyAlignment="1">
      <alignment horizontal="right" vertical="center"/>
    </xf>
    <xf numFmtId="0" fontId="98" fillId="0" borderId="0" xfId="1837" applyFont="1" applyAlignment="1">
      <alignment horizontal="center" vertical="center"/>
    </xf>
    <xf numFmtId="0" fontId="93" fillId="0" borderId="0" xfId="1837" applyFont="1" applyFill="1" applyAlignment="1">
      <alignment horizontal="center" vertical="center"/>
    </xf>
    <xf numFmtId="0" fontId="93" fillId="0" borderId="0" xfId="1837" applyFont="1" applyFill="1">
      <alignment vertical="center"/>
    </xf>
    <xf numFmtId="3" fontId="58" fillId="0" borderId="1" xfId="2833" applyNumberFormat="1" applyFont="1" applyFill="1" applyBorder="1" applyAlignment="1" applyProtection="1">
      <alignment vertical="center"/>
    </xf>
    <xf numFmtId="0" fontId="8" fillId="0" borderId="0" xfId="0" applyFont="1" applyAlignment="1">
      <alignment vertical="center"/>
    </xf>
    <xf numFmtId="0" fontId="59" fillId="0" borderId="1" xfId="1502" applyFont="1" applyBorder="1" applyAlignment="1">
      <alignment horizontal="center" vertical="center" wrapText="1"/>
    </xf>
    <xf numFmtId="0" fontId="73" fillId="0" borderId="1" xfId="2835" applyFont="1" applyBorder="1" applyAlignment="1">
      <alignment horizontal="center" vertical="center"/>
    </xf>
    <xf numFmtId="0" fontId="102" fillId="0" borderId="0" xfId="0" applyFont="1" applyAlignment="1">
      <alignment horizontal="left" vertical="center"/>
    </xf>
    <xf numFmtId="0" fontId="103" fillId="0" borderId="0" xfId="0" applyFont="1" applyBorder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104" fillId="0" borderId="1" xfId="0" applyFont="1" applyBorder="1" applyAlignment="1">
      <alignment vertical="center" wrapText="1"/>
    </xf>
    <xf numFmtId="0" fontId="58" fillId="0" borderId="1" xfId="2393" applyFont="1" applyFill="1" applyBorder="1" applyAlignment="1">
      <alignment horizontal="right" vertical="center" wrapText="1"/>
    </xf>
    <xf numFmtId="0" fontId="58" fillId="0" borderId="1" xfId="2856" applyFont="1" applyFill="1" applyBorder="1" applyAlignment="1">
      <alignment vertical="center"/>
    </xf>
    <xf numFmtId="0" fontId="58" fillId="2" borderId="1" xfId="2856" applyFont="1" applyFill="1" applyBorder="1" applyAlignment="1">
      <alignment horizontal="right"/>
    </xf>
    <xf numFmtId="0" fontId="58" fillId="0" borderId="1" xfId="0" applyFont="1" applyBorder="1" applyAlignment="1">
      <alignment horizontal="right" vertical="center" wrapText="1"/>
    </xf>
    <xf numFmtId="0" fontId="60" fillId="0" borderId="1" xfId="2856" applyFont="1" applyFill="1" applyBorder="1" applyAlignment="1">
      <alignment horizontal="right"/>
    </xf>
    <xf numFmtId="0" fontId="60" fillId="0" borderId="1" xfId="2856" applyFont="1" applyFill="1" applyBorder="1" applyAlignment="1">
      <alignment vertical="center"/>
    </xf>
    <xf numFmtId="0" fontId="61" fillId="0" borderId="17" xfId="2393" applyFont="1" applyFill="1" applyBorder="1" applyAlignment="1">
      <alignment horizontal="right"/>
    </xf>
    <xf numFmtId="192" fontId="60" fillId="0" borderId="1" xfId="2856" applyNumberFormat="1" applyFont="1" applyFill="1" applyBorder="1" applyAlignment="1">
      <alignment horizontal="right"/>
    </xf>
    <xf numFmtId="0" fontId="58" fillId="0" borderId="1" xfId="2393" applyFont="1" applyFill="1" applyBorder="1" applyAlignment="1">
      <alignment horizontal="right" wrapText="1"/>
    </xf>
    <xf numFmtId="0" fontId="58" fillId="0" borderId="1" xfId="0" applyFont="1" applyBorder="1" applyAlignment="1">
      <alignment horizontal="right" wrapText="1"/>
    </xf>
    <xf numFmtId="0" fontId="58" fillId="0" borderId="1" xfId="2856" applyFont="1" applyFill="1" applyBorder="1" applyAlignment="1">
      <alignment horizontal="right"/>
    </xf>
    <xf numFmtId="1" fontId="60" fillId="0" borderId="17" xfId="2393" applyNumberFormat="1" applyFont="1" applyFill="1" applyBorder="1" applyAlignment="1" applyProtection="1">
      <alignment horizontal="right"/>
      <protection locked="0"/>
    </xf>
    <xf numFmtId="1" fontId="60" fillId="0" borderId="1" xfId="2393" applyNumberFormat="1" applyFont="1" applyFill="1" applyBorder="1" applyAlignment="1" applyProtection="1">
      <alignment horizontal="right"/>
      <protection locked="0"/>
    </xf>
    <xf numFmtId="0" fontId="63" fillId="0" borderId="1" xfId="0" applyFont="1" applyBorder="1" applyAlignment="1">
      <alignment horizontal="right" wrapText="1"/>
    </xf>
    <xf numFmtId="192" fontId="63" fillId="0" borderId="1" xfId="0" applyNumberFormat="1" applyFont="1" applyBorder="1" applyAlignment="1">
      <alignment horizontal="right" wrapText="1"/>
    </xf>
    <xf numFmtId="1" fontId="64" fillId="0" borderId="1" xfId="2801" applyNumberFormat="1" applyFont="1" applyFill="1" applyBorder="1" applyAlignment="1" applyProtection="1">
      <alignment horizontal="right"/>
      <protection locked="0"/>
    </xf>
    <xf numFmtId="0" fontId="63" fillId="0" borderId="1" xfId="0" applyFont="1" applyBorder="1" applyAlignment="1">
      <alignment horizontal="right"/>
    </xf>
    <xf numFmtId="193" fontId="58" fillId="0" borderId="1" xfId="2817" applyNumberFormat="1" applyFont="1" applyFill="1" applyBorder="1" applyAlignment="1">
      <alignment horizontal="right"/>
    </xf>
    <xf numFmtId="193" fontId="58" fillId="0" borderId="1" xfId="2817" applyNumberFormat="1" applyFont="1" applyBorder="1" applyAlignment="1">
      <alignment horizontal="right"/>
    </xf>
    <xf numFmtId="193" fontId="58" fillId="0" borderId="1" xfId="0" applyNumberFormat="1" applyFont="1" applyBorder="1" applyAlignment="1">
      <alignment horizontal="right"/>
    </xf>
    <xf numFmtId="0" fontId="57" fillId="0" borderId="1" xfId="1502" applyFont="1" applyBorder="1" applyAlignment="1">
      <alignment horizontal="right"/>
    </xf>
    <xf numFmtId="0" fontId="59" fillId="0" borderId="1" xfId="1502" applyFont="1" applyBorder="1" applyAlignment="1">
      <alignment horizontal="right"/>
    </xf>
    <xf numFmtId="192" fontId="57" fillId="0" borderId="1" xfId="1502" applyNumberFormat="1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0" fontId="73" fillId="0" borderId="1" xfId="0" applyFont="1" applyBorder="1" applyAlignment="1">
      <alignment horizontal="right"/>
    </xf>
    <xf numFmtId="192" fontId="59" fillId="0" borderId="1" xfId="1502" applyNumberFormat="1" applyFont="1" applyBorder="1" applyAlignment="1">
      <alignment horizontal="right"/>
    </xf>
    <xf numFmtId="194" fontId="57" fillId="0" borderId="1" xfId="1502" applyNumberFormat="1" applyFont="1" applyBorder="1" applyAlignment="1">
      <alignment horizontal="right"/>
    </xf>
    <xf numFmtId="194" fontId="59" fillId="0" borderId="1" xfId="1502" applyNumberFormat="1" applyFont="1" applyBorder="1" applyAlignment="1">
      <alignment horizontal="right"/>
    </xf>
    <xf numFmtId="194" fontId="73" fillId="0" borderId="1" xfId="0" applyNumberFormat="1" applyFont="1" applyBorder="1" applyAlignment="1">
      <alignment horizontal="right"/>
    </xf>
    <xf numFmtId="0" fontId="60" fillId="0" borderId="1" xfId="0" applyFont="1" applyBorder="1" applyAlignment="1">
      <alignment horizontal="right"/>
    </xf>
    <xf numFmtId="0" fontId="58" fillId="0" borderId="1" xfId="0" applyFont="1" applyBorder="1" applyAlignment="1">
      <alignment horizontal="right"/>
    </xf>
    <xf numFmtId="192" fontId="8" fillId="0" borderId="1" xfId="1250" applyNumberFormat="1" applyFont="1" applyBorder="1" applyAlignment="1">
      <alignment horizontal="right"/>
    </xf>
    <xf numFmtId="192" fontId="73" fillId="0" borderId="1" xfId="1250" applyNumberFormat="1" applyFont="1" applyBorder="1" applyAlignment="1">
      <alignment horizontal="right"/>
    </xf>
    <xf numFmtId="0" fontId="2" fillId="0" borderId="0" xfId="2835" applyAlignment="1">
      <alignment horizontal="right"/>
    </xf>
    <xf numFmtId="194" fontId="73" fillId="0" borderId="1" xfId="1213" applyNumberFormat="1" applyFont="1" applyFill="1" applyBorder="1" applyAlignment="1" applyProtection="1">
      <alignment horizontal="right" wrapText="1"/>
    </xf>
    <xf numFmtId="194" fontId="73" fillId="0" borderId="1" xfId="1523" applyNumberFormat="1" applyFont="1" applyBorder="1" applyAlignment="1">
      <alignment horizontal="right"/>
    </xf>
    <xf numFmtId="194" fontId="8" fillId="0" borderId="1" xfId="1523" applyNumberFormat="1" applyFont="1" applyBorder="1" applyAlignment="1">
      <alignment horizontal="right"/>
    </xf>
    <xf numFmtId="194" fontId="2" fillId="0" borderId="1" xfId="1523" applyNumberFormat="1" applyBorder="1" applyAlignment="1">
      <alignment horizontal="right"/>
    </xf>
    <xf numFmtId="196" fontId="10" fillId="0" borderId="1" xfId="1523" applyNumberFormat="1" applyFont="1" applyFill="1" applyBorder="1" applyAlignment="1" applyProtection="1">
      <alignment horizontal="right" wrapText="1"/>
    </xf>
    <xf numFmtId="196" fontId="6" fillId="0" borderId="1" xfId="1523" applyNumberFormat="1" applyFont="1" applyFill="1" applyBorder="1" applyAlignment="1" applyProtection="1">
      <alignment horizontal="right" wrapText="1"/>
    </xf>
    <xf numFmtId="196" fontId="8" fillId="0" borderId="1" xfId="1523" applyNumberFormat="1" applyFont="1" applyBorder="1" applyAlignment="1">
      <alignment horizontal="right"/>
    </xf>
    <xf numFmtId="196" fontId="8" fillId="0" borderId="1" xfId="1523" applyNumberFormat="1" applyFont="1" applyFill="1" applyBorder="1" applyAlignment="1">
      <alignment horizontal="right"/>
    </xf>
    <xf numFmtId="196" fontId="2" fillId="0" borderId="0" xfId="1523" applyNumberFormat="1" applyAlignment="1">
      <alignment horizontal="right"/>
    </xf>
    <xf numFmtId="196" fontId="2" fillId="0" borderId="1" xfId="1523" applyNumberFormat="1" applyFont="1" applyFill="1" applyBorder="1" applyAlignment="1">
      <alignment horizontal="right"/>
    </xf>
    <xf numFmtId="196" fontId="2" fillId="0" borderId="1" xfId="1523" applyNumberFormat="1" applyFont="1" applyBorder="1" applyAlignment="1">
      <alignment horizontal="right"/>
    </xf>
    <xf numFmtId="197" fontId="8" fillId="0" borderId="1" xfId="1523" applyNumberFormat="1" applyFont="1" applyBorder="1" applyAlignment="1">
      <alignment horizontal="right"/>
    </xf>
    <xf numFmtId="0" fontId="60" fillId="0" borderId="1" xfId="2393" applyFont="1" applyFill="1" applyBorder="1" applyAlignment="1">
      <alignment horizontal="right" wrapText="1"/>
    </xf>
    <xf numFmtId="0" fontId="60" fillId="0" borderId="1" xfId="0" applyFont="1" applyBorder="1" applyAlignment="1">
      <alignment horizontal="right" wrapText="1"/>
    </xf>
    <xf numFmtId="0" fontId="0" fillId="0" borderId="1" xfId="0" applyBorder="1" applyAlignment="1">
      <alignment horizontal="right"/>
    </xf>
    <xf numFmtId="192" fontId="64" fillId="0" borderId="1" xfId="0" applyNumberFormat="1" applyFont="1" applyBorder="1" applyAlignment="1">
      <alignment horizontal="right" wrapText="1"/>
    </xf>
    <xf numFmtId="0" fontId="61" fillId="0" borderId="1" xfId="2393" applyFont="1" applyFill="1" applyBorder="1" applyAlignment="1">
      <alignment vertical="center"/>
    </xf>
    <xf numFmtId="0" fontId="60" fillId="50" borderId="1" xfId="2856" applyFont="1" applyFill="1" applyBorder="1" applyAlignment="1">
      <alignment horizontal="right"/>
    </xf>
    <xf numFmtId="0" fontId="58" fillId="50" borderId="1" xfId="2393" applyFont="1" applyFill="1" applyBorder="1" applyAlignment="1">
      <alignment horizontal="right" vertical="center" wrapText="1"/>
    </xf>
    <xf numFmtId="0" fontId="58" fillId="50" borderId="1" xfId="2856" applyFont="1" applyFill="1" applyBorder="1" applyAlignment="1">
      <alignment horizontal="right"/>
    </xf>
    <xf numFmtId="0" fontId="58" fillId="50" borderId="1" xfId="0" applyFont="1" applyFill="1" applyBorder="1" applyAlignment="1">
      <alignment horizontal="right" vertical="center" wrapText="1"/>
    </xf>
    <xf numFmtId="0" fontId="60" fillId="50" borderId="1" xfId="2856" applyFont="1" applyFill="1" applyBorder="1" applyAlignment="1">
      <alignment vertical="center"/>
    </xf>
    <xf numFmtId="192" fontId="58" fillId="50" borderId="1" xfId="2856" applyNumberFormat="1" applyFont="1" applyFill="1" applyBorder="1" applyAlignment="1">
      <alignment horizontal="right"/>
    </xf>
    <xf numFmtId="194" fontId="61" fillId="50" borderId="1" xfId="2393" applyNumberFormat="1" applyFont="1" applyFill="1" applyBorder="1" applyAlignment="1">
      <alignment horizontal="right"/>
    </xf>
    <xf numFmtId="194" fontId="61" fillId="0" borderId="1" xfId="2393" applyNumberFormat="1" applyFont="1" applyFill="1" applyBorder="1" applyAlignment="1">
      <alignment vertical="center"/>
    </xf>
    <xf numFmtId="196" fontId="63" fillId="0" borderId="1" xfId="2801" applyNumberFormat="1" applyFont="1" applyFill="1" applyBorder="1" applyAlignment="1">
      <alignment horizontal="right"/>
    </xf>
    <xf numFmtId="196" fontId="64" fillId="0" borderId="1" xfId="2801" applyNumberFormat="1" applyFont="1" applyFill="1" applyBorder="1" applyAlignment="1" applyProtection="1">
      <alignment horizontal="right"/>
      <protection locked="0"/>
    </xf>
    <xf numFmtId="196" fontId="63" fillId="0" borderId="1" xfId="2801" applyNumberFormat="1" applyFont="1" applyFill="1" applyBorder="1" applyAlignment="1" applyProtection="1">
      <alignment horizontal="right"/>
      <protection locked="0"/>
    </xf>
    <xf numFmtId="197" fontId="0" fillId="0" borderId="0" xfId="0" applyNumberFormat="1" applyFill="1" applyAlignment="1">
      <alignment vertical="center"/>
    </xf>
    <xf numFmtId="197" fontId="0" fillId="0" borderId="0" xfId="0" applyNumberFormat="1">
      <alignment vertical="center"/>
    </xf>
    <xf numFmtId="197" fontId="0" fillId="0" borderId="1" xfId="0" applyNumberFormat="1" applyBorder="1">
      <alignment vertical="center"/>
    </xf>
    <xf numFmtId="197" fontId="0" fillId="0" borderId="1" xfId="0" applyNumberFormat="1" applyFill="1" applyBorder="1" applyAlignment="1">
      <alignment vertical="center"/>
    </xf>
    <xf numFmtId="192" fontId="58" fillId="0" borderId="1" xfId="2856" applyNumberFormat="1" applyFont="1" applyFill="1" applyBorder="1" applyAlignment="1">
      <alignment horizontal="right"/>
    </xf>
    <xf numFmtId="192" fontId="61" fillId="0" borderId="1" xfId="2856" applyNumberFormat="1" applyFont="1" applyFill="1" applyBorder="1" applyAlignment="1">
      <alignment horizontal="right"/>
    </xf>
    <xf numFmtId="0" fontId="106" fillId="0" borderId="1" xfId="2801" applyFont="1" applyFill="1" applyBorder="1" applyAlignment="1">
      <alignment horizontal="center" vertical="center"/>
    </xf>
    <xf numFmtId="197" fontId="5" fillId="0" borderId="1" xfId="0" applyNumberFormat="1" applyFont="1" applyBorder="1">
      <alignment vertical="center"/>
    </xf>
    <xf numFmtId="192" fontId="61" fillId="0" borderId="1" xfId="0" applyNumberFormat="1" applyFont="1" applyBorder="1" applyAlignment="1">
      <alignment horizontal="right" wrapText="1"/>
    </xf>
    <xf numFmtId="0" fontId="61" fillId="0" borderId="1" xfId="2801" applyFont="1" applyFill="1" applyBorder="1" applyAlignment="1">
      <alignment horizontal="right"/>
    </xf>
    <xf numFmtId="0" fontId="61" fillId="0" borderId="1" xfId="2801" applyFont="1" applyFill="1" applyBorder="1" applyAlignment="1">
      <alignment horizontal="center" vertical="center"/>
    </xf>
    <xf numFmtId="196" fontId="61" fillId="0" borderId="1" xfId="2801" applyNumberFormat="1" applyFont="1" applyFill="1" applyBorder="1" applyAlignment="1">
      <alignment horizontal="right"/>
    </xf>
    <xf numFmtId="0" fontId="57" fillId="50" borderId="1" xfId="1502" applyFont="1" applyFill="1" applyBorder="1" applyAlignment="1">
      <alignment horizontal="right"/>
    </xf>
    <xf numFmtId="0" fontId="0" fillId="50" borderId="1" xfId="0" applyFill="1" applyBorder="1" applyAlignment="1">
      <alignment horizontal="right"/>
    </xf>
    <xf numFmtId="192" fontId="57" fillId="0" borderId="1" xfId="1502" applyNumberFormat="1" applyFont="1" applyBorder="1">
      <alignment vertical="center"/>
    </xf>
    <xf numFmtId="192" fontId="59" fillId="0" borderId="1" xfId="1502" applyNumberFormat="1" applyFont="1" applyBorder="1">
      <alignment vertical="center"/>
    </xf>
    <xf numFmtId="192" fontId="0" fillId="0" borderId="1" xfId="0" applyNumberFormat="1" applyBorder="1" applyAlignment="1">
      <alignment vertical="center"/>
    </xf>
    <xf numFmtId="0" fontId="64" fillId="0" borderId="1" xfId="0" applyFont="1" applyBorder="1" applyAlignment="1">
      <alignment horizontal="right"/>
    </xf>
    <xf numFmtId="1" fontId="61" fillId="0" borderId="1" xfId="2393" applyNumberFormat="1" applyFont="1" applyFill="1" applyBorder="1" applyAlignment="1">
      <alignment horizontal="right"/>
    </xf>
    <xf numFmtId="0" fontId="60" fillId="0" borderId="1" xfId="2393" applyFont="1" applyFill="1" applyBorder="1" applyAlignment="1">
      <alignment horizontal="right" vertical="center" wrapText="1"/>
    </xf>
    <xf numFmtId="0" fontId="60" fillId="0" borderId="1" xfId="0" applyFont="1" applyBorder="1" applyAlignment="1">
      <alignment horizontal="right" vertical="center" wrapText="1"/>
    </xf>
    <xf numFmtId="194" fontId="60" fillId="50" borderId="1" xfId="2393" applyNumberFormat="1" applyFont="1" applyFill="1" applyBorder="1" applyAlignment="1">
      <alignment horizontal="right"/>
    </xf>
    <xf numFmtId="192" fontId="5" fillId="50" borderId="1" xfId="2856" applyNumberFormat="1" applyFont="1" applyFill="1" applyBorder="1" applyAlignment="1">
      <alignment horizontal="right"/>
    </xf>
    <xf numFmtId="194" fontId="60" fillId="0" borderId="1" xfId="2393" applyNumberFormat="1" applyFont="1" applyFill="1" applyBorder="1" applyAlignment="1" applyProtection="1">
      <alignment horizontal="right"/>
      <protection locked="0"/>
    </xf>
    <xf numFmtId="0" fontId="2" fillId="0" borderId="1" xfId="0" applyFont="1" applyBorder="1" applyAlignment="1">
      <alignment horizontal="right"/>
    </xf>
    <xf numFmtId="196" fontId="2" fillId="0" borderId="1" xfId="0" applyNumberFormat="1" applyFont="1" applyBorder="1" applyAlignment="1">
      <alignment horizontal="right"/>
    </xf>
    <xf numFmtId="0" fontId="107" fillId="0" borderId="1" xfId="2856" applyFont="1" applyBorder="1" applyAlignment="1">
      <alignment horizontal="center" vertical="center"/>
    </xf>
    <xf numFmtId="0" fontId="7" fillId="0" borderId="17" xfId="2856" applyNumberFormat="1" applyFont="1" applyFill="1" applyBorder="1" applyAlignment="1" applyProtection="1">
      <alignment horizontal="left" vertical="center"/>
    </xf>
    <xf numFmtId="0" fontId="7" fillId="2" borderId="1" xfId="2856" applyNumberFormat="1" applyFont="1" applyFill="1" applyBorder="1" applyAlignment="1" applyProtection="1">
      <alignment vertical="center"/>
    </xf>
    <xf numFmtId="198" fontId="7" fillId="0" borderId="1" xfId="2856" applyNumberFormat="1" applyFont="1" applyBorder="1" applyAlignment="1">
      <alignment vertical="center"/>
    </xf>
    <xf numFmtId="0" fontId="7" fillId="2" borderId="1" xfId="2856" applyNumberFormat="1" applyFont="1" applyFill="1" applyBorder="1" applyAlignment="1" applyProtection="1">
      <alignment horizontal="left" vertical="center" wrapText="1"/>
    </xf>
    <xf numFmtId="3" fontId="7" fillId="51" borderId="1" xfId="2856" applyNumberFormat="1" applyFont="1" applyFill="1" applyBorder="1" applyAlignment="1" applyProtection="1">
      <alignment horizontal="right"/>
    </xf>
    <xf numFmtId="3" fontId="57" fillId="0" borderId="1" xfId="1502" applyNumberFormat="1" applyFont="1" applyBorder="1" applyAlignment="1">
      <alignment horizontal="right"/>
    </xf>
    <xf numFmtId="0" fontId="7" fillId="0" borderId="17" xfId="2856" applyNumberFormat="1" applyFont="1" applyFill="1" applyBorder="1" applyAlignment="1" applyProtection="1">
      <alignment horizontal="right"/>
    </xf>
    <xf numFmtId="0" fontId="7" fillId="0" borderId="1" xfId="2856" applyNumberFormat="1" applyFont="1" applyFill="1" applyBorder="1" applyAlignment="1" applyProtection="1">
      <alignment horizontal="right"/>
    </xf>
    <xf numFmtId="197" fontId="59" fillId="0" borderId="1" xfId="1502" applyNumberFormat="1" applyFont="1" applyBorder="1" applyAlignment="1">
      <alignment horizontal="right"/>
    </xf>
    <xf numFmtId="0" fontId="2" fillId="0" borderId="0" xfId="4062" applyAlignment="1">
      <alignment vertical="center"/>
    </xf>
    <xf numFmtId="0" fontId="0" fillId="0" borderId="26" xfId="2856" applyFont="1" applyBorder="1" applyAlignment="1">
      <alignment vertical="center"/>
    </xf>
    <xf numFmtId="0" fontId="0" fillId="0" borderId="1" xfId="2856" applyFont="1" applyBorder="1" applyAlignment="1">
      <alignment vertical="center"/>
    </xf>
    <xf numFmtId="0" fontId="107" fillId="0" borderId="1" xfId="2856" applyFont="1" applyBorder="1" applyAlignment="1">
      <alignment vertical="center"/>
    </xf>
    <xf numFmtId="0" fontId="108" fillId="0" borderId="1" xfId="2856" applyFont="1" applyBorder="1" applyAlignment="1">
      <alignment vertical="center"/>
    </xf>
    <xf numFmtId="0" fontId="8" fillId="0" borderId="26" xfId="2856" applyFont="1" applyBorder="1" applyAlignment="1">
      <alignment horizontal="right" vertical="center"/>
    </xf>
    <xf numFmtId="0" fontId="107" fillId="0" borderId="1" xfId="2856" applyFont="1" applyBorder="1" applyAlignment="1">
      <alignment horizontal="center" vertical="center" wrapText="1"/>
    </xf>
    <xf numFmtId="0" fontId="38" fillId="0" borderId="1" xfId="2856" applyFont="1" applyBorder="1" applyAlignment="1">
      <alignment vertical="center" wrapText="1"/>
    </xf>
    <xf numFmtId="0" fontId="0" fillId="2" borderId="0" xfId="2856" applyFont="1" applyFill="1" applyAlignment="1">
      <alignment vertical="center"/>
    </xf>
    <xf numFmtId="0" fontId="107" fillId="2" borderId="1" xfId="2856" applyFont="1" applyFill="1" applyBorder="1" applyAlignment="1">
      <alignment vertical="center"/>
    </xf>
    <xf numFmtId="3" fontId="0" fillId="0" borderId="1" xfId="2856" applyNumberFormat="1" applyFont="1" applyBorder="1" applyAlignment="1">
      <alignment vertical="center"/>
    </xf>
    <xf numFmtId="0" fontId="109" fillId="2" borderId="1" xfId="2856" applyNumberFormat="1" applyFont="1" applyFill="1" applyBorder="1" applyAlignment="1" applyProtection="1">
      <alignment horizontal="right" vertical="center"/>
    </xf>
    <xf numFmtId="0" fontId="107" fillId="2" borderId="1" xfId="2856" applyNumberFormat="1" applyFont="1" applyFill="1" applyBorder="1" applyAlignment="1" applyProtection="1">
      <alignment horizontal="left" vertical="center"/>
    </xf>
    <xf numFmtId="3" fontId="7" fillId="32" borderId="1" xfId="2856" applyNumberFormat="1" applyFont="1" applyFill="1" applyBorder="1" applyAlignment="1" applyProtection="1">
      <alignment horizontal="right" vertical="center"/>
    </xf>
    <xf numFmtId="3" fontId="7" fillId="46" borderId="1" xfId="2856" applyNumberFormat="1" applyFont="1" applyFill="1" applyBorder="1" applyAlignment="1" applyProtection="1">
      <alignment horizontal="right" vertical="center"/>
    </xf>
    <xf numFmtId="0" fontId="7" fillId="2" borderId="1" xfId="2856" applyNumberFormat="1" applyFont="1" applyFill="1" applyBorder="1" applyAlignment="1" applyProtection="1">
      <alignment horizontal="left" vertical="center"/>
    </xf>
    <xf numFmtId="0" fontId="109" fillId="2" borderId="21" xfId="2856" applyNumberFormat="1" applyFont="1" applyFill="1" applyBorder="1" applyAlignment="1" applyProtection="1">
      <alignment horizontal="right" vertical="center"/>
    </xf>
    <xf numFmtId="0" fontId="7" fillId="32" borderId="27" xfId="2856" applyNumberFormat="1" applyFont="1" applyFill="1" applyBorder="1" applyAlignment="1" applyProtection="1">
      <alignment horizontal="right" vertical="center"/>
    </xf>
    <xf numFmtId="0" fontId="7" fillId="46" borderId="27" xfId="2856" applyNumberFormat="1" applyFont="1" applyFill="1" applyBorder="1" applyAlignment="1" applyProtection="1">
      <alignment horizontal="right" vertical="center"/>
    </xf>
    <xf numFmtId="0" fontId="7" fillId="52" borderId="1" xfId="2856" applyNumberFormat="1" applyFont="1" applyFill="1" applyBorder="1" applyAlignment="1" applyProtection="1">
      <alignment horizontal="right" vertical="center"/>
    </xf>
    <xf numFmtId="0" fontId="109" fillId="53" borderId="1" xfId="2856" applyNumberFormat="1" applyFont="1" applyFill="1" applyBorder="1" applyAlignment="1" applyProtection="1">
      <alignment horizontal="right" vertical="center"/>
    </xf>
    <xf numFmtId="0" fontId="109" fillId="2" borderId="22" xfId="2856" applyNumberFormat="1" applyFont="1" applyFill="1" applyBorder="1" applyAlignment="1" applyProtection="1">
      <alignment horizontal="right" vertical="center"/>
    </xf>
    <xf numFmtId="0" fontId="107" fillId="2" borderId="1" xfId="2856" applyNumberFormat="1" applyFont="1" applyFill="1" applyBorder="1" applyAlignment="1" applyProtection="1">
      <alignment vertical="center"/>
    </xf>
    <xf numFmtId="0" fontId="109" fillId="2" borderId="24" xfId="2856" applyNumberFormat="1" applyFont="1" applyFill="1" applyBorder="1" applyAlignment="1" applyProtection="1">
      <alignment horizontal="right" vertical="center"/>
    </xf>
    <xf numFmtId="3" fontId="7" fillId="24" borderId="1" xfId="2856" applyNumberFormat="1" applyFont="1" applyFill="1" applyBorder="1" applyAlignment="1" applyProtection="1">
      <alignment horizontal="right" vertical="center"/>
    </xf>
    <xf numFmtId="0" fontId="107" fillId="2" borderId="1" xfId="2856" applyNumberFormat="1" applyFont="1" applyFill="1" applyBorder="1" applyAlignment="1" applyProtection="1">
      <alignment horizontal="center" vertical="center"/>
    </xf>
    <xf numFmtId="0" fontId="8" fillId="0" borderId="1" xfId="2856" applyFont="1" applyBorder="1" applyAlignment="1">
      <alignment horizontal="center" vertical="center"/>
    </xf>
    <xf numFmtId="0" fontId="107" fillId="2" borderId="1" xfId="2856" applyFont="1" applyFill="1" applyBorder="1" applyAlignment="1">
      <alignment horizontal="center" vertical="center"/>
    </xf>
    <xf numFmtId="0" fontId="8" fillId="0" borderId="0" xfId="2856" applyFont="1" applyBorder="1" applyAlignment="1">
      <alignment horizontal="right" vertical="center"/>
    </xf>
    <xf numFmtId="198" fontId="0" fillId="0" borderId="0" xfId="2856" applyNumberFormat="1" applyFont="1" applyAlignment="1">
      <alignment vertical="center"/>
    </xf>
    <xf numFmtId="198" fontId="7" fillId="0" borderId="0" xfId="2856" applyNumberFormat="1" applyFont="1" applyAlignment="1">
      <alignment vertical="center"/>
    </xf>
    <xf numFmtId="191" fontId="7" fillId="48" borderId="1" xfId="2856" applyNumberFormat="1" applyFont="1" applyFill="1" applyBorder="1" applyAlignment="1" applyProtection="1">
      <alignment horizontal="right" vertical="center"/>
    </xf>
    <xf numFmtId="3" fontId="7" fillId="2" borderId="1" xfId="2856" applyNumberFormat="1" applyFont="1" applyFill="1" applyBorder="1" applyAlignment="1" applyProtection="1">
      <alignment horizontal="left" vertical="center"/>
    </xf>
    <xf numFmtId="3" fontId="7" fillId="2" borderId="20" xfId="2856" applyNumberFormat="1" applyFont="1" applyFill="1" applyBorder="1" applyAlignment="1" applyProtection="1">
      <alignment horizontal="left" vertical="center"/>
    </xf>
    <xf numFmtId="3" fontId="107" fillId="2" borderId="1" xfId="2856" applyNumberFormat="1" applyFont="1" applyFill="1" applyBorder="1" applyAlignment="1" applyProtection="1">
      <alignment horizontal="left" vertical="center"/>
    </xf>
    <xf numFmtId="191" fontId="7" fillId="54" borderId="1" xfId="2856" applyNumberFormat="1" applyFont="1" applyFill="1" applyBorder="1" applyAlignment="1" applyProtection="1">
      <alignment horizontal="right" vertical="center"/>
    </xf>
    <xf numFmtId="0" fontId="107" fillId="0" borderId="20" xfId="2856" applyFont="1" applyBorder="1" applyAlignment="1">
      <alignment horizontal="center" vertical="center"/>
    </xf>
    <xf numFmtId="0" fontId="107" fillId="0" borderId="17" xfId="2856" applyFont="1" applyBorder="1" applyAlignment="1">
      <alignment horizontal="center" vertical="center"/>
    </xf>
    <xf numFmtId="0" fontId="6" fillId="0" borderId="0" xfId="4982">
      <alignment vertical="center"/>
    </xf>
    <xf numFmtId="0" fontId="96" fillId="0" borderId="1" xfId="4982" applyFont="1" applyBorder="1">
      <alignment vertical="center"/>
    </xf>
    <xf numFmtId="0" fontId="6" fillId="0" borderId="1" xfId="4982" applyBorder="1" applyAlignment="1">
      <alignment horizontal="center" vertical="center"/>
    </xf>
    <xf numFmtId="0" fontId="96" fillId="0" borderId="0" xfId="4982" applyFont="1" applyBorder="1" applyAlignment="1">
      <alignment horizontal="right"/>
    </xf>
    <xf numFmtId="0" fontId="65" fillId="0" borderId="0" xfId="4982" applyFont="1" applyBorder="1" applyAlignment="1">
      <alignment horizontal="center"/>
    </xf>
    <xf numFmtId="0" fontId="7" fillId="0" borderId="1" xfId="2856" applyFont="1" applyBorder="1" applyAlignment="1">
      <alignment vertical="center"/>
    </xf>
    <xf numFmtId="3" fontId="7" fillId="51" borderId="1" xfId="2856" applyNumberFormat="1" applyFont="1" applyFill="1" applyBorder="1" applyAlignment="1" applyProtection="1">
      <alignment horizontal="right" vertical="center"/>
    </xf>
    <xf numFmtId="0" fontId="107" fillId="40" borderId="1" xfId="2856" applyNumberFormat="1" applyFont="1" applyFill="1" applyBorder="1" applyAlignment="1" applyProtection="1">
      <alignment horizontal="center" vertical="center" wrapText="1"/>
    </xf>
    <xf numFmtId="191" fontId="7" fillId="48" borderId="20" xfId="2856" applyNumberFormat="1" applyFont="1" applyFill="1" applyBorder="1" applyAlignment="1" applyProtection="1">
      <alignment horizontal="right" vertical="center"/>
    </xf>
    <xf numFmtId="0" fontId="0" fillId="0" borderId="20" xfId="2856" applyFont="1" applyBorder="1" applyAlignment="1">
      <alignment vertical="center"/>
    </xf>
    <xf numFmtId="0" fontId="7" fillId="0" borderId="1" xfId="2856" applyFont="1" applyBorder="1" applyAlignment="1">
      <alignment horizontal="center" vertical="center" wrapText="1"/>
    </xf>
    <xf numFmtId="0" fontId="0" fillId="0" borderId="0" xfId="2856" applyFont="1" applyAlignment="1">
      <alignment vertical="center" wrapText="1"/>
    </xf>
    <xf numFmtId="0" fontId="7" fillId="0" borderId="1" xfId="2856" applyFont="1" applyBorder="1" applyAlignment="1">
      <alignment horizontal="center" vertical="center"/>
    </xf>
    <xf numFmtId="0" fontId="96" fillId="0" borderId="1" xfId="4085" applyNumberFormat="1" applyFont="1" applyFill="1" applyBorder="1" applyAlignment="1" applyProtection="1">
      <alignment horizontal="left" vertical="center" wrapText="1"/>
    </xf>
    <xf numFmtId="197" fontId="73" fillId="0" borderId="1" xfId="2856" applyNumberFormat="1" applyFont="1" applyBorder="1" applyAlignment="1">
      <alignment vertical="center"/>
    </xf>
    <xf numFmtId="0" fontId="8" fillId="0" borderId="1" xfId="2856" applyFont="1" applyBorder="1" applyAlignment="1">
      <alignment vertical="center"/>
    </xf>
    <xf numFmtId="198" fontId="8" fillId="0" borderId="1" xfId="2856" applyNumberFormat="1" applyFont="1" applyBorder="1" applyAlignment="1">
      <alignment vertical="center"/>
    </xf>
    <xf numFmtId="196" fontId="8" fillId="2" borderId="1" xfId="2856" applyNumberFormat="1" applyFont="1" applyFill="1" applyBorder="1" applyAlignment="1" applyProtection="1">
      <alignment horizontal="right" vertical="center"/>
    </xf>
    <xf numFmtId="196" fontId="8" fillId="2" borderId="27" xfId="2856" applyNumberFormat="1" applyFont="1" applyFill="1" applyBorder="1" applyAlignment="1" applyProtection="1">
      <alignment horizontal="right" vertical="center"/>
    </xf>
    <xf numFmtId="196" fontId="8" fillId="2" borderId="1" xfId="2856" applyNumberFormat="1" applyFont="1" applyFill="1" applyBorder="1" applyAlignment="1">
      <alignment vertical="center"/>
    </xf>
    <xf numFmtId="197" fontId="8" fillId="2" borderId="1" xfId="2856" applyNumberFormat="1" applyFont="1" applyFill="1" applyBorder="1" applyAlignment="1">
      <alignment vertical="center"/>
    </xf>
    <xf numFmtId="193" fontId="8" fillId="55" borderId="17" xfId="2856" applyNumberFormat="1" applyFont="1" applyFill="1" applyBorder="1" applyAlignment="1" applyProtection="1">
      <alignment horizontal="right" vertical="center"/>
    </xf>
    <xf numFmtId="193" fontId="8" fillId="55" borderId="1" xfId="2856" applyNumberFormat="1" applyFont="1" applyFill="1" applyBorder="1" applyAlignment="1" applyProtection="1">
      <alignment horizontal="right" vertical="center"/>
    </xf>
    <xf numFmtId="193" fontId="8" fillId="56" borderId="17" xfId="2856" applyNumberFormat="1" applyFont="1" applyFill="1" applyBorder="1" applyAlignment="1" applyProtection="1">
      <alignment horizontal="right" vertical="center"/>
    </xf>
    <xf numFmtId="193" fontId="8" fillId="56" borderId="1" xfId="2856" applyNumberFormat="1" applyFont="1" applyFill="1" applyBorder="1" applyAlignment="1" applyProtection="1">
      <alignment horizontal="right" vertical="center"/>
    </xf>
    <xf numFmtId="3" fontId="8" fillId="51" borderId="17" xfId="2856" applyNumberFormat="1" applyFont="1" applyFill="1" applyBorder="1" applyAlignment="1" applyProtection="1">
      <alignment horizontal="right" vertical="center"/>
    </xf>
    <xf numFmtId="197" fontId="8" fillId="55" borderId="1" xfId="2856" applyNumberFormat="1" applyFont="1" applyFill="1" applyBorder="1" applyAlignment="1" applyProtection="1">
      <alignment horizontal="right" vertical="center"/>
    </xf>
    <xf numFmtId="197" fontId="8" fillId="56" borderId="1" xfId="2856" applyNumberFormat="1" applyFont="1" applyFill="1" applyBorder="1" applyAlignment="1" applyProtection="1">
      <alignment horizontal="right" vertical="center"/>
    </xf>
    <xf numFmtId="197" fontId="8" fillId="51" borderId="1" xfId="2856" applyNumberFormat="1" applyFont="1" applyFill="1" applyBorder="1" applyAlignment="1" applyProtection="1">
      <alignment horizontal="right" vertical="center"/>
    </xf>
    <xf numFmtId="198" fontId="73" fillId="0" borderId="1" xfId="2856" applyNumberFormat="1" applyFont="1" applyBorder="1" applyAlignment="1">
      <alignment vertical="center"/>
    </xf>
    <xf numFmtId="0" fontId="8" fillId="0" borderId="1" xfId="2856" applyFont="1" applyBorder="1" applyAlignment="1">
      <alignment horizontal="right" vertical="center"/>
    </xf>
    <xf numFmtId="198" fontId="8" fillId="0" borderId="1" xfId="2856" applyNumberFormat="1" applyFont="1" applyBorder="1" applyAlignment="1">
      <alignment horizontal="right" vertical="center"/>
    </xf>
    <xf numFmtId="0" fontId="6" fillId="0" borderId="1" xfId="4982" applyFont="1" applyBorder="1" applyAlignment="1">
      <alignment horizontal="right" vertical="center"/>
    </xf>
    <xf numFmtId="197" fontId="6" fillId="0" borderId="1" xfId="4982" applyNumberFormat="1" applyFont="1" applyBorder="1" applyAlignment="1">
      <alignment horizontal="right"/>
    </xf>
    <xf numFmtId="197" fontId="6" fillId="0" borderId="1" xfId="4982" applyNumberFormat="1" applyFont="1" applyBorder="1" applyAlignment="1">
      <alignment horizontal="right" vertical="center"/>
    </xf>
    <xf numFmtId="1" fontId="57" fillId="0" borderId="1" xfId="1530" applyNumberFormat="1" applyFont="1" applyBorder="1" applyAlignment="1">
      <alignment horizontal="right" vertical="center"/>
    </xf>
    <xf numFmtId="192" fontId="57" fillId="0" borderId="1" xfId="1530" applyNumberFormat="1" applyFont="1" applyBorder="1" applyAlignment="1">
      <alignment horizontal="right" vertical="center"/>
    </xf>
    <xf numFmtId="0" fontId="6" fillId="0" borderId="1" xfId="1526" applyFont="1" applyBorder="1" applyAlignment="1">
      <alignment horizontal="right" vertical="center"/>
    </xf>
    <xf numFmtId="192" fontId="6" fillId="0" borderId="1" xfId="1526" applyNumberFormat="1" applyFont="1" applyBorder="1" applyAlignment="1">
      <alignment horizontal="right" vertical="center"/>
    </xf>
    <xf numFmtId="1" fontId="59" fillId="0" borderId="1" xfId="1530" applyNumberFormat="1" applyFont="1" applyBorder="1" applyAlignment="1">
      <alignment horizontal="right" vertical="center"/>
    </xf>
    <xf numFmtId="192" fontId="59" fillId="0" borderId="1" xfId="1530" applyNumberFormat="1" applyFont="1" applyBorder="1" applyAlignment="1">
      <alignment horizontal="right" vertical="center"/>
    </xf>
    <xf numFmtId="1" fontId="10" fillId="0" borderId="1" xfId="1526" applyNumberFormat="1" applyFont="1" applyBorder="1" applyAlignment="1">
      <alignment horizontal="right" vertical="center"/>
    </xf>
    <xf numFmtId="0" fontId="10" fillId="0" borderId="1" xfId="1526" applyFont="1" applyBorder="1" applyAlignment="1">
      <alignment horizontal="right" vertical="center"/>
    </xf>
    <xf numFmtId="4" fontId="0" fillId="0" borderId="1" xfId="0" applyNumberFormat="1" applyFill="1" applyBorder="1" applyAlignment="1">
      <alignment horizontal="right" vertical="center" wrapText="1"/>
    </xf>
    <xf numFmtId="0" fontId="58" fillId="0" borderId="1" xfId="2817" applyFont="1" applyBorder="1" applyAlignment="1">
      <alignment horizontal="left" vertical="center" wrapText="1"/>
    </xf>
    <xf numFmtId="193" fontId="58" fillId="0" borderId="1" xfId="2817" applyNumberFormat="1" applyFont="1" applyBorder="1" applyAlignment="1">
      <alignment horizontal="right" wrapText="1"/>
    </xf>
    <xf numFmtId="0" fontId="95" fillId="0" borderId="1" xfId="0" applyFont="1" applyBorder="1" applyAlignment="1">
      <alignment horizontal="right" vertical="center"/>
    </xf>
    <xf numFmtId="0" fontId="58" fillId="0" borderId="1" xfId="0" applyFont="1" applyBorder="1" applyAlignment="1">
      <alignment horizontal="right" vertical="center"/>
    </xf>
    <xf numFmtId="198" fontId="6" fillId="0" borderId="1" xfId="4982" applyNumberFormat="1" applyFont="1" applyBorder="1" applyAlignment="1">
      <alignment horizontal="right"/>
    </xf>
    <xf numFmtId="0" fontId="2" fillId="0" borderId="1" xfId="0" applyFont="1" applyBorder="1" applyAlignment="1">
      <alignment vertical="center"/>
    </xf>
    <xf numFmtId="191" fontId="58" fillId="0" borderId="1" xfId="2852" applyNumberFormat="1" applyFont="1" applyBorder="1">
      <alignment vertical="center"/>
    </xf>
    <xf numFmtId="191" fontId="2" fillId="0" borderId="1" xfId="0" applyNumberFormat="1" applyFont="1" applyBorder="1">
      <alignment vertical="center"/>
    </xf>
    <xf numFmtId="195" fontId="58" fillId="0" borderId="1" xfId="2852" applyNumberFormat="1" applyFont="1" applyBorder="1">
      <alignment vertical="center"/>
    </xf>
    <xf numFmtId="195" fontId="2" fillId="0" borderId="1" xfId="0" applyNumberFormat="1" applyFont="1" applyFill="1" applyBorder="1" applyAlignment="1">
      <alignment horizontal="right" vertical="center"/>
    </xf>
    <xf numFmtId="0" fontId="0" fillId="0" borderId="23" xfId="0" applyBorder="1" applyAlignment="1"/>
    <xf numFmtId="0" fontId="0" fillId="0" borderId="23" xfId="0" applyBorder="1" applyAlignment="1">
      <alignment horizontal="right"/>
    </xf>
    <xf numFmtId="0" fontId="0" fillId="0" borderId="1" xfId="0" applyBorder="1" applyAlignment="1"/>
    <xf numFmtId="0" fontId="2" fillId="0" borderId="23" xfId="0" applyFont="1" applyBorder="1" applyAlignment="1"/>
    <xf numFmtId="0" fontId="2" fillId="0" borderId="23" xfId="0" applyFont="1" applyBorder="1" applyAlignment="1">
      <alignment horizontal="right"/>
    </xf>
    <xf numFmtId="0" fontId="2" fillId="0" borderId="1" xfId="0" applyFont="1" applyBorder="1" applyAlignment="1"/>
    <xf numFmtId="0" fontId="100" fillId="50" borderId="0" xfId="0" applyFont="1" applyFill="1" applyAlignment="1">
      <alignment horizontal="center" vertical="center"/>
    </xf>
    <xf numFmtId="0" fontId="8" fillId="0" borderId="0" xfId="194" applyFont="1">
      <alignment vertical="center"/>
    </xf>
    <xf numFmtId="194" fontId="8" fillId="0" borderId="0" xfId="194" applyNumberFormat="1" applyFont="1">
      <alignment vertical="center"/>
    </xf>
    <xf numFmtId="0" fontId="8" fillId="0" borderId="0" xfId="194" applyFont="1" applyAlignment="1">
      <alignment vertical="center" wrapText="1"/>
    </xf>
    <xf numFmtId="0" fontId="73" fillId="0" borderId="0" xfId="194" applyFont="1" applyAlignment="1">
      <alignment horizontal="center" vertical="center"/>
    </xf>
    <xf numFmtId="194" fontId="73" fillId="0" borderId="1" xfId="194" applyNumberFormat="1" applyFont="1" applyBorder="1">
      <alignment vertical="center"/>
    </xf>
    <xf numFmtId="0" fontId="73" fillId="0" borderId="1" xfId="194" applyFont="1" applyBorder="1" applyAlignment="1">
      <alignment horizontal="center" vertical="center"/>
    </xf>
    <xf numFmtId="0" fontId="73" fillId="0" borderId="1" xfId="194" applyFont="1" applyBorder="1" applyAlignment="1">
      <alignment horizontal="center" vertical="center" wrapText="1"/>
    </xf>
    <xf numFmtId="194" fontId="8" fillId="0" borderId="1" xfId="194" applyNumberFormat="1" applyFont="1" applyBorder="1">
      <alignment vertical="center"/>
    </xf>
    <xf numFmtId="0" fontId="8" fillId="0" borderId="1" xfId="194" applyFont="1" applyBorder="1">
      <alignment vertical="center"/>
    </xf>
    <xf numFmtId="0" fontId="8" fillId="0" borderId="1" xfId="194" applyFont="1" applyBorder="1" applyAlignment="1">
      <alignment vertical="center" wrapText="1"/>
    </xf>
    <xf numFmtId="0" fontId="73" fillId="0" borderId="0" xfId="194" applyFont="1">
      <alignment vertical="center"/>
    </xf>
    <xf numFmtId="0" fontId="73" fillId="0" borderId="1" xfId="194" applyFont="1" applyBorder="1">
      <alignment vertical="center"/>
    </xf>
    <xf numFmtId="0" fontId="73" fillId="0" borderId="1" xfId="194" applyFont="1" applyBorder="1" applyAlignment="1">
      <alignment vertical="center" wrapText="1"/>
    </xf>
    <xf numFmtId="194" fontId="73" fillId="0" borderId="1" xfId="194" applyNumberFormat="1" applyFont="1" applyBorder="1" applyAlignment="1">
      <alignment horizontal="center" vertical="center" wrapText="1"/>
    </xf>
    <xf numFmtId="194" fontId="7" fillId="0" borderId="0" xfId="194" applyNumberFormat="1" applyFont="1">
      <alignment vertical="center"/>
    </xf>
    <xf numFmtId="0" fontId="2" fillId="0" borderId="0" xfId="194" applyFont="1" applyAlignment="1">
      <alignment vertical="center" wrapText="1"/>
    </xf>
    <xf numFmtId="0" fontId="91" fillId="0" borderId="0" xfId="1837" applyFont="1" applyAlignment="1">
      <alignment horizontal="center" vertical="top" wrapText="1"/>
    </xf>
    <xf numFmtId="0" fontId="91" fillId="0" borderId="0" xfId="1837" applyFont="1" applyAlignment="1">
      <alignment horizontal="center" vertical="top"/>
    </xf>
    <xf numFmtId="0" fontId="12" fillId="0" borderId="0" xfId="1837" applyFont="1" applyAlignment="1">
      <alignment horizontal="center" vertical="center"/>
    </xf>
    <xf numFmtId="0" fontId="97" fillId="0" borderId="0" xfId="1837" applyFont="1" applyFill="1" applyAlignment="1">
      <alignment horizontal="left" vertical="center"/>
    </xf>
    <xf numFmtId="0" fontId="99" fillId="0" borderId="0" xfId="2393" applyFont="1" applyFill="1" applyAlignment="1">
      <alignment horizontal="center"/>
    </xf>
    <xf numFmtId="0" fontId="3" fillId="0" borderId="0" xfId="0" applyFont="1" applyAlignment="1">
      <alignment horizontal="left" vertical="center"/>
    </xf>
    <xf numFmtId="0" fontId="55" fillId="0" borderId="0" xfId="2393" applyFont="1" applyFill="1" applyAlignment="1">
      <alignment horizontal="center"/>
    </xf>
    <xf numFmtId="0" fontId="111" fillId="0" borderId="0" xfId="194" applyFont="1" applyAlignment="1">
      <alignment horizontal="center" vertical="center"/>
    </xf>
    <xf numFmtId="0" fontId="92" fillId="0" borderId="0" xfId="1530" applyFont="1" applyAlignment="1">
      <alignment horizontal="center" vertical="center"/>
    </xf>
    <xf numFmtId="0" fontId="92" fillId="0" borderId="0" xfId="1526" applyFont="1" applyAlignment="1">
      <alignment horizontal="center" vertical="center"/>
    </xf>
    <xf numFmtId="0" fontId="99" fillId="0" borderId="0" xfId="2852" applyFont="1" applyAlignment="1">
      <alignment horizontal="center" vertical="center"/>
    </xf>
    <xf numFmtId="0" fontId="10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8" fillId="0" borderId="0" xfId="0" applyFont="1" applyAlignment="1">
      <alignment horizontal="left" vertical="center" wrapText="1"/>
    </xf>
    <xf numFmtId="0" fontId="94" fillId="0" borderId="0" xfId="1502" applyFont="1" applyAlignment="1">
      <alignment horizontal="center" vertical="center"/>
    </xf>
    <xf numFmtId="0" fontId="83" fillId="0" borderId="0" xfId="1502" applyFont="1" applyAlignment="1">
      <alignment horizontal="center" vertical="center"/>
    </xf>
    <xf numFmtId="0" fontId="71" fillId="0" borderId="0" xfId="1502" applyFont="1" applyAlignment="1">
      <alignment horizontal="center" vertical="center"/>
    </xf>
    <xf numFmtId="0" fontId="99" fillId="0" borderId="0" xfId="2835" applyFont="1" applyAlignment="1">
      <alignment horizontal="center" vertical="center"/>
    </xf>
    <xf numFmtId="0" fontId="92" fillId="0" borderId="0" xfId="1523" applyNumberFormat="1" applyFont="1" applyFill="1" applyBorder="1" applyAlignment="1" applyProtection="1">
      <alignment horizontal="center" vertical="center"/>
    </xf>
    <xf numFmtId="0" fontId="94" fillId="0" borderId="0" xfId="0" applyFont="1" applyBorder="1" applyAlignment="1">
      <alignment horizontal="center" vertical="center"/>
    </xf>
    <xf numFmtId="0" fontId="64" fillId="0" borderId="1" xfId="2393" applyFont="1" applyFill="1" applyBorder="1" applyAlignment="1">
      <alignment horizontal="center" vertical="center" wrapText="1"/>
    </xf>
    <xf numFmtId="0" fontId="6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04" fillId="0" borderId="1" xfId="0" applyFont="1" applyBorder="1" applyAlignment="1">
      <alignment horizontal="left" vertical="center"/>
    </xf>
    <xf numFmtId="0" fontId="100" fillId="50" borderId="0" xfId="0" applyFont="1" applyFill="1" applyAlignment="1">
      <alignment horizontal="center" vertical="center"/>
    </xf>
    <xf numFmtId="0" fontId="105" fillId="0" borderId="17" xfId="0" applyFont="1" applyBorder="1" applyAlignment="1">
      <alignment horizontal="left" vertical="center"/>
    </xf>
    <xf numFmtId="0" fontId="105" fillId="0" borderId="2" xfId="0" applyFont="1" applyBorder="1" applyAlignment="1">
      <alignment horizontal="left" vertical="center"/>
    </xf>
    <xf numFmtId="0" fontId="105" fillId="0" borderId="20" xfId="0" applyFont="1" applyBorder="1" applyAlignment="1">
      <alignment horizontal="left" vertical="center"/>
    </xf>
    <xf numFmtId="0" fontId="12" fillId="0" borderId="0" xfId="2856" applyFont="1" applyAlignment="1">
      <alignment horizontal="center" vertical="center"/>
    </xf>
    <xf numFmtId="0" fontId="12" fillId="2" borderId="0" xfId="2856" applyFont="1" applyFill="1" applyAlignment="1">
      <alignment horizontal="center" vertical="center"/>
    </xf>
    <xf numFmtId="0" fontId="12" fillId="0" borderId="0" xfId="2856" applyFont="1" applyAlignment="1">
      <alignment horizontal="center" vertical="center" wrapText="1"/>
    </xf>
    <xf numFmtId="0" fontId="110" fillId="0" borderId="0" xfId="4982" applyFont="1" applyBorder="1" applyAlignment="1">
      <alignment horizontal="center" vertical="center"/>
    </xf>
    <xf numFmtId="0" fontId="6" fillId="0" borderId="25" xfId="4982" applyFont="1" applyBorder="1" applyAlignment="1">
      <alignment horizontal="left" vertical="center" wrapText="1"/>
    </xf>
    <xf numFmtId="0" fontId="6" fillId="0" borderId="25" xfId="4982" applyBorder="1" applyAlignment="1">
      <alignment horizontal="left" vertical="center" wrapText="1"/>
    </xf>
    <xf numFmtId="0" fontId="11" fillId="0" borderId="0" xfId="2856" applyFont="1" applyAlignment="1">
      <alignment horizontal="center" vertical="center"/>
    </xf>
    <xf numFmtId="0" fontId="65" fillId="0" borderId="0" xfId="4085" applyNumberFormat="1" applyFont="1" applyFill="1" applyBorder="1" applyAlignment="1" applyProtection="1">
      <alignment horizontal="left" vertical="center" wrapText="1"/>
    </xf>
  </cellXfs>
  <cellStyles count="5432">
    <cellStyle name="?鹎%U龡&amp;H齲_x0001_C铣_x0014__x0007__x0001__x0001_" xfId="28"/>
    <cellStyle name="?鹎%U龡&amp;H齲_x0001_C铣_x0014__x0007__x0001__x0001_ 2" xfId="3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56"/>
    <cellStyle name="?鹎%U龡&amp;H齲_x0001_C铣_x0014__x0007__x0001__x0001_ 2 2 11" xfId="44"/>
    <cellStyle name="?鹎%U龡&amp;H齲_x0001_C铣_x0014__x0007__x0001__x0001_ 2 2 11 2" xfId="2857"/>
    <cellStyle name="?鹎%U龡&amp;H齲_x0001_C铣_x0014__x0007__x0001__x0001_ 2 2 12" xfId="2855"/>
    <cellStyle name="?鹎%U龡&amp;H齲_x0001_C铣_x0014__x0007__x0001__x0001_ 2 2 2" xfId="51"/>
    <cellStyle name="?鹎%U龡&amp;H齲_x0001_C铣_x0014__x0007__x0001__x0001_ 2 2 2 10" xfId="2858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61"/>
    <cellStyle name="?鹎%U龡&amp;H齲_x0001_C铣_x0014__x0007__x0001__x0001_ 2 2 2 2 2 3" xfId="67"/>
    <cellStyle name="?鹎%U龡&amp;H齲_x0001_C铣_x0014__x0007__x0001__x0001_ 2 2 2 2 2 3 2" xfId="2862"/>
    <cellStyle name="?鹎%U龡&amp;H齲_x0001_C铣_x0014__x0007__x0001__x0001_ 2 2 2 2 2 4" xfId="72"/>
    <cellStyle name="?鹎%U龡&amp;H齲_x0001_C铣_x0014__x0007__x0001__x0001_ 2 2 2 2 2 4 2" xfId="2863"/>
    <cellStyle name="?鹎%U龡&amp;H齲_x0001_C铣_x0014__x0007__x0001__x0001_ 2 2 2 2 2 5" xfId="2860"/>
    <cellStyle name="?鹎%U龡&amp;H齲_x0001_C铣_x0014__x0007__x0001__x0001_ 2 2 2 2 2_2015财政决算公开" xfId="2864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66"/>
    <cellStyle name="?鹎%U龡&amp;H齲_x0001_C铣_x0014__x0007__x0001__x0001_ 2 2 2 2 3 3" xfId="89"/>
    <cellStyle name="?鹎%U龡&amp;H齲_x0001_C铣_x0014__x0007__x0001__x0001_ 2 2 2 2 3 3 2" xfId="2867"/>
    <cellStyle name="?鹎%U龡&amp;H齲_x0001_C铣_x0014__x0007__x0001__x0001_ 2 2 2 2 3 4" xfId="2865"/>
    <cellStyle name="?鹎%U龡&amp;H齲_x0001_C铣_x0014__x0007__x0001__x0001_ 2 2 2 2 3_2015财政决算公开" xfId="2868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70"/>
    <cellStyle name="?鹎%U龡&amp;H齲_x0001_C铣_x0014__x0007__x0001__x0001_ 2 2 2 2 4 3" xfId="94"/>
    <cellStyle name="?鹎%U龡&amp;H齲_x0001_C铣_x0014__x0007__x0001__x0001_ 2 2 2 2 4 3 2" xfId="2871"/>
    <cellStyle name="?鹎%U龡&amp;H齲_x0001_C铣_x0014__x0007__x0001__x0001_ 2 2 2 2 4 4" xfId="98"/>
    <cellStyle name="?鹎%U龡&amp;H齲_x0001_C铣_x0014__x0007__x0001__x0001_ 2 2 2 2 4 4 2" xfId="2872"/>
    <cellStyle name="?鹎%U龡&amp;H齲_x0001_C铣_x0014__x0007__x0001__x0001_ 2 2 2 2 4 5" xfId="2869"/>
    <cellStyle name="?鹎%U龡&amp;H齲_x0001_C铣_x0014__x0007__x0001__x0001_ 2 2 2 2 4_2015财政决算公开" xfId="2873"/>
    <cellStyle name="?鹎%U龡&amp;H齲_x0001_C铣_x0014__x0007__x0001__x0001_ 2 2 2 2 5" xfId="103"/>
    <cellStyle name="?鹎%U龡&amp;H齲_x0001_C铣_x0014__x0007__x0001__x0001_ 2 2 2 2 5 2" xfId="2874"/>
    <cellStyle name="?鹎%U龡&amp;H齲_x0001_C铣_x0014__x0007__x0001__x0001_ 2 2 2 2 6" xfId="27"/>
    <cellStyle name="?鹎%U龡&amp;H齲_x0001_C铣_x0014__x0007__x0001__x0001_ 2 2 2 2 6 2" xfId="2875"/>
    <cellStyle name="?鹎%U龡&amp;H齲_x0001_C铣_x0014__x0007__x0001__x0001_ 2 2 2 2 7" xfId="105"/>
    <cellStyle name="?鹎%U龡&amp;H齲_x0001_C铣_x0014__x0007__x0001__x0001_ 2 2 2 2 7 2" xfId="2876"/>
    <cellStyle name="?鹎%U龡&amp;H齲_x0001_C铣_x0014__x0007__x0001__x0001_ 2 2 2 2 8" xfId="2859"/>
    <cellStyle name="?鹎%U龡&amp;H齲_x0001_C铣_x0014__x0007__x0001__x0001_ 2 2 2 2_2015财政决算公开" xfId="2877"/>
    <cellStyle name="?鹎%U龡&amp;H齲_x0001_C铣_x0014__x0007__x0001__x0001_ 2 2 2 3" xfId="106"/>
    <cellStyle name="?鹎%U龡&amp;H齲_x0001_C铣_x0014__x0007__x0001__x0001_ 2 2 2 3 2" xfId="108"/>
    <cellStyle name="?鹎%U龡&amp;H齲_x0001_C铣_x0014__x0007__x0001__x0001_ 2 2 2 3 2 2" xfId="2879"/>
    <cellStyle name="?鹎%U龡&amp;H齲_x0001_C铣_x0014__x0007__x0001__x0001_ 2 2 2 3 3" xfId="111"/>
    <cellStyle name="?鹎%U龡&amp;H齲_x0001_C铣_x0014__x0007__x0001__x0001_ 2 2 2 3 3 2" xfId="2880"/>
    <cellStyle name="?鹎%U龡&amp;H齲_x0001_C铣_x0014__x0007__x0001__x0001_ 2 2 2 3 4" xfId="113"/>
    <cellStyle name="?鹎%U龡&amp;H齲_x0001_C铣_x0014__x0007__x0001__x0001_ 2 2 2 3 4 2" xfId="2881"/>
    <cellStyle name="?鹎%U龡&amp;H齲_x0001_C铣_x0014__x0007__x0001__x0001_ 2 2 2 3 5" xfId="2878"/>
    <cellStyle name="?鹎%U龡&amp;H齲_x0001_C铣_x0014__x0007__x0001__x0001_ 2 2 2 3_2015财政决算公开" xfId="2882"/>
    <cellStyle name="?鹎%U龡&amp;H齲_x0001_C铣_x0014__x0007__x0001__x0001_ 2 2 2 4" xfId="114"/>
    <cellStyle name="?鹎%U龡&amp;H齲_x0001_C铣_x0014__x0007__x0001__x0001_ 2 2 2 4 2" xfId="19"/>
    <cellStyle name="?鹎%U龡&amp;H齲_x0001_C铣_x0014__x0007__x0001__x0001_ 2 2 2 4 2 2" xfId="2884"/>
    <cellStyle name="?鹎%U龡&amp;H齲_x0001_C铣_x0014__x0007__x0001__x0001_ 2 2 2 4 3" xfId="119"/>
    <cellStyle name="?鹎%U龡&amp;H齲_x0001_C铣_x0014__x0007__x0001__x0001_ 2 2 2 4 3 2" xfId="2885"/>
    <cellStyle name="?鹎%U龡&amp;H齲_x0001_C铣_x0014__x0007__x0001__x0001_ 2 2 2 4 4" xfId="120"/>
    <cellStyle name="?鹎%U龡&amp;H齲_x0001_C铣_x0014__x0007__x0001__x0001_ 2 2 2 4 4 2" xfId="2886"/>
    <cellStyle name="?鹎%U龡&amp;H齲_x0001_C铣_x0014__x0007__x0001__x0001_ 2 2 2 4 5" xfId="2883"/>
    <cellStyle name="?鹎%U龡&amp;H齲_x0001_C铣_x0014__x0007__x0001__x0001_ 2 2 2 4_2015财政决算公开" xfId="2887"/>
    <cellStyle name="?鹎%U龡&amp;H齲_x0001_C铣_x0014__x0007__x0001__x0001_ 2 2 2 5" xfId="121"/>
    <cellStyle name="?鹎%U龡&amp;H齲_x0001_C铣_x0014__x0007__x0001__x0001_ 2 2 2 5 2" xfId="62"/>
    <cellStyle name="?鹎%U龡&amp;H齲_x0001_C铣_x0014__x0007__x0001__x0001_ 2 2 2 5 2 2" xfId="2889"/>
    <cellStyle name="?鹎%U龡&amp;H齲_x0001_C铣_x0014__x0007__x0001__x0001_ 2 2 2 5 3" xfId="68"/>
    <cellStyle name="?鹎%U龡&amp;H齲_x0001_C铣_x0014__x0007__x0001__x0001_ 2 2 2 5 3 2" xfId="2890"/>
    <cellStyle name="?鹎%U龡&amp;H齲_x0001_C铣_x0014__x0007__x0001__x0001_ 2 2 2 5 4" xfId="2888"/>
    <cellStyle name="?鹎%U龡&amp;H齲_x0001_C铣_x0014__x0007__x0001__x0001_ 2 2 2 5_2015财政决算公开" xfId="2891"/>
    <cellStyle name="?鹎%U龡&amp;H齲_x0001_C铣_x0014__x0007__x0001__x0001_ 2 2 2 6" xfId="124"/>
    <cellStyle name="?鹎%U龡&amp;H齲_x0001_C铣_x0014__x0007__x0001__x0001_ 2 2 2 6 2" xfId="84"/>
    <cellStyle name="?鹎%U龡&amp;H齲_x0001_C铣_x0014__x0007__x0001__x0001_ 2 2 2 6 2 2" xfId="2893"/>
    <cellStyle name="?鹎%U龡&amp;H齲_x0001_C铣_x0014__x0007__x0001__x0001_ 2 2 2 6 3" xfId="126"/>
    <cellStyle name="?鹎%U龡&amp;H齲_x0001_C铣_x0014__x0007__x0001__x0001_ 2 2 2 6 3 2" xfId="2894"/>
    <cellStyle name="?鹎%U龡&amp;H齲_x0001_C铣_x0014__x0007__x0001__x0001_ 2 2 2 6 4" xfId="52"/>
    <cellStyle name="?鹎%U龡&amp;H齲_x0001_C铣_x0014__x0007__x0001__x0001_ 2 2 2 6 4 2" xfId="2895"/>
    <cellStyle name="?鹎%U龡&amp;H齲_x0001_C铣_x0014__x0007__x0001__x0001_ 2 2 2 6 5" xfId="2892"/>
    <cellStyle name="?鹎%U龡&amp;H齲_x0001_C铣_x0014__x0007__x0001__x0001_ 2 2 2 6_2015财政决算公开" xfId="2896"/>
    <cellStyle name="?鹎%U龡&amp;H齲_x0001_C铣_x0014__x0007__x0001__x0001_ 2 2 2 7" xfId="30"/>
    <cellStyle name="?鹎%U龡&amp;H齲_x0001_C铣_x0014__x0007__x0001__x0001_ 2 2 2 7 2" xfId="2897"/>
    <cellStyle name="?鹎%U龡&amp;H齲_x0001_C铣_x0014__x0007__x0001__x0001_ 2 2 2 8" xfId="38"/>
    <cellStyle name="?鹎%U龡&amp;H齲_x0001_C铣_x0014__x0007__x0001__x0001_ 2 2 2 8 2" xfId="2898"/>
    <cellStyle name="?鹎%U龡&amp;H齲_x0001_C铣_x0014__x0007__x0001__x0001_ 2 2 2 9" xfId="129"/>
    <cellStyle name="?鹎%U龡&amp;H齲_x0001_C铣_x0014__x0007__x0001__x0001_ 2 2 2 9 2" xfId="2899"/>
    <cellStyle name="?鹎%U龡&amp;H齲_x0001_C铣_x0014__x0007__x0001__x0001_ 2 2 2_2015财政决算公开" xfId="2900"/>
    <cellStyle name="?鹎%U龡&amp;H齲_x0001_C铣_x0014__x0007__x0001__x0001_ 2 2 3" xfId="92"/>
    <cellStyle name="?鹎%U龡&amp;H齲_x0001_C铣_x0014__x0007__x0001__x0001_ 2 2 3 2" xfId="132"/>
    <cellStyle name="?鹎%U龡&amp;H齲_x0001_C铣_x0014__x0007__x0001__x0001_ 2 2 3 2 2" xfId="133"/>
    <cellStyle name="?鹎%U龡&amp;H齲_x0001_C铣_x0014__x0007__x0001__x0001_ 2 2 3 2 2 2" xfId="2903"/>
    <cellStyle name="?鹎%U龡&amp;H齲_x0001_C铣_x0014__x0007__x0001__x0001_ 2 2 3 2 3" xfId="18"/>
    <cellStyle name="?鹎%U龡&amp;H齲_x0001_C铣_x0014__x0007__x0001__x0001_ 2 2 3 2 3 2" xfId="2904"/>
    <cellStyle name="?鹎%U龡&amp;H齲_x0001_C铣_x0014__x0007__x0001__x0001_ 2 2 3 2 4" xfId="118"/>
    <cellStyle name="?鹎%U龡&amp;H齲_x0001_C铣_x0014__x0007__x0001__x0001_ 2 2 3 2 4 2" xfId="2905"/>
    <cellStyle name="?鹎%U龡&amp;H齲_x0001_C铣_x0014__x0007__x0001__x0001_ 2 2 3 2 5" xfId="2902"/>
    <cellStyle name="?鹎%U龡&amp;H齲_x0001_C铣_x0014__x0007__x0001__x0001_ 2 2 3 2_2015财政决算公开" xfId="2906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908"/>
    <cellStyle name="?鹎%U龡&amp;H齲_x0001_C铣_x0014__x0007__x0001__x0001_ 2 2 3 3 3" xfId="61"/>
    <cellStyle name="?鹎%U龡&amp;H齲_x0001_C铣_x0014__x0007__x0001__x0001_ 2 2 3 3 3 2" xfId="2909"/>
    <cellStyle name="?鹎%U龡&amp;H齲_x0001_C铣_x0014__x0007__x0001__x0001_ 2 2 3 3 4" xfId="2907"/>
    <cellStyle name="?鹎%U龡&amp;H齲_x0001_C铣_x0014__x0007__x0001__x0001_ 2 2 3 3_2015财政决算公开" xfId="2910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912"/>
    <cellStyle name="?鹎%U龡&amp;H齲_x0001_C铣_x0014__x0007__x0001__x0001_ 2 2 3 4 3" xfId="83"/>
    <cellStyle name="?鹎%U龡&amp;H齲_x0001_C铣_x0014__x0007__x0001__x0001_ 2 2 3 4 3 2" xfId="2913"/>
    <cellStyle name="?鹎%U龡&amp;H齲_x0001_C铣_x0014__x0007__x0001__x0001_ 2 2 3 4 4" xfId="125"/>
    <cellStyle name="?鹎%U龡&amp;H齲_x0001_C铣_x0014__x0007__x0001__x0001_ 2 2 3 4 4 2" xfId="2914"/>
    <cellStyle name="?鹎%U龡&amp;H齲_x0001_C铣_x0014__x0007__x0001__x0001_ 2 2 3 4 5" xfId="2911"/>
    <cellStyle name="?鹎%U龡&amp;H齲_x0001_C铣_x0014__x0007__x0001__x0001_ 2 2 3 4_2015财政决算公开" xfId="2915"/>
    <cellStyle name="?鹎%U龡&amp;H齲_x0001_C铣_x0014__x0007__x0001__x0001_ 2 2 3 5" xfId="9"/>
    <cellStyle name="?鹎%U龡&amp;H齲_x0001_C铣_x0014__x0007__x0001__x0001_ 2 2 3 5 2" xfId="2916"/>
    <cellStyle name="?鹎%U龡&amp;H齲_x0001_C铣_x0014__x0007__x0001__x0001_ 2 2 3 6" xfId="101"/>
    <cellStyle name="?鹎%U龡&amp;H齲_x0001_C铣_x0014__x0007__x0001__x0001_ 2 2 3 6 2" xfId="2917"/>
    <cellStyle name="?鹎%U龡&amp;H齲_x0001_C铣_x0014__x0007__x0001__x0001_ 2 2 3 7" xfId="25"/>
    <cellStyle name="?鹎%U龡&amp;H齲_x0001_C铣_x0014__x0007__x0001__x0001_ 2 2 3 7 2" xfId="2918"/>
    <cellStyle name="?鹎%U龡&amp;H齲_x0001_C铣_x0014__x0007__x0001__x0001_ 2 2 3 8" xfId="2901"/>
    <cellStyle name="?鹎%U龡&amp;H齲_x0001_C铣_x0014__x0007__x0001__x0001_ 2 2 3_2015财政决算公开" xfId="2919"/>
    <cellStyle name="?鹎%U龡&amp;H齲_x0001_C铣_x0014__x0007__x0001__x0001_ 2 2 4" xfId="96"/>
    <cellStyle name="?鹎%U龡&amp;H齲_x0001_C铣_x0014__x0007__x0001__x0001_ 2 2 4 2" xfId="4"/>
    <cellStyle name="?鹎%U龡&amp;H齲_x0001_C铣_x0014__x0007__x0001__x0001_ 2 2 4 2 2" xfId="2921"/>
    <cellStyle name="?鹎%U龡&amp;H齲_x0001_C铣_x0014__x0007__x0001__x0001_ 2 2 4 3" xfId="107"/>
    <cellStyle name="?鹎%U龡&amp;H齲_x0001_C铣_x0014__x0007__x0001__x0001_ 2 2 4 3 2" xfId="2922"/>
    <cellStyle name="?鹎%U龡&amp;H齲_x0001_C铣_x0014__x0007__x0001__x0001_ 2 2 4 4" xfId="110"/>
    <cellStyle name="?鹎%U龡&amp;H齲_x0001_C铣_x0014__x0007__x0001__x0001_ 2 2 4 4 2" xfId="2923"/>
    <cellStyle name="?鹎%U龡&amp;H齲_x0001_C铣_x0014__x0007__x0001__x0001_ 2 2 4 5" xfId="2920"/>
    <cellStyle name="?鹎%U龡&amp;H齲_x0001_C铣_x0014__x0007__x0001__x0001_ 2 2 4_2015财政决算公开" xfId="2924"/>
    <cellStyle name="?鹎%U龡&amp;H齲_x0001_C铣_x0014__x0007__x0001__x0001_ 2 2 5" xfId="131"/>
    <cellStyle name="?鹎%U龡&amp;H齲_x0001_C铣_x0014__x0007__x0001__x0001_ 2 2 5 2" xfId="136"/>
    <cellStyle name="?鹎%U龡&amp;H齲_x0001_C铣_x0014__x0007__x0001__x0001_ 2 2 5 2 2" xfId="2926"/>
    <cellStyle name="?鹎%U龡&amp;H齲_x0001_C铣_x0014__x0007__x0001__x0001_ 2 2 5 3" xfId="138"/>
    <cellStyle name="?鹎%U龡&amp;H齲_x0001_C铣_x0014__x0007__x0001__x0001_ 2 2 5 3 2" xfId="2927"/>
    <cellStyle name="?鹎%U龡&amp;H齲_x0001_C铣_x0014__x0007__x0001__x0001_ 2 2 5 4" xfId="139"/>
    <cellStyle name="?鹎%U龡&amp;H齲_x0001_C铣_x0014__x0007__x0001__x0001_ 2 2 5 4 2" xfId="2928"/>
    <cellStyle name="?鹎%U龡&amp;H齲_x0001_C铣_x0014__x0007__x0001__x0001_ 2 2 5 5" xfId="2925"/>
    <cellStyle name="?鹎%U龡&amp;H齲_x0001_C铣_x0014__x0007__x0001__x0001_ 2 2 5_2015财政决算公开" xfId="2929"/>
    <cellStyle name="?鹎%U龡&amp;H齲_x0001_C铣_x0014__x0007__x0001__x0001_ 2 2 6" xfId="141"/>
    <cellStyle name="?鹎%U龡&amp;H齲_x0001_C铣_x0014__x0007__x0001__x0001_ 2 2 6 2" xfId="144"/>
    <cellStyle name="?鹎%U龡&amp;H齲_x0001_C铣_x0014__x0007__x0001__x0001_ 2 2 6 2 2" xfId="2931"/>
    <cellStyle name="?鹎%U龡&amp;H齲_x0001_C铣_x0014__x0007__x0001__x0001_ 2 2 6 3" xfId="146"/>
    <cellStyle name="?鹎%U龡&amp;H齲_x0001_C铣_x0014__x0007__x0001__x0001_ 2 2 6 3 2" xfId="2932"/>
    <cellStyle name="?鹎%U龡&amp;H齲_x0001_C铣_x0014__x0007__x0001__x0001_ 2 2 6 4" xfId="2930"/>
    <cellStyle name="?鹎%U龡&amp;H齲_x0001_C铣_x0014__x0007__x0001__x0001_ 2 2 6_2015财政决算公开" xfId="2933"/>
    <cellStyle name="?鹎%U龡&amp;H齲_x0001_C铣_x0014__x0007__x0001__x0001_ 2 2 7" xfId="151"/>
    <cellStyle name="?鹎%U龡&amp;H齲_x0001_C铣_x0014__x0007__x0001__x0001_ 2 2 7 2" xfId="157"/>
    <cellStyle name="?鹎%U龡&amp;H齲_x0001_C铣_x0014__x0007__x0001__x0001_ 2 2 7 2 2" xfId="2935"/>
    <cellStyle name="?鹎%U龡&amp;H齲_x0001_C铣_x0014__x0007__x0001__x0001_ 2 2 7 3" xfId="160"/>
    <cellStyle name="?鹎%U龡&amp;H齲_x0001_C铣_x0014__x0007__x0001__x0001_ 2 2 7 3 2" xfId="2936"/>
    <cellStyle name="?鹎%U龡&amp;H齲_x0001_C铣_x0014__x0007__x0001__x0001_ 2 2 7 4" xfId="162"/>
    <cellStyle name="?鹎%U龡&amp;H齲_x0001_C铣_x0014__x0007__x0001__x0001_ 2 2 7 4 2" xfId="2937"/>
    <cellStyle name="?鹎%U龡&amp;H齲_x0001_C铣_x0014__x0007__x0001__x0001_ 2 2 7 5" xfId="2934"/>
    <cellStyle name="?鹎%U龡&amp;H齲_x0001_C铣_x0014__x0007__x0001__x0001_ 2 2 7_2015财政决算公开" xfId="2938"/>
    <cellStyle name="?鹎%U龡&amp;H齲_x0001_C铣_x0014__x0007__x0001__x0001_ 2 2 8" xfId="15"/>
    <cellStyle name="?鹎%U龡&amp;H齲_x0001_C铣_x0014__x0007__x0001__x0001_ 2 2 8 2" xfId="2939"/>
    <cellStyle name="?鹎%U龡&amp;H齲_x0001_C铣_x0014__x0007__x0001__x0001_ 2 2 9" xfId="165"/>
    <cellStyle name="?鹎%U龡&amp;H齲_x0001_C铣_x0014__x0007__x0001__x0001_ 2 2 9 2" xfId="2940"/>
    <cellStyle name="?鹎%U龡&amp;H齲_x0001_C铣_x0014__x0007__x0001__x0001_ 2 2_2015财政决算公开" xfId="2941"/>
    <cellStyle name="?鹎%U龡&amp;H齲_x0001_C铣_x0014__x0007__x0001__x0001_ 2 3" xfId="164"/>
    <cellStyle name="?鹎%U龡&amp;H齲_x0001_C铣_x0014__x0007__x0001__x0001_ 2 3 10" xfId="2942"/>
    <cellStyle name="?鹎%U龡&amp;H齲_x0001_C铣_x0014__x0007__x0001__x0001_ 2 3 2" xfId="167"/>
    <cellStyle name="?鹎%U龡&amp;H齲_x0001_C铣_x0014__x0007__x0001__x0001_ 2 3 2 2" xfId="168"/>
    <cellStyle name="?鹎%U龡&amp;H齲_x0001_C铣_x0014__x0007__x0001__x0001_ 2 3 2 2 2" xfId="169"/>
    <cellStyle name="?鹎%U龡&amp;H齲_x0001_C铣_x0014__x0007__x0001__x0001_ 2 3 2 2 2 2" xfId="2945"/>
    <cellStyle name="?鹎%U龡&amp;H齲_x0001_C铣_x0014__x0007__x0001__x0001_ 2 3 2 2 3" xfId="142"/>
    <cellStyle name="?鹎%U龡&amp;H齲_x0001_C铣_x0014__x0007__x0001__x0001_ 2 3 2 2 3 2" xfId="2946"/>
    <cellStyle name="?鹎%U龡&amp;H齲_x0001_C铣_x0014__x0007__x0001__x0001_ 2 3 2 2 4" xfId="145"/>
    <cellStyle name="?鹎%U龡&amp;H齲_x0001_C铣_x0014__x0007__x0001__x0001_ 2 3 2 2 4 2" xfId="2947"/>
    <cellStyle name="?鹎%U龡&amp;H齲_x0001_C铣_x0014__x0007__x0001__x0001_ 2 3 2 2 5" xfId="2944"/>
    <cellStyle name="?鹎%U龡&amp;H齲_x0001_C铣_x0014__x0007__x0001__x0001_ 2 3 2 2_2015财政决算公开" xfId="2948"/>
    <cellStyle name="?鹎%U龡&amp;H齲_x0001_C铣_x0014__x0007__x0001__x0001_ 2 3 2 3" xfId="5"/>
    <cellStyle name="?鹎%U龡&amp;H齲_x0001_C铣_x0014__x0007__x0001__x0001_ 2 3 2 3 2" xfId="171"/>
    <cellStyle name="?鹎%U龡&amp;H齲_x0001_C铣_x0014__x0007__x0001__x0001_ 2 3 2 3 2 2" xfId="2950"/>
    <cellStyle name="?鹎%U龡&amp;H齲_x0001_C铣_x0014__x0007__x0001__x0001_ 2 3 2 3 3" xfId="154"/>
    <cellStyle name="?鹎%U龡&amp;H齲_x0001_C铣_x0014__x0007__x0001__x0001_ 2 3 2 3 3 2" xfId="2951"/>
    <cellStyle name="?鹎%U龡&amp;H齲_x0001_C铣_x0014__x0007__x0001__x0001_ 2 3 2 3 4" xfId="2949"/>
    <cellStyle name="?鹎%U龡&amp;H齲_x0001_C铣_x0014__x0007__x0001__x0001_ 2 3 2 3_2015财政决算公开" xfId="2952"/>
    <cellStyle name="?鹎%U龡&amp;H齲_x0001_C铣_x0014__x0007__x0001__x0001_ 2 3 2 4" xfId="173"/>
    <cellStyle name="?鹎%U龡&amp;H齲_x0001_C铣_x0014__x0007__x0001__x0001_ 2 3 2 4 2" xfId="175"/>
    <cellStyle name="?鹎%U龡&amp;H齲_x0001_C铣_x0014__x0007__x0001__x0001_ 2 3 2 4 2 2" xfId="2954"/>
    <cellStyle name="?鹎%U龡&amp;H齲_x0001_C铣_x0014__x0007__x0001__x0001_ 2 3 2 4 3" xfId="50"/>
    <cellStyle name="?鹎%U龡&amp;H齲_x0001_C铣_x0014__x0007__x0001__x0001_ 2 3 2 4 3 2" xfId="2955"/>
    <cellStyle name="?鹎%U龡&amp;H齲_x0001_C铣_x0014__x0007__x0001__x0001_ 2 3 2 4 4" xfId="91"/>
    <cellStyle name="?鹎%U龡&amp;H齲_x0001_C铣_x0014__x0007__x0001__x0001_ 2 3 2 4 4 2" xfId="2956"/>
    <cellStyle name="?鹎%U龡&amp;H齲_x0001_C铣_x0014__x0007__x0001__x0001_ 2 3 2 4 5" xfId="2953"/>
    <cellStyle name="?鹎%U龡&amp;H齲_x0001_C铣_x0014__x0007__x0001__x0001_ 2 3 2 4_2015财政决算公开" xfId="2957"/>
    <cellStyle name="?鹎%U龡&amp;H齲_x0001_C铣_x0014__x0007__x0001__x0001_ 2 3 2 5" xfId="177"/>
    <cellStyle name="?鹎%U龡&amp;H齲_x0001_C铣_x0014__x0007__x0001__x0001_ 2 3 2 5 2" xfId="2958"/>
    <cellStyle name="?鹎%U龡&amp;H齲_x0001_C铣_x0014__x0007__x0001__x0001_ 2 3 2 6" xfId="178"/>
    <cellStyle name="?鹎%U龡&amp;H齲_x0001_C铣_x0014__x0007__x0001__x0001_ 2 3 2 6 2" xfId="2959"/>
    <cellStyle name="?鹎%U龡&amp;H齲_x0001_C铣_x0014__x0007__x0001__x0001_ 2 3 2 7" xfId="180"/>
    <cellStyle name="?鹎%U龡&amp;H齲_x0001_C铣_x0014__x0007__x0001__x0001_ 2 3 2 7 2" xfId="2960"/>
    <cellStyle name="?鹎%U龡&amp;H齲_x0001_C铣_x0014__x0007__x0001__x0001_ 2 3 2 8" xfId="2943"/>
    <cellStyle name="?鹎%U龡&amp;H齲_x0001_C铣_x0014__x0007__x0001__x0001_ 2 3 2_2015财政决算公开" xfId="2961"/>
    <cellStyle name="?鹎%U龡&amp;H齲_x0001_C铣_x0014__x0007__x0001__x0001_ 2 3 3" xfId="182"/>
    <cellStyle name="?鹎%U龡&amp;H齲_x0001_C铣_x0014__x0007__x0001__x0001_ 2 3 3 2" xfId="183"/>
    <cellStyle name="?鹎%U龡&amp;H齲_x0001_C铣_x0014__x0007__x0001__x0001_ 2 3 3 2 2" xfId="2963"/>
    <cellStyle name="?鹎%U龡&amp;H齲_x0001_C铣_x0014__x0007__x0001__x0001_ 2 3 3 3" xfId="184"/>
    <cellStyle name="?鹎%U龡&amp;H齲_x0001_C铣_x0014__x0007__x0001__x0001_ 2 3 3 3 2" xfId="2964"/>
    <cellStyle name="?鹎%U龡&amp;H齲_x0001_C铣_x0014__x0007__x0001__x0001_ 2 3 3 4" xfId="187"/>
    <cellStyle name="?鹎%U龡&amp;H齲_x0001_C铣_x0014__x0007__x0001__x0001_ 2 3 3 4 2" xfId="2965"/>
    <cellStyle name="?鹎%U龡&amp;H齲_x0001_C铣_x0014__x0007__x0001__x0001_ 2 3 3 5" xfId="2962"/>
    <cellStyle name="?鹎%U龡&amp;H齲_x0001_C铣_x0014__x0007__x0001__x0001_ 2 3 3_2015财政决算公开" xfId="2966"/>
    <cellStyle name="?鹎%U龡&amp;H齲_x0001_C铣_x0014__x0007__x0001__x0001_ 2 3 4" xfId="188"/>
    <cellStyle name="?鹎%U龡&amp;H齲_x0001_C铣_x0014__x0007__x0001__x0001_ 2 3 4 2" xfId="189"/>
    <cellStyle name="?鹎%U龡&amp;H齲_x0001_C铣_x0014__x0007__x0001__x0001_ 2 3 4 2 2" xfId="2968"/>
    <cellStyle name="?鹎%U龡&amp;H齲_x0001_C铣_x0014__x0007__x0001__x0001_ 2 3 4 3" xfId="190"/>
    <cellStyle name="?鹎%U龡&amp;H齲_x0001_C铣_x0014__x0007__x0001__x0001_ 2 3 4 3 2" xfId="2969"/>
    <cellStyle name="?鹎%U龡&amp;H齲_x0001_C铣_x0014__x0007__x0001__x0001_ 2 3 4 4" xfId="192"/>
    <cellStyle name="?鹎%U龡&amp;H齲_x0001_C铣_x0014__x0007__x0001__x0001_ 2 3 4 4 2" xfId="2970"/>
    <cellStyle name="?鹎%U龡&amp;H齲_x0001_C铣_x0014__x0007__x0001__x0001_ 2 3 4 5" xfId="2967"/>
    <cellStyle name="?鹎%U龡&amp;H齲_x0001_C铣_x0014__x0007__x0001__x0001_ 2 3 4_2015财政决算公开" xfId="2971"/>
    <cellStyle name="?鹎%U龡&amp;H齲_x0001_C铣_x0014__x0007__x0001__x0001_ 2 3 5" xfId="195"/>
    <cellStyle name="?鹎%U龡&amp;H齲_x0001_C铣_x0014__x0007__x0001__x0001_ 2 3 5 2" xfId="198"/>
    <cellStyle name="?鹎%U龡&amp;H齲_x0001_C铣_x0014__x0007__x0001__x0001_ 2 3 5 2 2" xfId="2973"/>
    <cellStyle name="?鹎%U龡&amp;H齲_x0001_C铣_x0014__x0007__x0001__x0001_ 2 3 5 3" xfId="200"/>
    <cellStyle name="?鹎%U龡&amp;H齲_x0001_C铣_x0014__x0007__x0001__x0001_ 2 3 5 3 2" xfId="2974"/>
    <cellStyle name="?鹎%U龡&amp;H齲_x0001_C铣_x0014__x0007__x0001__x0001_ 2 3 5 4" xfId="2972"/>
    <cellStyle name="?鹎%U龡&amp;H齲_x0001_C铣_x0014__x0007__x0001__x0001_ 2 3 5_2015财政决算公开" xfId="2975"/>
    <cellStyle name="?鹎%U龡&amp;H齲_x0001_C铣_x0014__x0007__x0001__x0001_ 2 3 6" xfId="202"/>
    <cellStyle name="?鹎%U龡&amp;H齲_x0001_C铣_x0014__x0007__x0001__x0001_ 2 3 6 2" xfId="205"/>
    <cellStyle name="?鹎%U龡&amp;H齲_x0001_C铣_x0014__x0007__x0001__x0001_ 2 3 6 2 2" xfId="2977"/>
    <cellStyle name="?鹎%U龡&amp;H齲_x0001_C铣_x0014__x0007__x0001__x0001_ 2 3 6 3" xfId="207"/>
    <cellStyle name="?鹎%U龡&amp;H齲_x0001_C铣_x0014__x0007__x0001__x0001_ 2 3 6 3 2" xfId="2978"/>
    <cellStyle name="?鹎%U龡&amp;H齲_x0001_C铣_x0014__x0007__x0001__x0001_ 2 3 6 4" xfId="209"/>
    <cellStyle name="?鹎%U龡&amp;H齲_x0001_C铣_x0014__x0007__x0001__x0001_ 2 3 6 4 2" xfId="2979"/>
    <cellStyle name="?鹎%U龡&amp;H齲_x0001_C铣_x0014__x0007__x0001__x0001_ 2 3 6 5" xfId="2976"/>
    <cellStyle name="?鹎%U龡&amp;H齲_x0001_C铣_x0014__x0007__x0001__x0001_ 2 3 6_2015财政决算公开" xfId="2980"/>
    <cellStyle name="?鹎%U龡&amp;H齲_x0001_C铣_x0014__x0007__x0001__x0001_ 2 3 7" xfId="215"/>
    <cellStyle name="?鹎%U龡&amp;H齲_x0001_C铣_x0014__x0007__x0001__x0001_ 2 3 7 2" xfId="2981"/>
    <cellStyle name="?鹎%U龡&amp;H齲_x0001_C铣_x0014__x0007__x0001__x0001_ 2 3 8" xfId="220"/>
    <cellStyle name="?鹎%U龡&amp;H齲_x0001_C铣_x0014__x0007__x0001__x0001_ 2 3 8 2" xfId="2982"/>
    <cellStyle name="?鹎%U龡&amp;H齲_x0001_C铣_x0014__x0007__x0001__x0001_ 2 3 9" xfId="224"/>
    <cellStyle name="?鹎%U龡&amp;H齲_x0001_C铣_x0014__x0007__x0001__x0001_ 2 3 9 2" xfId="2983"/>
    <cellStyle name="?鹎%U龡&amp;H齲_x0001_C铣_x0014__x0007__x0001__x0001_ 2 3_2015财政决算公开" xfId="2984"/>
    <cellStyle name="?鹎%U龡&amp;H齲_x0001_C铣_x0014__x0007__x0001__x0001_ 2 4" xfId="227"/>
    <cellStyle name="?鹎%U龡&amp;H齲_x0001_C铣_x0014__x0007__x0001__x0001_ 2 4 10" xfId="2985"/>
    <cellStyle name="?鹎%U龡&amp;H齲_x0001_C铣_x0014__x0007__x0001__x0001_ 2 4 2" xfId="228"/>
    <cellStyle name="?鹎%U龡&amp;H齲_x0001_C铣_x0014__x0007__x0001__x0001_ 2 4 2 2" xfId="232"/>
    <cellStyle name="?鹎%U龡&amp;H齲_x0001_C铣_x0014__x0007__x0001__x0001_ 2 4 2 2 2" xfId="235"/>
    <cellStyle name="?鹎%U龡&amp;H齲_x0001_C铣_x0014__x0007__x0001__x0001_ 2 4 2 2 2 2" xfId="2988"/>
    <cellStyle name="?鹎%U龡&amp;H齲_x0001_C铣_x0014__x0007__x0001__x0001_ 2 4 2 2 3" xfId="239"/>
    <cellStyle name="?鹎%U龡&amp;H齲_x0001_C铣_x0014__x0007__x0001__x0001_ 2 4 2 2 3 2" xfId="2989"/>
    <cellStyle name="?鹎%U龡&amp;H齲_x0001_C铣_x0014__x0007__x0001__x0001_ 2 4 2 2 4" xfId="244"/>
    <cellStyle name="?鹎%U龡&amp;H齲_x0001_C铣_x0014__x0007__x0001__x0001_ 2 4 2 2 4 2" xfId="2990"/>
    <cellStyle name="?鹎%U龡&amp;H齲_x0001_C铣_x0014__x0007__x0001__x0001_ 2 4 2 2 5" xfId="2987"/>
    <cellStyle name="?鹎%U龡&amp;H齲_x0001_C铣_x0014__x0007__x0001__x0001_ 2 4 2 2_2015财政决算公开" xfId="2991"/>
    <cellStyle name="?鹎%U龡&amp;H齲_x0001_C铣_x0014__x0007__x0001__x0001_ 2 4 2 3" xfId="245"/>
    <cellStyle name="?鹎%U龡&amp;H齲_x0001_C铣_x0014__x0007__x0001__x0001_ 2 4 2 3 2" xfId="32"/>
    <cellStyle name="?鹎%U龡&amp;H齲_x0001_C铣_x0014__x0007__x0001__x0001_ 2 4 2 3 2 2" xfId="2993"/>
    <cellStyle name="?鹎%U龡&amp;H齲_x0001_C铣_x0014__x0007__x0001__x0001_ 2 4 2 3 3" xfId="43"/>
    <cellStyle name="?鹎%U龡&amp;H齲_x0001_C铣_x0014__x0007__x0001__x0001_ 2 4 2 3 3 2" xfId="2994"/>
    <cellStyle name="?鹎%U龡&amp;H齲_x0001_C铣_x0014__x0007__x0001__x0001_ 2 4 2 3 4" xfId="2992"/>
    <cellStyle name="?鹎%U龡&amp;H齲_x0001_C铣_x0014__x0007__x0001__x0001_ 2 4 2 3_2015财政决算公开" xfId="2995"/>
    <cellStyle name="?鹎%U龡&amp;H齲_x0001_C铣_x0014__x0007__x0001__x0001_ 2 4 2 4" xfId="247"/>
    <cellStyle name="?鹎%U龡&amp;H齲_x0001_C铣_x0014__x0007__x0001__x0001_ 2 4 2 4 2" xfId="250"/>
    <cellStyle name="?鹎%U龡&amp;H齲_x0001_C铣_x0014__x0007__x0001__x0001_ 2 4 2 4 2 2" xfId="2997"/>
    <cellStyle name="?鹎%U龡&amp;H齲_x0001_C铣_x0014__x0007__x0001__x0001_ 2 4 2 4 3" xfId="255"/>
    <cellStyle name="?鹎%U龡&amp;H齲_x0001_C铣_x0014__x0007__x0001__x0001_ 2 4 2 4 3 2" xfId="2998"/>
    <cellStyle name="?鹎%U龡&amp;H齲_x0001_C铣_x0014__x0007__x0001__x0001_ 2 4 2 4 4" xfId="261"/>
    <cellStyle name="?鹎%U龡&amp;H齲_x0001_C铣_x0014__x0007__x0001__x0001_ 2 4 2 4 4 2" xfId="2999"/>
    <cellStyle name="?鹎%U龡&amp;H齲_x0001_C铣_x0014__x0007__x0001__x0001_ 2 4 2 4 5" xfId="2996"/>
    <cellStyle name="?鹎%U龡&amp;H齲_x0001_C铣_x0014__x0007__x0001__x0001_ 2 4 2 4_2015财政决算公开" xfId="3000"/>
    <cellStyle name="?鹎%U龡&amp;H齲_x0001_C铣_x0014__x0007__x0001__x0001_ 2 4 2 5" xfId="263"/>
    <cellStyle name="?鹎%U龡&amp;H齲_x0001_C铣_x0014__x0007__x0001__x0001_ 2 4 2 5 2" xfId="3001"/>
    <cellStyle name="?鹎%U龡&amp;H齲_x0001_C铣_x0014__x0007__x0001__x0001_ 2 4 2 6" xfId="265"/>
    <cellStyle name="?鹎%U龡&amp;H齲_x0001_C铣_x0014__x0007__x0001__x0001_ 2 4 2 6 2" xfId="3002"/>
    <cellStyle name="?鹎%U龡&amp;H齲_x0001_C铣_x0014__x0007__x0001__x0001_ 2 4 2 7" xfId="268"/>
    <cellStyle name="?鹎%U龡&amp;H齲_x0001_C铣_x0014__x0007__x0001__x0001_ 2 4 2 7 2" xfId="3003"/>
    <cellStyle name="?鹎%U龡&amp;H齲_x0001_C铣_x0014__x0007__x0001__x0001_ 2 4 2 8" xfId="2986"/>
    <cellStyle name="?鹎%U龡&amp;H齲_x0001_C铣_x0014__x0007__x0001__x0001_ 2 4 2_2015财政决算公开" xfId="3004"/>
    <cellStyle name="?鹎%U龡&amp;H齲_x0001_C铣_x0014__x0007__x0001__x0001_ 2 4 3" xfId="272"/>
    <cellStyle name="?鹎%U龡&amp;H齲_x0001_C铣_x0014__x0007__x0001__x0001_ 2 4 3 2" xfId="274"/>
    <cellStyle name="?鹎%U龡&amp;H齲_x0001_C铣_x0014__x0007__x0001__x0001_ 2 4 3 2 2" xfId="3006"/>
    <cellStyle name="?鹎%U龡&amp;H齲_x0001_C铣_x0014__x0007__x0001__x0001_ 2 4 3 3" xfId="275"/>
    <cellStyle name="?鹎%U龡&amp;H齲_x0001_C铣_x0014__x0007__x0001__x0001_ 2 4 3 3 2" xfId="3007"/>
    <cellStyle name="?鹎%U龡&amp;H齲_x0001_C铣_x0014__x0007__x0001__x0001_ 2 4 3 4" xfId="278"/>
    <cellStyle name="?鹎%U龡&amp;H齲_x0001_C铣_x0014__x0007__x0001__x0001_ 2 4 3 4 2" xfId="3008"/>
    <cellStyle name="?鹎%U龡&amp;H齲_x0001_C铣_x0014__x0007__x0001__x0001_ 2 4 3 5" xfId="3005"/>
    <cellStyle name="?鹎%U龡&amp;H齲_x0001_C铣_x0014__x0007__x0001__x0001_ 2 4 3_2015财政决算公开" xfId="3009"/>
    <cellStyle name="?鹎%U龡&amp;H齲_x0001_C铣_x0014__x0007__x0001__x0001_ 2 4 4" xfId="280"/>
    <cellStyle name="?鹎%U龡&amp;H齲_x0001_C铣_x0014__x0007__x0001__x0001_ 2 4 4 2" xfId="281"/>
    <cellStyle name="?鹎%U龡&amp;H齲_x0001_C铣_x0014__x0007__x0001__x0001_ 2 4 4 2 2" xfId="3011"/>
    <cellStyle name="?鹎%U龡&amp;H齲_x0001_C铣_x0014__x0007__x0001__x0001_ 2 4 4 3" xfId="282"/>
    <cellStyle name="?鹎%U龡&amp;H齲_x0001_C铣_x0014__x0007__x0001__x0001_ 2 4 4 3 2" xfId="3012"/>
    <cellStyle name="?鹎%U龡&amp;H齲_x0001_C铣_x0014__x0007__x0001__x0001_ 2 4 4 4" xfId="283"/>
    <cellStyle name="?鹎%U龡&amp;H齲_x0001_C铣_x0014__x0007__x0001__x0001_ 2 4 4 4 2" xfId="3013"/>
    <cellStyle name="?鹎%U龡&amp;H齲_x0001_C铣_x0014__x0007__x0001__x0001_ 2 4 4 5" xfId="3010"/>
    <cellStyle name="?鹎%U龡&amp;H齲_x0001_C铣_x0014__x0007__x0001__x0001_ 2 4 4_2015财政决算公开" xfId="3014"/>
    <cellStyle name="?鹎%U龡&amp;H齲_x0001_C铣_x0014__x0007__x0001__x0001_ 2 4 5" xfId="285"/>
    <cellStyle name="?鹎%U龡&amp;H齲_x0001_C铣_x0014__x0007__x0001__x0001_ 2 4 5 2" xfId="287"/>
    <cellStyle name="?鹎%U龡&amp;H齲_x0001_C铣_x0014__x0007__x0001__x0001_ 2 4 5 2 2" xfId="3016"/>
    <cellStyle name="?鹎%U龡&amp;H齲_x0001_C铣_x0014__x0007__x0001__x0001_ 2 4 5 3" xfId="289"/>
    <cellStyle name="?鹎%U龡&amp;H齲_x0001_C铣_x0014__x0007__x0001__x0001_ 2 4 5 3 2" xfId="3017"/>
    <cellStyle name="?鹎%U龡&amp;H齲_x0001_C铣_x0014__x0007__x0001__x0001_ 2 4 5 4" xfId="3015"/>
    <cellStyle name="?鹎%U龡&amp;H齲_x0001_C铣_x0014__x0007__x0001__x0001_ 2 4 5_2015财政决算公开" xfId="3018"/>
    <cellStyle name="?鹎%U龡&amp;H齲_x0001_C铣_x0014__x0007__x0001__x0001_ 2 4 6" xfId="291"/>
    <cellStyle name="?鹎%U龡&amp;H齲_x0001_C铣_x0014__x0007__x0001__x0001_ 2 4 6 2" xfId="294"/>
    <cellStyle name="?鹎%U龡&amp;H齲_x0001_C铣_x0014__x0007__x0001__x0001_ 2 4 6 2 2" xfId="3020"/>
    <cellStyle name="?鹎%U龡&amp;H齲_x0001_C铣_x0014__x0007__x0001__x0001_ 2 4 6 3" xfId="296"/>
    <cellStyle name="?鹎%U龡&amp;H齲_x0001_C铣_x0014__x0007__x0001__x0001_ 2 4 6 3 2" xfId="3021"/>
    <cellStyle name="?鹎%U龡&amp;H齲_x0001_C铣_x0014__x0007__x0001__x0001_ 2 4 6 4" xfId="297"/>
    <cellStyle name="?鹎%U龡&amp;H齲_x0001_C铣_x0014__x0007__x0001__x0001_ 2 4 6 4 2" xfId="3022"/>
    <cellStyle name="?鹎%U龡&amp;H齲_x0001_C铣_x0014__x0007__x0001__x0001_ 2 4 6 5" xfId="3019"/>
    <cellStyle name="?鹎%U龡&amp;H齲_x0001_C铣_x0014__x0007__x0001__x0001_ 2 4 6_2015财政决算公开" xfId="3023"/>
    <cellStyle name="?鹎%U龡&amp;H齲_x0001_C铣_x0014__x0007__x0001__x0001_ 2 4 7" xfId="300"/>
    <cellStyle name="?鹎%U龡&amp;H齲_x0001_C铣_x0014__x0007__x0001__x0001_ 2 4 7 2" xfId="3024"/>
    <cellStyle name="?鹎%U龡&amp;H齲_x0001_C铣_x0014__x0007__x0001__x0001_ 2 4 8" xfId="304"/>
    <cellStyle name="?鹎%U龡&amp;H齲_x0001_C铣_x0014__x0007__x0001__x0001_ 2 4 8 2" xfId="3025"/>
    <cellStyle name="?鹎%U龡&amp;H齲_x0001_C铣_x0014__x0007__x0001__x0001_ 2 4 9" xfId="306"/>
    <cellStyle name="?鹎%U龡&amp;H齲_x0001_C铣_x0014__x0007__x0001__x0001_ 2 4 9 2" xfId="3026"/>
    <cellStyle name="?鹎%U龡&amp;H齲_x0001_C铣_x0014__x0007__x0001__x0001_ 2 4_2015财政决算公开" xfId="3027"/>
    <cellStyle name="?鹎%U龡&amp;H齲_x0001_C铣_x0014__x0007__x0001__x0001_ 2 5" xfId="307"/>
    <cellStyle name="?鹎%U龡&amp;H齲_x0001_C铣_x0014__x0007__x0001__x0001_ 2 5 2" xfId="308"/>
    <cellStyle name="?鹎%U龡&amp;H齲_x0001_C铣_x0014__x0007__x0001__x0001_ 2 5 2 2" xfId="3029"/>
    <cellStyle name="?鹎%U龡&amp;H齲_x0001_C铣_x0014__x0007__x0001__x0001_ 2 5 3" xfId="231"/>
    <cellStyle name="?鹎%U龡&amp;H齲_x0001_C铣_x0014__x0007__x0001__x0001_ 2 5 3 2" xfId="3030"/>
    <cellStyle name="?鹎%U龡&amp;H齲_x0001_C铣_x0014__x0007__x0001__x0001_ 2 5 4" xfId="3028"/>
    <cellStyle name="?鹎%U龡&amp;H齲_x0001_C铣_x0014__x0007__x0001__x0001_ 2 5_2015财政决算公开" xfId="3031"/>
    <cellStyle name="?鹎%U龡&amp;H齲_x0001_C铣_x0014__x0007__x0001__x0001_ 2 6" xfId="309"/>
    <cellStyle name="?鹎%U龡&amp;H齲_x0001_C铣_x0014__x0007__x0001__x0001_ 2 6 2" xfId="3032"/>
    <cellStyle name="?鹎%U龡&amp;H齲_x0001_C铣_x0014__x0007__x0001__x0001_ 2 7" xfId="313"/>
    <cellStyle name="?鹎%U龡&amp;H齲_x0001_C铣_x0014__x0007__x0001__x0001_ 2 7 2" xfId="3033"/>
    <cellStyle name="?鹎%U龡&amp;H齲_x0001_C铣_x0014__x0007__x0001__x0001_ 2 8" xfId="2854"/>
    <cellStyle name="?鹎%U龡&amp;H齲_x0001_C铣_x0014__x0007__x0001__x0001_ 3" xfId="316"/>
    <cellStyle name="?鹎%U龡&amp;H齲_x0001_C铣_x0014__x0007__x0001__x0001_ 3 10" xfId="3034"/>
    <cellStyle name="?鹎%U龡&amp;H齲_x0001_C铣_x0014__x0007__x0001__x0001_ 3 2" xfId="217"/>
    <cellStyle name="?鹎%U龡&amp;H齲_x0001_C铣_x0014__x0007__x0001__x0001_ 3 2 10" xfId="318"/>
    <cellStyle name="?鹎%U龡&amp;H齲_x0001_C铣_x0014__x0007__x0001__x0001_ 3 2 10 2" xfId="3036"/>
    <cellStyle name="?鹎%U龡&amp;H齲_x0001_C铣_x0014__x0007__x0001__x0001_ 3 2 11" xfId="3035"/>
    <cellStyle name="?鹎%U龡&amp;H齲_x0001_C铣_x0014__x0007__x0001__x0001_ 3 2 2" xfId="320"/>
    <cellStyle name="?鹎%U龡&amp;H齲_x0001_C铣_x0014__x0007__x0001__x0001_ 3 2 2 10" xfId="3037"/>
    <cellStyle name="?鹎%U龡&amp;H齲_x0001_C铣_x0014__x0007__x0001__x0001_ 3 2 2 2" xfId="322"/>
    <cellStyle name="?鹎%U龡&amp;H齲_x0001_C铣_x0014__x0007__x0001__x0001_ 3 2 2 2 2" xfId="324"/>
    <cellStyle name="?鹎%U龡&amp;H齲_x0001_C铣_x0014__x0007__x0001__x0001_ 3 2 2 2 2 2" xfId="99"/>
    <cellStyle name="?鹎%U龡&amp;H齲_x0001_C铣_x0014__x0007__x0001__x0001_ 3 2 2 2 2 2 2" xfId="3040"/>
    <cellStyle name="?鹎%U龡&amp;H齲_x0001_C铣_x0014__x0007__x0001__x0001_ 3 2 2 2 2 3" xfId="23"/>
    <cellStyle name="?鹎%U龡&amp;H齲_x0001_C铣_x0014__x0007__x0001__x0001_ 3 2 2 2 2 3 2" xfId="3041"/>
    <cellStyle name="?鹎%U龡&amp;H齲_x0001_C铣_x0014__x0007__x0001__x0001_ 3 2 2 2 2 4" xfId="328"/>
    <cellStyle name="?鹎%U龡&amp;H齲_x0001_C铣_x0014__x0007__x0001__x0001_ 3 2 2 2 2 4 2" xfId="3042"/>
    <cellStyle name="?鹎%U龡&amp;H齲_x0001_C铣_x0014__x0007__x0001__x0001_ 3 2 2 2 2 5" xfId="3039"/>
    <cellStyle name="?鹎%U龡&amp;H齲_x0001_C铣_x0014__x0007__x0001__x0001_ 3 2 2 2 2_2015财政决算公开" xfId="3043"/>
    <cellStyle name="?鹎%U龡&amp;H齲_x0001_C铣_x0014__x0007__x0001__x0001_ 3 2 2 2 3" xfId="330"/>
    <cellStyle name="?鹎%U龡&amp;H齲_x0001_C铣_x0014__x0007__x0001__x0001_ 3 2 2 2 3 2" xfId="333"/>
    <cellStyle name="?鹎%U龡&amp;H齲_x0001_C铣_x0014__x0007__x0001__x0001_ 3 2 2 2 3 2 2" xfId="3045"/>
    <cellStyle name="?鹎%U龡&amp;H齲_x0001_C铣_x0014__x0007__x0001__x0001_ 3 2 2 2 3 3" xfId="335"/>
    <cellStyle name="?鹎%U龡&amp;H齲_x0001_C铣_x0014__x0007__x0001__x0001_ 3 2 2 2 3 3 2" xfId="3046"/>
    <cellStyle name="?鹎%U龡&amp;H齲_x0001_C铣_x0014__x0007__x0001__x0001_ 3 2 2 2 3 4" xfId="3044"/>
    <cellStyle name="?鹎%U龡&amp;H齲_x0001_C铣_x0014__x0007__x0001__x0001_ 3 2 2 2 3_2015财政决算公开" xfId="3047"/>
    <cellStyle name="?鹎%U龡&amp;H齲_x0001_C铣_x0014__x0007__x0001__x0001_ 3 2 2 2 4" xfId="79"/>
    <cellStyle name="?鹎%U龡&amp;H齲_x0001_C铣_x0014__x0007__x0001__x0001_ 3 2 2 2 4 2" xfId="337"/>
    <cellStyle name="?鹎%U龡&amp;H齲_x0001_C铣_x0014__x0007__x0001__x0001_ 3 2 2 2 4 2 2" xfId="3049"/>
    <cellStyle name="?鹎%U龡&amp;H齲_x0001_C铣_x0014__x0007__x0001__x0001_ 3 2 2 2 4 3" xfId="339"/>
    <cellStyle name="?鹎%U龡&amp;H齲_x0001_C铣_x0014__x0007__x0001__x0001_ 3 2 2 2 4 3 2" xfId="3050"/>
    <cellStyle name="?鹎%U龡&amp;H齲_x0001_C铣_x0014__x0007__x0001__x0001_ 3 2 2 2 4 4" xfId="341"/>
    <cellStyle name="?鹎%U龡&amp;H齲_x0001_C铣_x0014__x0007__x0001__x0001_ 3 2 2 2 4 4 2" xfId="3051"/>
    <cellStyle name="?鹎%U龡&amp;H齲_x0001_C铣_x0014__x0007__x0001__x0001_ 3 2 2 2 4 5" xfId="3048"/>
    <cellStyle name="?鹎%U龡&amp;H齲_x0001_C铣_x0014__x0007__x0001__x0001_ 3 2 2 2 4_2015财政决算公开" xfId="3052"/>
    <cellStyle name="?鹎%U龡&amp;H齲_x0001_C铣_x0014__x0007__x0001__x0001_ 3 2 2 2 5" xfId="87"/>
    <cellStyle name="?鹎%U龡&amp;H齲_x0001_C铣_x0014__x0007__x0001__x0001_ 3 2 2 2 5 2" xfId="3053"/>
    <cellStyle name="?鹎%U龡&amp;H齲_x0001_C铣_x0014__x0007__x0001__x0001_ 3 2 2 2 6" xfId="344"/>
    <cellStyle name="?鹎%U龡&amp;H齲_x0001_C铣_x0014__x0007__x0001__x0001_ 3 2 2 2 6 2" xfId="3054"/>
    <cellStyle name="?鹎%U龡&amp;H齲_x0001_C铣_x0014__x0007__x0001__x0001_ 3 2 2 2 7" xfId="346"/>
    <cellStyle name="?鹎%U龡&amp;H齲_x0001_C铣_x0014__x0007__x0001__x0001_ 3 2 2 2 7 2" xfId="3055"/>
    <cellStyle name="?鹎%U龡&amp;H齲_x0001_C铣_x0014__x0007__x0001__x0001_ 3 2 2 2 8" xfId="3038"/>
    <cellStyle name="?鹎%U龡&amp;H齲_x0001_C铣_x0014__x0007__x0001__x0001_ 3 2 2 2_2015财政决算公开" xfId="3056"/>
    <cellStyle name="?鹎%U龡&amp;H齲_x0001_C铣_x0014__x0007__x0001__x0001_ 3 2 2 3" xfId="350"/>
    <cellStyle name="?鹎%U龡&amp;H齲_x0001_C铣_x0014__x0007__x0001__x0001_ 3 2 2 3 2" xfId="353"/>
    <cellStyle name="?鹎%U龡&amp;H齲_x0001_C铣_x0014__x0007__x0001__x0001_ 3 2 2 3 2 2" xfId="3058"/>
    <cellStyle name="?鹎%U龡&amp;H齲_x0001_C铣_x0014__x0007__x0001__x0001_ 3 2 2 3 3" xfId="355"/>
    <cellStyle name="?鹎%U龡&amp;H齲_x0001_C铣_x0014__x0007__x0001__x0001_ 3 2 2 3 3 2" xfId="3059"/>
    <cellStyle name="?鹎%U龡&amp;H齲_x0001_C铣_x0014__x0007__x0001__x0001_ 3 2 2 3 4" xfId="46"/>
    <cellStyle name="?鹎%U龡&amp;H齲_x0001_C铣_x0014__x0007__x0001__x0001_ 3 2 2 3 4 2" xfId="3060"/>
    <cellStyle name="?鹎%U龡&amp;H齲_x0001_C铣_x0014__x0007__x0001__x0001_ 3 2 2 3 5" xfId="3057"/>
    <cellStyle name="?鹎%U龡&amp;H齲_x0001_C铣_x0014__x0007__x0001__x0001_ 3 2 2 3_2015财政决算公开" xfId="3061"/>
    <cellStyle name="?鹎%U龡&amp;H齲_x0001_C铣_x0014__x0007__x0001__x0001_ 3 2 2 4" xfId="358"/>
    <cellStyle name="?鹎%U龡&amp;H齲_x0001_C铣_x0014__x0007__x0001__x0001_ 3 2 2 4 2" xfId="236"/>
    <cellStyle name="?鹎%U龡&amp;H齲_x0001_C铣_x0014__x0007__x0001__x0001_ 3 2 2 4 2 2" xfId="3063"/>
    <cellStyle name="?鹎%U龡&amp;H齲_x0001_C铣_x0014__x0007__x0001__x0001_ 3 2 2 4 3" xfId="241"/>
    <cellStyle name="?鹎%U龡&amp;H齲_x0001_C铣_x0014__x0007__x0001__x0001_ 3 2 2 4 3 2" xfId="3064"/>
    <cellStyle name="?鹎%U龡&amp;H齲_x0001_C铣_x0014__x0007__x0001__x0001_ 3 2 2 4 4" xfId="359"/>
    <cellStyle name="?鹎%U龡&amp;H齲_x0001_C铣_x0014__x0007__x0001__x0001_ 3 2 2 4 4 2" xfId="3065"/>
    <cellStyle name="?鹎%U龡&amp;H齲_x0001_C铣_x0014__x0007__x0001__x0001_ 3 2 2 4 5" xfId="3062"/>
    <cellStyle name="?鹎%U龡&amp;H齲_x0001_C铣_x0014__x0007__x0001__x0001_ 3 2 2 4_2015财政决算公开" xfId="3066"/>
    <cellStyle name="?鹎%U龡&amp;H齲_x0001_C铣_x0014__x0007__x0001__x0001_ 3 2 2 5" xfId="363"/>
    <cellStyle name="?鹎%U龡&amp;H齲_x0001_C铣_x0014__x0007__x0001__x0001_ 3 2 2 5 2" xfId="39"/>
    <cellStyle name="?鹎%U龡&amp;H齲_x0001_C铣_x0014__x0007__x0001__x0001_ 3 2 2 5 2 2" xfId="3068"/>
    <cellStyle name="?鹎%U龡&amp;H齲_x0001_C铣_x0014__x0007__x0001__x0001_ 3 2 2 5 3" xfId="365"/>
    <cellStyle name="?鹎%U龡&amp;H齲_x0001_C铣_x0014__x0007__x0001__x0001_ 3 2 2 5 3 2" xfId="3069"/>
    <cellStyle name="?鹎%U龡&amp;H齲_x0001_C铣_x0014__x0007__x0001__x0001_ 3 2 2 5 4" xfId="3067"/>
    <cellStyle name="?鹎%U龡&amp;H齲_x0001_C铣_x0014__x0007__x0001__x0001_ 3 2 2 5_2015财政决算公开" xfId="3070"/>
    <cellStyle name="?鹎%U龡&amp;H齲_x0001_C铣_x0014__x0007__x0001__x0001_ 3 2 2 6" xfId="371"/>
    <cellStyle name="?鹎%U龡&amp;H齲_x0001_C铣_x0014__x0007__x0001__x0001_ 3 2 2 6 2" xfId="251"/>
    <cellStyle name="?鹎%U龡&amp;H齲_x0001_C铣_x0014__x0007__x0001__x0001_ 3 2 2 6 2 2" xfId="3072"/>
    <cellStyle name="?鹎%U龡&amp;H齲_x0001_C铣_x0014__x0007__x0001__x0001_ 3 2 2 6 3" xfId="257"/>
    <cellStyle name="?鹎%U龡&amp;H齲_x0001_C铣_x0014__x0007__x0001__x0001_ 3 2 2 6 3 2" xfId="3073"/>
    <cellStyle name="?鹎%U龡&amp;H齲_x0001_C铣_x0014__x0007__x0001__x0001_ 3 2 2 6 4" xfId="372"/>
    <cellStyle name="?鹎%U龡&amp;H齲_x0001_C铣_x0014__x0007__x0001__x0001_ 3 2 2 6 4 2" xfId="3074"/>
    <cellStyle name="?鹎%U龡&amp;H齲_x0001_C铣_x0014__x0007__x0001__x0001_ 3 2 2 6 5" xfId="3071"/>
    <cellStyle name="?鹎%U龡&amp;H齲_x0001_C铣_x0014__x0007__x0001__x0001_ 3 2 2 6_2015财政决算公开" xfId="3075"/>
    <cellStyle name="?鹎%U龡&amp;H齲_x0001_C铣_x0014__x0007__x0001__x0001_ 3 2 2 7" xfId="375"/>
    <cellStyle name="?鹎%U龡&amp;H齲_x0001_C铣_x0014__x0007__x0001__x0001_ 3 2 2 7 2" xfId="3076"/>
    <cellStyle name="?鹎%U龡&amp;H齲_x0001_C铣_x0014__x0007__x0001__x0001_ 3 2 2 8" xfId="379"/>
    <cellStyle name="?鹎%U龡&amp;H齲_x0001_C铣_x0014__x0007__x0001__x0001_ 3 2 2 8 2" xfId="3077"/>
    <cellStyle name="?鹎%U龡&amp;H齲_x0001_C铣_x0014__x0007__x0001__x0001_ 3 2 2 9" xfId="381"/>
    <cellStyle name="?鹎%U龡&amp;H齲_x0001_C铣_x0014__x0007__x0001__x0001_ 3 2 2 9 2" xfId="3078"/>
    <cellStyle name="?鹎%U龡&amp;H齲_x0001_C铣_x0014__x0007__x0001__x0001_ 3 2 2_2015财政决算公开" xfId="3079"/>
    <cellStyle name="?鹎%U龡&amp;H齲_x0001_C铣_x0014__x0007__x0001__x0001_ 3 2 3" xfId="382"/>
    <cellStyle name="?鹎%U龡&amp;H齲_x0001_C铣_x0014__x0007__x0001__x0001_ 3 2 3 2" xfId="384"/>
    <cellStyle name="?鹎%U龡&amp;H齲_x0001_C铣_x0014__x0007__x0001__x0001_ 3 2 3 2 2" xfId="385"/>
    <cellStyle name="?鹎%U龡&amp;H齲_x0001_C铣_x0014__x0007__x0001__x0001_ 3 2 3 2 2 2" xfId="3082"/>
    <cellStyle name="?鹎%U龡&amp;H齲_x0001_C铣_x0014__x0007__x0001__x0001_ 3 2 3 2 3" xfId="389"/>
    <cellStyle name="?鹎%U龡&amp;H齲_x0001_C铣_x0014__x0007__x0001__x0001_ 3 2 3 2 3 2" xfId="3083"/>
    <cellStyle name="?鹎%U龡&amp;H齲_x0001_C铣_x0014__x0007__x0001__x0001_ 3 2 3 2 4" xfId="392"/>
    <cellStyle name="?鹎%U龡&amp;H齲_x0001_C铣_x0014__x0007__x0001__x0001_ 3 2 3 2 4 2" xfId="3084"/>
    <cellStyle name="?鹎%U龡&amp;H齲_x0001_C铣_x0014__x0007__x0001__x0001_ 3 2 3 2 5" xfId="3081"/>
    <cellStyle name="?鹎%U龡&amp;H齲_x0001_C铣_x0014__x0007__x0001__x0001_ 3 2 3 2_2015财政决算公开" xfId="3085"/>
    <cellStyle name="?鹎%U龡&amp;H齲_x0001_C铣_x0014__x0007__x0001__x0001_ 3 2 3 3" xfId="397"/>
    <cellStyle name="?鹎%U龡&amp;H齲_x0001_C铣_x0014__x0007__x0001__x0001_ 3 2 3 3 2" xfId="399"/>
    <cellStyle name="?鹎%U龡&amp;H齲_x0001_C铣_x0014__x0007__x0001__x0001_ 3 2 3 3 2 2" xfId="3087"/>
    <cellStyle name="?鹎%U龡&amp;H齲_x0001_C铣_x0014__x0007__x0001__x0001_ 3 2 3 3 3" xfId="401"/>
    <cellStyle name="?鹎%U龡&amp;H齲_x0001_C铣_x0014__x0007__x0001__x0001_ 3 2 3 3 3 2" xfId="3088"/>
    <cellStyle name="?鹎%U龡&amp;H齲_x0001_C铣_x0014__x0007__x0001__x0001_ 3 2 3 3 4" xfId="3086"/>
    <cellStyle name="?鹎%U龡&amp;H齲_x0001_C铣_x0014__x0007__x0001__x0001_ 3 2 3 3_2015财政决算公开" xfId="3089"/>
    <cellStyle name="?鹎%U龡&amp;H齲_x0001_C铣_x0014__x0007__x0001__x0001_ 3 2 3 4" xfId="59"/>
    <cellStyle name="?鹎%U龡&amp;H齲_x0001_C铣_x0014__x0007__x0001__x0001_ 3 2 3 4 2" xfId="403"/>
    <cellStyle name="?鹎%U龡&amp;H齲_x0001_C铣_x0014__x0007__x0001__x0001_ 3 2 3 4 2 2" xfId="3091"/>
    <cellStyle name="?鹎%U龡&amp;H齲_x0001_C铣_x0014__x0007__x0001__x0001_ 3 2 3 4 3" xfId="409"/>
    <cellStyle name="?鹎%U龡&amp;H齲_x0001_C铣_x0014__x0007__x0001__x0001_ 3 2 3 4 3 2" xfId="3092"/>
    <cellStyle name="?鹎%U龡&amp;H齲_x0001_C铣_x0014__x0007__x0001__x0001_ 3 2 3 4 4" xfId="412"/>
    <cellStyle name="?鹎%U龡&amp;H齲_x0001_C铣_x0014__x0007__x0001__x0001_ 3 2 3 4 4 2" xfId="3093"/>
    <cellStyle name="?鹎%U龡&amp;H齲_x0001_C铣_x0014__x0007__x0001__x0001_ 3 2 3 4 5" xfId="3090"/>
    <cellStyle name="?鹎%U龡&amp;H齲_x0001_C铣_x0014__x0007__x0001__x0001_ 3 2 3 4_2015财政决算公开" xfId="3094"/>
    <cellStyle name="?鹎%U龡&amp;H齲_x0001_C铣_x0014__x0007__x0001__x0001_ 3 2 3 5" xfId="66"/>
    <cellStyle name="?鹎%U龡&amp;H齲_x0001_C铣_x0014__x0007__x0001__x0001_ 3 2 3 5 2" xfId="3095"/>
    <cellStyle name="?鹎%U龡&amp;H齲_x0001_C铣_x0014__x0007__x0001__x0001_ 3 2 3 6" xfId="71"/>
    <cellStyle name="?鹎%U龡&amp;H齲_x0001_C铣_x0014__x0007__x0001__x0001_ 3 2 3 6 2" xfId="3096"/>
    <cellStyle name="?鹎%U龡&amp;H齲_x0001_C铣_x0014__x0007__x0001__x0001_ 3 2 3 7" xfId="415"/>
    <cellStyle name="?鹎%U龡&amp;H齲_x0001_C铣_x0014__x0007__x0001__x0001_ 3 2 3 7 2" xfId="3097"/>
    <cellStyle name="?鹎%U龡&amp;H齲_x0001_C铣_x0014__x0007__x0001__x0001_ 3 2 3 8" xfId="3080"/>
    <cellStyle name="?鹎%U龡&amp;H齲_x0001_C铣_x0014__x0007__x0001__x0001_ 3 2 3_2015财政决算公开" xfId="3098"/>
    <cellStyle name="?鹎%U龡&amp;H齲_x0001_C铣_x0014__x0007__x0001__x0001_ 3 2 4" xfId="321"/>
    <cellStyle name="?鹎%U龡&amp;H齲_x0001_C铣_x0014__x0007__x0001__x0001_ 3 2 4 2" xfId="327"/>
    <cellStyle name="?鹎%U龡&amp;H齲_x0001_C铣_x0014__x0007__x0001__x0001_ 3 2 4 2 2" xfId="3100"/>
    <cellStyle name="?鹎%U龡&amp;H齲_x0001_C铣_x0014__x0007__x0001__x0001_ 3 2 4 3" xfId="332"/>
    <cellStyle name="?鹎%U龡&amp;H齲_x0001_C铣_x0014__x0007__x0001__x0001_ 3 2 4 3 2" xfId="3101"/>
    <cellStyle name="?鹎%U龡&amp;H齲_x0001_C铣_x0014__x0007__x0001__x0001_ 3 2 4 4" xfId="81"/>
    <cellStyle name="?鹎%U龡&amp;H齲_x0001_C铣_x0014__x0007__x0001__x0001_ 3 2 4 4 2" xfId="3102"/>
    <cellStyle name="?鹎%U龡&amp;H齲_x0001_C铣_x0014__x0007__x0001__x0001_ 3 2 4 5" xfId="3099"/>
    <cellStyle name="?鹎%U龡&amp;H齲_x0001_C铣_x0014__x0007__x0001__x0001_ 3 2 4_2015财政决算公开" xfId="3103"/>
    <cellStyle name="?鹎%U龡&amp;H齲_x0001_C铣_x0014__x0007__x0001__x0001_ 3 2 5" xfId="349"/>
    <cellStyle name="?鹎%U龡&amp;H齲_x0001_C铣_x0014__x0007__x0001__x0001_ 3 2 5 2" xfId="352"/>
    <cellStyle name="?鹎%U龡&amp;H齲_x0001_C铣_x0014__x0007__x0001__x0001_ 3 2 5 2 2" xfId="3105"/>
    <cellStyle name="?鹎%U龡&amp;H齲_x0001_C铣_x0014__x0007__x0001__x0001_ 3 2 5 3" xfId="354"/>
    <cellStyle name="?鹎%U龡&amp;H齲_x0001_C铣_x0014__x0007__x0001__x0001_ 3 2 5 3 2" xfId="3106"/>
    <cellStyle name="?鹎%U龡&amp;H齲_x0001_C铣_x0014__x0007__x0001__x0001_ 3 2 5 4" xfId="45"/>
    <cellStyle name="?鹎%U龡&amp;H齲_x0001_C铣_x0014__x0007__x0001__x0001_ 3 2 5 4 2" xfId="3107"/>
    <cellStyle name="?鹎%U龡&amp;H齲_x0001_C铣_x0014__x0007__x0001__x0001_ 3 2 5 5" xfId="3104"/>
    <cellStyle name="?鹎%U龡&amp;H齲_x0001_C铣_x0014__x0007__x0001__x0001_ 3 2 5_2015财政决算公开" xfId="3108"/>
    <cellStyle name="?鹎%U龡&amp;H齲_x0001_C铣_x0014__x0007__x0001__x0001_ 3 2 6" xfId="357"/>
    <cellStyle name="?鹎%U龡&amp;H齲_x0001_C铣_x0014__x0007__x0001__x0001_ 3 2 6 2" xfId="238"/>
    <cellStyle name="?鹎%U龡&amp;H齲_x0001_C铣_x0014__x0007__x0001__x0001_ 3 2 6 2 2" xfId="3110"/>
    <cellStyle name="?鹎%U龡&amp;H齲_x0001_C铣_x0014__x0007__x0001__x0001_ 3 2 6 3" xfId="243"/>
    <cellStyle name="?鹎%U龡&amp;H齲_x0001_C铣_x0014__x0007__x0001__x0001_ 3 2 6 3 2" xfId="3111"/>
    <cellStyle name="?鹎%U龡&amp;H齲_x0001_C铣_x0014__x0007__x0001__x0001_ 3 2 6 4" xfId="3109"/>
    <cellStyle name="?鹎%U龡&amp;H齲_x0001_C铣_x0014__x0007__x0001__x0001_ 3 2 6_2015财政决算公开" xfId="3112"/>
    <cellStyle name="?鹎%U龡&amp;H齲_x0001_C铣_x0014__x0007__x0001__x0001_ 3 2 7" xfId="362"/>
    <cellStyle name="?鹎%U龡&amp;H齲_x0001_C铣_x0014__x0007__x0001__x0001_ 3 2 7 2" xfId="42"/>
    <cellStyle name="?鹎%U龡&amp;H齲_x0001_C铣_x0014__x0007__x0001__x0001_ 3 2 7 2 2" xfId="3114"/>
    <cellStyle name="?鹎%U龡&amp;H齲_x0001_C铣_x0014__x0007__x0001__x0001_ 3 2 7 3" xfId="368"/>
    <cellStyle name="?鹎%U龡&amp;H齲_x0001_C铣_x0014__x0007__x0001__x0001_ 3 2 7 3 2" xfId="3115"/>
    <cellStyle name="?鹎%U龡&amp;H齲_x0001_C铣_x0014__x0007__x0001__x0001_ 3 2 7 4" xfId="416"/>
    <cellStyle name="?鹎%U龡&amp;H齲_x0001_C铣_x0014__x0007__x0001__x0001_ 3 2 7 4 2" xfId="3116"/>
    <cellStyle name="?鹎%U龡&amp;H齲_x0001_C铣_x0014__x0007__x0001__x0001_ 3 2 7 5" xfId="3113"/>
    <cellStyle name="?鹎%U龡&amp;H齲_x0001_C铣_x0014__x0007__x0001__x0001_ 3 2 7_2015财政决算公开" xfId="3117"/>
    <cellStyle name="?鹎%U龡&amp;H齲_x0001_C铣_x0014__x0007__x0001__x0001_ 3 2 8" xfId="370"/>
    <cellStyle name="?鹎%U龡&amp;H齲_x0001_C铣_x0014__x0007__x0001__x0001_ 3 2 8 2" xfId="3118"/>
    <cellStyle name="?鹎%U龡&amp;H齲_x0001_C铣_x0014__x0007__x0001__x0001_ 3 2 9" xfId="374"/>
    <cellStyle name="?鹎%U龡&amp;H齲_x0001_C铣_x0014__x0007__x0001__x0001_ 3 2 9 2" xfId="3119"/>
    <cellStyle name="?鹎%U龡&amp;H齲_x0001_C铣_x0014__x0007__x0001__x0001_ 3 2_2015财政决算公开" xfId="3120"/>
    <cellStyle name="?鹎%U龡&amp;H齲_x0001_C铣_x0014__x0007__x0001__x0001_ 3 3" xfId="222"/>
    <cellStyle name="?鹎%U龡&amp;H齲_x0001_C铣_x0014__x0007__x0001__x0001_ 3 3 10" xfId="3121"/>
    <cellStyle name="?鹎%U龡&amp;H齲_x0001_C铣_x0014__x0007__x0001__x0001_ 3 3 2" xfId="417"/>
    <cellStyle name="?鹎%U龡&amp;H齲_x0001_C铣_x0014__x0007__x0001__x0001_ 3 3 2 2" xfId="421"/>
    <cellStyle name="?鹎%U龡&amp;H齲_x0001_C铣_x0014__x0007__x0001__x0001_ 3 3 2 2 2" xfId="424"/>
    <cellStyle name="?鹎%U龡&amp;H齲_x0001_C铣_x0014__x0007__x0001__x0001_ 3 3 2 2 2 2" xfId="3124"/>
    <cellStyle name="?鹎%U龡&amp;H齲_x0001_C铣_x0014__x0007__x0001__x0001_ 3 3 2 2 3" xfId="426"/>
    <cellStyle name="?鹎%U龡&amp;H齲_x0001_C铣_x0014__x0007__x0001__x0001_ 3 3 2 2 3 2" xfId="3125"/>
    <cellStyle name="?鹎%U龡&amp;H齲_x0001_C铣_x0014__x0007__x0001__x0001_ 3 3 2 2 4" xfId="428"/>
    <cellStyle name="?鹎%U龡&amp;H齲_x0001_C铣_x0014__x0007__x0001__x0001_ 3 3 2 2 4 2" xfId="3126"/>
    <cellStyle name="?鹎%U龡&amp;H齲_x0001_C铣_x0014__x0007__x0001__x0001_ 3 3 2 2 5" xfId="3123"/>
    <cellStyle name="?鹎%U龡&amp;H齲_x0001_C铣_x0014__x0007__x0001__x0001_ 3 3 2 2_2015财政决算公开" xfId="3127"/>
    <cellStyle name="?鹎%U龡&amp;H齲_x0001_C铣_x0014__x0007__x0001__x0001_ 3 3 2 3" xfId="432"/>
    <cellStyle name="?鹎%U龡&amp;H齲_x0001_C铣_x0014__x0007__x0001__x0001_ 3 3 2 3 2" xfId="433"/>
    <cellStyle name="?鹎%U龡&amp;H齲_x0001_C铣_x0014__x0007__x0001__x0001_ 3 3 2 3 2 2" xfId="3129"/>
    <cellStyle name="?鹎%U龡&amp;H齲_x0001_C铣_x0014__x0007__x0001__x0001_ 3 3 2 3 3" xfId="434"/>
    <cellStyle name="?鹎%U龡&amp;H齲_x0001_C铣_x0014__x0007__x0001__x0001_ 3 3 2 3 3 2" xfId="3130"/>
    <cellStyle name="?鹎%U龡&amp;H齲_x0001_C铣_x0014__x0007__x0001__x0001_ 3 3 2 3 4" xfId="3128"/>
    <cellStyle name="?鹎%U龡&amp;H齲_x0001_C铣_x0014__x0007__x0001__x0001_ 3 3 2 3_2015财政决算公开" xfId="3131"/>
    <cellStyle name="?鹎%U龡&amp;H齲_x0001_C铣_x0014__x0007__x0001__x0001_ 3 3 2 4" xfId="438"/>
    <cellStyle name="?鹎%U龡&amp;H齲_x0001_C铣_x0014__x0007__x0001__x0001_ 3 3 2 4 2" xfId="181"/>
    <cellStyle name="?鹎%U龡&amp;H齲_x0001_C铣_x0014__x0007__x0001__x0001_ 3 3 2 4 2 2" xfId="3133"/>
    <cellStyle name="?鹎%U龡&amp;H齲_x0001_C铣_x0014__x0007__x0001__x0001_ 3 3 2 4 3" xfId="440"/>
    <cellStyle name="?鹎%U龡&amp;H齲_x0001_C铣_x0014__x0007__x0001__x0001_ 3 3 2 4 3 2" xfId="3134"/>
    <cellStyle name="?鹎%U龡&amp;H齲_x0001_C铣_x0014__x0007__x0001__x0001_ 3 3 2 4 4" xfId="442"/>
    <cellStyle name="?鹎%U龡&amp;H齲_x0001_C铣_x0014__x0007__x0001__x0001_ 3 3 2 4 4 2" xfId="3135"/>
    <cellStyle name="?鹎%U龡&amp;H齲_x0001_C铣_x0014__x0007__x0001__x0001_ 3 3 2 4 5" xfId="3132"/>
    <cellStyle name="?鹎%U龡&amp;H齲_x0001_C铣_x0014__x0007__x0001__x0001_ 3 3 2 4_2015财政决算公开" xfId="3136"/>
    <cellStyle name="?鹎%U龡&amp;H齲_x0001_C铣_x0014__x0007__x0001__x0001_ 3 3 2 5" xfId="447"/>
    <cellStyle name="?鹎%U龡&amp;H齲_x0001_C铣_x0014__x0007__x0001__x0001_ 3 3 2 5 2" xfId="3137"/>
    <cellStyle name="?鹎%U龡&amp;H齲_x0001_C铣_x0014__x0007__x0001__x0001_ 3 3 2 6" xfId="449"/>
    <cellStyle name="?鹎%U龡&amp;H齲_x0001_C铣_x0014__x0007__x0001__x0001_ 3 3 2 6 2" xfId="3138"/>
    <cellStyle name="?鹎%U龡&amp;H齲_x0001_C铣_x0014__x0007__x0001__x0001_ 3 3 2 7" xfId="452"/>
    <cellStyle name="?鹎%U龡&amp;H齲_x0001_C铣_x0014__x0007__x0001__x0001_ 3 3 2 7 2" xfId="3139"/>
    <cellStyle name="?鹎%U龡&amp;H齲_x0001_C铣_x0014__x0007__x0001__x0001_ 3 3 2 8" xfId="3122"/>
    <cellStyle name="?鹎%U龡&amp;H齲_x0001_C铣_x0014__x0007__x0001__x0001_ 3 3 2_2015财政决算公开" xfId="3140"/>
    <cellStyle name="?鹎%U龡&amp;H齲_x0001_C铣_x0014__x0007__x0001__x0001_ 3 3 3" xfId="454"/>
    <cellStyle name="?鹎%U龡&amp;H齲_x0001_C铣_x0014__x0007__x0001__x0001_ 3 3 3 2" xfId="317"/>
    <cellStyle name="?鹎%U龡&amp;H齲_x0001_C铣_x0014__x0007__x0001__x0001_ 3 3 3 2 2" xfId="3142"/>
    <cellStyle name="?鹎%U龡&amp;H齲_x0001_C铣_x0014__x0007__x0001__x0001_ 3 3 3 3" xfId="457"/>
    <cellStyle name="?鹎%U龡&amp;H齲_x0001_C铣_x0014__x0007__x0001__x0001_ 3 3 3 3 2" xfId="3143"/>
    <cellStyle name="?鹎%U龡&amp;H齲_x0001_C铣_x0014__x0007__x0001__x0001_ 3 3 3 4" xfId="460"/>
    <cellStyle name="?鹎%U龡&amp;H齲_x0001_C铣_x0014__x0007__x0001__x0001_ 3 3 3 4 2" xfId="3144"/>
    <cellStyle name="?鹎%U龡&amp;H齲_x0001_C铣_x0014__x0007__x0001__x0001_ 3 3 3 5" xfId="3141"/>
    <cellStyle name="?鹎%U龡&amp;H齲_x0001_C铣_x0014__x0007__x0001__x0001_ 3 3 3_2015财政决算公开" xfId="3145"/>
    <cellStyle name="?鹎%U龡&amp;H齲_x0001_C铣_x0014__x0007__x0001__x0001_ 3 3 4" xfId="383"/>
    <cellStyle name="?鹎%U龡&amp;H齲_x0001_C铣_x0014__x0007__x0001__x0001_ 3 3 4 2" xfId="387"/>
    <cellStyle name="?鹎%U龡&amp;H齲_x0001_C铣_x0014__x0007__x0001__x0001_ 3 3 4 2 2" xfId="3147"/>
    <cellStyle name="?鹎%U龡&amp;H齲_x0001_C铣_x0014__x0007__x0001__x0001_ 3 3 4 3" xfId="388"/>
    <cellStyle name="?鹎%U龡&amp;H齲_x0001_C铣_x0014__x0007__x0001__x0001_ 3 3 4 3 2" xfId="3148"/>
    <cellStyle name="?鹎%U龡&amp;H齲_x0001_C铣_x0014__x0007__x0001__x0001_ 3 3 4 4" xfId="391"/>
    <cellStyle name="?鹎%U龡&amp;H齲_x0001_C铣_x0014__x0007__x0001__x0001_ 3 3 4 4 2" xfId="3149"/>
    <cellStyle name="?鹎%U龡&amp;H齲_x0001_C铣_x0014__x0007__x0001__x0001_ 3 3 4 5" xfId="3146"/>
    <cellStyle name="?鹎%U龡&amp;H齲_x0001_C铣_x0014__x0007__x0001__x0001_ 3 3 4_2015财政决算公开" xfId="3150"/>
    <cellStyle name="?鹎%U龡&amp;H齲_x0001_C铣_x0014__x0007__x0001__x0001_ 3 3 5" xfId="396"/>
    <cellStyle name="?鹎%U龡&amp;H齲_x0001_C铣_x0014__x0007__x0001__x0001_ 3 3 5 2" xfId="398"/>
    <cellStyle name="?鹎%U龡&amp;H齲_x0001_C铣_x0014__x0007__x0001__x0001_ 3 3 5 2 2" xfId="3152"/>
    <cellStyle name="?鹎%U龡&amp;H齲_x0001_C铣_x0014__x0007__x0001__x0001_ 3 3 5 3" xfId="400"/>
    <cellStyle name="?鹎%U龡&amp;H齲_x0001_C铣_x0014__x0007__x0001__x0001_ 3 3 5 3 2" xfId="3153"/>
    <cellStyle name="?鹎%U龡&amp;H齲_x0001_C铣_x0014__x0007__x0001__x0001_ 3 3 5 4" xfId="3151"/>
    <cellStyle name="?鹎%U龡&amp;H齲_x0001_C铣_x0014__x0007__x0001__x0001_ 3 3 5_2015财政决算公开" xfId="3154"/>
    <cellStyle name="?鹎%U龡&amp;H齲_x0001_C铣_x0014__x0007__x0001__x0001_ 3 3 6" xfId="58"/>
    <cellStyle name="?鹎%U龡&amp;H齲_x0001_C铣_x0014__x0007__x0001__x0001_ 3 3 6 2" xfId="405"/>
    <cellStyle name="?鹎%U龡&amp;H齲_x0001_C铣_x0014__x0007__x0001__x0001_ 3 3 6 2 2" xfId="3156"/>
    <cellStyle name="?鹎%U龡&amp;H齲_x0001_C铣_x0014__x0007__x0001__x0001_ 3 3 6 3" xfId="406"/>
    <cellStyle name="?鹎%U龡&amp;H齲_x0001_C铣_x0014__x0007__x0001__x0001_ 3 3 6 3 2" xfId="3157"/>
    <cellStyle name="?鹎%U龡&amp;H齲_x0001_C铣_x0014__x0007__x0001__x0001_ 3 3 6 4" xfId="410"/>
    <cellStyle name="?鹎%U龡&amp;H齲_x0001_C铣_x0014__x0007__x0001__x0001_ 3 3 6 4 2" xfId="3158"/>
    <cellStyle name="?鹎%U龡&amp;H齲_x0001_C铣_x0014__x0007__x0001__x0001_ 3 3 6 5" xfId="3155"/>
    <cellStyle name="?鹎%U龡&amp;H齲_x0001_C铣_x0014__x0007__x0001__x0001_ 3 3 6_2015财政决算公开" xfId="3159"/>
    <cellStyle name="?鹎%U龡&amp;H齲_x0001_C铣_x0014__x0007__x0001__x0001_ 3 3 7" xfId="65"/>
    <cellStyle name="?鹎%U龡&amp;H齲_x0001_C铣_x0014__x0007__x0001__x0001_ 3 3 7 2" xfId="3160"/>
    <cellStyle name="?鹎%U龡&amp;H齲_x0001_C铣_x0014__x0007__x0001__x0001_ 3 3 8" xfId="70"/>
    <cellStyle name="?鹎%U龡&amp;H齲_x0001_C铣_x0014__x0007__x0001__x0001_ 3 3 8 2" xfId="3161"/>
    <cellStyle name="?鹎%U龡&amp;H齲_x0001_C铣_x0014__x0007__x0001__x0001_ 3 3 9" xfId="414"/>
    <cellStyle name="?鹎%U龡&amp;H齲_x0001_C铣_x0014__x0007__x0001__x0001_ 3 3 9 2" xfId="3162"/>
    <cellStyle name="?鹎%U龡&amp;H齲_x0001_C铣_x0014__x0007__x0001__x0001_ 3 3_2015财政决算公开" xfId="3163"/>
    <cellStyle name="?鹎%U龡&amp;H齲_x0001_C铣_x0014__x0007__x0001__x0001_ 3 4" xfId="462"/>
    <cellStyle name="?鹎%U龡&amp;H齲_x0001_C铣_x0014__x0007__x0001__x0001_ 3 4 10" xfId="3164"/>
    <cellStyle name="?鹎%U龡&amp;H齲_x0001_C铣_x0014__x0007__x0001__x0001_ 3 4 2" xfId="463"/>
    <cellStyle name="?鹎%U龡&amp;H齲_x0001_C铣_x0014__x0007__x0001__x0001_ 3 4 2 2" xfId="464"/>
    <cellStyle name="?鹎%U龡&amp;H齲_x0001_C铣_x0014__x0007__x0001__x0001_ 3 4 2 2 2" xfId="465"/>
    <cellStyle name="?鹎%U龡&amp;H齲_x0001_C铣_x0014__x0007__x0001__x0001_ 3 4 2 2 2 2" xfId="3167"/>
    <cellStyle name="?鹎%U龡&amp;H齲_x0001_C铣_x0014__x0007__x0001__x0001_ 3 4 2 2 3" xfId="466"/>
    <cellStyle name="?鹎%U龡&amp;H齲_x0001_C铣_x0014__x0007__x0001__x0001_ 3 4 2 2 3 2" xfId="3168"/>
    <cellStyle name="?鹎%U龡&amp;H齲_x0001_C铣_x0014__x0007__x0001__x0001_ 3 4 2 2 4" xfId="467"/>
    <cellStyle name="?鹎%U龡&amp;H齲_x0001_C铣_x0014__x0007__x0001__x0001_ 3 4 2 2 4 2" xfId="3169"/>
    <cellStyle name="?鹎%U龡&amp;H齲_x0001_C铣_x0014__x0007__x0001__x0001_ 3 4 2 2 5" xfId="3166"/>
    <cellStyle name="?鹎%U龡&amp;H齲_x0001_C铣_x0014__x0007__x0001__x0001_ 3 4 2 2_2015财政决算公开" xfId="3170"/>
    <cellStyle name="?鹎%U龡&amp;H齲_x0001_C铣_x0014__x0007__x0001__x0001_ 3 4 2 3" xfId="468"/>
    <cellStyle name="?鹎%U龡&amp;H齲_x0001_C铣_x0014__x0007__x0001__x0001_ 3 4 2 3 2" xfId="469"/>
    <cellStyle name="?鹎%U龡&amp;H齲_x0001_C铣_x0014__x0007__x0001__x0001_ 3 4 2 3 2 2" xfId="3172"/>
    <cellStyle name="?鹎%U龡&amp;H齲_x0001_C铣_x0014__x0007__x0001__x0001_ 3 4 2 3 3" xfId="470"/>
    <cellStyle name="?鹎%U龡&amp;H齲_x0001_C铣_x0014__x0007__x0001__x0001_ 3 4 2 3 3 2" xfId="3173"/>
    <cellStyle name="?鹎%U龡&amp;H齲_x0001_C铣_x0014__x0007__x0001__x0001_ 3 4 2 3 4" xfId="3171"/>
    <cellStyle name="?鹎%U龡&amp;H齲_x0001_C铣_x0014__x0007__x0001__x0001_ 3 4 2 3_2015财政决算公开" xfId="3174"/>
    <cellStyle name="?鹎%U龡&amp;H齲_x0001_C铣_x0014__x0007__x0001__x0001_ 3 4 2 4" xfId="473"/>
    <cellStyle name="?鹎%U龡&amp;H齲_x0001_C铣_x0014__x0007__x0001__x0001_ 3 4 2 4 2" xfId="453"/>
    <cellStyle name="?鹎%U龡&amp;H齲_x0001_C铣_x0014__x0007__x0001__x0001_ 3 4 2 4 2 2" xfId="3176"/>
    <cellStyle name="?鹎%U龡&amp;H齲_x0001_C铣_x0014__x0007__x0001__x0001_ 3 4 2 4 3" xfId="476"/>
    <cellStyle name="?鹎%U龡&amp;H齲_x0001_C铣_x0014__x0007__x0001__x0001_ 3 4 2 4 3 2" xfId="3177"/>
    <cellStyle name="?鹎%U龡&amp;H齲_x0001_C铣_x0014__x0007__x0001__x0001_ 3 4 2 4 4" xfId="477"/>
    <cellStyle name="?鹎%U龡&amp;H齲_x0001_C铣_x0014__x0007__x0001__x0001_ 3 4 2 4 4 2" xfId="3178"/>
    <cellStyle name="?鹎%U龡&amp;H齲_x0001_C铣_x0014__x0007__x0001__x0001_ 3 4 2 4 5" xfId="3175"/>
    <cellStyle name="?鹎%U龡&amp;H齲_x0001_C铣_x0014__x0007__x0001__x0001_ 3 4 2 4_2015财政决算公开" xfId="3179"/>
    <cellStyle name="?鹎%U龡&amp;H齲_x0001_C铣_x0014__x0007__x0001__x0001_ 3 4 2 5" xfId="480"/>
    <cellStyle name="?鹎%U龡&amp;H齲_x0001_C铣_x0014__x0007__x0001__x0001_ 3 4 2 5 2" xfId="3180"/>
    <cellStyle name="?鹎%U龡&amp;H齲_x0001_C铣_x0014__x0007__x0001__x0001_ 3 4 2 6" xfId="482"/>
    <cellStyle name="?鹎%U龡&amp;H齲_x0001_C铣_x0014__x0007__x0001__x0001_ 3 4 2 6 2" xfId="3181"/>
    <cellStyle name="?鹎%U龡&amp;H齲_x0001_C铣_x0014__x0007__x0001__x0001_ 3 4 2 7" xfId="484"/>
    <cellStyle name="?鹎%U龡&amp;H齲_x0001_C铣_x0014__x0007__x0001__x0001_ 3 4 2 7 2" xfId="3182"/>
    <cellStyle name="?鹎%U龡&amp;H齲_x0001_C铣_x0014__x0007__x0001__x0001_ 3 4 2 8" xfId="3165"/>
    <cellStyle name="?鹎%U龡&amp;H齲_x0001_C铣_x0014__x0007__x0001__x0001_ 3 4 2_2015财政决算公开" xfId="3183"/>
    <cellStyle name="?鹎%U龡&amp;H齲_x0001_C铣_x0014__x0007__x0001__x0001_ 3 4 3" xfId="486"/>
    <cellStyle name="?鹎%U龡&amp;H齲_x0001_C铣_x0014__x0007__x0001__x0001_ 3 4 3 2" xfId="123"/>
    <cellStyle name="?鹎%U龡&amp;H齲_x0001_C铣_x0014__x0007__x0001__x0001_ 3 4 3 2 2" xfId="3185"/>
    <cellStyle name="?鹎%U龡&amp;H齲_x0001_C铣_x0014__x0007__x0001__x0001_ 3 4 3 3" xfId="29"/>
    <cellStyle name="?鹎%U龡&amp;H齲_x0001_C铣_x0014__x0007__x0001__x0001_ 3 4 3 3 2" xfId="3186"/>
    <cellStyle name="?鹎%U龡&amp;H齲_x0001_C铣_x0014__x0007__x0001__x0001_ 3 4 3 4" xfId="36"/>
    <cellStyle name="?鹎%U龡&amp;H齲_x0001_C铣_x0014__x0007__x0001__x0001_ 3 4 3 4 2" xfId="3187"/>
    <cellStyle name="?鹎%U龡&amp;H齲_x0001_C铣_x0014__x0007__x0001__x0001_ 3 4 3 5" xfId="3184"/>
    <cellStyle name="?鹎%U龡&amp;H齲_x0001_C铣_x0014__x0007__x0001__x0001_ 3 4 3_2015财政决算公开" xfId="3188"/>
    <cellStyle name="?鹎%U龡&amp;H齲_x0001_C铣_x0014__x0007__x0001__x0001_ 3 4 4" xfId="325"/>
    <cellStyle name="?鹎%U龡&amp;H齲_x0001_C铣_x0014__x0007__x0001__x0001_ 3 4 4 2" xfId="100"/>
    <cellStyle name="?鹎%U龡&amp;H齲_x0001_C铣_x0014__x0007__x0001__x0001_ 3 4 4 2 2" xfId="3190"/>
    <cellStyle name="?鹎%U龡&amp;H齲_x0001_C铣_x0014__x0007__x0001__x0001_ 3 4 4 3" xfId="24"/>
    <cellStyle name="?鹎%U龡&amp;H齲_x0001_C铣_x0014__x0007__x0001__x0001_ 3 4 4 3 2" xfId="3191"/>
    <cellStyle name="?鹎%U龡&amp;H齲_x0001_C铣_x0014__x0007__x0001__x0001_ 3 4 4 4" xfId="329"/>
    <cellStyle name="?鹎%U龡&amp;H齲_x0001_C铣_x0014__x0007__x0001__x0001_ 3 4 4 4 2" xfId="3192"/>
    <cellStyle name="?鹎%U龡&amp;H齲_x0001_C铣_x0014__x0007__x0001__x0001_ 3 4 4 5" xfId="3189"/>
    <cellStyle name="?鹎%U龡&amp;H齲_x0001_C铣_x0014__x0007__x0001__x0001_ 3 4 4_2015财政决算公开" xfId="3193"/>
    <cellStyle name="?鹎%U龡&amp;H齲_x0001_C铣_x0014__x0007__x0001__x0001_ 3 4 5" xfId="331"/>
    <cellStyle name="?鹎%U龡&amp;H齲_x0001_C铣_x0014__x0007__x0001__x0001_ 3 4 5 2" xfId="334"/>
    <cellStyle name="?鹎%U龡&amp;H齲_x0001_C铣_x0014__x0007__x0001__x0001_ 3 4 5 2 2" xfId="3195"/>
    <cellStyle name="?鹎%U龡&amp;H齲_x0001_C铣_x0014__x0007__x0001__x0001_ 3 4 5 3" xfId="336"/>
    <cellStyle name="?鹎%U龡&amp;H齲_x0001_C铣_x0014__x0007__x0001__x0001_ 3 4 5 3 2" xfId="3196"/>
    <cellStyle name="?鹎%U龡&amp;H齲_x0001_C铣_x0014__x0007__x0001__x0001_ 3 4 5 4" xfId="3194"/>
    <cellStyle name="?鹎%U龡&amp;H齲_x0001_C铣_x0014__x0007__x0001__x0001_ 3 4 5_2015财政决算公开" xfId="3197"/>
    <cellStyle name="?鹎%U龡&amp;H齲_x0001_C铣_x0014__x0007__x0001__x0001_ 3 4 6" xfId="80"/>
    <cellStyle name="?鹎%U龡&amp;H齲_x0001_C铣_x0014__x0007__x0001__x0001_ 3 4 6 2" xfId="338"/>
    <cellStyle name="?鹎%U龡&amp;H齲_x0001_C铣_x0014__x0007__x0001__x0001_ 3 4 6 2 2" xfId="3199"/>
    <cellStyle name="?鹎%U龡&amp;H齲_x0001_C铣_x0014__x0007__x0001__x0001_ 3 4 6 3" xfId="340"/>
    <cellStyle name="?鹎%U龡&amp;H齲_x0001_C铣_x0014__x0007__x0001__x0001_ 3 4 6 3 2" xfId="3200"/>
    <cellStyle name="?鹎%U龡&amp;H齲_x0001_C铣_x0014__x0007__x0001__x0001_ 3 4 6 4" xfId="342"/>
    <cellStyle name="?鹎%U龡&amp;H齲_x0001_C铣_x0014__x0007__x0001__x0001_ 3 4 6 4 2" xfId="3201"/>
    <cellStyle name="?鹎%U龡&amp;H齲_x0001_C铣_x0014__x0007__x0001__x0001_ 3 4 6 5" xfId="3198"/>
    <cellStyle name="?鹎%U龡&amp;H齲_x0001_C铣_x0014__x0007__x0001__x0001_ 3 4 6_2015财政决算公开" xfId="3202"/>
    <cellStyle name="?鹎%U龡&amp;H齲_x0001_C铣_x0014__x0007__x0001__x0001_ 3 4 7" xfId="88"/>
    <cellStyle name="?鹎%U龡&amp;H齲_x0001_C铣_x0014__x0007__x0001__x0001_ 3 4 7 2" xfId="3203"/>
    <cellStyle name="?鹎%U龡&amp;H齲_x0001_C铣_x0014__x0007__x0001__x0001_ 3 4 8" xfId="345"/>
    <cellStyle name="?鹎%U龡&amp;H齲_x0001_C铣_x0014__x0007__x0001__x0001_ 3 4 8 2" xfId="3204"/>
    <cellStyle name="?鹎%U龡&amp;H齲_x0001_C铣_x0014__x0007__x0001__x0001_ 3 4 9" xfId="347"/>
    <cellStyle name="?鹎%U龡&amp;H齲_x0001_C铣_x0014__x0007__x0001__x0001_ 3 4 9 2" xfId="3205"/>
    <cellStyle name="?鹎%U龡&amp;H齲_x0001_C铣_x0014__x0007__x0001__x0001_ 3 4_2015财政决算公开" xfId="3206"/>
    <cellStyle name="?鹎%U龡&amp;H齲_x0001_C铣_x0014__x0007__x0001__x0001_ 3 5" xfId="487"/>
    <cellStyle name="?鹎%U龡&amp;H齲_x0001_C铣_x0014__x0007__x0001__x0001_ 3 5 2" xfId="488"/>
    <cellStyle name="?鹎%U龡&amp;H齲_x0001_C铣_x0014__x0007__x0001__x0001_ 3 5 2 2" xfId="3208"/>
    <cellStyle name="?鹎%U龡&amp;H齲_x0001_C铣_x0014__x0007__x0001__x0001_ 3 5 3" xfId="3207"/>
    <cellStyle name="?鹎%U龡&amp;H齲_x0001_C铣_x0014__x0007__x0001__x0001_ 3 5_2015财政决算公开" xfId="3209"/>
    <cellStyle name="?鹎%U龡&amp;H齲_x0001_C铣_x0014__x0007__x0001__x0001_ 3 6" xfId="489"/>
    <cellStyle name="?鹎%U龡&amp;H齲_x0001_C铣_x0014__x0007__x0001__x0001_ 3 6 2" xfId="491"/>
    <cellStyle name="?鹎%U龡&amp;H齲_x0001_C铣_x0014__x0007__x0001__x0001_ 3 6 2 2" xfId="3211"/>
    <cellStyle name="?鹎%U龡&amp;H齲_x0001_C铣_x0014__x0007__x0001__x0001_ 3 6 3" xfId="233"/>
    <cellStyle name="?鹎%U龡&amp;H齲_x0001_C铣_x0014__x0007__x0001__x0001_ 3 6 3 2" xfId="3212"/>
    <cellStyle name="?鹎%U龡&amp;H齲_x0001_C铣_x0014__x0007__x0001__x0001_ 3 6 4" xfId="3210"/>
    <cellStyle name="?鹎%U龡&amp;H齲_x0001_C铣_x0014__x0007__x0001__x0001_ 3 6_2015财政决算公开" xfId="3213"/>
    <cellStyle name="?鹎%U龡&amp;H齲_x0001_C铣_x0014__x0007__x0001__x0001_ 3 7" xfId="495"/>
    <cellStyle name="?鹎%U龡&amp;H齲_x0001_C铣_x0014__x0007__x0001__x0001_ 3 7 2" xfId="3214"/>
    <cellStyle name="?鹎%U龡&amp;H齲_x0001_C铣_x0014__x0007__x0001__x0001_ 3 8" xfId="496"/>
    <cellStyle name="?鹎%U龡&amp;H齲_x0001_C铣_x0014__x0007__x0001__x0001_ 3 8 2" xfId="3215"/>
    <cellStyle name="?鹎%U龡&amp;H齲_x0001_C铣_x0014__x0007__x0001__x0001_ 3 9" xfId="196"/>
    <cellStyle name="?鹎%U龡&amp;H齲_x0001_C铣_x0014__x0007__x0001__x0001_ 3 9 2" xfId="3216"/>
    <cellStyle name="?鹎%U龡&amp;H齲_x0001_C铣_x0014__x0007__x0001__x0001_ 3_2015财政决算公开" xfId="3217"/>
    <cellStyle name="?鹎%U龡&amp;H齲_x0001_C铣_x0014__x0007__x0001__x0001_ 4" xfId="458"/>
    <cellStyle name="?鹎%U龡&amp;H齲_x0001_C铣_x0014__x0007__x0001__x0001_ 4 10" xfId="3218"/>
    <cellStyle name="?鹎%U龡&amp;H齲_x0001_C铣_x0014__x0007__x0001__x0001_ 4 2" xfId="302"/>
    <cellStyle name="?鹎%U龡&amp;H齲_x0001_C铣_x0014__x0007__x0001__x0001_ 4 2 2" xfId="499"/>
    <cellStyle name="?鹎%U龡&amp;H齲_x0001_C铣_x0014__x0007__x0001__x0001_ 4 2 2 2" xfId="502"/>
    <cellStyle name="?鹎%U龡&amp;H齲_x0001_C铣_x0014__x0007__x0001__x0001_ 4 2 2 2 2" xfId="3221"/>
    <cellStyle name="?鹎%U龡&amp;H齲_x0001_C铣_x0014__x0007__x0001__x0001_ 4 2 2 3" xfId="505"/>
    <cellStyle name="?鹎%U龡&amp;H齲_x0001_C铣_x0014__x0007__x0001__x0001_ 4 2 2 3 2" xfId="3222"/>
    <cellStyle name="?鹎%U龡&amp;H齲_x0001_C铣_x0014__x0007__x0001__x0001_ 4 2 2 4" xfId="507"/>
    <cellStyle name="?鹎%U龡&amp;H齲_x0001_C铣_x0014__x0007__x0001__x0001_ 4 2 2 4 2" xfId="3223"/>
    <cellStyle name="?鹎%U龡&amp;H齲_x0001_C铣_x0014__x0007__x0001__x0001_ 4 2 2 5" xfId="508"/>
    <cellStyle name="?鹎%U龡&amp;H齲_x0001_C铣_x0014__x0007__x0001__x0001_ 4 2 2 5 2" xfId="3224"/>
    <cellStyle name="?鹎%U龡&amp;H齲_x0001_C铣_x0014__x0007__x0001__x0001_ 4 2 2 6" xfId="3220"/>
    <cellStyle name="?鹎%U龡&amp;H齲_x0001_C铣_x0014__x0007__x0001__x0001_ 4 2 2_2015财政决算公开" xfId="3225"/>
    <cellStyle name="?鹎%U龡&amp;H齲_x0001_C铣_x0014__x0007__x0001__x0001_ 4 2 3" xfId="511"/>
    <cellStyle name="?鹎%U龡&amp;H齲_x0001_C铣_x0014__x0007__x0001__x0001_ 4 2 3 2" xfId="514"/>
    <cellStyle name="?鹎%U龡&amp;H齲_x0001_C铣_x0014__x0007__x0001__x0001_ 4 2 3 2 2" xfId="3227"/>
    <cellStyle name="?鹎%U龡&amp;H齲_x0001_C铣_x0014__x0007__x0001__x0001_ 4 2 3 3" xfId="517"/>
    <cellStyle name="?鹎%U龡&amp;H齲_x0001_C铣_x0014__x0007__x0001__x0001_ 4 2 3 3 2" xfId="3228"/>
    <cellStyle name="?鹎%U龡&amp;H齲_x0001_C铣_x0014__x0007__x0001__x0001_ 4 2 3 4" xfId="3226"/>
    <cellStyle name="?鹎%U龡&amp;H齲_x0001_C铣_x0014__x0007__x0001__x0001_ 4 2 3_2015财政决算公开" xfId="3229"/>
    <cellStyle name="?鹎%U龡&amp;H齲_x0001_C铣_x0014__x0007__x0001__x0001_ 4 2 4" xfId="420"/>
    <cellStyle name="?鹎%U龡&amp;H齲_x0001_C铣_x0014__x0007__x0001__x0001_ 4 2 4 2" xfId="423"/>
    <cellStyle name="?鹎%U龡&amp;H齲_x0001_C铣_x0014__x0007__x0001__x0001_ 4 2 4 2 2" xfId="3231"/>
    <cellStyle name="?鹎%U龡&amp;H齲_x0001_C铣_x0014__x0007__x0001__x0001_ 4 2 4 3" xfId="425"/>
    <cellStyle name="?鹎%U龡&amp;H齲_x0001_C铣_x0014__x0007__x0001__x0001_ 4 2 4 3 2" xfId="3232"/>
    <cellStyle name="?鹎%U龡&amp;H齲_x0001_C铣_x0014__x0007__x0001__x0001_ 4 2 4 4" xfId="427"/>
    <cellStyle name="?鹎%U龡&amp;H齲_x0001_C铣_x0014__x0007__x0001__x0001_ 4 2 4 4 2" xfId="3233"/>
    <cellStyle name="?鹎%U龡&amp;H齲_x0001_C铣_x0014__x0007__x0001__x0001_ 4 2 4 5" xfId="3230"/>
    <cellStyle name="?鹎%U龡&amp;H齲_x0001_C铣_x0014__x0007__x0001__x0001_ 4 2 4_2015财政决算公开" xfId="3234"/>
    <cellStyle name="?鹎%U龡&amp;H齲_x0001_C铣_x0014__x0007__x0001__x0001_ 4 2 5" xfId="431"/>
    <cellStyle name="?鹎%U龡&amp;H齲_x0001_C铣_x0014__x0007__x0001__x0001_ 4 2 5 2" xfId="3235"/>
    <cellStyle name="?鹎%U龡&amp;H齲_x0001_C铣_x0014__x0007__x0001__x0001_ 4 2 6" xfId="436"/>
    <cellStyle name="?鹎%U龡&amp;H齲_x0001_C铣_x0014__x0007__x0001__x0001_ 4 2 6 2" xfId="3236"/>
    <cellStyle name="?鹎%U龡&amp;H齲_x0001_C铣_x0014__x0007__x0001__x0001_ 4 2 7" xfId="445"/>
    <cellStyle name="?鹎%U龡&amp;H齲_x0001_C铣_x0014__x0007__x0001__x0001_ 4 2 7 2" xfId="3237"/>
    <cellStyle name="?鹎%U龡&amp;H齲_x0001_C铣_x0014__x0007__x0001__x0001_ 4 2 8" xfId="3219"/>
    <cellStyle name="?鹎%U龡&amp;H齲_x0001_C铣_x0014__x0007__x0001__x0001_ 4 2_2015财政决算公开" xfId="3238"/>
    <cellStyle name="?鹎%U龡&amp;H齲_x0001_C铣_x0014__x0007__x0001__x0001_ 4 3" xfId="305"/>
    <cellStyle name="?鹎%U龡&amp;H齲_x0001_C铣_x0014__x0007__x0001__x0001_ 4 3 2" xfId="519"/>
    <cellStyle name="?鹎%U龡&amp;H齲_x0001_C铣_x0014__x0007__x0001__x0001_ 4 3 2 2" xfId="3240"/>
    <cellStyle name="?鹎%U龡&amp;H齲_x0001_C铣_x0014__x0007__x0001__x0001_ 4 3 3" xfId="2"/>
    <cellStyle name="?鹎%U龡&amp;H齲_x0001_C铣_x0014__x0007__x0001__x0001_ 4 3 3 2" xfId="3241"/>
    <cellStyle name="?鹎%U龡&amp;H齲_x0001_C铣_x0014__x0007__x0001__x0001_ 4 3 4" xfId="315"/>
    <cellStyle name="?鹎%U龡&amp;H齲_x0001_C铣_x0014__x0007__x0001__x0001_ 4 3 4 2" xfId="3242"/>
    <cellStyle name="?鹎%U龡&amp;H齲_x0001_C铣_x0014__x0007__x0001__x0001_ 4 3 5" xfId="456"/>
    <cellStyle name="?鹎%U龡&amp;H齲_x0001_C铣_x0014__x0007__x0001__x0001_ 4 3 5 2" xfId="3243"/>
    <cellStyle name="?鹎%U龡&amp;H齲_x0001_C铣_x0014__x0007__x0001__x0001_ 4 3 6" xfId="3239"/>
    <cellStyle name="?鹎%U龡&amp;H齲_x0001_C铣_x0014__x0007__x0001__x0001_ 4 3_2015财政决算公开" xfId="3244"/>
    <cellStyle name="?鹎%U龡&amp;H齲_x0001_C铣_x0014__x0007__x0001__x0001_ 4 4" xfId="521"/>
    <cellStyle name="?鹎%U龡&amp;H齲_x0001_C铣_x0014__x0007__x0001__x0001_ 4 4 2" xfId="523"/>
    <cellStyle name="?鹎%U龡&amp;H齲_x0001_C铣_x0014__x0007__x0001__x0001_ 4 4 2 2" xfId="3246"/>
    <cellStyle name="?鹎%U龡&amp;H齲_x0001_C铣_x0014__x0007__x0001__x0001_ 4 4 3" xfId="526"/>
    <cellStyle name="?鹎%U龡&amp;H齲_x0001_C铣_x0014__x0007__x0001__x0001_ 4 4 3 2" xfId="3247"/>
    <cellStyle name="?鹎%U龡&amp;H齲_x0001_C铣_x0014__x0007__x0001__x0001_ 4 4 4" xfId="386"/>
    <cellStyle name="?鹎%U龡&amp;H齲_x0001_C铣_x0014__x0007__x0001__x0001_ 4 4 4 2" xfId="3248"/>
    <cellStyle name="?鹎%U龡&amp;H齲_x0001_C铣_x0014__x0007__x0001__x0001_ 4 4 5" xfId="3245"/>
    <cellStyle name="?鹎%U龡&amp;H齲_x0001_C铣_x0014__x0007__x0001__x0001_ 4 4_2015财政决算公开" xfId="3249"/>
    <cellStyle name="?鹎%U龡&amp;H齲_x0001_C铣_x0014__x0007__x0001__x0001_ 4 5" xfId="528"/>
    <cellStyle name="?鹎%U龡&amp;H齲_x0001_C铣_x0014__x0007__x0001__x0001_ 4 5 2" xfId="530"/>
    <cellStyle name="?鹎%U龡&amp;H齲_x0001_C铣_x0014__x0007__x0001__x0001_ 4 5 2 2" xfId="3251"/>
    <cellStyle name="?鹎%U龡&amp;H齲_x0001_C铣_x0014__x0007__x0001__x0001_ 4 5 3" xfId="531"/>
    <cellStyle name="?鹎%U龡&amp;H齲_x0001_C铣_x0014__x0007__x0001__x0001_ 4 5 3 2" xfId="3252"/>
    <cellStyle name="?鹎%U龡&amp;H齲_x0001_C铣_x0014__x0007__x0001__x0001_ 4 5 4" xfId="3250"/>
    <cellStyle name="?鹎%U龡&amp;H齲_x0001_C铣_x0014__x0007__x0001__x0001_ 4 5_2015财政决算公开" xfId="3253"/>
    <cellStyle name="?鹎%U龡&amp;H齲_x0001_C铣_x0014__x0007__x0001__x0001_ 4 6" xfId="533"/>
    <cellStyle name="?鹎%U龡&amp;H齲_x0001_C铣_x0014__x0007__x0001__x0001_ 4 6 2" xfId="536"/>
    <cellStyle name="?鹎%U龡&amp;H齲_x0001_C铣_x0014__x0007__x0001__x0001_ 4 6 2 2" xfId="3255"/>
    <cellStyle name="?鹎%U龡&amp;H齲_x0001_C铣_x0014__x0007__x0001__x0001_ 4 6 3" xfId="538"/>
    <cellStyle name="?鹎%U龡&amp;H齲_x0001_C铣_x0014__x0007__x0001__x0001_ 4 6 3 2" xfId="3256"/>
    <cellStyle name="?鹎%U龡&amp;H齲_x0001_C铣_x0014__x0007__x0001__x0001_ 4 6 4" xfId="404"/>
    <cellStyle name="?鹎%U龡&amp;H齲_x0001_C铣_x0014__x0007__x0001__x0001_ 4 6 4 2" xfId="3257"/>
    <cellStyle name="?鹎%U龡&amp;H齲_x0001_C铣_x0014__x0007__x0001__x0001_ 4 6 5" xfId="3254"/>
    <cellStyle name="?鹎%U龡&amp;H齲_x0001_C铣_x0014__x0007__x0001__x0001_ 4 6_2015财政决算公开" xfId="3258"/>
    <cellStyle name="?鹎%U龡&amp;H齲_x0001_C铣_x0014__x0007__x0001__x0001_ 4 7" xfId="539"/>
    <cellStyle name="?鹎%U龡&amp;H齲_x0001_C铣_x0014__x0007__x0001__x0001_ 4 7 2" xfId="3259"/>
    <cellStyle name="?鹎%U龡&amp;H齲_x0001_C铣_x0014__x0007__x0001__x0001_ 4 8" xfId="540"/>
    <cellStyle name="?鹎%U龡&amp;H齲_x0001_C铣_x0014__x0007__x0001__x0001_ 4 8 2" xfId="3260"/>
    <cellStyle name="?鹎%U龡&amp;H齲_x0001_C铣_x0014__x0007__x0001__x0001_ 4 9" xfId="203"/>
    <cellStyle name="?鹎%U龡&amp;H齲_x0001_C铣_x0014__x0007__x0001__x0001_ 4 9 2" xfId="3261"/>
    <cellStyle name="?鹎%U龡&amp;H齲_x0001_C铣_x0014__x0007__x0001__x0001_ 4_2015财政决算公开" xfId="3262"/>
    <cellStyle name="?鹎%U龡&amp;H齲_x0001_C铣_x0014__x0007__x0001__x0001_ 5" xfId="461"/>
    <cellStyle name="?鹎%U龡&amp;H齲_x0001_C铣_x0014__x0007__x0001__x0001_ 5 2" xfId="269"/>
    <cellStyle name="?鹎%U龡&amp;H齲_x0001_C铣_x0014__x0007__x0001__x0001_ 5 2 2" xfId="3264"/>
    <cellStyle name="?鹎%U龡&amp;H齲_x0001_C铣_x0014__x0007__x0001__x0001_ 5 3" xfId="542"/>
    <cellStyle name="?鹎%U龡&amp;H齲_x0001_C铣_x0014__x0007__x0001__x0001_ 5 3 2" xfId="3265"/>
    <cellStyle name="?鹎%U龡&amp;H齲_x0001_C铣_x0014__x0007__x0001__x0001_ 5 4" xfId="3263"/>
    <cellStyle name="?鹎%U龡&amp;H齲_x0001_C铣_x0014__x0007__x0001__x0001_ 5_2015财政决算公开" xfId="3266"/>
    <cellStyle name="?鹎%U龡&amp;H齲_x0001_C铣_x0014__x0007__x0001__x0001_ 6" xfId="545"/>
    <cellStyle name="?鹎%U龡&amp;H齲_x0001_C铣_x0014__x0007__x0001__x0001_ 6 2" xfId="549"/>
    <cellStyle name="?鹎%U龡&amp;H齲_x0001_C铣_x0014__x0007__x0001__x0001_ 6 2 2" xfId="3268"/>
    <cellStyle name="?鹎%U龡&amp;H齲_x0001_C铣_x0014__x0007__x0001__x0001_ 6 3" xfId="552"/>
    <cellStyle name="?鹎%U龡&amp;H齲_x0001_C铣_x0014__x0007__x0001__x0001_ 6 3 2" xfId="3269"/>
    <cellStyle name="?鹎%U龡&amp;H齲_x0001_C铣_x0014__x0007__x0001__x0001_ 6 4" xfId="3267"/>
    <cellStyle name="?鹎%U龡&amp;H齲_x0001_C铣_x0014__x0007__x0001__x0001_ 6_2015财政决算公开" xfId="3270"/>
    <cellStyle name="?鹎%U龡&amp;H齲_x0001_C铣_x0014__x0007__x0001__x0001_ 7" xfId="2853"/>
    <cellStyle name="20% - 强调文字颜色 1" xfId="553"/>
    <cellStyle name="20% - 强调文字颜色 1 2" xfId="554"/>
    <cellStyle name="20% - 强调文字颜色 1 2 2" xfId="147"/>
    <cellStyle name="20% - 强调文字颜色 1 2 2 2" xfId="152"/>
    <cellStyle name="20% - 强调文字颜色 1 2 2 2 2" xfId="555"/>
    <cellStyle name="20% - 强调文字颜色 1 2 2 2 2 2" xfId="3273"/>
    <cellStyle name="20% - 强调文字颜色 1 2 2 2 3" xfId="2397"/>
    <cellStyle name="20% - 强调文字颜色 1 2 2 2_2015财政决算公开" xfId="3274"/>
    <cellStyle name="20% - 强调文字颜色 1 2 2 3" xfId="158"/>
    <cellStyle name="20% - 强调文字颜色 1 2 2 3 2" xfId="2398"/>
    <cellStyle name="20% - 强调文字颜色 1 2 2 4" xfId="2396"/>
    <cellStyle name="20% - 强调文字颜色 1 2 2_2015财政决算公开" xfId="3275"/>
    <cellStyle name="20% - 强调文字颜色 1 2 3" xfId="12"/>
    <cellStyle name="20% - 强调文字颜色 1 2 3 2" xfId="49"/>
    <cellStyle name="20% - 强调文字颜色 1 2 3 2 2" xfId="53"/>
    <cellStyle name="20% - 强调文字颜色 1 2 3 2 2 2" xfId="3278"/>
    <cellStyle name="20% - 强调文字颜色 1 2 3 2 3" xfId="3277"/>
    <cellStyle name="20% - 强调文字颜色 1 2 3 2_2015财政决算公开" xfId="3279"/>
    <cellStyle name="20% - 强调文字颜色 1 2 3 3" xfId="90"/>
    <cellStyle name="20% - 强调文字颜色 1 2 3 3 2" xfId="3280"/>
    <cellStyle name="20% - 强调文字颜色 1 2 3 4" xfId="2399"/>
    <cellStyle name="20% - 强调文字颜色 1 2 3 5" xfId="3276"/>
    <cellStyle name="20% - 强调文字颜色 1 2 3_2015财政决算公开" xfId="3281"/>
    <cellStyle name="20% - 强调文字颜色 1 2 4" xfId="163"/>
    <cellStyle name="20% - 强调文字颜色 1 2 4 2" xfId="166"/>
    <cellStyle name="20% - 强调文字颜色 1 2 4 2 2" xfId="3283"/>
    <cellStyle name="20% - 强调文字颜色 1 2 4 3" xfId="2400"/>
    <cellStyle name="20% - 强调文字颜色 1 2 4 4" xfId="3282"/>
    <cellStyle name="20% - 强调文字颜色 1 2 4_2015财政决算公开" xfId="3284"/>
    <cellStyle name="20% - 强调文字颜色 1 2 5" xfId="226"/>
    <cellStyle name="20% - 强调文字颜色 1 2 5 2" xfId="3285"/>
    <cellStyle name="20% - 强调文字颜色 1 2 6" xfId="2395"/>
    <cellStyle name="20% - 强调文字颜色 1 2 7" xfId="3272"/>
    <cellStyle name="20% - 强调文字颜色 1 2_2015财政决算公开" xfId="3286"/>
    <cellStyle name="20% - 强调文字颜色 1 3" xfId="557"/>
    <cellStyle name="20% - 强调文字颜色 1 3 2" xfId="211"/>
    <cellStyle name="20% - 强调文字颜色 1 3 2 2" xfId="21"/>
    <cellStyle name="20% - 强调文字颜色 1 3 2 2 2" xfId="95"/>
    <cellStyle name="20% - 强调文字颜色 1 3 2 2 2 2" xfId="3289"/>
    <cellStyle name="20% - 强调文字颜色 1 3 2 2 3" xfId="3288"/>
    <cellStyle name="20% - 强调文字颜色 1 3 2 2_2015财政决算公开" xfId="3290"/>
    <cellStyle name="20% - 强调文字颜色 1 3 2 3" xfId="558"/>
    <cellStyle name="20% - 强调文字颜色 1 3 2 3 2" xfId="3291"/>
    <cellStyle name="20% - 强调文字颜色 1 3 2 4" xfId="3287"/>
    <cellStyle name="20% - 强调文字颜色 1 3 2_2015财政决算公开" xfId="3292"/>
    <cellStyle name="20% - 强调文字颜色 1 3 3" xfId="216"/>
    <cellStyle name="20% - 强调文字颜色 1 3 3 2" xfId="319"/>
    <cellStyle name="20% - 强调文字颜色 1 3 3 2 2" xfId="3294"/>
    <cellStyle name="20% - 强调文字颜色 1 3 3 3" xfId="3293"/>
    <cellStyle name="20% - 强调文字颜色 1 3 3_2015财政决算公开" xfId="3295"/>
    <cellStyle name="20% - 强调文字颜色 1 3 4" xfId="221"/>
    <cellStyle name="20% - 强调文字颜色 1 3 4 2" xfId="3296"/>
    <cellStyle name="20% - 强调文字颜色 1 3 5" xfId="2401"/>
    <cellStyle name="20% - 强调文字颜色 1 3_2015财政决算公开" xfId="3297"/>
    <cellStyle name="20% - 强调文字颜色 1 4" xfId="492"/>
    <cellStyle name="20% - 强调文字颜色 1 4 2" xfId="298"/>
    <cellStyle name="20% - 强调文字颜色 1 4 2 2" xfId="104"/>
    <cellStyle name="20% - 强调文字颜色 1 4 2 2 2" xfId="3300"/>
    <cellStyle name="20% - 强调文字颜色 1 4 2 3" xfId="3299"/>
    <cellStyle name="20% - 强调文字颜色 1 4 2_2015财政决算公开" xfId="3301"/>
    <cellStyle name="20% - 强调文字颜色 1 4 3" xfId="301"/>
    <cellStyle name="20% - 强调文字颜色 1 4 3 2" xfId="3302"/>
    <cellStyle name="20% - 强调文字颜色 1 4 4" xfId="3298"/>
    <cellStyle name="20% - 强调文字颜色 1 4_2015财政决算公开" xfId="3303"/>
    <cellStyle name="20% - 强调文字颜色 1 5" xfId="234"/>
    <cellStyle name="20% - 强调文字颜色 1 5 2" xfId="264"/>
    <cellStyle name="20% - 强调文字颜色 1 5 2 2" xfId="561"/>
    <cellStyle name="20% - 强调文字颜色 1 5 2 2 2" xfId="3306"/>
    <cellStyle name="20% - 强调文字颜色 1 5 2 3" xfId="3305"/>
    <cellStyle name="20% - 强调文字颜色 1 5 2_2015财政决算公开" xfId="3307"/>
    <cellStyle name="20% - 强调文字颜色 1 5 3" xfId="266"/>
    <cellStyle name="20% - 强调文字颜色 1 5 3 2" xfId="3308"/>
    <cellStyle name="20% - 强调文字颜色 1 5 4" xfId="3304"/>
    <cellStyle name="20% - 强调文字颜色 1 5_2015财政决算公开" xfId="3309"/>
    <cellStyle name="20% - 强调文字颜色 1 6" xfId="237"/>
    <cellStyle name="20% - 强调文字颜色 1 6 2" xfId="562"/>
    <cellStyle name="20% - 强调文字颜色 1 6 2 2" xfId="3311"/>
    <cellStyle name="20% - 强调文字颜色 1 6 3" xfId="3310"/>
    <cellStyle name="20% - 强调文字颜色 1 6_2015财政决算公开" xfId="3312"/>
    <cellStyle name="20% - 强调文字颜色 1 7" xfId="242"/>
    <cellStyle name="20% - 强调文字颜色 1 7 2" xfId="3313"/>
    <cellStyle name="20% - 强调文字颜色 1 8" xfId="2394"/>
    <cellStyle name="20% - 强调文字颜色 1 9" xfId="3271"/>
    <cellStyle name="20% - 强调文字颜色 2" xfId="565"/>
    <cellStyle name="20% - 强调文字颜色 2 2" xfId="566"/>
    <cellStyle name="20% - 强调文字颜色 2 2 2" xfId="360"/>
    <cellStyle name="20% - 强调文字颜色 2 2 2 2" xfId="41"/>
    <cellStyle name="20% - 强调文字颜色 2 2 2 2 2" xfId="568"/>
    <cellStyle name="20% - 强调文字颜色 2 2 2 2 2 2" xfId="3316"/>
    <cellStyle name="20% - 强调文字颜色 2 2 2 2 3" xfId="2405"/>
    <cellStyle name="20% - 强调文字颜色 2 2 2 2_2015财政决算公开" xfId="3317"/>
    <cellStyle name="20% - 强调文字颜色 2 2 2 3" xfId="367"/>
    <cellStyle name="20% - 强调文字颜色 2 2 2 3 2" xfId="2406"/>
    <cellStyle name="20% - 强调文字颜色 2 2 2 4" xfId="2404"/>
    <cellStyle name="20% - 强调文字颜色 2 2 2_2015财政决算公开" xfId="3318"/>
    <cellStyle name="20% - 强调文字颜色 2 2 3" xfId="369"/>
    <cellStyle name="20% - 强调文字颜色 2 2 3 2" xfId="253"/>
    <cellStyle name="20% - 强调文字颜色 2 2 3 2 2" xfId="570"/>
    <cellStyle name="20% - 强调文字颜色 2 2 3 2 2 2" xfId="3321"/>
    <cellStyle name="20% - 强调文字颜色 2 2 3 2 3" xfId="3320"/>
    <cellStyle name="20% - 强调文字颜色 2 2 3 2_2015财政决算公开" xfId="3322"/>
    <cellStyle name="20% - 强调文字颜色 2 2 3 3" xfId="259"/>
    <cellStyle name="20% - 强调文字颜色 2 2 3 3 2" xfId="3323"/>
    <cellStyle name="20% - 强调文字颜色 2 2 3 4" xfId="2407"/>
    <cellStyle name="20% - 强调文字颜色 2 2 3 5" xfId="3319"/>
    <cellStyle name="20% - 强调文字颜色 2 2 3_2015财政决算公开" xfId="3324"/>
    <cellStyle name="20% - 强调文字颜色 2 2 4" xfId="373"/>
    <cellStyle name="20% - 强调文字颜色 2 2 4 2" xfId="572"/>
    <cellStyle name="20% - 强调文字颜色 2 2 4 2 2" xfId="3326"/>
    <cellStyle name="20% - 强调文字颜色 2 2 4 3" xfId="2408"/>
    <cellStyle name="20% - 强调文字颜色 2 2 4 4" xfId="3325"/>
    <cellStyle name="20% - 强调文字颜色 2 2 4_2015财政决算公开" xfId="3327"/>
    <cellStyle name="20% - 强调文字颜色 2 2 5" xfId="377"/>
    <cellStyle name="20% - 强调文字颜色 2 2 5 2" xfId="3328"/>
    <cellStyle name="20% - 强调文字颜色 2 2 6" xfId="2403"/>
    <cellStyle name="20% - 强调文字颜色 2 2 7" xfId="3315"/>
    <cellStyle name="20% - 强调文字颜色 2 2_2015财政决算公开" xfId="3329"/>
    <cellStyle name="20% - 强调文字颜色 2 3" xfId="575"/>
    <cellStyle name="20% - 强调文字颜色 2 3 2" xfId="64"/>
    <cellStyle name="20% - 强调文字颜色 2 3 2 2" xfId="576"/>
    <cellStyle name="20% - 强调文字颜色 2 3 2 2 2" xfId="578"/>
    <cellStyle name="20% - 强调文字颜色 2 3 2 2 2 2" xfId="3332"/>
    <cellStyle name="20% - 强调文字颜色 2 3 2 2 3" xfId="3331"/>
    <cellStyle name="20% - 强调文字颜色 2 3 2 2_2015财政决算公开" xfId="3333"/>
    <cellStyle name="20% - 强调文字颜色 2 3 2 3" xfId="579"/>
    <cellStyle name="20% - 强调文字颜色 2 3 2 3 2" xfId="3334"/>
    <cellStyle name="20% - 强调文字颜色 2 3 2 4" xfId="3330"/>
    <cellStyle name="20% - 强调文字颜色 2 3 2_2015财政决算公开" xfId="3335"/>
    <cellStyle name="20% - 强调文字颜色 2 3 3" xfId="69"/>
    <cellStyle name="20% - 强调文字颜色 2 3 3 2" xfId="580"/>
    <cellStyle name="20% - 强调文字颜色 2 3 3 2 2" xfId="3337"/>
    <cellStyle name="20% - 强调文字颜色 2 3 3 3" xfId="3336"/>
    <cellStyle name="20% - 强调文字颜色 2 3 3_2015财政决算公开" xfId="3338"/>
    <cellStyle name="20% - 强调文字颜色 2 3 4" xfId="413"/>
    <cellStyle name="20% - 强调文字颜色 2 3 4 2" xfId="3339"/>
    <cellStyle name="20% - 强调文字颜色 2 3 5" xfId="2409"/>
    <cellStyle name="20% - 强调文字颜色 2 3_2015财政决算公开" xfId="3340"/>
    <cellStyle name="20% - 强调文字颜色 2 4" xfId="582"/>
    <cellStyle name="20% - 强调文字颜色 2 4 2" xfId="86"/>
    <cellStyle name="20% - 强调文字颜色 2 4 2 2" xfId="564"/>
    <cellStyle name="20% - 强调文字颜色 2 4 2 2 2" xfId="3343"/>
    <cellStyle name="20% - 强调文字颜色 2 4 2 3" xfId="3342"/>
    <cellStyle name="20% - 强调文字颜色 2 4 2_2015财政决算公开" xfId="3344"/>
    <cellStyle name="20% - 强调文字颜色 2 4 3" xfId="343"/>
    <cellStyle name="20% - 强调文字颜色 2 4 3 2" xfId="3345"/>
    <cellStyle name="20% - 强调文字颜色 2 4 4" xfId="3341"/>
    <cellStyle name="20% - 强调文字颜色 2 4_2015财政决算公开" xfId="3346"/>
    <cellStyle name="20% - 强调文字颜色 2 5" xfId="31"/>
    <cellStyle name="20% - 强调文字颜色 2 5 2" xfId="93"/>
    <cellStyle name="20% - 强调文字颜色 2 5 2 2" xfId="583"/>
    <cellStyle name="20% - 强调文字颜色 2 5 2 2 2" xfId="3349"/>
    <cellStyle name="20% - 强调文字颜色 2 5 2 3" xfId="3348"/>
    <cellStyle name="20% - 强调文字颜色 2 5 2_2015财政决算公开" xfId="3350"/>
    <cellStyle name="20% - 强调文字颜色 2 5 3" xfId="97"/>
    <cellStyle name="20% - 强调文字颜色 2 5 3 2" xfId="3351"/>
    <cellStyle name="20% - 强调文字颜色 2 5 4" xfId="3347"/>
    <cellStyle name="20% - 强调文字颜色 2 5_2015财政决算公开" xfId="3352"/>
    <cellStyle name="20% - 强调文字颜色 2 6" xfId="40"/>
    <cellStyle name="20% - 强调文字颜色 2 6 2" xfId="567"/>
    <cellStyle name="20% - 强调文字颜色 2 6 2 2" xfId="3354"/>
    <cellStyle name="20% - 强调文字颜色 2 6 3" xfId="3353"/>
    <cellStyle name="20% - 强调文字颜色 2 6_2015财政决算公开" xfId="3355"/>
    <cellStyle name="20% - 强调文字颜色 2 7" xfId="366"/>
    <cellStyle name="20% - 强调文字颜色 2 7 2" xfId="3356"/>
    <cellStyle name="20% - 强调文字颜色 2 8" xfId="2402"/>
    <cellStyle name="20% - 强调文字颜色 2 9" xfId="3314"/>
    <cellStyle name="20% - 强调文字颜色 3" xfId="584"/>
    <cellStyle name="20% - 强调文字颜色 3 2" xfId="586"/>
    <cellStyle name="20% - 强调文字颜色 3 2 2" xfId="443"/>
    <cellStyle name="20% - 强调文字颜色 3 2 2 2" xfId="587"/>
    <cellStyle name="20% - 强调文字颜色 3 2 2 2 2" xfId="588"/>
    <cellStyle name="20% - 强调文字颜色 3 2 2 2 2 2" xfId="3359"/>
    <cellStyle name="20% - 强调文字颜色 3 2 2 2 3" xfId="2413"/>
    <cellStyle name="20% - 强调文字颜色 3 2 2 2_2015财政决算公开" xfId="3360"/>
    <cellStyle name="20% - 强调文字颜色 3 2 2 3" xfId="589"/>
    <cellStyle name="20% - 强调文字颜色 3 2 2 3 2" xfId="2414"/>
    <cellStyle name="20% - 强调文字颜色 3 2 2 4" xfId="2412"/>
    <cellStyle name="20% - 强调文字颜色 3 2 2_2015财政决算公开" xfId="3361"/>
    <cellStyle name="20% - 强调文字颜色 3 2 3" xfId="448"/>
    <cellStyle name="20% - 强调文字颜色 3 2 3 2" xfId="592"/>
    <cellStyle name="20% - 强调文字颜色 3 2 3 2 2" xfId="594"/>
    <cellStyle name="20% - 强调文字颜色 3 2 3 2 2 2" xfId="3364"/>
    <cellStyle name="20% - 强调文字颜色 3 2 3 2 3" xfId="3363"/>
    <cellStyle name="20% - 强调文字颜色 3 2 3 2_2015财政决算公开" xfId="3365"/>
    <cellStyle name="20% - 强调文字颜色 3 2 3 3" xfId="596"/>
    <cellStyle name="20% - 强调文字颜色 3 2 3 3 2" xfId="3366"/>
    <cellStyle name="20% - 强调文字颜色 3 2 3 4" xfId="2415"/>
    <cellStyle name="20% - 强调文字颜色 3 2 3 5" xfId="3362"/>
    <cellStyle name="20% - 强调文字颜色 3 2 3_2015财政决算公开" xfId="3367"/>
    <cellStyle name="20% - 强调文字颜色 3 2 4" xfId="450"/>
    <cellStyle name="20% - 强调文字颜色 3 2 4 2" xfId="597"/>
    <cellStyle name="20% - 强调文字颜色 3 2 4 2 2" xfId="3369"/>
    <cellStyle name="20% - 强调文字颜色 3 2 4 3" xfId="2416"/>
    <cellStyle name="20% - 强调文字颜色 3 2 4 4" xfId="3368"/>
    <cellStyle name="20% - 强调文字颜色 3 2 4_2015财政决算公开" xfId="3370"/>
    <cellStyle name="20% - 强调文字颜色 3 2 5" xfId="474"/>
    <cellStyle name="20% - 强调文字颜色 3 2 5 2" xfId="3371"/>
    <cellStyle name="20% - 强调文字颜色 3 2 6" xfId="2411"/>
    <cellStyle name="20% - 强调文字颜色 3 2 7" xfId="3358"/>
    <cellStyle name="20% - 强调文字颜色 3 2_2015财政决算公开" xfId="3372"/>
    <cellStyle name="20% - 强调文字颜色 3 3" xfId="600"/>
    <cellStyle name="20% - 强调文字颜色 3 3 2" xfId="543"/>
    <cellStyle name="20% - 强调文字颜色 3 3 2 2" xfId="547"/>
    <cellStyle name="20% - 强调文字颜色 3 3 2 2 2" xfId="601"/>
    <cellStyle name="20% - 强调文字颜色 3 3 2 2 2 2" xfId="3375"/>
    <cellStyle name="20% - 强调文字颜色 3 3 2 2 3" xfId="3374"/>
    <cellStyle name="20% - 强调文字颜色 3 3 2 2_2015财政决算公开" xfId="3376"/>
    <cellStyle name="20% - 强调文字颜色 3 3 2 3" xfId="550"/>
    <cellStyle name="20% - 强调文字颜色 3 3 2 3 2" xfId="3377"/>
    <cellStyle name="20% - 强调文字颜色 3 3 2 4" xfId="3373"/>
    <cellStyle name="20% - 强调文字颜色 3 3 2_2015财政决算公开" xfId="3378"/>
    <cellStyle name="20% - 强调文字颜色 3 3 3" xfId="602"/>
    <cellStyle name="20% - 强调文字颜色 3 3 3 2" xfId="603"/>
    <cellStyle name="20% - 强调文字颜色 3 3 3 2 2" xfId="3380"/>
    <cellStyle name="20% - 强调文字颜色 3 3 3 3" xfId="3379"/>
    <cellStyle name="20% - 强调文字颜色 3 3 3_2015财政决算公开" xfId="3381"/>
    <cellStyle name="20% - 强调文字颜色 3 3 4" xfId="604"/>
    <cellStyle name="20% - 强调文字颜色 3 3 4 2" xfId="3382"/>
    <cellStyle name="20% - 强调文字颜色 3 3 5" xfId="2417"/>
    <cellStyle name="20% - 强调文字颜色 3 3_2015财政决算公开" xfId="3383"/>
    <cellStyle name="20% - 强调文字颜色 3 4" xfId="607"/>
    <cellStyle name="20% - 强调文字颜色 3 4 2" xfId="608"/>
    <cellStyle name="20% - 强调文字颜色 3 4 2 2" xfId="610"/>
    <cellStyle name="20% - 强调文字颜色 3 4 2 2 2" xfId="3386"/>
    <cellStyle name="20% - 强调文字颜色 3 4 2 3" xfId="3385"/>
    <cellStyle name="20% - 强调文字颜色 3 4 2_2015财政决算公开" xfId="3387"/>
    <cellStyle name="20% - 强调文字颜色 3 4 3" xfId="611"/>
    <cellStyle name="20% - 强调文字颜色 3 4 3 2" xfId="3388"/>
    <cellStyle name="20% - 强调文字颜色 3 4 4" xfId="3384"/>
    <cellStyle name="20% - 强调文字颜色 3 4_2015财政决算公开" xfId="3389"/>
    <cellStyle name="20% - 强调文字颜色 3 5" xfId="248"/>
    <cellStyle name="20% - 强调文字颜色 3 5 2" xfId="612"/>
    <cellStyle name="20% - 强调文字颜色 3 5 2 2" xfId="613"/>
    <cellStyle name="20% - 强调文字颜色 3 5 2 2 2" xfId="3392"/>
    <cellStyle name="20% - 强调文字颜色 3 5 2 3" xfId="3391"/>
    <cellStyle name="20% - 强调文字颜色 3 5 2_2015财政决算公开" xfId="3393"/>
    <cellStyle name="20% - 强调文字颜色 3 5 3" xfId="614"/>
    <cellStyle name="20% - 强调文字颜色 3 5 3 2" xfId="3394"/>
    <cellStyle name="20% - 强调文字颜色 3 5 4" xfId="3390"/>
    <cellStyle name="20% - 强调文字颜色 3 5_2015财政决算公开" xfId="3395"/>
    <cellStyle name="20% - 强调文字颜色 3 6" xfId="252"/>
    <cellStyle name="20% - 强调文字颜色 3 6 2" xfId="569"/>
    <cellStyle name="20% - 强调文字颜色 3 6 2 2" xfId="3397"/>
    <cellStyle name="20% - 强调文字颜色 3 6 3" xfId="3396"/>
    <cellStyle name="20% - 强调文字颜色 3 6_2015财政决算公开" xfId="3398"/>
    <cellStyle name="20% - 强调文字颜色 3 7" xfId="258"/>
    <cellStyle name="20% - 强调文字颜色 3 7 2" xfId="3399"/>
    <cellStyle name="20% - 强调文字颜色 3 8" xfId="2410"/>
    <cellStyle name="20% - 强调文字颜色 3 9" xfId="3357"/>
    <cellStyle name="20% - 强调文字颜色 4" xfId="616"/>
    <cellStyle name="20% - 强调文字颜色 4 2" xfId="618"/>
    <cellStyle name="20% - 强调文字颜色 4 2 2" xfId="478"/>
    <cellStyle name="20% - 强调文字颜色 4 2 2 2" xfId="605"/>
    <cellStyle name="20% - 强调文字颜色 4 2 2 2 2" xfId="619"/>
    <cellStyle name="20% - 强调文字颜色 4 2 2 2 2 2" xfId="3402"/>
    <cellStyle name="20% - 强调文字颜色 4 2 2 2 3" xfId="2421"/>
    <cellStyle name="20% - 强调文字颜色 4 2 2 2_2015财政决算公开" xfId="3403"/>
    <cellStyle name="20% - 强调文字颜色 4 2 2 3" xfId="620"/>
    <cellStyle name="20% - 强调文字颜色 4 2 2 3 2" xfId="2422"/>
    <cellStyle name="20% - 强调文字颜色 4 2 2 4" xfId="2420"/>
    <cellStyle name="20% - 强调文字颜色 4 2 2_2015财政决算公开" xfId="3404"/>
    <cellStyle name="20% - 强调文字颜色 4 2 3" xfId="481"/>
    <cellStyle name="20% - 强调文字颜色 4 2 3 2" xfId="621"/>
    <cellStyle name="20% - 强调文字颜色 4 2 3 2 2" xfId="622"/>
    <cellStyle name="20% - 强调文字颜色 4 2 3 2 2 2" xfId="3407"/>
    <cellStyle name="20% - 强调文字颜色 4 2 3 2 3" xfId="3406"/>
    <cellStyle name="20% - 强调文字颜色 4 2 3 2_2015财政决算公开" xfId="3408"/>
    <cellStyle name="20% - 强调文字颜色 4 2 3 3" xfId="623"/>
    <cellStyle name="20% - 强调文字颜色 4 2 3 3 2" xfId="3409"/>
    <cellStyle name="20% - 强调文字颜色 4 2 3 4" xfId="2423"/>
    <cellStyle name="20% - 强调文字颜色 4 2 3 5" xfId="3405"/>
    <cellStyle name="20% - 强调文字颜色 4 2 3_2015财政决算公开" xfId="3410"/>
    <cellStyle name="20% - 强调文字颜色 4 2 4" xfId="483"/>
    <cellStyle name="20% - 强调文字颜色 4 2 4 2" xfId="6"/>
    <cellStyle name="20% - 强调文字颜色 4 2 4 2 2" xfId="3412"/>
    <cellStyle name="20% - 强调文字颜色 4 2 4 3" xfId="2424"/>
    <cellStyle name="20% - 强调文字颜色 4 2 4 4" xfId="3411"/>
    <cellStyle name="20% - 强调文字颜色 4 2 4_2015财政决算公开" xfId="3413"/>
    <cellStyle name="20% - 强调文字颜色 4 2 5" xfId="624"/>
    <cellStyle name="20% - 强调文字颜色 4 2 5 2" xfId="3414"/>
    <cellStyle name="20% - 强调文字颜色 4 2 6" xfId="2419"/>
    <cellStyle name="20% - 强调文字颜色 4 2 7" xfId="3401"/>
    <cellStyle name="20% - 强调文字颜色 4 2_2015财政决算公开" xfId="3415"/>
    <cellStyle name="20% - 强调文字颜色 4 3" xfId="625"/>
    <cellStyle name="20% - 强调文字颜色 4 3 2" xfId="127"/>
    <cellStyle name="20% - 强调文字颜色 4 3 2 2" xfId="626"/>
    <cellStyle name="20% - 强调文字颜色 4 3 2 2 2" xfId="628"/>
    <cellStyle name="20% - 强调文字颜色 4 3 2 2 2 2" xfId="3418"/>
    <cellStyle name="20% - 强调文字颜色 4 3 2 2 3" xfId="3417"/>
    <cellStyle name="20% - 强调文字颜色 4 3 2 2_2015财政决算公开" xfId="3419"/>
    <cellStyle name="20% - 强调文字颜色 4 3 2 3" xfId="629"/>
    <cellStyle name="20% - 强调文字颜色 4 3 2 3 2" xfId="3420"/>
    <cellStyle name="20% - 强调文字颜色 4 3 2 4" xfId="3416"/>
    <cellStyle name="20% - 强调文字颜色 4 3 2_2015财政决算公开" xfId="3421"/>
    <cellStyle name="20% - 强调文字颜色 4 3 3" xfId="630"/>
    <cellStyle name="20% - 强调文字颜色 4 3 3 2" xfId="631"/>
    <cellStyle name="20% - 强调文字颜色 4 3 3 2 2" xfId="3423"/>
    <cellStyle name="20% - 强调文字颜色 4 3 3 3" xfId="3422"/>
    <cellStyle name="20% - 强调文字颜色 4 3 3_2015财政决算公开" xfId="3424"/>
    <cellStyle name="20% - 强调文字颜色 4 3 4" xfId="627"/>
    <cellStyle name="20% - 强调文字颜色 4 3 4 2" xfId="3425"/>
    <cellStyle name="20% - 强调文字颜色 4 3 5" xfId="2425"/>
    <cellStyle name="20% - 强调文字颜色 4 3_2015财政决算公开" xfId="3426"/>
    <cellStyle name="20% - 强调文字颜色 4 4" xfId="632"/>
    <cellStyle name="20% - 强调文字颜色 4 4 2" xfId="633"/>
    <cellStyle name="20% - 强调文字颜色 4 4 2 2" xfId="634"/>
    <cellStyle name="20% - 强调文字颜色 4 4 2 2 2" xfId="3429"/>
    <cellStyle name="20% - 强调文字颜色 4 4 2 3" xfId="3428"/>
    <cellStyle name="20% - 强调文字颜色 4 4 2_2015财政决算公开" xfId="3430"/>
    <cellStyle name="20% - 强调文字颜色 4 4 3" xfId="636"/>
    <cellStyle name="20% - 强调文字颜色 4 4 3 2" xfId="3431"/>
    <cellStyle name="20% - 强调文字颜色 4 4 4" xfId="3427"/>
    <cellStyle name="20% - 强调文字颜色 4 4_2015财政决算公开" xfId="3432"/>
    <cellStyle name="20% - 强调文字颜色 4 5" xfId="637"/>
    <cellStyle name="20% - 强调文字颜色 4 5 2" xfId="638"/>
    <cellStyle name="20% - 强调文字颜色 4 5 2 2" xfId="639"/>
    <cellStyle name="20% - 强调文字颜色 4 5 2 2 2" xfId="3435"/>
    <cellStyle name="20% - 强调文字颜色 4 5 2 3" xfId="3434"/>
    <cellStyle name="20% - 强调文字颜色 4 5 2_2015财政决算公开" xfId="3436"/>
    <cellStyle name="20% - 强调文字颜色 4 5 3" xfId="641"/>
    <cellStyle name="20% - 强调文字颜色 4 5 3 2" xfId="3437"/>
    <cellStyle name="20% - 强调文字颜色 4 5 4" xfId="3433"/>
    <cellStyle name="20% - 强调文字颜色 4 5_2015财政决算公开" xfId="3438"/>
    <cellStyle name="20% - 强调文字颜色 4 6" xfId="571"/>
    <cellStyle name="20% - 强调文字颜色 4 6 2" xfId="643"/>
    <cellStyle name="20% - 强调文字颜色 4 6 2 2" xfId="3440"/>
    <cellStyle name="20% - 强调文字颜色 4 6 3" xfId="3439"/>
    <cellStyle name="20% - 强调文字颜色 4 6_2015财政决算公开" xfId="3441"/>
    <cellStyle name="20% - 强调文字颜色 4 7" xfId="644"/>
    <cellStyle name="20% - 强调文字颜色 4 7 2" xfId="3442"/>
    <cellStyle name="20% - 强调文字颜色 4 8" xfId="2418"/>
    <cellStyle name="20% - 强调文字颜色 4 9" xfId="3400"/>
    <cellStyle name="20% - 强调文字颜色 5" xfId="646"/>
    <cellStyle name="20% - 强调文字颜色 5 2" xfId="115"/>
    <cellStyle name="20% - 强调文字颜色 5 2 2" xfId="647"/>
    <cellStyle name="20% - 强调文字颜色 5 2 2 2" xfId="312"/>
    <cellStyle name="20% - 强调文字颜色 5 2 2 2 2" xfId="649"/>
    <cellStyle name="20% - 强调文字颜色 5 2 2 2 2 2" xfId="3443"/>
    <cellStyle name="20% - 强调文字颜色 5 2 2 2 3" xfId="2429"/>
    <cellStyle name="20% - 强调文字颜色 5 2 2 2_2015财政决算公开" xfId="3444"/>
    <cellStyle name="20% - 强调文字颜色 5 2 2 3" xfId="650"/>
    <cellStyle name="20% - 强调文字颜色 5 2 2 3 2" xfId="2430"/>
    <cellStyle name="20% - 强调文字颜色 5 2 2 4" xfId="2428"/>
    <cellStyle name="20% - 强调文字颜色 5 2 2_2015财政决算公开" xfId="3445"/>
    <cellStyle name="20% - 强调文字颜色 5 2 3" xfId="651"/>
    <cellStyle name="20% - 强调文字颜色 5 2 3 2" xfId="494"/>
    <cellStyle name="20% - 强调文字颜色 5 2 3 2 2" xfId="3446"/>
    <cellStyle name="20% - 强调文字颜色 5 2 3 3" xfId="2431"/>
    <cellStyle name="20% - 强调文字颜色 5 2 3_2015财政决算公开" xfId="3447"/>
    <cellStyle name="20% - 强调文字颜色 5 2 4" xfId="652"/>
    <cellStyle name="20% - 强调文字颜色 5 2 4 2" xfId="2432"/>
    <cellStyle name="20% - 强调文字颜色 5 2 5" xfId="2427"/>
    <cellStyle name="20% - 强调文字颜色 5 2_2015财政决算公开" xfId="3448"/>
    <cellStyle name="20% - 强调文字颜色 5 3" xfId="653"/>
    <cellStyle name="20% - 强调文字颜色 5 3 2" xfId="441"/>
    <cellStyle name="20% - 强调文字颜色 5 3 2 2" xfId="654"/>
    <cellStyle name="20% - 强调文字颜色 5 3 2 2 2" xfId="8"/>
    <cellStyle name="20% - 强调文字颜色 5 3 2 2 2 2" xfId="3451"/>
    <cellStyle name="20% - 强调文字颜色 5 3 2 2 3" xfId="3450"/>
    <cellStyle name="20% - 强调文字颜色 5 3 2 2_2015财政决算公开" xfId="3452"/>
    <cellStyle name="20% - 强调文字颜色 5 3 2 3" xfId="648"/>
    <cellStyle name="20% - 强调文字颜色 5 3 2 3 2" xfId="3453"/>
    <cellStyle name="20% - 强调文字颜色 5 3 2 4" xfId="3449"/>
    <cellStyle name="20% - 强调文字颜色 5 3 2_2015财政决算公开" xfId="3454"/>
    <cellStyle name="20% - 强调文字颜色 5 3 3" xfId="577"/>
    <cellStyle name="20% - 强调文字颜色 5 3 3 2" xfId="655"/>
    <cellStyle name="20% - 强调文字颜色 5 3 3 2 2" xfId="3456"/>
    <cellStyle name="20% - 强调文字颜色 5 3 3 3" xfId="3455"/>
    <cellStyle name="20% - 强调文字颜色 5 3 3_2015财政决算公开" xfId="3457"/>
    <cellStyle name="20% - 强调文字颜色 5 3 4" xfId="635"/>
    <cellStyle name="20% - 强调文字颜色 5 3 4 2" xfId="3458"/>
    <cellStyle name="20% - 强调文字颜色 5 3 5" xfId="2433"/>
    <cellStyle name="20% - 强调文字颜色 5 3_2015财政决算公开" xfId="3459"/>
    <cellStyle name="20% - 强调文字颜色 5 4" xfId="656"/>
    <cellStyle name="20% - 强调文字颜色 5 4 2" xfId="657"/>
    <cellStyle name="20% - 强调文字颜色 5 4 2 2" xfId="573"/>
    <cellStyle name="20% - 强调文字颜色 5 4 2 2 2" xfId="3462"/>
    <cellStyle name="20% - 强调文字颜色 5 4 2 3" xfId="3461"/>
    <cellStyle name="20% - 强调文字颜色 5 4 2_2015财政决算公开" xfId="3463"/>
    <cellStyle name="20% - 强调文字颜色 5 4 3" xfId="658"/>
    <cellStyle name="20% - 强调文字颜色 5 4 3 2" xfId="3464"/>
    <cellStyle name="20% - 强调文字颜色 5 4 4" xfId="3460"/>
    <cellStyle name="20% - 强调文字颜色 5 4_2015财政决算公开" xfId="3465"/>
    <cellStyle name="20% - 强调文字颜色 5 5" xfId="559"/>
    <cellStyle name="20% - 强调文字颜色 5 5 2" xfId="659"/>
    <cellStyle name="20% - 强调文字颜色 5 5 2 2" xfId="660"/>
    <cellStyle name="20% - 强调文字颜色 5 5 2 2 2" xfId="3468"/>
    <cellStyle name="20% - 强调文字颜色 5 5 2 3" xfId="3467"/>
    <cellStyle name="20% - 强调文字颜色 5 5 2_2015财政决算公开" xfId="3469"/>
    <cellStyle name="20% - 强调文字颜色 5 5 3" xfId="661"/>
    <cellStyle name="20% - 强调文字颜色 5 5 3 2" xfId="3470"/>
    <cellStyle name="20% - 强调文字颜色 5 5 4" xfId="3466"/>
    <cellStyle name="20% - 强调文字颜色 5 5_2015财政决算公开" xfId="3471"/>
    <cellStyle name="20% - 强调文字颜色 5 6" xfId="663"/>
    <cellStyle name="20% - 强调文字颜色 5 6 2" xfId="664"/>
    <cellStyle name="20% - 强调文字颜色 5 6 2 2" xfId="3473"/>
    <cellStyle name="20% - 强调文字颜色 5 6 3" xfId="3472"/>
    <cellStyle name="20% - 强调文字颜色 5 6_2015财政决算公开" xfId="3474"/>
    <cellStyle name="20% - 强调文字颜色 5 7" xfId="665"/>
    <cellStyle name="20% - 强调文字颜色 5 7 2" xfId="3475"/>
    <cellStyle name="20% - 强调文字颜色 5 8" xfId="2426"/>
    <cellStyle name="20% - 强调文字颜色 6" xfId="666"/>
    <cellStyle name="20% - 强调文字颜色 6 2" xfId="667"/>
    <cellStyle name="20% - 强调文字颜色 6 2 2" xfId="520"/>
    <cellStyle name="20% - 强调文字颜色 6 2 2 2" xfId="522"/>
    <cellStyle name="20% - 强调文字颜色 6 2 2 2 2" xfId="668"/>
    <cellStyle name="20% - 强调文字颜色 6 2 2 2 2 2" xfId="3476"/>
    <cellStyle name="20% - 强调文字颜色 6 2 2 2 3" xfId="2437"/>
    <cellStyle name="20% - 强调文字颜色 6 2 2 2_2015财政决算公开" xfId="3477"/>
    <cellStyle name="20% - 强调文字颜色 6 2 2 3" xfId="524"/>
    <cellStyle name="20% - 强调文字颜色 6 2 2 3 2" xfId="2438"/>
    <cellStyle name="20% - 强调文字颜色 6 2 2 4" xfId="2436"/>
    <cellStyle name="20% - 强调文字颜色 6 2 2_2015财政决算公开" xfId="3478"/>
    <cellStyle name="20% - 强调文字颜色 6 2 3" xfId="527"/>
    <cellStyle name="20% - 强调文字颜色 6 2 3 2" xfId="529"/>
    <cellStyle name="20% - 强调文字颜色 6 2 3 2 2" xfId="3479"/>
    <cellStyle name="20% - 强调文字颜色 6 2 3 3" xfId="2439"/>
    <cellStyle name="20% - 强调文字颜色 6 2 3_2015财政决算公开" xfId="3480"/>
    <cellStyle name="20% - 强调文字颜色 6 2 4" xfId="532"/>
    <cellStyle name="20% - 强调文字颜色 6 2 4 2" xfId="2440"/>
    <cellStyle name="20% - 强调文字颜色 6 2 5" xfId="2435"/>
    <cellStyle name="20% - 强调文字颜色 6 2_2015财政决算公开" xfId="3481"/>
    <cellStyle name="20% - 强调文字颜色 6 3" xfId="669"/>
    <cellStyle name="20% - 强调文字颜色 6 3 2" xfId="670"/>
    <cellStyle name="20% - 强调文字颜色 6 3 2 2" xfId="73"/>
    <cellStyle name="20% - 强调文字颜色 6 3 2 2 2" xfId="77"/>
    <cellStyle name="20% - 强调文字颜色 6 3 2 2 2 2" xfId="3484"/>
    <cellStyle name="20% - 强调文字颜色 6 3 2 2 3" xfId="3483"/>
    <cellStyle name="20% - 强调文字颜色 6 3 2 2_2015财政决算公开" xfId="3485"/>
    <cellStyle name="20% - 强调文字颜色 6 3 2 3" xfId="7"/>
    <cellStyle name="20% - 强调文字颜色 6 3 2 3 2" xfId="3486"/>
    <cellStyle name="20% - 强调文字颜色 6 3 2 4" xfId="3482"/>
    <cellStyle name="20% - 强调文字颜色 6 3 2_2015财政决算公开" xfId="3487"/>
    <cellStyle name="20% - 强调文字颜色 6 3 3" xfId="672"/>
    <cellStyle name="20% - 强调文字颜色 6 3 3 2" xfId="109"/>
    <cellStyle name="20% - 强调文字颜色 6 3 3 2 2" xfId="3489"/>
    <cellStyle name="20% - 强调文字颜色 6 3 3 3" xfId="3488"/>
    <cellStyle name="20% - 强调文字颜色 6 3 3_2015财政决算公开" xfId="3490"/>
    <cellStyle name="20% - 强调文字颜色 6 3 4" xfId="640"/>
    <cellStyle name="20% - 强调文字颜色 6 3 4 2" xfId="3491"/>
    <cellStyle name="20% - 强调文字颜色 6 3 5" xfId="2441"/>
    <cellStyle name="20% - 强调文字颜色 6 3_2015财政决算公开" xfId="3492"/>
    <cellStyle name="20% - 强调文字颜色 6 4" xfId="673"/>
    <cellStyle name="20% - 强调文字颜色 6 4 2" xfId="675"/>
    <cellStyle name="20% - 强调文字颜色 6 4 2 2" xfId="185"/>
    <cellStyle name="20% - 强调文字颜色 6 4 2 2 2" xfId="3495"/>
    <cellStyle name="20% - 强调文字颜色 6 4 2 3" xfId="3494"/>
    <cellStyle name="20% - 强调文字颜色 6 4 2_2015财政决算公开" xfId="3496"/>
    <cellStyle name="20% - 强调文字颜色 6 4 3" xfId="676"/>
    <cellStyle name="20% - 强调文字颜色 6 4 3 2" xfId="3497"/>
    <cellStyle name="20% - 强调文字颜色 6 4 4" xfId="3493"/>
    <cellStyle name="20% - 强调文字颜色 6 4_2015财政决算公开" xfId="3498"/>
    <cellStyle name="20% - 强调文字颜色 6 5" xfId="677"/>
    <cellStyle name="20% - 强调文字颜色 6 5 2" xfId="679"/>
    <cellStyle name="20% - 强调文字颜色 6 5 2 2" xfId="680"/>
    <cellStyle name="20% - 强调文字颜色 6 5 2 2 2" xfId="3501"/>
    <cellStyle name="20% - 强调文字颜色 6 5 2 3" xfId="3500"/>
    <cellStyle name="20% - 强调文字颜色 6 5 2_2015财政决算公开" xfId="3502"/>
    <cellStyle name="20% - 强调文字颜色 6 5 3" xfId="681"/>
    <cellStyle name="20% - 强调文字颜色 6 5 3 2" xfId="3503"/>
    <cellStyle name="20% - 强调文字颜色 6 5 4" xfId="3499"/>
    <cellStyle name="20% - 强调文字颜色 6 5_2015财政决算公开" xfId="3504"/>
    <cellStyle name="20% - 强调文字颜色 6 6" xfId="682"/>
    <cellStyle name="20% - 强调文字颜色 6 6 2" xfId="683"/>
    <cellStyle name="20% - 强调文字颜色 6 6 2 2" xfId="3506"/>
    <cellStyle name="20% - 强调文字颜色 6 6 3" xfId="3505"/>
    <cellStyle name="20% - 强调文字颜色 6 6_2015财政决算公开" xfId="3507"/>
    <cellStyle name="20% - 强调文字颜色 6 7" xfId="685"/>
    <cellStyle name="20% - 强调文字颜色 6 7 2" xfId="3508"/>
    <cellStyle name="20% - 强调文字颜色 6 8" xfId="2434"/>
    <cellStyle name="20% - 着色 1" xfId="2721"/>
    <cellStyle name="20% - 着色 1 2" xfId="2805"/>
    <cellStyle name="20% - 着色 2" xfId="2716"/>
    <cellStyle name="20% - 着色 2 2" xfId="2809"/>
    <cellStyle name="20% - 着色 3" xfId="2718"/>
    <cellStyle name="20% - 着色 3 2" xfId="2806"/>
    <cellStyle name="20% - 着色 4" xfId="2715"/>
    <cellStyle name="20% - 着色 4 2" xfId="2810"/>
    <cellStyle name="20% - 着色 5" xfId="2714"/>
    <cellStyle name="20% - 着色 5 2" xfId="2811"/>
    <cellStyle name="20% - 着色 6" xfId="2712"/>
    <cellStyle name="20% - 着色 6 2" xfId="2813"/>
    <cellStyle name="40% - 强调文字颜色 1" xfId="686"/>
    <cellStyle name="40% - 强调文字颜色 1 2" xfId="687"/>
    <cellStyle name="40% - 强调文字颜色 1 2 2" xfId="689"/>
    <cellStyle name="40% - 强调文字颜色 1 2 2 2" xfId="690"/>
    <cellStyle name="40% - 强调文字颜色 1 2 2 2 2" xfId="692"/>
    <cellStyle name="40% - 强调文字颜色 1 2 2 2 2 2" xfId="3511"/>
    <cellStyle name="40% - 强调文字颜色 1 2 2 2 3" xfId="2445"/>
    <cellStyle name="40% - 强调文字颜色 1 2 2 2_2015财政决算公开" xfId="3512"/>
    <cellStyle name="40% - 强调文字颜色 1 2 2 3" xfId="693"/>
    <cellStyle name="40% - 强调文字颜色 1 2 2 3 2" xfId="2446"/>
    <cellStyle name="40% - 强调文字颜色 1 2 2 4" xfId="2444"/>
    <cellStyle name="40% - 强调文字颜色 1 2 2_2015财政决算公开" xfId="3513"/>
    <cellStyle name="40% - 强调文字颜色 1 2 3" xfId="695"/>
    <cellStyle name="40% - 强调文字颜色 1 2 3 2" xfId="696"/>
    <cellStyle name="40% - 强调文字颜色 1 2 3 2 2" xfId="697"/>
    <cellStyle name="40% - 强调文字颜色 1 2 3 2 2 2" xfId="3516"/>
    <cellStyle name="40% - 强调文字颜色 1 2 3 2 3" xfId="3515"/>
    <cellStyle name="40% - 强调文字颜色 1 2 3 2_2015财政决算公开" xfId="3517"/>
    <cellStyle name="40% - 强调文字颜色 1 2 3 3" xfId="698"/>
    <cellStyle name="40% - 强调文字颜色 1 2 3 3 2" xfId="3518"/>
    <cellStyle name="40% - 强调文字颜色 1 2 3 4" xfId="2447"/>
    <cellStyle name="40% - 强调文字颜色 1 2 3 5" xfId="3514"/>
    <cellStyle name="40% - 强调文字颜色 1 2 3_2015财政决算公开" xfId="3519"/>
    <cellStyle name="40% - 强调文字颜色 1 2 4" xfId="699"/>
    <cellStyle name="40% - 强调文字颜色 1 2 4 2" xfId="700"/>
    <cellStyle name="40% - 强调文字颜色 1 2 4 2 2" xfId="3521"/>
    <cellStyle name="40% - 强调文字颜色 1 2 4 3" xfId="2448"/>
    <cellStyle name="40% - 强调文字颜色 1 2 4 4" xfId="3520"/>
    <cellStyle name="40% - 强调文字颜色 1 2 4_2015财政决算公开" xfId="3522"/>
    <cellStyle name="40% - 强调文字颜色 1 2 5" xfId="701"/>
    <cellStyle name="40% - 强调文字颜色 1 2 5 2" xfId="3523"/>
    <cellStyle name="40% - 强调文字颜色 1 2 6" xfId="2443"/>
    <cellStyle name="40% - 强调文字颜色 1 2 7" xfId="3510"/>
    <cellStyle name="40% - 强调文字颜色 1 2_2015财政决算公开" xfId="3524"/>
    <cellStyle name="40% - 强调文字颜色 1 3" xfId="703"/>
    <cellStyle name="40% - 强调文字颜色 1 3 2" xfId="706"/>
    <cellStyle name="40% - 强调文字颜色 1 3 2 2" xfId="708"/>
    <cellStyle name="40% - 强调文字颜色 1 3 2 2 2" xfId="709"/>
    <cellStyle name="40% - 强调文字颜色 1 3 2 2 2 2" xfId="3527"/>
    <cellStyle name="40% - 强调文字颜色 1 3 2 2 3" xfId="3526"/>
    <cellStyle name="40% - 强调文字颜色 1 3 2 2_2015财政决算公开" xfId="3528"/>
    <cellStyle name="40% - 强调文字颜色 1 3 2 3" xfId="710"/>
    <cellStyle name="40% - 强调文字颜色 1 3 2 3 2" xfId="3529"/>
    <cellStyle name="40% - 强调文字颜色 1 3 2 4" xfId="3525"/>
    <cellStyle name="40% - 强调文字颜色 1 3 2_2015财政决算公开" xfId="3530"/>
    <cellStyle name="40% - 强调文字颜色 1 3 3" xfId="712"/>
    <cellStyle name="40% - 强调文字颜色 1 3 3 2" xfId="713"/>
    <cellStyle name="40% - 强调文字颜色 1 3 3 2 2" xfId="3532"/>
    <cellStyle name="40% - 强调文字颜色 1 3 3 3" xfId="3531"/>
    <cellStyle name="40% - 强调文字颜色 1 3 3_2015财政决算公开" xfId="3533"/>
    <cellStyle name="40% - 强调文字颜色 1 3 4" xfId="714"/>
    <cellStyle name="40% - 强调文字颜色 1 3 4 2" xfId="3534"/>
    <cellStyle name="40% - 强调文字颜色 1 3 5" xfId="2449"/>
    <cellStyle name="40% - 强调文字颜色 1 3_2015财政决算公开" xfId="3535"/>
    <cellStyle name="40% - 强调文字颜色 1 4" xfId="716"/>
    <cellStyle name="40% - 强调文字颜色 1 4 2" xfId="718"/>
    <cellStyle name="40% - 强调文字颜色 1 4 2 2" xfId="719"/>
    <cellStyle name="40% - 强调文字颜色 1 4 2 2 2" xfId="3538"/>
    <cellStyle name="40% - 强调文字颜色 1 4 2 3" xfId="3537"/>
    <cellStyle name="40% - 强调文字颜色 1 4 2_2015财政决算公开" xfId="3539"/>
    <cellStyle name="40% - 强调文字颜色 1 4 3" xfId="720"/>
    <cellStyle name="40% - 强调文字颜色 1 4 3 2" xfId="3540"/>
    <cellStyle name="40% - 强调文字颜色 1 4 4" xfId="3536"/>
    <cellStyle name="40% - 强调文字颜色 1 4_2015财政决算公开" xfId="3541"/>
    <cellStyle name="40% - 强调文字颜色 1 5" xfId="723"/>
    <cellStyle name="40% - 强调文字颜色 1 5 2" xfId="724"/>
    <cellStyle name="40% - 强调文字颜色 1 5 2 2" xfId="725"/>
    <cellStyle name="40% - 强调文字颜色 1 5 2 2 2" xfId="3544"/>
    <cellStyle name="40% - 强调文字颜色 1 5 2 3" xfId="3543"/>
    <cellStyle name="40% - 强调文字颜色 1 5 2_2015财政决算公开" xfId="3545"/>
    <cellStyle name="40% - 强调文字颜色 1 5 3" xfId="726"/>
    <cellStyle name="40% - 强调文字颜色 1 5 3 2" xfId="3546"/>
    <cellStyle name="40% - 强调文字颜色 1 5 4" xfId="3542"/>
    <cellStyle name="40% - 强调文字颜色 1 5_2015财政决算公开" xfId="3547"/>
    <cellStyle name="40% - 强调文字颜色 1 6" xfId="728"/>
    <cellStyle name="40% - 强调文字颜色 1 6 2" xfId="729"/>
    <cellStyle name="40% - 强调文字颜色 1 6 2 2" xfId="3549"/>
    <cellStyle name="40% - 强调文字颜色 1 6 3" xfId="3548"/>
    <cellStyle name="40% - 强调文字颜色 1 6_2015财政决算公开" xfId="3550"/>
    <cellStyle name="40% - 强调文字颜色 1 7" xfId="730"/>
    <cellStyle name="40% - 强调文字颜色 1 7 2" xfId="3551"/>
    <cellStyle name="40% - 强调文字颜色 1 8" xfId="2442"/>
    <cellStyle name="40% - 强调文字颜色 1 9" xfId="3509"/>
    <cellStyle name="40% - 强调文字颜色 2" xfId="731"/>
    <cellStyle name="40% - 强调文字颜色 2 2" xfId="732"/>
    <cellStyle name="40% - 强调文字颜色 2 2 2" xfId="734"/>
    <cellStyle name="40% - 强调文字颜色 2 2 2 2" xfId="736"/>
    <cellStyle name="40% - 强调文字颜色 2 2 2 2 2" xfId="738"/>
    <cellStyle name="40% - 强调文字颜色 2 2 2 2 2 2" xfId="3552"/>
    <cellStyle name="40% - 强调文字颜色 2 2 2 2 3" xfId="2453"/>
    <cellStyle name="40% - 强调文字颜色 2 2 2 2_2015财政决算公开" xfId="3553"/>
    <cellStyle name="40% - 强调文字颜色 2 2 2 3" xfId="740"/>
    <cellStyle name="40% - 强调文字颜色 2 2 2 3 2" xfId="2454"/>
    <cellStyle name="40% - 强调文字颜色 2 2 2 4" xfId="2452"/>
    <cellStyle name="40% - 强调文字颜色 2 2 2_2015财政决算公开" xfId="3554"/>
    <cellStyle name="40% - 强调文字颜色 2 2 3" xfId="742"/>
    <cellStyle name="40% - 强调文字颜色 2 2 3 2" xfId="743"/>
    <cellStyle name="40% - 强调文字颜色 2 2 3 2 2" xfId="3555"/>
    <cellStyle name="40% - 强调文字颜色 2 2 3 3" xfId="2455"/>
    <cellStyle name="40% - 强调文字颜色 2 2 3_2015财政决算公开" xfId="3556"/>
    <cellStyle name="40% - 强调文字颜色 2 2 4" xfId="744"/>
    <cellStyle name="40% - 强调文字颜色 2 2 4 2" xfId="2456"/>
    <cellStyle name="40% - 强调文字颜色 2 2 5" xfId="2451"/>
    <cellStyle name="40% - 强调文字颜色 2 2_2015财政决算公开" xfId="3557"/>
    <cellStyle name="40% - 强调文字颜色 2 3" xfId="745"/>
    <cellStyle name="40% - 强调文字颜色 2 3 2" xfId="746"/>
    <cellStyle name="40% - 强调文字颜色 2 3 2 2" xfId="747"/>
    <cellStyle name="40% - 强调文字颜色 2 3 2 2 2" xfId="748"/>
    <cellStyle name="40% - 强调文字颜色 2 3 2 2 2 2" xfId="3560"/>
    <cellStyle name="40% - 强调文字颜色 2 3 2 2 3" xfId="3559"/>
    <cellStyle name="40% - 强调文字颜色 2 3 2 2_2015财政决算公开" xfId="3561"/>
    <cellStyle name="40% - 强调文字颜色 2 3 2 3" xfId="751"/>
    <cellStyle name="40% - 强调文字颜色 2 3 2 3 2" xfId="3562"/>
    <cellStyle name="40% - 强调文字颜色 2 3 2 4" xfId="3558"/>
    <cellStyle name="40% - 强调文字颜色 2 3 2_2015财政决算公开" xfId="3563"/>
    <cellStyle name="40% - 强调文字颜色 2 3 3" xfId="752"/>
    <cellStyle name="40% - 强调文字颜色 2 3 3 2" xfId="753"/>
    <cellStyle name="40% - 强调文字颜色 2 3 3 2 2" xfId="3565"/>
    <cellStyle name="40% - 强调文字颜色 2 3 3 3" xfId="3564"/>
    <cellStyle name="40% - 强调文字颜色 2 3 3_2015财政决算公开" xfId="3566"/>
    <cellStyle name="40% - 强调文字颜色 2 3 4" xfId="754"/>
    <cellStyle name="40% - 强调文字颜色 2 3 4 2" xfId="3567"/>
    <cellStyle name="40% - 强调文字颜色 2 3 5" xfId="2457"/>
    <cellStyle name="40% - 强调文字颜色 2 3_2015财政决算公开" xfId="3568"/>
    <cellStyle name="40% - 强调文字颜色 2 4" xfId="755"/>
    <cellStyle name="40% - 强调文字颜色 2 4 2" xfId="756"/>
    <cellStyle name="40% - 强调文字颜色 2 4 2 2" xfId="757"/>
    <cellStyle name="40% - 强调文字颜色 2 4 2 2 2" xfId="3571"/>
    <cellStyle name="40% - 强调文字颜色 2 4 2 3" xfId="3570"/>
    <cellStyle name="40% - 强调文字颜色 2 4 2_2015财政决算公开" xfId="3572"/>
    <cellStyle name="40% - 强调文字颜色 2 4 3" xfId="758"/>
    <cellStyle name="40% - 强调文字颜色 2 4 3 2" xfId="3573"/>
    <cellStyle name="40% - 强调文字颜色 2 4 4" xfId="3569"/>
    <cellStyle name="40% - 强调文字颜色 2 4_2015财政决算公开" xfId="3574"/>
    <cellStyle name="40% - 强调文字颜色 2 5" xfId="760"/>
    <cellStyle name="40% - 强调文字颜色 2 5 2" xfId="761"/>
    <cellStyle name="40% - 强调文字颜色 2 5 2 2" xfId="762"/>
    <cellStyle name="40% - 强调文字颜色 2 5 2 2 2" xfId="3577"/>
    <cellStyle name="40% - 强调文字颜色 2 5 2 3" xfId="3576"/>
    <cellStyle name="40% - 强调文字颜色 2 5 2_2015财政决算公开" xfId="3578"/>
    <cellStyle name="40% - 强调文字颜色 2 5 3" xfId="763"/>
    <cellStyle name="40% - 强调文字颜色 2 5 3 2" xfId="3579"/>
    <cellStyle name="40% - 强调文字颜色 2 5 4" xfId="3575"/>
    <cellStyle name="40% - 强调文字颜色 2 5_2015财政决算公开" xfId="3580"/>
    <cellStyle name="40% - 强调文字颜色 2 6" xfId="765"/>
    <cellStyle name="40% - 强调文字颜色 2 6 2" xfId="766"/>
    <cellStyle name="40% - 强调文字颜色 2 6 2 2" xfId="3582"/>
    <cellStyle name="40% - 强调文字颜色 2 6 3" xfId="3581"/>
    <cellStyle name="40% - 强调文字颜色 2 6_2015财政决算公开" xfId="3583"/>
    <cellStyle name="40% - 强调文字颜色 2 7" xfId="311"/>
    <cellStyle name="40% - 强调文字颜色 2 7 2" xfId="3584"/>
    <cellStyle name="40% - 强调文字颜色 2 8" xfId="2450"/>
    <cellStyle name="40% - 强调文字颜色 3" xfId="769"/>
    <cellStyle name="40% - 强调文字颜色 3 2" xfId="770"/>
    <cellStyle name="40% - 强调文字颜色 3 2 2" xfId="771"/>
    <cellStyle name="40% - 强调文字颜色 3 2 2 2" xfId="772"/>
    <cellStyle name="40% - 强调文字颜色 3 2 2 2 2" xfId="773"/>
    <cellStyle name="40% - 强调文字颜色 3 2 2 2 2 2" xfId="3587"/>
    <cellStyle name="40% - 强调文字颜色 3 2 2 2 3" xfId="2461"/>
    <cellStyle name="40% - 强调文字颜色 3 2 2 2_2015财政决算公开" xfId="3588"/>
    <cellStyle name="40% - 强调文字颜色 3 2 2 3" xfId="775"/>
    <cellStyle name="40% - 强调文字颜色 3 2 2 3 2" xfId="2462"/>
    <cellStyle name="40% - 强调文字颜色 3 2 2 4" xfId="2460"/>
    <cellStyle name="40% - 强调文字颜色 3 2 2_2015财政决算公开" xfId="3589"/>
    <cellStyle name="40% - 强调文字颜色 3 2 3" xfId="776"/>
    <cellStyle name="40% - 强调文字颜色 3 2 3 2" xfId="777"/>
    <cellStyle name="40% - 强调文字颜色 3 2 3 2 2" xfId="778"/>
    <cellStyle name="40% - 强调文字颜色 3 2 3 2 2 2" xfId="3592"/>
    <cellStyle name="40% - 强调文字颜色 3 2 3 2 3" xfId="3591"/>
    <cellStyle name="40% - 强调文字颜色 3 2 3 2_2015财政决算公开" xfId="3593"/>
    <cellStyle name="40% - 强调文字颜色 3 2 3 3" xfId="779"/>
    <cellStyle name="40% - 强调文字颜色 3 2 3 3 2" xfId="3594"/>
    <cellStyle name="40% - 强调文字颜色 3 2 3 4" xfId="2463"/>
    <cellStyle name="40% - 强调文字颜色 3 2 3 5" xfId="3590"/>
    <cellStyle name="40% - 强调文字颜色 3 2 3_2015财政决算公开" xfId="3595"/>
    <cellStyle name="40% - 强调文字颜色 3 2 4" xfId="780"/>
    <cellStyle name="40% - 强调文字颜色 3 2 4 2" xfId="781"/>
    <cellStyle name="40% - 强调文字颜色 3 2 4 2 2" xfId="3597"/>
    <cellStyle name="40% - 强调文字颜色 3 2 4 3" xfId="2464"/>
    <cellStyle name="40% - 强调文字颜色 3 2 4 4" xfId="3596"/>
    <cellStyle name="40% - 强调文字颜色 3 2 4_2015财政决算公开" xfId="3598"/>
    <cellStyle name="40% - 强调文字颜色 3 2 5" xfId="782"/>
    <cellStyle name="40% - 强调文字颜色 3 2 5 2" xfId="3599"/>
    <cellStyle name="40% - 强调文字颜色 3 2 6" xfId="2459"/>
    <cellStyle name="40% - 强调文字颜色 3 2 7" xfId="3586"/>
    <cellStyle name="40% - 强调文字颜色 3 2_2015财政决算公开" xfId="3600"/>
    <cellStyle name="40% - 强调文字颜色 3 3" xfId="783"/>
    <cellStyle name="40% - 强调文字颜色 3 3 2" xfId="786"/>
    <cellStyle name="40% - 强调文字颜色 3 3 2 2" xfId="789"/>
    <cellStyle name="40% - 强调文字颜色 3 3 2 2 2" xfId="790"/>
    <cellStyle name="40% - 强调文字颜色 3 3 2 2 2 2" xfId="3603"/>
    <cellStyle name="40% - 强调文字颜色 3 3 2 2 3" xfId="3602"/>
    <cellStyle name="40% - 强调文字颜色 3 3 2 2_2015财政决算公开" xfId="3604"/>
    <cellStyle name="40% - 强调文字颜色 3 3 2 3" xfId="792"/>
    <cellStyle name="40% - 强调文字颜色 3 3 2 3 2" xfId="3605"/>
    <cellStyle name="40% - 强调文字颜色 3 3 2 4" xfId="3601"/>
    <cellStyle name="40% - 强调文字颜色 3 3 2_2015财政决算公开" xfId="3606"/>
    <cellStyle name="40% - 强调文字颜色 3 3 3" xfId="795"/>
    <cellStyle name="40% - 强调文字颜色 3 3 3 2" xfId="768"/>
    <cellStyle name="40% - 强调文字颜色 3 3 3 2 2" xfId="3608"/>
    <cellStyle name="40% - 强调文字颜色 3 3 3 3" xfId="3607"/>
    <cellStyle name="40% - 强调文字颜色 3 3 3_2015财政决算公开" xfId="3609"/>
    <cellStyle name="40% - 强调文字颜色 3 3 4" xfId="798"/>
    <cellStyle name="40% - 强调文字颜色 3 3 4 2" xfId="3610"/>
    <cellStyle name="40% - 强调文字颜色 3 3 5" xfId="2465"/>
    <cellStyle name="40% - 强调文字颜色 3 3_2015财政决算公开" xfId="3611"/>
    <cellStyle name="40% - 强调文字颜色 3 4" xfId="799"/>
    <cellStyle name="40% - 强调文字颜色 3 4 2" xfId="800"/>
    <cellStyle name="40% - 强调文字颜色 3 4 2 2" xfId="684"/>
    <cellStyle name="40% - 强调文字颜色 3 4 2 2 2" xfId="3614"/>
    <cellStyle name="40% - 强调文字颜色 3 4 2 3" xfId="3613"/>
    <cellStyle name="40% - 强调文字颜色 3 4 2_2015财政决算公开" xfId="3615"/>
    <cellStyle name="40% - 强调文字颜色 3 4 3" xfId="801"/>
    <cellStyle name="40% - 强调文字颜色 3 4 3 2" xfId="3616"/>
    <cellStyle name="40% - 强调文字颜色 3 4 4" xfId="3612"/>
    <cellStyle name="40% - 强调文字颜色 3 4_2015财政决算公开" xfId="3617"/>
    <cellStyle name="40% - 强调文字颜色 3 5" xfId="802"/>
    <cellStyle name="40% - 强调文字颜色 3 5 2" xfId="803"/>
    <cellStyle name="40% - 强调文字颜色 3 5 2 2" xfId="804"/>
    <cellStyle name="40% - 强调文字颜色 3 5 2 2 2" xfId="3620"/>
    <cellStyle name="40% - 强调文字颜色 3 5 2 3" xfId="3619"/>
    <cellStyle name="40% - 强调文字颜色 3 5 2_2015财政决算公开" xfId="3621"/>
    <cellStyle name="40% - 强调文字颜色 3 5 3" xfId="805"/>
    <cellStyle name="40% - 强调文字颜色 3 5 3 2" xfId="3622"/>
    <cellStyle name="40% - 强调文字颜色 3 5 4" xfId="3618"/>
    <cellStyle name="40% - 强调文字颜色 3 5_2015财政决算公开" xfId="3623"/>
    <cellStyle name="40% - 强调文字颜色 3 6" xfId="806"/>
    <cellStyle name="40% - 强调文字颜色 3 6 2" xfId="807"/>
    <cellStyle name="40% - 强调文字颜色 3 6 2 2" xfId="3625"/>
    <cellStyle name="40% - 强调文字颜色 3 6 3" xfId="3624"/>
    <cellStyle name="40% - 强调文字颜色 3 6_2015财政决算公开" xfId="3626"/>
    <cellStyle name="40% - 强调文字颜色 3 7" xfId="493"/>
    <cellStyle name="40% - 强调文字颜色 3 7 2" xfId="3627"/>
    <cellStyle name="40% - 强调文字颜色 3 8" xfId="2458"/>
    <cellStyle name="40% - 强调文字颜色 3 9" xfId="3585"/>
    <cellStyle name="40% - 强调文字颜色 4" xfId="808"/>
    <cellStyle name="40% - 强调文字颜色 4 2" xfId="809"/>
    <cellStyle name="40% - 强调文字颜色 4 2 2" xfId="810"/>
    <cellStyle name="40% - 强调文字颜色 4 2 2 2" xfId="811"/>
    <cellStyle name="40% - 强调文字颜色 4 2 2 2 2" xfId="812"/>
    <cellStyle name="40% - 强调文字颜色 4 2 2 2 2 2" xfId="3630"/>
    <cellStyle name="40% - 强调文字颜色 4 2 2 2 3" xfId="2469"/>
    <cellStyle name="40% - 强调文字颜色 4 2 2 2_2015财政决算公开" xfId="3631"/>
    <cellStyle name="40% - 强调文字颜色 4 2 2 3" xfId="814"/>
    <cellStyle name="40% - 强调文字颜色 4 2 2 3 2" xfId="2470"/>
    <cellStyle name="40% - 强调文字颜色 4 2 2 4" xfId="2468"/>
    <cellStyle name="40% - 强调文字颜色 4 2 2_2015财政决算公开" xfId="3632"/>
    <cellStyle name="40% - 强调文字颜色 4 2 3" xfId="815"/>
    <cellStyle name="40% - 强调文字颜色 4 2 3 2" xfId="818"/>
    <cellStyle name="40% - 强调文字颜色 4 2 3 2 2" xfId="821"/>
    <cellStyle name="40% - 强调文字颜色 4 2 3 2 2 2" xfId="3635"/>
    <cellStyle name="40% - 强调文字颜色 4 2 3 2 3" xfId="3634"/>
    <cellStyle name="40% - 强调文字颜色 4 2 3 2_2015财政决算公开" xfId="3636"/>
    <cellStyle name="40% - 强调文字颜色 4 2 3 3" xfId="824"/>
    <cellStyle name="40% - 强调文字颜色 4 2 3 3 2" xfId="3637"/>
    <cellStyle name="40% - 强调文字颜色 4 2 3 4" xfId="2471"/>
    <cellStyle name="40% - 强调文字颜色 4 2 3 5" xfId="3633"/>
    <cellStyle name="40% - 强调文字颜色 4 2 3_2015财政决算公开" xfId="3638"/>
    <cellStyle name="40% - 强调文字颜色 4 2 4" xfId="825"/>
    <cellStyle name="40% - 强调文字颜色 4 2 4 2" xfId="827"/>
    <cellStyle name="40% - 强调文字颜色 4 2 4 2 2" xfId="3640"/>
    <cellStyle name="40% - 强调文字颜色 4 2 4 3" xfId="2472"/>
    <cellStyle name="40% - 强调文字颜色 4 2 4 4" xfId="3639"/>
    <cellStyle name="40% - 强调文字颜色 4 2 4_2015财政决算公开" xfId="3641"/>
    <cellStyle name="40% - 强调文字颜色 4 2 5" xfId="828"/>
    <cellStyle name="40% - 强调文字颜色 4 2 5 2" xfId="3642"/>
    <cellStyle name="40% - 强调文字颜色 4 2 6" xfId="2467"/>
    <cellStyle name="40% - 强调文字颜色 4 2 7" xfId="3629"/>
    <cellStyle name="40% - 强调文字颜色 4 2_2015财政决算公开" xfId="3643"/>
    <cellStyle name="40% - 强调文字颜色 4 3" xfId="829"/>
    <cellStyle name="40% - 强调文字颜色 4 3 2" xfId="830"/>
    <cellStyle name="40% - 强调文字颜色 4 3 2 2" xfId="831"/>
    <cellStyle name="40% - 强调文字颜色 4 3 2 2 2" xfId="832"/>
    <cellStyle name="40% - 强调文字颜色 4 3 2 2 2 2" xfId="3646"/>
    <cellStyle name="40% - 强调文字颜色 4 3 2 2 3" xfId="3645"/>
    <cellStyle name="40% - 强调文字颜色 4 3 2 2_2015财政决算公开" xfId="3647"/>
    <cellStyle name="40% - 强调文字颜色 4 3 2 3" xfId="834"/>
    <cellStyle name="40% - 强调文字颜色 4 3 2 3 2" xfId="3648"/>
    <cellStyle name="40% - 强调文字颜色 4 3 2 4" xfId="3644"/>
    <cellStyle name="40% - 强调文字颜色 4 3 2_2015财政决算公开" xfId="3649"/>
    <cellStyle name="40% - 强调文字颜色 4 3 3" xfId="835"/>
    <cellStyle name="40% - 强调文字颜色 4 3 3 2" xfId="837"/>
    <cellStyle name="40% - 强调文字颜色 4 3 3 2 2" xfId="3651"/>
    <cellStyle name="40% - 强调文字颜色 4 3 3 3" xfId="3650"/>
    <cellStyle name="40% - 强调文字颜色 4 3 3_2015财政决算公开" xfId="3652"/>
    <cellStyle name="40% - 强调文字颜色 4 3 4" xfId="838"/>
    <cellStyle name="40% - 强调文字颜色 4 3 4 2" xfId="3653"/>
    <cellStyle name="40% - 强调文字颜色 4 3 5" xfId="2473"/>
    <cellStyle name="40% - 强调文字颜色 4 3_2015财政决算公开" xfId="3654"/>
    <cellStyle name="40% - 强调文字颜色 4 4" xfId="839"/>
    <cellStyle name="40% - 强调文字颜色 4 4 2" xfId="840"/>
    <cellStyle name="40% - 强调文字颜色 4 4 2 2" xfId="841"/>
    <cellStyle name="40% - 强调文字颜色 4 4 2 2 2" xfId="3657"/>
    <cellStyle name="40% - 强调文字颜色 4 4 2 3" xfId="3656"/>
    <cellStyle name="40% - 强调文字颜色 4 4 2_2015财政决算公开" xfId="3658"/>
    <cellStyle name="40% - 强调文字颜色 4 4 3" xfId="842"/>
    <cellStyle name="40% - 强调文字颜色 4 4 3 2" xfId="3659"/>
    <cellStyle name="40% - 强调文字颜色 4 4 4" xfId="3655"/>
    <cellStyle name="40% - 强调文字颜色 4 4_2015财政决算公开" xfId="3660"/>
    <cellStyle name="40% - 强调文字颜色 4 5" xfId="843"/>
    <cellStyle name="40% - 强调文字颜色 4 5 2" xfId="844"/>
    <cellStyle name="40% - 强调文字颜色 4 5 2 2" xfId="845"/>
    <cellStyle name="40% - 强调文字颜色 4 5 2 2 2" xfId="3663"/>
    <cellStyle name="40% - 强调文字颜色 4 5 2 3" xfId="3662"/>
    <cellStyle name="40% - 强调文字颜色 4 5 2_2015财政决算公开" xfId="3664"/>
    <cellStyle name="40% - 强调文字颜色 4 5 3" xfId="846"/>
    <cellStyle name="40% - 强调文字颜色 4 5 3 2" xfId="3665"/>
    <cellStyle name="40% - 强调文字颜色 4 5 4" xfId="3661"/>
    <cellStyle name="40% - 强调文字颜色 4 5_2015财政决算公开" xfId="3666"/>
    <cellStyle name="40% - 强调文字颜色 4 6" xfId="847"/>
    <cellStyle name="40% - 强调文字颜色 4 6 2" xfId="848"/>
    <cellStyle name="40% - 强调文字颜色 4 6 2 2" xfId="3668"/>
    <cellStyle name="40% - 强调文字颜色 4 6 3" xfId="3667"/>
    <cellStyle name="40% - 强调文字颜色 4 6_2015财政决算公开" xfId="3669"/>
    <cellStyle name="40% - 强调文字颜色 4 7" xfId="849"/>
    <cellStyle name="40% - 强调文字颜色 4 7 2" xfId="3670"/>
    <cellStyle name="40% - 强调文字颜色 4 8" xfId="2466"/>
    <cellStyle name="40% - 强调文字颜色 4 9" xfId="3628"/>
    <cellStyle name="40% - 强调文字颜色 5" xfId="850"/>
    <cellStyle name="40% - 强调文字颜色 5 2" xfId="852"/>
    <cellStyle name="40% - 强调文字颜色 5 2 2" xfId="854"/>
    <cellStyle name="40% - 强调文字颜色 5 2 2 2" xfId="856"/>
    <cellStyle name="40% - 强调文字颜色 5 2 2 2 2" xfId="277"/>
    <cellStyle name="40% - 强调文字颜色 5 2 2 2 2 2" xfId="3671"/>
    <cellStyle name="40% - 强调文字颜色 5 2 2 2 3" xfId="2477"/>
    <cellStyle name="40% - 强调文字颜色 5 2 2 2_2015财政决算公开" xfId="3672"/>
    <cellStyle name="40% - 强调文字颜色 5 2 2 3" xfId="859"/>
    <cellStyle name="40% - 强调文字颜色 5 2 2 3 2" xfId="2478"/>
    <cellStyle name="40% - 强调文字颜色 5 2 2 4" xfId="2476"/>
    <cellStyle name="40% - 强调文字颜色 5 2 2_2015财政决算公开" xfId="3673"/>
    <cellStyle name="40% - 强调文字颜色 5 2 3" xfId="860"/>
    <cellStyle name="40% - 强调文字颜色 5 2 3 2" xfId="863"/>
    <cellStyle name="40% - 强调文字颜色 5 2 3 2 2" xfId="3674"/>
    <cellStyle name="40% - 强调文字颜色 5 2 3 3" xfId="2479"/>
    <cellStyle name="40% - 强调文字颜色 5 2 3_2015财政决算公开" xfId="3675"/>
    <cellStyle name="40% - 强调文字颜色 5 2 4" xfId="864"/>
    <cellStyle name="40% - 强调文字颜色 5 2 4 2" xfId="2480"/>
    <cellStyle name="40% - 强调文字颜色 5 2 5" xfId="2475"/>
    <cellStyle name="40% - 强调文字颜色 5 2_2015财政决算公开" xfId="3676"/>
    <cellStyle name="40% - 强调文字颜色 5 3" xfId="866"/>
    <cellStyle name="40% - 强调文字颜色 5 3 2" xfId="867"/>
    <cellStyle name="40% - 强调文字颜色 5 3 2 2" xfId="869"/>
    <cellStyle name="40% - 强调文字颜色 5 3 2 2 2" xfId="35"/>
    <cellStyle name="40% - 强调文字颜色 5 3 2 2 2 2" xfId="3679"/>
    <cellStyle name="40% - 强调文字颜色 5 3 2 2 3" xfId="3678"/>
    <cellStyle name="40% - 强调文字颜色 5 3 2 2_2015财政决算公开" xfId="3680"/>
    <cellStyle name="40% - 强调文字颜色 5 3 2 3" xfId="872"/>
    <cellStyle name="40% - 强调文字颜色 5 3 2 3 2" xfId="3681"/>
    <cellStyle name="40% - 强调文字颜色 5 3 2 4" xfId="3677"/>
    <cellStyle name="40% - 强调文字颜色 5 3 2_2015财政决算公开" xfId="3682"/>
    <cellStyle name="40% - 强调文字颜色 5 3 3" xfId="873"/>
    <cellStyle name="40% - 强调文字颜色 5 3 3 2" xfId="875"/>
    <cellStyle name="40% - 强调文字颜色 5 3 3 2 2" xfId="3684"/>
    <cellStyle name="40% - 强调文字颜色 5 3 3 3" xfId="3683"/>
    <cellStyle name="40% - 强调文字颜色 5 3 3_2015财政决算公开" xfId="3685"/>
    <cellStyle name="40% - 强调文字颜色 5 3 4" xfId="876"/>
    <cellStyle name="40% - 强调文字颜色 5 3 4 2" xfId="3686"/>
    <cellStyle name="40% - 强调文字颜色 5 3 5" xfId="2481"/>
    <cellStyle name="40% - 强调文字颜色 5 3_2015财政决算公开" xfId="3687"/>
    <cellStyle name="40% - 强调文字颜色 5 4" xfId="877"/>
    <cellStyle name="40% - 强调文字颜色 5 4 2" xfId="878"/>
    <cellStyle name="40% - 强调文字颜色 5 4 2 2" xfId="880"/>
    <cellStyle name="40% - 强调文字颜色 5 4 2 2 2" xfId="3690"/>
    <cellStyle name="40% - 强调文字颜色 5 4 2 3" xfId="3689"/>
    <cellStyle name="40% - 强调文字颜色 5 4 2_2015财政决算公开" xfId="3691"/>
    <cellStyle name="40% - 强调文字颜色 5 4 3" xfId="881"/>
    <cellStyle name="40% - 强调文字颜色 5 4 3 2" xfId="3692"/>
    <cellStyle name="40% - 强调文字颜色 5 4 4" xfId="3688"/>
    <cellStyle name="40% - 强调文字颜色 5 4_2015财政决算公开" xfId="3693"/>
    <cellStyle name="40% - 强调文字颜色 5 5" xfId="882"/>
    <cellStyle name="40% - 强调文字颜色 5 5 2" xfId="883"/>
    <cellStyle name="40% - 强调文字颜色 5 5 2 2" xfId="885"/>
    <cellStyle name="40% - 强调文字颜色 5 5 2 2 2" xfId="3696"/>
    <cellStyle name="40% - 强调文字颜色 5 5 2 3" xfId="3695"/>
    <cellStyle name="40% - 强调文字颜色 5 5 2_2015财政决算公开" xfId="3697"/>
    <cellStyle name="40% - 强调文字颜色 5 5 3" xfId="886"/>
    <cellStyle name="40% - 强调文字颜色 5 5 3 2" xfId="3698"/>
    <cellStyle name="40% - 强调文字颜色 5 5 4" xfId="3694"/>
    <cellStyle name="40% - 强调文字颜色 5 5_2015财政决算公开" xfId="3699"/>
    <cellStyle name="40% - 强调文字颜色 5 6" xfId="889"/>
    <cellStyle name="40% - 强调文字颜色 5 6 2" xfId="892"/>
    <cellStyle name="40% - 强调文字颜色 5 6 2 2" xfId="3701"/>
    <cellStyle name="40% - 强调文字颜色 5 6 3" xfId="3700"/>
    <cellStyle name="40% - 强调文字颜色 5 6_2015财政决算公开" xfId="3702"/>
    <cellStyle name="40% - 强调文字颜色 5 7" xfId="895"/>
    <cellStyle name="40% - 强调文字颜色 5 7 2" xfId="3703"/>
    <cellStyle name="40% - 强调文字颜色 5 8" xfId="2474"/>
    <cellStyle name="40% - 强调文字颜色 6" xfId="896"/>
    <cellStyle name="40% - 强调文字颜色 6 2" xfId="898"/>
    <cellStyle name="40% - 强调文字颜色 6 2 2" xfId="900"/>
    <cellStyle name="40% - 强调文字颜色 6 2 2 2" xfId="903"/>
    <cellStyle name="40% - 强调文字颜色 6 2 2 2 2" xfId="905"/>
    <cellStyle name="40% - 强调文字颜色 6 2 2 2 2 2" xfId="3706"/>
    <cellStyle name="40% - 强调文字颜色 6 2 2 2 3" xfId="2485"/>
    <cellStyle name="40% - 强调文字颜色 6 2 2 2_2015财政决算公开" xfId="3707"/>
    <cellStyle name="40% - 强调文字颜色 6 2 2 3" xfId="908"/>
    <cellStyle name="40% - 强调文字颜色 6 2 2 3 2" xfId="2486"/>
    <cellStyle name="40% - 强调文字颜色 6 2 2 4" xfId="2484"/>
    <cellStyle name="40% - 强调文字颜色 6 2 2_2015财政决算公开" xfId="3708"/>
    <cellStyle name="40% - 强调文字颜色 6 2 3" xfId="909"/>
    <cellStyle name="40% - 强调文字颜色 6 2 3 2" xfId="911"/>
    <cellStyle name="40% - 强调文字颜色 6 2 3 2 2" xfId="913"/>
    <cellStyle name="40% - 强调文字颜色 6 2 3 2 2 2" xfId="3711"/>
    <cellStyle name="40% - 强调文字颜色 6 2 3 2 3" xfId="3710"/>
    <cellStyle name="40% - 强调文字颜色 6 2 3 2_2015财政决算公开" xfId="3712"/>
    <cellStyle name="40% - 强调文字颜色 6 2 3 3" xfId="915"/>
    <cellStyle name="40% - 强调文字颜色 6 2 3 3 2" xfId="3713"/>
    <cellStyle name="40% - 强调文字颜色 6 2 3 4" xfId="2487"/>
    <cellStyle name="40% - 强调文字颜色 6 2 3 5" xfId="3709"/>
    <cellStyle name="40% - 强调文字颜色 6 2 3_2015财政决算公开" xfId="3714"/>
    <cellStyle name="40% - 强调文字颜色 6 2 4" xfId="917"/>
    <cellStyle name="40% - 强调文字颜色 6 2 4 2" xfId="919"/>
    <cellStyle name="40% - 强调文字颜色 6 2 4 2 2" xfId="3716"/>
    <cellStyle name="40% - 强调文字颜色 6 2 4 3" xfId="2488"/>
    <cellStyle name="40% - 强调文字颜色 6 2 4 4" xfId="3715"/>
    <cellStyle name="40% - 强调文字颜色 6 2 4_2015财政决算公开" xfId="3717"/>
    <cellStyle name="40% - 强调文字颜色 6 2 5" xfId="921"/>
    <cellStyle name="40% - 强调文字颜色 6 2 5 2" xfId="3718"/>
    <cellStyle name="40% - 强调文字颜色 6 2 6" xfId="2483"/>
    <cellStyle name="40% - 强调文字颜色 6 2 7" xfId="3705"/>
    <cellStyle name="40% - 强调文字颜色 6 2_2015财政决算公开" xfId="3719"/>
    <cellStyle name="40% - 强调文字颜色 6 3" xfId="923"/>
    <cellStyle name="40% - 强调文字颜色 6 3 2" xfId="924"/>
    <cellStyle name="40% - 强调文字颜色 6 3 2 2" xfId="926"/>
    <cellStyle name="40% - 强调文字颜色 6 3 2 2 2" xfId="927"/>
    <cellStyle name="40% - 强调文字颜色 6 3 2 2 2 2" xfId="3722"/>
    <cellStyle name="40% - 强调文字颜色 6 3 2 2 3" xfId="3721"/>
    <cellStyle name="40% - 强调文字颜色 6 3 2 2_2015财政决算公开" xfId="3723"/>
    <cellStyle name="40% - 强调文字颜色 6 3 2 3" xfId="928"/>
    <cellStyle name="40% - 强调文字颜色 6 3 2 3 2" xfId="3724"/>
    <cellStyle name="40% - 强调文字颜色 6 3 2 4" xfId="3720"/>
    <cellStyle name="40% - 强调文字颜色 6 3 2_2015财政决算公开" xfId="3725"/>
    <cellStyle name="40% - 强调文字颜色 6 3 3" xfId="930"/>
    <cellStyle name="40% - 强调文字颜色 6 3 3 2" xfId="932"/>
    <cellStyle name="40% - 强调文字颜色 6 3 3 2 2" xfId="3727"/>
    <cellStyle name="40% - 强调文字颜色 6 3 3 3" xfId="3726"/>
    <cellStyle name="40% - 强调文字颜色 6 3 3_2015财政决算公开" xfId="3728"/>
    <cellStyle name="40% - 强调文字颜色 6 3 4" xfId="934"/>
    <cellStyle name="40% - 强调文字颜色 6 3 4 2" xfId="3729"/>
    <cellStyle name="40% - 强调文字颜色 6 3 5" xfId="2489"/>
    <cellStyle name="40% - 强调文字颜色 6 3_2015财政决算公开" xfId="3730"/>
    <cellStyle name="40% - 强调文字颜色 6 4" xfId="936"/>
    <cellStyle name="40% - 强调文字颜色 6 4 2" xfId="938"/>
    <cellStyle name="40% - 强调文字颜色 6 4 2 2" xfId="940"/>
    <cellStyle name="40% - 强调文字颜色 6 4 2 2 2" xfId="3733"/>
    <cellStyle name="40% - 强调文字颜色 6 4 2 3" xfId="3732"/>
    <cellStyle name="40% - 强调文字颜色 6 4 2_2015财政决算公开" xfId="3734"/>
    <cellStyle name="40% - 强调文字颜色 6 4 3" xfId="942"/>
    <cellStyle name="40% - 强调文字颜色 6 4 3 2" xfId="3735"/>
    <cellStyle name="40% - 强调文字颜色 6 4 4" xfId="3731"/>
    <cellStyle name="40% - 强调文字颜色 6 4_2015财政决算公开" xfId="3736"/>
    <cellStyle name="40% - 强调文字颜色 6 5" xfId="944"/>
    <cellStyle name="40% - 强调文字颜色 6 5 2" xfId="946"/>
    <cellStyle name="40% - 强调文字颜色 6 5 2 2" xfId="948"/>
    <cellStyle name="40% - 强调文字颜色 6 5 2 2 2" xfId="3739"/>
    <cellStyle name="40% - 强调文字颜色 6 5 2 3" xfId="3738"/>
    <cellStyle name="40% - 强调文字颜色 6 5 2_2015财政决算公开" xfId="3740"/>
    <cellStyle name="40% - 强调文字颜色 6 5 3" xfId="950"/>
    <cellStyle name="40% - 强调文字颜色 6 5 3 2" xfId="3741"/>
    <cellStyle name="40% - 强调文字颜色 6 5 4" xfId="3737"/>
    <cellStyle name="40% - 强调文字颜色 6 5_2015财政决算公开" xfId="3742"/>
    <cellStyle name="40% - 强调文字颜色 6 6" xfId="954"/>
    <cellStyle name="40% - 强调文字颜色 6 6 2" xfId="957"/>
    <cellStyle name="40% - 强调文字颜色 6 6 2 2" xfId="3744"/>
    <cellStyle name="40% - 强调文字颜色 6 6 3" xfId="3743"/>
    <cellStyle name="40% - 强调文字颜色 6 6_2015财政决算公开" xfId="3745"/>
    <cellStyle name="40% - 强调文字颜色 6 7" xfId="960"/>
    <cellStyle name="40% - 强调文字颜色 6 7 2" xfId="3746"/>
    <cellStyle name="40% - 强调文字颜色 6 8" xfId="2482"/>
    <cellStyle name="40% - 强调文字颜色 6 9" xfId="3704"/>
    <cellStyle name="40% - 着色 1" xfId="2719"/>
    <cellStyle name="40% - 着色 2" xfId="2710"/>
    <cellStyle name="40% - 着色 2 2" xfId="2815"/>
    <cellStyle name="40% - 着色 3" xfId="2717"/>
    <cellStyle name="40% - 着色 3 2" xfId="2807"/>
    <cellStyle name="40% - 着色 4" xfId="2709"/>
    <cellStyle name="40% - 着色 4 2" xfId="2816"/>
    <cellStyle name="40% - 着色 5" xfId="2692"/>
    <cellStyle name="40% - 着色 6" xfId="2690"/>
    <cellStyle name="40% - 着色 6 2" xfId="2818"/>
    <cellStyle name="60% - 强调文字颜色 1" xfId="961"/>
    <cellStyle name="60% - 强调文字颜色 1 2" xfId="962"/>
    <cellStyle name="60% - 强调文字颜色 1 2 2" xfId="963"/>
    <cellStyle name="60% - 强调文字颜色 1 2 2 2" xfId="964"/>
    <cellStyle name="60% - 强调文字颜色 1 2 2 2 2" xfId="965"/>
    <cellStyle name="60% - 强调文字颜色 1 2 2 2 2 2" xfId="3749"/>
    <cellStyle name="60% - 强调文字颜色 1 2 2 2 3" xfId="2493"/>
    <cellStyle name="60% - 强调文字颜色 1 2 2 3" xfId="966"/>
    <cellStyle name="60% - 强调文字颜色 1 2 2 3 2" xfId="2494"/>
    <cellStyle name="60% - 强调文字颜色 1 2 2 4" xfId="2492"/>
    <cellStyle name="60% - 强调文字颜色 1 2 3" xfId="967"/>
    <cellStyle name="60% - 强调文字颜色 1 2 3 2" xfId="968"/>
    <cellStyle name="60% - 强调文字颜色 1 2 3 2 2" xfId="969"/>
    <cellStyle name="60% - 强调文字颜色 1 2 3 2 2 2" xfId="3752"/>
    <cellStyle name="60% - 强调文字颜色 1 2 3 2 3" xfId="3751"/>
    <cellStyle name="60% - 强调文字颜色 1 2 3 3" xfId="970"/>
    <cellStyle name="60% - 强调文字颜色 1 2 3 3 2" xfId="3753"/>
    <cellStyle name="60% - 强调文字颜色 1 2 3 4" xfId="2495"/>
    <cellStyle name="60% - 强调文字颜色 1 2 3 5" xfId="3750"/>
    <cellStyle name="60% - 强调文字颜色 1 2 4" xfId="972"/>
    <cellStyle name="60% - 强调文字颜色 1 2 4 2" xfId="973"/>
    <cellStyle name="60% - 强调文字颜色 1 2 4 2 2" xfId="3755"/>
    <cellStyle name="60% - 强调文字颜色 1 2 4 3" xfId="3754"/>
    <cellStyle name="60% - 强调文字颜色 1 2 5" xfId="974"/>
    <cellStyle name="60% - 强调文字颜色 1 2 5 2" xfId="3756"/>
    <cellStyle name="60% - 强调文字颜色 1 2 6" xfId="2491"/>
    <cellStyle name="60% - 强调文字颜色 1 2 7" xfId="3748"/>
    <cellStyle name="60% - 强调文字颜色 1 2_2015财政决算公开" xfId="3757"/>
    <cellStyle name="60% - 强调文字颜色 1 3" xfId="975"/>
    <cellStyle name="60% - 强调文字颜色 1 3 2" xfId="976"/>
    <cellStyle name="60% - 强调文字颜色 1 3 2 2" xfId="977"/>
    <cellStyle name="60% - 强调文字颜色 1 3 2 2 2" xfId="979"/>
    <cellStyle name="60% - 强调文字颜色 1 3 2 2 2 2" xfId="3760"/>
    <cellStyle name="60% - 强调文字颜色 1 3 2 2 3" xfId="3759"/>
    <cellStyle name="60% - 强调文字颜色 1 3 2 3" xfId="980"/>
    <cellStyle name="60% - 强调文字颜色 1 3 2 3 2" xfId="3761"/>
    <cellStyle name="60% - 强调文字颜色 1 3 2 4" xfId="3758"/>
    <cellStyle name="60% - 强调文字颜色 1 3 3" xfId="981"/>
    <cellStyle name="60% - 强调文字颜色 1 3 3 2" xfId="982"/>
    <cellStyle name="60% - 强调文字颜色 1 3 3 2 2" xfId="3763"/>
    <cellStyle name="60% - 强调文字颜色 1 3 3 3" xfId="3762"/>
    <cellStyle name="60% - 强调文字颜色 1 3 4" xfId="983"/>
    <cellStyle name="60% - 强调文字颜色 1 3 4 2" xfId="3764"/>
    <cellStyle name="60% - 强调文字颜色 1 3 5" xfId="2496"/>
    <cellStyle name="60% - 强调文字颜色 1 4" xfId="985"/>
    <cellStyle name="60% - 强调文字颜色 1 4 2" xfId="986"/>
    <cellStyle name="60% - 强调文字颜色 1 4 2 2" xfId="987"/>
    <cellStyle name="60% - 强调文字颜色 1 4 2 2 2" xfId="3767"/>
    <cellStyle name="60% - 强调文字颜色 1 4 2 3" xfId="3766"/>
    <cellStyle name="60% - 强调文字颜色 1 4 3" xfId="988"/>
    <cellStyle name="60% - 强调文字颜色 1 4 3 2" xfId="3768"/>
    <cellStyle name="60% - 强调文字颜色 1 4 4" xfId="3765"/>
    <cellStyle name="60% - 强调文字颜色 1 5" xfId="990"/>
    <cellStyle name="60% - 强调文字颜色 1 5 2" xfId="991"/>
    <cellStyle name="60% - 强调文字颜色 1 5 2 2" xfId="992"/>
    <cellStyle name="60% - 强调文字颜色 1 5 2 2 2" xfId="3771"/>
    <cellStyle name="60% - 强调文字颜色 1 5 2 3" xfId="3770"/>
    <cellStyle name="60% - 强调文字颜色 1 5 3" xfId="993"/>
    <cellStyle name="60% - 强调文字颜色 1 5 3 2" xfId="3772"/>
    <cellStyle name="60% - 强调文字颜色 1 5 4" xfId="3769"/>
    <cellStyle name="60% - 强调文字颜色 1 6" xfId="995"/>
    <cellStyle name="60% - 强调文字颜色 1 6 2" xfId="996"/>
    <cellStyle name="60% - 强调文字颜色 1 6 2 2" xfId="3774"/>
    <cellStyle name="60% - 强调文字颜色 1 6 3" xfId="3773"/>
    <cellStyle name="60% - 强调文字颜色 1 7" xfId="998"/>
    <cellStyle name="60% - 强调文字颜色 1 7 2" xfId="3775"/>
    <cellStyle name="60% - 强调文字颜色 1 8" xfId="2490"/>
    <cellStyle name="60% - 强调文字颜色 1 9" xfId="3747"/>
    <cellStyle name="60% - 强调文字颜色 2" xfId="999"/>
    <cellStyle name="60% - 强调文字颜色 2 2" xfId="1000"/>
    <cellStyle name="60% - 强调文字颜色 2 2 2" xfId="1001"/>
    <cellStyle name="60% - 强调文字颜色 2 2 2 2" xfId="1003"/>
    <cellStyle name="60% - 强调文字颜色 2 2 2 2 2" xfId="1004"/>
    <cellStyle name="60% - 强调文字颜色 2 2 2 2 2 2" xfId="3778"/>
    <cellStyle name="60% - 强调文字颜色 2 2 2 2 3" xfId="2500"/>
    <cellStyle name="60% - 强调文字颜色 2 2 2 3" xfId="1005"/>
    <cellStyle name="60% - 强调文字颜色 2 2 2 3 2" xfId="2501"/>
    <cellStyle name="60% - 强调文字颜色 2 2 2 4" xfId="2499"/>
    <cellStyle name="60% - 强调文字颜色 2 2 3" xfId="1007"/>
    <cellStyle name="60% - 强调文字颜色 2 2 3 2" xfId="1009"/>
    <cellStyle name="60% - 强调文字颜色 2 2 3 2 2" xfId="1011"/>
    <cellStyle name="60% - 强调文字颜色 2 2 3 2 2 2" xfId="3781"/>
    <cellStyle name="60% - 强调文字颜色 2 2 3 2 3" xfId="3780"/>
    <cellStyle name="60% - 强调文字颜色 2 2 3 3" xfId="1013"/>
    <cellStyle name="60% - 强调文字颜色 2 2 3 3 2" xfId="3782"/>
    <cellStyle name="60% - 强调文字颜色 2 2 3 4" xfId="2502"/>
    <cellStyle name="60% - 强调文字颜色 2 2 3 5" xfId="3779"/>
    <cellStyle name="60% - 强调文字颜色 2 2 4" xfId="1015"/>
    <cellStyle name="60% - 强调文字颜色 2 2 4 2" xfId="1017"/>
    <cellStyle name="60% - 强调文字颜色 2 2 4 2 2" xfId="3784"/>
    <cellStyle name="60% - 强调文字颜色 2 2 4 3" xfId="3783"/>
    <cellStyle name="60% - 强调文字颜色 2 2 5" xfId="1018"/>
    <cellStyle name="60% - 强调文字颜色 2 2 5 2" xfId="3785"/>
    <cellStyle name="60% - 强调文字颜色 2 2 6" xfId="2498"/>
    <cellStyle name="60% - 强调文字颜色 2 2 7" xfId="3777"/>
    <cellStyle name="60% - 强调文字颜色 2 2_2015财政决算公开" xfId="3786"/>
    <cellStyle name="60% - 强调文字颜色 2 3" xfId="1020"/>
    <cellStyle name="60% - 强调文字颜色 2 3 2" xfId="1022"/>
    <cellStyle name="60% - 强调文字颜色 2 3 2 2" xfId="888"/>
    <cellStyle name="60% - 强调文字颜色 2 3 2 2 2" xfId="891"/>
    <cellStyle name="60% - 强调文字颜色 2 3 2 2 2 2" xfId="3789"/>
    <cellStyle name="60% - 强调文字颜色 2 3 2 2 3" xfId="3788"/>
    <cellStyle name="60% - 强调文字颜色 2 3 2 3" xfId="894"/>
    <cellStyle name="60% - 强调文字颜色 2 3 2 3 2" xfId="3790"/>
    <cellStyle name="60% - 强调文字颜色 2 3 2 4" xfId="3787"/>
    <cellStyle name="60% - 强调文字颜色 2 3 3" xfId="1024"/>
    <cellStyle name="60% - 强调文字颜色 2 3 3 2" xfId="953"/>
    <cellStyle name="60% - 强调文字颜色 2 3 3 2 2" xfId="3792"/>
    <cellStyle name="60% - 强调文字颜色 2 3 3 3" xfId="3791"/>
    <cellStyle name="60% - 强调文字颜色 2 3 4" xfId="1026"/>
    <cellStyle name="60% - 强调文字颜色 2 3 4 2" xfId="3793"/>
    <cellStyle name="60% - 强调文字颜色 2 3 5" xfId="2503"/>
    <cellStyle name="60% - 强调文字颜色 2 4" xfId="1027"/>
    <cellStyle name="60% - 强调文字颜色 2 4 2" xfId="1028"/>
    <cellStyle name="60% - 强调文字颜色 2 4 2 2" xfId="1029"/>
    <cellStyle name="60% - 强调文字颜色 2 4 2 2 2" xfId="3796"/>
    <cellStyle name="60% - 强调文字颜色 2 4 2 3" xfId="3795"/>
    <cellStyle name="60% - 强调文字颜色 2 4 3" xfId="1030"/>
    <cellStyle name="60% - 强调文字颜色 2 4 3 2" xfId="3797"/>
    <cellStyle name="60% - 强调文字颜色 2 4 4" xfId="3794"/>
    <cellStyle name="60% - 强调文字颜色 2 5" xfId="1031"/>
    <cellStyle name="60% - 强调文字颜色 2 5 2" xfId="1032"/>
    <cellStyle name="60% - 强调文字颜色 2 5 2 2" xfId="1033"/>
    <cellStyle name="60% - 强调文字颜色 2 5 2 2 2" xfId="3800"/>
    <cellStyle name="60% - 强调文字颜色 2 5 2 3" xfId="3799"/>
    <cellStyle name="60% - 强调文字颜色 2 5 3" xfId="1034"/>
    <cellStyle name="60% - 强调文字颜色 2 5 3 2" xfId="3801"/>
    <cellStyle name="60% - 强调文字颜色 2 5 4" xfId="3798"/>
    <cellStyle name="60% - 强调文字颜色 2 6" xfId="1035"/>
    <cellStyle name="60% - 强调文字颜色 2 6 2" xfId="1036"/>
    <cellStyle name="60% - 强调文字颜色 2 6 2 2" xfId="3803"/>
    <cellStyle name="60% - 强调文字颜色 2 6 3" xfId="3802"/>
    <cellStyle name="60% - 强调文字颜色 2 7" xfId="1038"/>
    <cellStyle name="60% - 强调文字颜色 2 7 2" xfId="3804"/>
    <cellStyle name="60% - 强调文字颜色 2 8" xfId="2497"/>
    <cellStyle name="60% - 强调文字颜色 2 9" xfId="3776"/>
    <cellStyle name="60% - 强调文字颜色 3" xfId="1039"/>
    <cellStyle name="60% - 强调文字颜色 3 2" xfId="1040"/>
    <cellStyle name="60% - 强调文字颜色 3 2 2" xfId="1041"/>
    <cellStyle name="60% - 强调文字颜色 3 2 2 2" xfId="1042"/>
    <cellStyle name="60% - 强调文字颜色 3 2 2 2 2" xfId="1043"/>
    <cellStyle name="60% - 强调文字颜色 3 2 2 2 2 2" xfId="3807"/>
    <cellStyle name="60% - 强调文字颜色 3 2 2 2 3" xfId="2507"/>
    <cellStyle name="60% - 强调文字颜色 3 2 2 3" xfId="1044"/>
    <cellStyle name="60% - 强调文字颜色 3 2 2 3 2" xfId="2508"/>
    <cellStyle name="60% - 强调文字颜色 3 2 2 4" xfId="2506"/>
    <cellStyle name="60% - 强调文字颜色 3 2 3" xfId="1045"/>
    <cellStyle name="60% - 强调文字颜色 3 2 3 2" xfId="1047"/>
    <cellStyle name="60% - 强调文字颜色 3 2 3 2 2" xfId="1050"/>
    <cellStyle name="60% - 强调文字颜色 3 2 3 2 2 2" xfId="3810"/>
    <cellStyle name="60% - 强调文字颜色 3 2 3 2 3" xfId="3809"/>
    <cellStyle name="60% - 强调文字颜色 3 2 3 3" xfId="1052"/>
    <cellStyle name="60% - 强调文字颜色 3 2 3 3 2" xfId="3811"/>
    <cellStyle name="60% - 强调文字颜色 3 2 3 4" xfId="2509"/>
    <cellStyle name="60% - 强调文字颜色 3 2 3 5" xfId="3808"/>
    <cellStyle name="60% - 强调文字颜色 3 2 4" xfId="1008"/>
    <cellStyle name="60% - 强调文字颜色 3 2 4 2" xfId="1010"/>
    <cellStyle name="60% - 强调文字颜色 3 2 4 2 2" xfId="3813"/>
    <cellStyle name="60% - 强调文字颜色 3 2 4 3" xfId="3812"/>
    <cellStyle name="60% - 强调文字颜色 3 2 5" xfId="1012"/>
    <cellStyle name="60% - 强调文字颜色 3 2 5 2" xfId="3814"/>
    <cellStyle name="60% - 强调文字颜色 3 2 6" xfId="2505"/>
    <cellStyle name="60% - 强调文字颜色 3 2 7" xfId="3806"/>
    <cellStyle name="60% - 强调文字颜色 3 2_2015财政决算公开" xfId="3815"/>
    <cellStyle name="60% - 强调文字颜色 3 3" xfId="560"/>
    <cellStyle name="60% - 强调文字颜色 3 3 2" xfId="1053"/>
    <cellStyle name="60% - 强调文字颜色 3 3 2 2" xfId="1054"/>
    <cellStyle name="60% - 强调文字颜色 3 3 2 2 2" xfId="1055"/>
    <cellStyle name="60% - 强调文字颜色 3 3 2 2 2 2" xfId="3818"/>
    <cellStyle name="60% - 强调文字颜色 3 3 2 2 3" xfId="3817"/>
    <cellStyle name="60% - 强调文字颜色 3 3 2 3" xfId="1056"/>
    <cellStyle name="60% - 强调文字颜色 3 3 2 3 2" xfId="3819"/>
    <cellStyle name="60% - 强调文字颜色 3 3 2 4" xfId="3816"/>
    <cellStyle name="60% - 强调文字颜色 3 3 3" xfId="1057"/>
    <cellStyle name="60% - 强调文字颜色 3 3 3 2" xfId="1058"/>
    <cellStyle name="60% - 强调文字颜色 3 3 3 2 2" xfId="3821"/>
    <cellStyle name="60% - 强调文字颜色 3 3 3 3" xfId="3820"/>
    <cellStyle name="60% - 强调文字颜色 3 3 4" xfId="1016"/>
    <cellStyle name="60% - 强调文字颜色 3 3 4 2" xfId="3822"/>
    <cellStyle name="60% - 强调文字颜色 3 3 5" xfId="2510"/>
    <cellStyle name="60% - 强调文字颜色 3 4" xfId="1059"/>
    <cellStyle name="60% - 强调文字颜色 3 4 2" xfId="1060"/>
    <cellStyle name="60% - 强调文字颜色 3 4 2 2" xfId="1061"/>
    <cellStyle name="60% - 强调文字颜色 3 4 2 2 2" xfId="3825"/>
    <cellStyle name="60% - 强调文字颜色 3 4 2 3" xfId="3824"/>
    <cellStyle name="60% - 强调文字颜色 3 4 3" xfId="1062"/>
    <cellStyle name="60% - 强调文字颜色 3 4 3 2" xfId="3826"/>
    <cellStyle name="60% - 强调文字颜色 3 4 4" xfId="3823"/>
    <cellStyle name="60% - 强调文字颜色 3 5" xfId="1064"/>
    <cellStyle name="60% - 强调文字颜色 3 5 2" xfId="1065"/>
    <cellStyle name="60% - 强调文字颜色 3 5 2 2" xfId="1066"/>
    <cellStyle name="60% - 强调文字颜色 3 5 2 2 2" xfId="3829"/>
    <cellStyle name="60% - 强调文字颜色 3 5 2 3" xfId="3828"/>
    <cellStyle name="60% - 强调文字颜色 3 5 3" xfId="1067"/>
    <cellStyle name="60% - 强调文字颜色 3 5 3 2" xfId="3830"/>
    <cellStyle name="60% - 强调文字颜色 3 5 4" xfId="3827"/>
    <cellStyle name="60% - 强调文字颜色 3 6" xfId="1068"/>
    <cellStyle name="60% - 强调文字颜色 3 6 2" xfId="1069"/>
    <cellStyle name="60% - 强调文字颜色 3 6 2 2" xfId="3832"/>
    <cellStyle name="60% - 强调文字颜色 3 6 3" xfId="3831"/>
    <cellStyle name="60% - 强调文字颜色 3 7" xfId="1070"/>
    <cellStyle name="60% - 强调文字颜色 3 7 2" xfId="3833"/>
    <cellStyle name="60% - 强调文字颜色 3 8" xfId="2504"/>
    <cellStyle name="60% - 强调文字颜色 3 9" xfId="3805"/>
    <cellStyle name="60% - 强调文字颜色 4" xfId="1071"/>
    <cellStyle name="60% - 强调文字颜色 4 2" xfId="1072"/>
    <cellStyle name="60% - 强调文字颜色 4 2 2" xfId="935"/>
    <cellStyle name="60% - 强调文字颜色 4 2 2 2" xfId="937"/>
    <cellStyle name="60% - 强调文字颜色 4 2 2 2 2" xfId="939"/>
    <cellStyle name="60% - 强调文字颜色 4 2 2 2 2 2" xfId="3836"/>
    <cellStyle name="60% - 强调文字颜色 4 2 2 2 3" xfId="2514"/>
    <cellStyle name="60% - 强调文字颜色 4 2 2 3" xfId="941"/>
    <cellStyle name="60% - 强调文字颜色 4 2 2 3 2" xfId="2515"/>
    <cellStyle name="60% - 强调文字颜色 4 2 2 4" xfId="2513"/>
    <cellStyle name="60% - 强调文字颜色 4 2 3" xfId="943"/>
    <cellStyle name="60% - 强调文字颜色 4 2 3 2" xfId="945"/>
    <cellStyle name="60% - 强调文字颜色 4 2 3 2 2" xfId="947"/>
    <cellStyle name="60% - 强调文字颜色 4 2 3 2 2 2" xfId="3839"/>
    <cellStyle name="60% - 强调文字颜色 4 2 3 2 3" xfId="3838"/>
    <cellStyle name="60% - 强调文字颜色 4 2 3 3" xfId="949"/>
    <cellStyle name="60% - 强调文字颜色 4 2 3 3 2" xfId="3840"/>
    <cellStyle name="60% - 强调文字颜色 4 2 3 4" xfId="2516"/>
    <cellStyle name="60% - 强调文字颜色 4 2 3 5" xfId="3837"/>
    <cellStyle name="60% - 强调文字颜色 4 2 4" xfId="952"/>
    <cellStyle name="60% - 强调文字颜色 4 2 4 2" xfId="956"/>
    <cellStyle name="60% - 强调文字颜色 4 2 4 2 2" xfId="3842"/>
    <cellStyle name="60% - 强调文字颜色 4 2 4 3" xfId="3841"/>
    <cellStyle name="60% - 强调文字颜色 4 2 5" xfId="959"/>
    <cellStyle name="60% - 强调文字颜色 4 2 5 2" xfId="3843"/>
    <cellStyle name="60% - 强调文字颜色 4 2 6" xfId="2512"/>
    <cellStyle name="60% - 强调文字颜色 4 2 7" xfId="3835"/>
    <cellStyle name="60% - 强调文字颜色 4 2_2015财政决算公开" xfId="3844"/>
    <cellStyle name="60% - 强调文字颜色 4 3" xfId="1073"/>
    <cellStyle name="60% - 强调文字颜色 4 3 2" xfId="1076"/>
    <cellStyle name="60% - 强调文字颜色 4 3 2 2" xfId="1079"/>
    <cellStyle name="60% - 强调文字颜色 4 3 2 2 2" xfId="1080"/>
    <cellStyle name="60% - 强调文字颜色 4 3 2 2 2 2" xfId="3847"/>
    <cellStyle name="60% - 强调文字颜色 4 3 2 2 3" xfId="3846"/>
    <cellStyle name="60% - 强调文字颜色 4 3 2 3" xfId="1082"/>
    <cellStyle name="60% - 强调文字颜色 4 3 2 3 2" xfId="3848"/>
    <cellStyle name="60% - 强调文字颜色 4 3 2 4" xfId="3845"/>
    <cellStyle name="60% - 强调文字颜色 4 3 3" xfId="1086"/>
    <cellStyle name="60% - 强调文字颜色 4 3 3 2" xfId="1090"/>
    <cellStyle name="60% - 强调文字颜色 4 3 3 2 2" xfId="3850"/>
    <cellStyle name="60% - 强调文字颜色 4 3 3 3" xfId="3849"/>
    <cellStyle name="60% - 强调文字颜色 4 3 4" xfId="1095"/>
    <cellStyle name="60% - 强调文字颜色 4 3 4 2" xfId="3851"/>
    <cellStyle name="60% - 强调文字颜色 4 3 5" xfId="2517"/>
    <cellStyle name="60% - 强调文字颜色 4 4" xfId="1096"/>
    <cellStyle name="60% - 强调文字颜色 4 4 2" xfId="1097"/>
    <cellStyle name="60% - 强调文字颜色 4 4 2 2" xfId="240"/>
    <cellStyle name="60% - 强调文字颜色 4 4 2 2 2" xfId="3854"/>
    <cellStyle name="60% - 强调文字颜色 4 4 2 3" xfId="3853"/>
    <cellStyle name="60% - 强调文字颜色 4 4 3" xfId="1099"/>
    <cellStyle name="60% - 强调文字颜色 4 4 3 2" xfId="3855"/>
    <cellStyle name="60% - 强调文字颜色 4 4 4" xfId="3852"/>
    <cellStyle name="60% - 强调文字颜色 4 5" xfId="1100"/>
    <cellStyle name="60% - 强调文字颜色 4 5 2" xfId="1101"/>
    <cellStyle name="60% - 强调文字颜色 4 5 2 2" xfId="408"/>
    <cellStyle name="60% - 强调文字颜色 4 5 2 2 2" xfId="3858"/>
    <cellStyle name="60% - 强调文字颜色 4 5 2 3" xfId="3857"/>
    <cellStyle name="60% - 强调文字颜色 4 5 3" xfId="1103"/>
    <cellStyle name="60% - 强调文字颜色 4 5 3 2" xfId="3859"/>
    <cellStyle name="60% - 强调文字颜色 4 5 4" xfId="3856"/>
    <cellStyle name="60% - 强调文字颜色 4 6" xfId="1104"/>
    <cellStyle name="60% - 强调文字颜色 4 6 2" xfId="1106"/>
    <cellStyle name="60% - 强调文字颜色 4 6 2 2" xfId="3861"/>
    <cellStyle name="60% - 强调文字颜色 4 6 3" xfId="3860"/>
    <cellStyle name="60% - 强调文字颜色 4 7" xfId="1107"/>
    <cellStyle name="60% - 强调文字颜色 4 7 2" xfId="3862"/>
    <cellStyle name="60% - 强调文字颜色 4 8" xfId="2511"/>
    <cellStyle name="60% - 强调文字颜色 4 9" xfId="3834"/>
    <cellStyle name="60% - 强调文字颜色 5" xfId="1108"/>
    <cellStyle name="60% - 强调文字颜色 5 2" xfId="1109"/>
    <cellStyle name="60% - 强调文字颜色 5 2 2" xfId="1110"/>
    <cellStyle name="60% - 强调文字颜色 5 2 2 2" xfId="1111"/>
    <cellStyle name="60% - 强调文字颜色 5 2 2 2 2" xfId="1113"/>
    <cellStyle name="60% - 强调文字颜色 5 2 2 2 2 2" xfId="3865"/>
    <cellStyle name="60% - 强调文字颜色 5 2 2 2 3" xfId="2521"/>
    <cellStyle name="60% - 强调文字颜色 5 2 2 3" xfId="1115"/>
    <cellStyle name="60% - 强调文字颜色 5 2 2 3 2" xfId="2522"/>
    <cellStyle name="60% - 强调文字颜色 5 2 2 4" xfId="2520"/>
    <cellStyle name="60% - 强调文字颜色 5 2 3" xfId="1116"/>
    <cellStyle name="60% - 强调文字颜色 5 2 3 2" xfId="1117"/>
    <cellStyle name="60% - 强调文字颜色 5 2 3 2 2" xfId="1118"/>
    <cellStyle name="60% - 强调文字颜色 5 2 3 2 2 2" xfId="3868"/>
    <cellStyle name="60% - 强调文字颜色 5 2 3 2 3" xfId="3867"/>
    <cellStyle name="60% - 强调文字颜色 5 2 3 3" xfId="1119"/>
    <cellStyle name="60% - 强调文字颜色 5 2 3 3 2" xfId="3869"/>
    <cellStyle name="60% - 强调文字颜色 5 2 3 4" xfId="2523"/>
    <cellStyle name="60% - 强调文字颜色 5 2 3 5" xfId="3866"/>
    <cellStyle name="60% - 强调文字颜色 5 2 4" xfId="1120"/>
    <cellStyle name="60% - 强调文字颜色 5 2 4 2" xfId="1121"/>
    <cellStyle name="60% - 强调文字颜色 5 2 4 2 2" xfId="3871"/>
    <cellStyle name="60% - 强调文字颜色 5 2 4 3" xfId="3870"/>
    <cellStyle name="60% - 强调文字颜色 5 2 5" xfId="1123"/>
    <cellStyle name="60% - 强调文字颜色 5 2 5 2" xfId="3872"/>
    <cellStyle name="60% - 强调文字颜色 5 2 6" xfId="2519"/>
    <cellStyle name="60% - 强调文字颜色 5 2 7" xfId="3864"/>
    <cellStyle name="60% - 强调文字颜色 5 2_2015财政决算公开" xfId="3873"/>
    <cellStyle name="60% - 强调文字颜色 5 3" xfId="1124"/>
    <cellStyle name="60% - 强调文字颜色 5 3 2" xfId="1125"/>
    <cellStyle name="60% - 强调文字颜色 5 3 2 2" xfId="37"/>
    <cellStyle name="60% - 强调文字颜色 5 3 2 2 2" xfId="1126"/>
    <cellStyle name="60% - 强调文字颜色 5 3 2 2 2 2" xfId="3876"/>
    <cellStyle name="60% - 强调文字颜色 5 3 2 2 3" xfId="3875"/>
    <cellStyle name="60% - 强调文字颜色 5 3 2 3" xfId="128"/>
    <cellStyle name="60% - 强调文字颜色 5 3 2 3 2" xfId="3877"/>
    <cellStyle name="60% - 强调文字颜色 5 3 2 4" xfId="3874"/>
    <cellStyle name="60% - 强调文字颜色 5 3 3" xfId="1128"/>
    <cellStyle name="60% - 强调文字颜色 5 3 3 2" xfId="1130"/>
    <cellStyle name="60% - 强调文字颜色 5 3 3 2 2" xfId="3879"/>
    <cellStyle name="60% - 强调文字颜色 5 3 3 3" xfId="3878"/>
    <cellStyle name="60% - 强调文字颜色 5 3 4" xfId="1132"/>
    <cellStyle name="60% - 强调文字颜色 5 3 4 2" xfId="3880"/>
    <cellStyle name="60% - 强调文字颜色 5 3 5" xfId="2524"/>
    <cellStyle name="60% - 强调文字颜色 5 4" xfId="1133"/>
    <cellStyle name="60% - 强调文字颜色 5 4 2" xfId="1134"/>
    <cellStyle name="60% - 强调文字颜色 5 4 2 2" xfId="439"/>
    <cellStyle name="60% - 强调文字颜色 5 4 2 2 2" xfId="3883"/>
    <cellStyle name="60% - 强调文字颜色 5 4 2 3" xfId="3882"/>
    <cellStyle name="60% - 强调文字颜色 5 4 3" xfId="1136"/>
    <cellStyle name="60% - 强调文字颜色 5 4 3 2" xfId="3884"/>
    <cellStyle name="60% - 强调文字颜色 5 4 4" xfId="3881"/>
    <cellStyle name="60% - 强调文字颜色 5 5" xfId="1137"/>
    <cellStyle name="60% - 强调文字颜色 5 5 2" xfId="1138"/>
    <cellStyle name="60% - 强调文字颜色 5 5 2 2" xfId="541"/>
    <cellStyle name="60% - 强调文字颜色 5 5 2 2 2" xfId="3887"/>
    <cellStyle name="60% - 强调文字颜色 5 5 2 3" xfId="3886"/>
    <cellStyle name="60% - 强调文字颜色 5 5 3" xfId="1139"/>
    <cellStyle name="60% - 强调文字颜色 5 5 3 2" xfId="3888"/>
    <cellStyle name="60% - 强调文字颜色 5 5 4" xfId="3885"/>
    <cellStyle name="60% - 强调文字颜色 5 6" xfId="1140"/>
    <cellStyle name="60% - 强调文字颜色 5 6 2" xfId="1141"/>
    <cellStyle name="60% - 强调文字颜色 5 6 2 2" xfId="3890"/>
    <cellStyle name="60% - 强调文字颜色 5 6 3" xfId="3889"/>
    <cellStyle name="60% - 强调文字颜色 5 7" xfId="1142"/>
    <cellStyle name="60% - 强调文字颜色 5 7 2" xfId="3891"/>
    <cellStyle name="60% - 强调文字颜色 5 8" xfId="2518"/>
    <cellStyle name="60% - 强调文字颜色 5 9" xfId="3863"/>
    <cellStyle name="60% - 强调文字颜色 6" xfId="1143"/>
    <cellStyle name="60% - 强调文字颜色 6 2" xfId="1144"/>
    <cellStyle name="60% - 强调文字颜色 6 2 2" xfId="1145"/>
    <cellStyle name="60% - 强调文字颜色 6 2 2 2" xfId="1146"/>
    <cellStyle name="60% - 强调文字颜色 6 2 2 2 2" xfId="1147"/>
    <cellStyle name="60% - 强调文字颜色 6 2 2 2 2 2" xfId="3894"/>
    <cellStyle name="60% - 强调文字颜色 6 2 2 2 3" xfId="2528"/>
    <cellStyle name="60% - 强调文字颜色 6 2 2 3" xfId="1148"/>
    <cellStyle name="60% - 强调文字颜色 6 2 2 3 2" xfId="2529"/>
    <cellStyle name="60% - 强调文字颜色 6 2 2 4" xfId="2527"/>
    <cellStyle name="60% - 强调文字颜色 6 2 3" xfId="1149"/>
    <cellStyle name="60% - 强调文字颜色 6 2 3 2" xfId="1150"/>
    <cellStyle name="60% - 强调文字颜色 6 2 3 2 2" xfId="1151"/>
    <cellStyle name="60% - 强调文字颜色 6 2 3 2 2 2" xfId="3897"/>
    <cellStyle name="60% - 强调文字颜色 6 2 3 2 3" xfId="3896"/>
    <cellStyle name="60% - 强调文字颜色 6 2 3 3" xfId="1152"/>
    <cellStyle name="60% - 强调文字颜色 6 2 3 3 2" xfId="3898"/>
    <cellStyle name="60% - 强调文字颜色 6 2 3 4" xfId="2530"/>
    <cellStyle name="60% - 强调文字颜色 6 2 3 5" xfId="3895"/>
    <cellStyle name="60% - 强调文字颜色 6 2 4" xfId="1153"/>
    <cellStyle name="60% - 强调文字颜色 6 2 4 2" xfId="1154"/>
    <cellStyle name="60% - 强调文字颜色 6 2 4 2 2" xfId="3900"/>
    <cellStyle name="60% - 强调文字颜色 6 2 4 3" xfId="3899"/>
    <cellStyle name="60% - 强调文字颜色 6 2 5" xfId="1156"/>
    <cellStyle name="60% - 强调文字颜色 6 2 5 2" xfId="3901"/>
    <cellStyle name="60% - 强调文字颜色 6 2 6" xfId="2526"/>
    <cellStyle name="60% - 强调文字颜色 6 2 7" xfId="3893"/>
    <cellStyle name="60% - 强调文字颜色 6 2_2015财政决算公开" xfId="3902"/>
    <cellStyle name="60% - 强调文字颜色 6 3" xfId="1157"/>
    <cellStyle name="60% - 强调文字颜色 6 3 2" xfId="1159"/>
    <cellStyle name="60% - 强调文字颜色 6 3 2 2" xfId="378"/>
    <cellStyle name="60% - 强调文字颜色 6 3 2 2 2" xfId="662"/>
    <cellStyle name="60% - 强调文字颜色 6 3 2 2 2 2" xfId="3905"/>
    <cellStyle name="60% - 强调文字颜色 6 3 2 2 3" xfId="3904"/>
    <cellStyle name="60% - 强调文字颜色 6 3 2 3" xfId="380"/>
    <cellStyle name="60% - 强调文字颜色 6 3 2 3 2" xfId="3906"/>
    <cellStyle name="60% - 强调文字颜色 6 3 2 4" xfId="3903"/>
    <cellStyle name="60% - 强调文字颜色 6 3 3" xfId="1163"/>
    <cellStyle name="60% - 强调文字颜色 6 3 3 2" xfId="1165"/>
    <cellStyle name="60% - 强调文字颜色 6 3 3 2 2" xfId="3908"/>
    <cellStyle name="60% - 强调文字颜色 6 3 3 3" xfId="3907"/>
    <cellStyle name="60% - 强调文字颜色 6 3 4" xfId="1167"/>
    <cellStyle name="60% - 强调文字颜色 6 3 4 2" xfId="3909"/>
    <cellStyle name="60% - 强调文字颜色 6 3 5" xfId="2531"/>
    <cellStyle name="60% - 强调文字颜色 6 4" xfId="1169"/>
    <cellStyle name="60% - 强调文字颜色 6 4 2" xfId="1171"/>
    <cellStyle name="60% - 强调文字颜色 6 4 2 2" xfId="475"/>
    <cellStyle name="60% - 强调文字颜色 6 4 2 2 2" xfId="3912"/>
    <cellStyle name="60% - 强调文字颜色 6 4 2 3" xfId="3911"/>
    <cellStyle name="60% - 强调文字颜色 6 4 3" xfId="1173"/>
    <cellStyle name="60% - 强调文字颜色 6 4 3 2" xfId="3913"/>
    <cellStyle name="60% - 强调文字颜色 6 4 4" xfId="3910"/>
    <cellStyle name="60% - 强调文字颜色 6 5" xfId="1175"/>
    <cellStyle name="60% - 强调文字颜色 6 5 2" xfId="1179"/>
    <cellStyle name="60% - 强调文字颜色 6 5 2 2" xfId="1181"/>
    <cellStyle name="60% - 强调文字颜色 6 5 2 2 2" xfId="3916"/>
    <cellStyle name="60% - 强调文字颜色 6 5 2 3" xfId="3915"/>
    <cellStyle name="60% - 强调文字颜色 6 5 3" xfId="1184"/>
    <cellStyle name="60% - 强调文字颜色 6 5 3 2" xfId="3917"/>
    <cellStyle name="60% - 强调文字颜色 6 5 4" xfId="3914"/>
    <cellStyle name="60% - 强调文字颜色 6 6" xfId="1185"/>
    <cellStyle name="60% - 强调文字颜色 6 6 2" xfId="1186"/>
    <cellStyle name="60% - 强调文字颜色 6 6 2 2" xfId="3919"/>
    <cellStyle name="60% - 强调文字颜色 6 6 3" xfId="3918"/>
    <cellStyle name="60% - 强调文字颜色 6 7" xfId="1187"/>
    <cellStyle name="60% - 强调文字颜色 6 7 2" xfId="3920"/>
    <cellStyle name="60% - 强调文字颜色 6 8" xfId="2525"/>
    <cellStyle name="60% - 强调文字颜色 6 9" xfId="3892"/>
    <cellStyle name="60% - 着色 1" xfId="2689"/>
    <cellStyle name="60% - 着色 1 2" xfId="2819"/>
    <cellStyle name="60% - 着色 2" xfId="2688"/>
    <cellStyle name="60% - 着色 2 2" xfId="2820"/>
    <cellStyle name="60% - 着色 3" xfId="2661"/>
    <cellStyle name="60% - 着色 3 2" xfId="2821"/>
    <cellStyle name="60% - 着色 4" xfId="2609"/>
    <cellStyle name="60% - 着色 4 2" xfId="2822"/>
    <cellStyle name="60% - 着色 5" xfId="2608"/>
    <cellStyle name="60% - 着色 6" xfId="2607"/>
    <cellStyle name="60% - 着色 6 2" xfId="2823"/>
    <cellStyle name="Calc Currency (0)" xfId="1188"/>
    <cellStyle name="Calc Currency (0) 2" xfId="3921"/>
    <cellStyle name="Comma [0]" xfId="1190"/>
    <cellStyle name="Comma [0] 2" xfId="3922"/>
    <cellStyle name="Comma [0] 3" xfId="5141"/>
    <cellStyle name="comma zerodec" xfId="1191"/>
    <cellStyle name="comma zerodec 2" xfId="3923"/>
    <cellStyle name="Comma_1995" xfId="1193"/>
    <cellStyle name="Currency [0]" xfId="1194"/>
    <cellStyle name="Currency [0] 2" xfId="3924"/>
    <cellStyle name="Currency [0] 3" xfId="5142"/>
    <cellStyle name="Currency_1995" xfId="1195"/>
    <cellStyle name="Currency1" xfId="1197"/>
    <cellStyle name="Currency1 2" xfId="3925"/>
    <cellStyle name="Date" xfId="1198"/>
    <cellStyle name="Date 2" xfId="3926"/>
    <cellStyle name="Dollar (zero dec)" xfId="1199"/>
    <cellStyle name="Dollar (zero dec) 2" xfId="3927"/>
    <cellStyle name="Fixed" xfId="1202"/>
    <cellStyle name="Fixed 2" xfId="3928"/>
    <cellStyle name="Header1" xfId="1204"/>
    <cellStyle name="Header1 2" xfId="3929"/>
    <cellStyle name="Header2" xfId="1206"/>
    <cellStyle name="Header2 2" xfId="3930"/>
    <cellStyle name="HEADING1" xfId="1207"/>
    <cellStyle name="HEADING1 2" xfId="3931"/>
    <cellStyle name="HEADING2" xfId="1208"/>
    <cellStyle name="HEADING2 2" xfId="3932"/>
    <cellStyle name="no dec" xfId="671"/>
    <cellStyle name="no dec 2" xfId="3933"/>
    <cellStyle name="Norma,_laroux_4_营业在建 (2)_E21" xfId="472"/>
    <cellStyle name="Normal_#10-Headcount" xfId="1209"/>
    <cellStyle name="Percent_laroux" xfId="1211"/>
    <cellStyle name="Total" xfId="1212"/>
    <cellStyle name="Total 2" xfId="3934"/>
    <cellStyle name="百分比 2" xfId="1213"/>
    <cellStyle name="百分比 2 2" xfId="1214"/>
    <cellStyle name="百分比 2 2 2" xfId="1215"/>
    <cellStyle name="百分比 2 2 2 2" xfId="1216"/>
    <cellStyle name="百分比 2 2 2 2 2" xfId="254"/>
    <cellStyle name="百分比 2 2 2 2 2 2" xfId="3939"/>
    <cellStyle name="百分比 2 2 2 2 2 3" xfId="5103"/>
    <cellStyle name="百分比 2 2 2 2 3" xfId="3938"/>
    <cellStyle name="百分比 2 2 2 2 4" xfId="5147"/>
    <cellStyle name="百分比 2 2 2 3" xfId="1217"/>
    <cellStyle name="百分比 2 2 2 3 2" xfId="3940"/>
    <cellStyle name="百分比 2 2 2 3 3" xfId="5148"/>
    <cellStyle name="百分比 2 2 2 4" xfId="3937"/>
    <cellStyle name="百分比 2 2 2 5" xfId="5146"/>
    <cellStyle name="百分比 2 2 3" xfId="1218"/>
    <cellStyle name="百分比 2 2 3 2" xfId="1219"/>
    <cellStyle name="百分比 2 2 3 2 2" xfId="3942"/>
    <cellStyle name="百分比 2 2 3 2 3" xfId="5150"/>
    <cellStyle name="百分比 2 2 3 3" xfId="3941"/>
    <cellStyle name="百分比 2 2 3 4" xfId="5149"/>
    <cellStyle name="百分比 2 2 4" xfId="1220"/>
    <cellStyle name="百分比 2 2 4 2" xfId="3943"/>
    <cellStyle name="百分比 2 2 4 3" xfId="5151"/>
    <cellStyle name="百分比 2 2 5" xfId="3936"/>
    <cellStyle name="百分比 2 2 6" xfId="5145"/>
    <cellStyle name="百分比 2 3" xfId="1221"/>
    <cellStyle name="百分比 2 3 2" xfId="1222"/>
    <cellStyle name="百分比 2 3 2 2" xfId="1223"/>
    <cellStyle name="百分比 2 3 2 2 2" xfId="3946"/>
    <cellStyle name="百分比 2 3 2 2 3" xfId="5154"/>
    <cellStyle name="百分比 2 3 2 3" xfId="3945"/>
    <cellStyle name="百分比 2 3 2 4" xfId="5153"/>
    <cellStyle name="百分比 2 3 3" xfId="1224"/>
    <cellStyle name="百分比 2 3 3 2" xfId="3947"/>
    <cellStyle name="百分比 2 3 3 3" xfId="5155"/>
    <cellStyle name="百分比 2 3 4" xfId="3944"/>
    <cellStyle name="百分比 2 3 5" xfId="5152"/>
    <cellStyle name="百分比 2 4" xfId="1225"/>
    <cellStyle name="百分比 2 4 2" xfId="1226"/>
    <cellStyle name="百分比 2 4 2 2" xfId="3949"/>
    <cellStyle name="百分比 2 4 2 3" xfId="5157"/>
    <cellStyle name="百分比 2 4 3" xfId="3948"/>
    <cellStyle name="百分比 2 4 4" xfId="5156"/>
    <cellStyle name="百分比 2 5" xfId="1227"/>
    <cellStyle name="百分比 2 5 2" xfId="3950"/>
    <cellStyle name="百分比 2 5 3" xfId="5158"/>
    <cellStyle name="百分比 2 6" xfId="3935"/>
    <cellStyle name="百分比 2 7" xfId="5144"/>
    <cellStyle name="百分比 3" xfId="1228"/>
    <cellStyle name="百分比 3 2" xfId="1229"/>
    <cellStyle name="百分比 3 2 2" xfId="1168"/>
    <cellStyle name="百分比 3 2 2 2" xfId="1170"/>
    <cellStyle name="百分比 3 2 2 2 2" xfId="3954"/>
    <cellStyle name="百分比 3 2 2 2 3" xfId="5138"/>
    <cellStyle name="百分比 3 2 2 3" xfId="3953"/>
    <cellStyle name="百分比 3 2 2 4" xfId="5137"/>
    <cellStyle name="百分比 3 2 3" xfId="1174"/>
    <cellStyle name="百分比 3 2 3 2" xfId="3955"/>
    <cellStyle name="百分比 3 2 3 3" xfId="5139"/>
    <cellStyle name="百分比 3 2 4" xfId="3952"/>
    <cellStyle name="百分比 3 2 5" xfId="5160"/>
    <cellStyle name="百分比 3 3" xfId="1230"/>
    <cellStyle name="百分比 3 3 2" xfId="1231"/>
    <cellStyle name="百分比 3 3 2 2" xfId="3957"/>
    <cellStyle name="百分比 3 3 2 3" xfId="5162"/>
    <cellStyle name="百分比 3 3 3" xfId="3956"/>
    <cellStyle name="百分比 3 3 4" xfId="5161"/>
    <cellStyle name="百分比 3 4" xfId="1232"/>
    <cellStyle name="百分比 3 4 2" xfId="3958"/>
    <cellStyle name="百分比 3 4 3" xfId="5163"/>
    <cellStyle name="百分比 3 5" xfId="1233"/>
    <cellStyle name="百分比 3 5 2" xfId="3959"/>
    <cellStyle name="百分比 3 5 3" xfId="5164"/>
    <cellStyle name="百分比 3 6" xfId="3951"/>
    <cellStyle name="百分比 3 7" xfId="5159"/>
    <cellStyle name="百分比 4" xfId="1234"/>
    <cellStyle name="百分比 4 2" xfId="1236"/>
    <cellStyle name="百分比 4 2 2" xfId="1238"/>
    <cellStyle name="百分比 4 2 2 2" xfId="1239"/>
    <cellStyle name="百分比 4 2 2 2 2" xfId="3963"/>
    <cellStyle name="百分比 4 2 2 2 3" xfId="5168"/>
    <cellStyle name="百分比 4 2 2 3" xfId="3962"/>
    <cellStyle name="百分比 4 2 2 4" xfId="5167"/>
    <cellStyle name="百分比 4 2 3" xfId="1241"/>
    <cellStyle name="百分比 4 2 3 2" xfId="3964"/>
    <cellStyle name="百分比 4 2 3 3" xfId="5169"/>
    <cellStyle name="百分比 4 2 4" xfId="3961"/>
    <cellStyle name="百分比 4 2 5" xfId="5166"/>
    <cellStyle name="百分比 4 3" xfId="1243"/>
    <cellStyle name="百分比 4 3 2" xfId="1246"/>
    <cellStyle name="百分比 4 3 2 2" xfId="3966"/>
    <cellStyle name="百分比 4 3 2 3" xfId="5171"/>
    <cellStyle name="百分比 4 3 3" xfId="3965"/>
    <cellStyle name="百分比 4 3 4" xfId="5170"/>
    <cellStyle name="百分比 4 4" xfId="1248"/>
    <cellStyle name="百分比 4 4 2" xfId="3967"/>
    <cellStyle name="百分比 4 4 3" xfId="5172"/>
    <cellStyle name="百分比 4 5" xfId="3960"/>
    <cellStyle name="百分比 4 6" xfId="5165"/>
    <cellStyle name="百分比 5" xfId="1250"/>
    <cellStyle name="百分比 5 2" xfId="1254"/>
    <cellStyle name="百分比 5 2 2" xfId="1256"/>
    <cellStyle name="百分比 5 2 2 2" xfId="1257"/>
    <cellStyle name="百分比 5 2 2 2 2" xfId="3971"/>
    <cellStyle name="百分比 5 2 2 2 3" xfId="5176"/>
    <cellStyle name="百分比 5 2 2 3" xfId="3970"/>
    <cellStyle name="百分比 5 2 2 4" xfId="5175"/>
    <cellStyle name="百分比 5 2 3" xfId="1259"/>
    <cellStyle name="百分比 5 2 3 2" xfId="3972"/>
    <cellStyle name="百分比 5 2 3 3" xfId="5177"/>
    <cellStyle name="百分比 5 2 4" xfId="3969"/>
    <cellStyle name="百分比 5 2 5" xfId="5174"/>
    <cellStyle name="百分比 5 3" xfId="1261"/>
    <cellStyle name="百分比 5 3 2" xfId="1262"/>
    <cellStyle name="百分比 5 3 2 2" xfId="3974"/>
    <cellStyle name="百分比 5 3 2 3" xfId="5179"/>
    <cellStyle name="百分比 5 3 3" xfId="3973"/>
    <cellStyle name="百分比 5 3 4" xfId="5178"/>
    <cellStyle name="百分比 5 4" xfId="1264"/>
    <cellStyle name="百分比 5 4 2" xfId="3975"/>
    <cellStyle name="百分比 5 4 3" xfId="5180"/>
    <cellStyle name="百分比 5 5" xfId="1266"/>
    <cellStyle name="百分比 5 5 2" xfId="3976"/>
    <cellStyle name="百分比 5 5 3" xfId="5181"/>
    <cellStyle name="百分比 5 6" xfId="3968"/>
    <cellStyle name="百分比 5 7" xfId="5173"/>
    <cellStyle name="百分比 6" xfId="1268"/>
    <cellStyle name="百分比 6 2" xfId="1270"/>
    <cellStyle name="百分比 6 2 2" xfId="1272"/>
    <cellStyle name="百分比 6 2 2 2" xfId="1274"/>
    <cellStyle name="百分比 6 2 2 2 2" xfId="3980"/>
    <cellStyle name="百分比 6 2 2 2 3" xfId="5185"/>
    <cellStyle name="百分比 6 2 2 3" xfId="3979"/>
    <cellStyle name="百分比 6 2 2 4" xfId="5184"/>
    <cellStyle name="百分比 6 2 3" xfId="1276"/>
    <cellStyle name="百分比 6 2 3 2" xfId="3981"/>
    <cellStyle name="百分比 6 2 3 3" xfId="5186"/>
    <cellStyle name="百分比 6 2 4" xfId="3978"/>
    <cellStyle name="百分比 6 2 5" xfId="5183"/>
    <cellStyle name="百分比 6 3" xfId="1278"/>
    <cellStyle name="百分比 6 3 2" xfId="1279"/>
    <cellStyle name="百分比 6 3 2 2" xfId="3983"/>
    <cellStyle name="百分比 6 3 2 3" xfId="5188"/>
    <cellStyle name="百分比 6 3 3" xfId="3982"/>
    <cellStyle name="百分比 6 3 4" xfId="5187"/>
    <cellStyle name="百分比 6 4" xfId="1281"/>
    <cellStyle name="百分比 6 4 2" xfId="3984"/>
    <cellStyle name="百分比 6 4 3" xfId="5189"/>
    <cellStyle name="百分比 6 5" xfId="3977"/>
    <cellStyle name="百分比 6 6" xfId="5182"/>
    <cellStyle name="百分比 7" xfId="1282"/>
    <cellStyle name="百分比 7 2" xfId="1283"/>
    <cellStyle name="百分比 7 2 2" xfId="1284"/>
    <cellStyle name="百分比 7 2 2 2" xfId="1285"/>
    <cellStyle name="百分比 7 2 2 2 2" xfId="3988"/>
    <cellStyle name="百分比 7 2 2 2 3" xfId="5193"/>
    <cellStyle name="百分比 7 2 2 3" xfId="3987"/>
    <cellStyle name="百分比 7 2 2 4" xfId="5192"/>
    <cellStyle name="百分比 7 2 3" xfId="1286"/>
    <cellStyle name="百分比 7 2 3 2" xfId="3989"/>
    <cellStyle name="百分比 7 2 3 3" xfId="5194"/>
    <cellStyle name="百分比 7 2 4" xfId="3986"/>
    <cellStyle name="百分比 7 2 5" xfId="5191"/>
    <cellStyle name="百分比 7 3" xfId="1287"/>
    <cellStyle name="百分比 7 3 2" xfId="1288"/>
    <cellStyle name="百分比 7 3 2 2" xfId="3991"/>
    <cellStyle name="百分比 7 3 2 3" xfId="5196"/>
    <cellStyle name="百分比 7 3 3" xfId="3990"/>
    <cellStyle name="百分比 7 3 4" xfId="5195"/>
    <cellStyle name="百分比 7 4" xfId="1289"/>
    <cellStyle name="百分比 7 4 2" xfId="3992"/>
    <cellStyle name="百分比 7 4 3" xfId="5197"/>
    <cellStyle name="百分比 7 5" xfId="3985"/>
    <cellStyle name="百分比 7 6" xfId="5190"/>
    <cellStyle name="百分比 8" xfId="2720"/>
    <cellStyle name="标题" xfId="1290"/>
    <cellStyle name="标题 1" xfId="1291"/>
    <cellStyle name="标题 1 2" xfId="1292"/>
    <cellStyle name="标题 1 2 2" xfId="1294"/>
    <cellStyle name="标题 1 2 2 2" xfId="1295"/>
    <cellStyle name="标题 1 2 2 2 2" xfId="1296"/>
    <cellStyle name="标题 1 2 2 3" xfId="1298"/>
    <cellStyle name="标题 1 2 3" xfId="1299"/>
    <cellStyle name="标题 1 2 3 2" xfId="1300"/>
    <cellStyle name="标题 1 2 3 2 2" xfId="1063"/>
    <cellStyle name="标题 1 2 3 3" xfId="1302"/>
    <cellStyle name="标题 1 2 3 4" xfId="2533"/>
    <cellStyle name="标题 1 2 4" xfId="1303"/>
    <cellStyle name="标题 1 2 4 2" xfId="1304"/>
    <cellStyle name="标题 1 2 5" xfId="1305"/>
    <cellStyle name="标题 1 2_2015财政决算公开" xfId="3993"/>
    <cellStyle name="标题 1 3" xfId="1306"/>
    <cellStyle name="标题 1 3 2" xfId="1307"/>
    <cellStyle name="标题 1 3 2 2" xfId="1309"/>
    <cellStyle name="标题 1 3 2 2 2" xfId="1312"/>
    <cellStyle name="标题 1 3 2 3" xfId="1315"/>
    <cellStyle name="标题 1 3 3" xfId="1316"/>
    <cellStyle name="标题 1 3 3 2" xfId="1318"/>
    <cellStyle name="标题 1 3 4" xfId="1319"/>
    <cellStyle name="标题 1 4" xfId="1320"/>
    <cellStyle name="标题 1 4 2" xfId="1321"/>
    <cellStyle name="标题 1 4 2 2" xfId="739"/>
    <cellStyle name="标题 1 4 3" xfId="1322"/>
    <cellStyle name="标题 1 5" xfId="1323"/>
    <cellStyle name="标题 1 5 2" xfId="1325"/>
    <cellStyle name="标题 1 5 2 2" xfId="750"/>
    <cellStyle name="标题 1 5 3" xfId="1326"/>
    <cellStyle name="标题 1 6" xfId="1327"/>
    <cellStyle name="标题 1 6 2" xfId="1328"/>
    <cellStyle name="标题 1 7" xfId="1329"/>
    <cellStyle name="标题 1 8" xfId="2824"/>
    <cellStyle name="标题 10" xfId="2808"/>
    <cellStyle name="标题 2" xfId="1330"/>
    <cellStyle name="标题 2 2" xfId="1331"/>
    <cellStyle name="标题 2 2 2" xfId="1332"/>
    <cellStyle name="标题 2 2 2 2" xfId="1333"/>
    <cellStyle name="标题 2 2 2 2 2" xfId="1334"/>
    <cellStyle name="标题 2 2 2 3" xfId="1335"/>
    <cellStyle name="标题 2 2 3" xfId="1336"/>
    <cellStyle name="标题 2 2 3 2" xfId="1338"/>
    <cellStyle name="标题 2 2 3 2 2" xfId="1340"/>
    <cellStyle name="标题 2 2 3 3" xfId="1342"/>
    <cellStyle name="标题 2 2 3 4" xfId="2534"/>
    <cellStyle name="标题 2 2 4" xfId="548"/>
    <cellStyle name="标题 2 2 4 2" xfId="1344"/>
    <cellStyle name="标题 2 2 5" xfId="551"/>
    <cellStyle name="标题 2 2_2015财政决算公开" xfId="3994"/>
    <cellStyle name="标题 2 3" xfId="1345"/>
    <cellStyle name="标题 2 3 2" xfId="1346"/>
    <cellStyle name="标题 2 3 2 2" xfId="1347"/>
    <cellStyle name="标题 2 3 2 2 2" xfId="1348"/>
    <cellStyle name="标题 2 3 2 3" xfId="1349"/>
    <cellStyle name="标题 2 3 3" xfId="1350"/>
    <cellStyle name="标题 2 3 3 2" xfId="1351"/>
    <cellStyle name="标题 2 3 4" xfId="1352"/>
    <cellStyle name="标题 2 4" xfId="1353"/>
    <cellStyle name="标题 2 4 2" xfId="1354"/>
    <cellStyle name="标题 2 4 2 2" xfId="774"/>
    <cellStyle name="标题 2 4 3" xfId="1273"/>
    <cellStyle name="标题 2 5" xfId="1355"/>
    <cellStyle name="标题 2 5 2" xfId="1356"/>
    <cellStyle name="标题 2 5 2 2" xfId="791"/>
    <cellStyle name="标题 2 5 3" xfId="1357"/>
    <cellStyle name="标题 2 6" xfId="1358"/>
    <cellStyle name="标题 2 6 2" xfId="1359"/>
    <cellStyle name="标题 2 7" xfId="1360"/>
    <cellStyle name="标题 2 8" xfId="2825"/>
    <cellStyle name="标题 3" xfId="1361"/>
    <cellStyle name="标题 3 2" xfId="1362"/>
    <cellStyle name="标题 3 2 2" xfId="1364"/>
    <cellStyle name="标题 3 2 2 2" xfId="1367"/>
    <cellStyle name="标题 3 2 2 2 2" xfId="395"/>
    <cellStyle name="标题 3 2 2 3" xfId="1370"/>
    <cellStyle name="标题 3 2 3" xfId="1372"/>
    <cellStyle name="标题 3 2 3 2" xfId="1374"/>
    <cellStyle name="标题 3 2 3 2 2" xfId="455"/>
    <cellStyle name="标题 3 2 3 3" xfId="1375"/>
    <cellStyle name="标题 3 2 3 4" xfId="2535"/>
    <cellStyle name="标题 3 2 4" xfId="1377"/>
    <cellStyle name="标题 3 2 4 2" xfId="1378"/>
    <cellStyle name="标题 3 2 5" xfId="1379"/>
    <cellStyle name="标题 3 2_2015财政决算公开" xfId="3995"/>
    <cellStyle name="标题 3 3" xfId="1380"/>
    <cellStyle name="标题 3 3 2" xfId="1381"/>
    <cellStyle name="标题 3 3 2 2" xfId="997"/>
    <cellStyle name="标题 3 3 2 2 2" xfId="1382"/>
    <cellStyle name="标题 3 3 2 3" xfId="1383"/>
    <cellStyle name="标题 3 3 3" xfId="1384"/>
    <cellStyle name="标题 3 3 3 2" xfId="1037"/>
    <cellStyle name="标题 3 3 4" xfId="1385"/>
    <cellStyle name="标题 3 4" xfId="1386"/>
    <cellStyle name="标题 3 4 2" xfId="1387"/>
    <cellStyle name="标题 3 4 2 2" xfId="813"/>
    <cellStyle name="标题 3 4 3" xfId="1388"/>
    <cellStyle name="标题 3 5" xfId="1389"/>
    <cellStyle name="标题 3 5 2" xfId="1390"/>
    <cellStyle name="标题 3 5 2 2" xfId="833"/>
    <cellStyle name="标题 3 5 3" xfId="1392"/>
    <cellStyle name="标题 3 6" xfId="1393"/>
    <cellStyle name="标题 3 6 2" xfId="1394"/>
    <cellStyle name="标题 3 7" xfId="1395"/>
    <cellStyle name="标题 3 8" xfId="2826"/>
    <cellStyle name="标题 4" xfId="170"/>
    <cellStyle name="标题 4 2" xfId="1397"/>
    <cellStyle name="标题 4 2 2" xfId="1399"/>
    <cellStyle name="标题 4 2 2 2" xfId="1402"/>
    <cellStyle name="标题 4 2 2 2 2" xfId="1405"/>
    <cellStyle name="标题 4 2 2 3" xfId="1407"/>
    <cellStyle name="标题 4 2 3" xfId="1409"/>
    <cellStyle name="标题 4 2 3 2" xfId="1411"/>
    <cellStyle name="标题 4 2 3 2 2" xfId="1413"/>
    <cellStyle name="标题 4 2 3 3" xfId="1415"/>
    <cellStyle name="标题 4 2 3 4" xfId="2536"/>
    <cellStyle name="标题 4 2 4" xfId="1417"/>
    <cellStyle name="标题 4 2 4 2" xfId="1420"/>
    <cellStyle name="标题 4 2 5" xfId="1422"/>
    <cellStyle name="标题 4 2_2015财政决算公开" xfId="3996"/>
    <cellStyle name="标题 4 3" xfId="1424"/>
    <cellStyle name="标题 4 3 2" xfId="1426"/>
    <cellStyle name="标题 4 3 2 2" xfId="1429"/>
    <cellStyle name="标题 4 3 2 2 2" xfId="1432"/>
    <cellStyle name="标题 4 3 2 3" xfId="1434"/>
    <cellStyle name="标题 4 3 3" xfId="1436"/>
    <cellStyle name="标题 4 3 3 2" xfId="1438"/>
    <cellStyle name="标题 4 3 4" xfId="1440"/>
    <cellStyle name="标题 4 4" xfId="498"/>
    <cellStyle name="标题 4 4 2" xfId="501"/>
    <cellStyle name="标题 4 4 2 2" xfId="858"/>
    <cellStyle name="标题 4 4 3" xfId="504"/>
    <cellStyle name="标题 4 5" xfId="510"/>
    <cellStyle name="标题 4 5 2" xfId="513"/>
    <cellStyle name="标题 4 5 2 2" xfId="871"/>
    <cellStyle name="标题 4 5 3" xfId="516"/>
    <cellStyle name="标题 4 6" xfId="419"/>
    <cellStyle name="标题 4 6 2" xfId="422"/>
    <cellStyle name="标题 4 7" xfId="430"/>
    <cellStyle name="标题 4 8" xfId="2827"/>
    <cellStyle name="标题 5" xfId="153"/>
    <cellStyle name="标题 5 2" xfId="1441"/>
    <cellStyle name="标题 5 2 2" xfId="1442"/>
    <cellStyle name="标题 5 2 2 2" xfId="1444"/>
    <cellStyle name="标题 5 2 2 2 2" xfId="1446"/>
    <cellStyle name="标题 5 2 2 2 2 2" xfId="4000"/>
    <cellStyle name="标题 5 2 2 2 3" xfId="3999"/>
    <cellStyle name="标题 5 2 2 2_2015财政决算公开" xfId="4001"/>
    <cellStyle name="标题 5 2 2 3" xfId="1253"/>
    <cellStyle name="标题 5 2 2 3 2" xfId="4002"/>
    <cellStyle name="标题 5 2 2 4" xfId="2540"/>
    <cellStyle name="标题 5 2 2 5" xfId="3998"/>
    <cellStyle name="标题 5 2 2_2015财政决算公开" xfId="4003"/>
    <cellStyle name="标题 5 2 3" xfId="1447"/>
    <cellStyle name="标题 5 2 3 2" xfId="1449"/>
    <cellStyle name="标题 5 2 3 2 2" xfId="4005"/>
    <cellStyle name="标题 5 2 3 3" xfId="2541"/>
    <cellStyle name="标题 5 2 3 4" xfId="4004"/>
    <cellStyle name="标题 5 2 3_2015财政决算公开" xfId="4006"/>
    <cellStyle name="标题 5 2 4" xfId="1450"/>
    <cellStyle name="标题 5 2 4 2" xfId="4007"/>
    <cellStyle name="标题 5 2 5" xfId="2539"/>
    <cellStyle name="标题 5 2 6" xfId="3997"/>
    <cellStyle name="标题 5 2_2015财政决算公开" xfId="4008"/>
    <cellStyle name="标题 5 3" xfId="1451"/>
    <cellStyle name="标题 5 3 2" xfId="615"/>
    <cellStyle name="标题 5 3 2 2" xfId="617"/>
    <cellStyle name="标题 5 3 2 2 2" xfId="4011"/>
    <cellStyle name="标题 5 3 2 3" xfId="4010"/>
    <cellStyle name="标题 5 3 2_2015财政决算公开" xfId="4012"/>
    <cellStyle name="标题 5 3 3" xfId="645"/>
    <cellStyle name="标题 5 3 3 2" xfId="4013"/>
    <cellStyle name="标题 5 3 4" xfId="2542"/>
    <cellStyle name="标题 5 3 5" xfId="4009"/>
    <cellStyle name="标题 5 3_2015财政决算公开" xfId="4014"/>
    <cellStyle name="标题 5 4" xfId="518"/>
    <cellStyle name="标题 5 4 2" xfId="1452"/>
    <cellStyle name="标题 5 4 2 2" xfId="907"/>
    <cellStyle name="标题 5 4 3" xfId="1453"/>
    <cellStyle name="标题 5 5" xfId="1"/>
    <cellStyle name="标题 5 5 2" xfId="1454"/>
    <cellStyle name="标题 5 6" xfId="314"/>
    <cellStyle name="标题 5 7" xfId="2538"/>
    <cellStyle name="标题 5_2015财政决算公开" xfId="4015"/>
    <cellStyle name="标题 6" xfId="1455"/>
    <cellStyle name="标题 6 2" xfId="2543"/>
    <cellStyle name="标题 7" xfId="1456"/>
    <cellStyle name="标题 7 2" xfId="1457"/>
    <cellStyle name="标题 8" xfId="1458"/>
    <cellStyle name="标题 9" xfId="2532"/>
    <cellStyle name="表标题" xfId="1460"/>
    <cellStyle name="表标题 2" xfId="1461"/>
    <cellStyle name="表标题 2 2" xfId="1462"/>
    <cellStyle name="表标题 2 2 2" xfId="1463"/>
    <cellStyle name="表标题 2 2 2 2" xfId="1464"/>
    <cellStyle name="表标题 2 2 3" xfId="1465"/>
    <cellStyle name="表标题 2 3" xfId="1466"/>
    <cellStyle name="表标题 2 3 2" xfId="161"/>
    <cellStyle name="表标题 2 4" xfId="22"/>
    <cellStyle name="表标题 3" xfId="1467"/>
    <cellStyle name="表标题 3 2" xfId="1469"/>
    <cellStyle name="表标题 3 2 2" xfId="208"/>
    <cellStyle name="表标题 3 3" xfId="1471"/>
    <cellStyle name="表标题 4" xfId="1472"/>
    <cellStyle name="表标题 4 2" xfId="1474"/>
    <cellStyle name="表标题 5" xfId="1475"/>
    <cellStyle name="差" xfId="1476"/>
    <cellStyle name="差 2" xfId="1478"/>
    <cellStyle name="差 2 2" xfId="1480"/>
    <cellStyle name="差 2 2 2" xfId="271"/>
    <cellStyle name="差 2 2 2 2" xfId="273"/>
    <cellStyle name="差 2 2 2 2 2" xfId="4016"/>
    <cellStyle name="差 2 2 2 3" xfId="2547"/>
    <cellStyle name="差 2 2 3" xfId="279"/>
    <cellStyle name="差 2 2 3 2" xfId="2548"/>
    <cellStyle name="差 2 2 4" xfId="2546"/>
    <cellStyle name="差 2 3" xfId="1482"/>
    <cellStyle name="差 2 3 2" xfId="230"/>
    <cellStyle name="差 2 3 2 2" xfId="4017"/>
    <cellStyle name="差 2 3 3" xfId="2549"/>
    <cellStyle name="差 2 4" xfId="1483"/>
    <cellStyle name="差 2 4 2" xfId="4018"/>
    <cellStyle name="差 2 5" xfId="2545"/>
    <cellStyle name="差 2_2015财政决算公开" xfId="4019"/>
    <cellStyle name="差 3" xfId="1485"/>
    <cellStyle name="差 3 2" xfId="1487"/>
    <cellStyle name="差 3 2 2" xfId="485"/>
    <cellStyle name="差 3 2 2 2" xfId="122"/>
    <cellStyle name="差 3 2 2 2 2" xfId="4022"/>
    <cellStyle name="差 3 2 2 3" xfId="4021"/>
    <cellStyle name="差 3 2 3" xfId="323"/>
    <cellStyle name="差 3 2 3 2" xfId="4023"/>
    <cellStyle name="差 3 2 4" xfId="4020"/>
    <cellStyle name="差 3 3" xfId="1489"/>
    <cellStyle name="差 3 3 2" xfId="1490"/>
    <cellStyle name="差 3 3 2 2" xfId="4025"/>
    <cellStyle name="差 3 3 3" xfId="4024"/>
    <cellStyle name="差 3 4" xfId="1491"/>
    <cellStyle name="差 3 4 2" xfId="4026"/>
    <cellStyle name="差 3 5" xfId="2550"/>
    <cellStyle name="差 4" xfId="1493"/>
    <cellStyle name="差 4 2" xfId="1494"/>
    <cellStyle name="差 4 2 2" xfId="525"/>
    <cellStyle name="差 4 2 2 2" xfId="4029"/>
    <cellStyle name="差 4 2 3" xfId="4028"/>
    <cellStyle name="差 4 3" xfId="1495"/>
    <cellStyle name="差 4 3 2" xfId="4030"/>
    <cellStyle name="差 4 4" xfId="4027"/>
    <cellStyle name="差 5" xfId="1496"/>
    <cellStyle name="差 5 2" xfId="1497"/>
    <cellStyle name="差 5 2 2" xfId="1498"/>
    <cellStyle name="差 5 2 2 2" xfId="4033"/>
    <cellStyle name="差 5 2 3" xfId="4032"/>
    <cellStyle name="差 5 3" xfId="1499"/>
    <cellStyle name="差 5 3 2" xfId="4034"/>
    <cellStyle name="差 5 4" xfId="4031"/>
    <cellStyle name="差 6" xfId="1500"/>
    <cellStyle name="差 6 2" xfId="1501"/>
    <cellStyle name="差 6 2 2" xfId="4036"/>
    <cellStyle name="差 6 3" xfId="4035"/>
    <cellStyle name="差 7" xfId="1002"/>
    <cellStyle name="差 7 2" xfId="4037"/>
    <cellStyle name="差 8" xfId="2544"/>
    <cellStyle name="差_5.中央部门决算（草案)-1" xfId="2551"/>
    <cellStyle name="差_F00DC810C49E00C2E0430A3413167AE0" xfId="2552"/>
    <cellStyle name="差_出版署2010年度中央部门决算草案" xfId="2553"/>
    <cellStyle name="差_全国友协2010年度中央部门决算（草案）" xfId="2554"/>
    <cellStyle name="差_司法部2010年度中央部门决算（草案）报" xfId="2555"/>
    <cellStyle name="常规" xfId="0" builtinId="0"/>
    <cellStyle name="常规 10" xfId="1502"/>
    <cellStyle name="常规 10 2" xfId="1503"/>
    <cellStyle name="常规 10 2 2" xfId="1504"/>
    <cellStyle name="常规 10 2 2 2" xfId="1505"/>
    <cellStyle name="常规 10 2 2 2 2" xfId="4041"/>
    <cellStyle name="常规 10 2 2 3" xfId="4040"/>
    <cellStyle name="常规 10 2 2_2015财政决算公开" xfId="4042"/>
    <cellStyle name="常规 10 2 3" xfId="1507"/>
    <cellStyle name="常规 10 2 3 2" xfId="4043"/>
    <cellStyle name="常规 10 2 4" xfId="4039"/>
    <cellStyle name="常规 10 2_2015财政决算公开" xfId="4044"/>
    <cellStyle name="常规 10 3" xfId="1508"/>
    <cellStyle name="常规 10 3 2" xfId="1509"/>
    <cellStyle name="常规 10 3 2 2" xfId="4046"/>
    <cellStyle name="常规 10 3 3" xfId="4045"/>
    <cellStyle name="常规 10 3_2015财政决算公开" xfId="4047"/>
    <cellStyle name="常规 10 4" xfId="1511"/>
    <cellStyle name="常规 10 4 2" xfId="4048"/>
    <cellStyle name="常规 10 5" xfId="2556"/>
    <cellStyle name="常规 10 6" xfId="4038"/>
    <cellStyle name="常规 10_2015财政决算公开" xfId="4049"/>
    <cellStyle name="常规 100" xfId="5010"/>
    <cellStyle name="常规 101" xfId="5011"/>
    <cellStyle name="常规 102" xfId="5012"/>
    <cellStyle name="常规 103" xfId="5013"/>
    <cellStyle name="常规 104" xfId="5014"/>
    <cellStyle name="常规 105" xfId="5015"/>
    <cellStyle name="常规 106" xfId="5016"/>
    <cellStyle name="常规 107" xfId="5017"/>
    <cellStyle name="常规 108" xfId="5018"/>
    <cellStyle name="常规 109" xfId="5019"/>
    <cellStyle name="常规 11" xfId="1512"/>
    <cellStyle name="常规 11 2" xfId="130"/>
    <cellStyle name="常规 11 2 2" xfId="135"/>
    <cellStyle name="常规 11 2 2 2" xfId="1513"/>
    <cellStyle name="常规 11 2 2 2 2" xfId="4053"/>
    <cellStyle name="常规 11 2 2 3" xfId="4052"/>
    <cellStyle name="常规 11 2 3" xfId="137"/>
    <cellStyle name="常规 11 2 3 2" xfId="4054"/>
    <cellStyle name="常规 11 2 4" xfId="2558"/>
    <cellStyle name="常规 11 2 5" xfId="4051"/>
    <cellStyle name="常规 11 3" xfId="140"/>
    <cellStyle name="常规 11 3 2" xfId="143"/>
    <cellStyle name="常规 11 3 2 2" xfId="4056"/>
    <cellStyle name="常规 11 3 3" xfId="2559"/>
    <cellStyle name="常规 11 3 4" xfId="4055"/>
    <cellStyle name="常规 11 4" xfId="150"/>
    <cellStyle name="常规 11 4 2" xfId="4057"/>
    <cellStyle name="常规 11 5" xfId="2557"/>
    <cellStyle name="常规 11 6" xfId="4050"/>
    <cellStyle name="常规 11_报 预算   行政政法处(1)" xfId="2560"/>
    <cellStyle name="常规 110" xfId="5020"/>
    <cellStyle name="常规 111" xfId="5021"/>
    <cellStyle name="常规 112" xfId="5022"/>
    <cellStyle name="常规 113" xfId="5023"/>
    <cellStyle name="常规 114" xfId="5024"/>
    <cellStyle name="常规 115" xfId="5025"/>
    <cellStyle name="常规 116" xfId="5026"/>
    <cellStyle name="常规 117" xfId="5027"/>
    <cellStyle name="常规 118" xfId="5028"/>
    <cellStyle name="常规 119" xfId="5029"/>
    <cellStyle name="常规 12" xfId="1515"/>
    <cellStyle name="常规 12 2" xfId="194"/>
    <cellStyle name="常规 12 2 2" xfId="197"/>
    <cellStyle name="常规 12 2 2 2" xfId="1516"/>
    <cellStyle name="常规 12 2 2 2 2" xfId="1517"/>
    <cellStyle name="常规 12 2 2 2 2 2" xfId="4062"/>
    <cellStyle name="常规 12 2 2 2 3" xfId="4061"/>
    <cellStyle name="常规 12 2 2 2_2015财政决算公开" xfId="4063"/>
    <cellStyle name="常规 12 2 2 3" xfId="1518"/>
    <cellStyle name="常规 12 2 2 3 2" xfId="4064"/>
    <cellStyle name="常规 12 2 2 4" xfId="4065"/>
    <cellStyle name="常规 12 2 2 5" xfId="4060"/>
    <cellStyle name="常规 12 2 2_2015财政决算公开" xfId="4066"/>
    <cellStyle name="常规 12 2 3" xfId="199"/>
    <cellStyle name="常规 12 2 3 2" xfId="1519"/>
    <cellStyle name="常规 12 2 3 2 2" xfId="4068"/>
    <cellStyle name="常规 12 2 3 3" xfId="4067"/>
    <cellStyle name="常规 12 2 3_2015财政决算公开" xfId="4069"/>
    <cellStyle name="常规 12 2 4" xfId="1520"/>
    <cellStyle name="常规 12 2 4 2" xfId="4070"/>
    <cellStyle name="常规 12 2 5" xfId="4059"/>
    <cellStyle name="常规 12 2_2015财政决算公开" xfId="4071"/>
    <cellStyle name="常规 12 3" xfId="201"/>
    <cellStyle name="常规 12 3 2" xfId="204"/>
    <cellStyle name="常规 12 3 2 2" xfId="4073"/>
    <cellStyle name="常规 12 3 3" xfId="4072"/>
    <cellStyle name="常规 12 3_2015财政决算公开" xfId="4074"/>
    <cellStyle name="常规 12 4" xfId="214"/>
    <cellStyle name="常规 12 4 2" xfId="1521"/>
    <cellStyle name="常规 12 4 2 2" xfId="4076"/>
    <cellStyle name="常规 12 4 3" xfId="4075"/>
    <cellStyle name="常规 12 4_2015财政决算公开" xfId="4077"/>
    <cellStyle name="常规 12 5" xfId="219"/>
    <cellStyle name="常规 12 5 2" xfId="4078"/>
    <cellStyle name="常规 12 6" xfId="4079"/>
    <cellStyle name="常规 12 7" xfId="4058"/>
    <cellStyle name="常规 12_2015财政决算公开" xfId="4080"/>
    <cellStyle name="常规 120" xfId="5030"/>
    <cellStyle name="常规 121" xfId="5031"/>
    <cellStyle name="常规 122" xfId="5032"/>
    <cellStyle name="常规 123" xfId="5033"/>
    <cellStyle name="常规 124" xfId="5034"/>
    <cellStyle name="常规 125" xfId="5035"/>
    <cellStyle name="常规 126" xfId="5036"/>
    <cellStyle name="常规 127" xfId="5037"/>
    <cellStyle name="常规 128" xfId="5038"/>
    <cellStyle name="常规 129" xfId="5039"/>
    <cellStyle name="常规 13" xfId="1523"/>
    <cellStyle name="常规 13 2" xfId="284"/>
    <cellStyle name="常规 13 2 2" xfId="286"/>
    <cellStyle name="常规 13 2 2 2" xfId="1525"/>
    <cellStyle name="常规 13 2 2 2 2" xfId="4084"/>
    <cellStyle name="常规 13 2 2 3" xfId="4083"/>
    <cellStyle name="常规 13 2 2_2015财政决算公开" xfId="4085"/>
    <cellStyle name="常规 13 2 3" xfId="288"/>
    <cellStyle name="常规 13 2 3 2" xfId="4086"/>
    <cellStyle name="常规 13 2 4" xfId="4087"/>
    <cellStyle name="常规 13 2 5" xfId="4082"/>
    <cellStyle name="常规 13 2_2015财政决算公开" xfId="4088"/>
    <cellStyle name="常规 13 3" xfId="290"/>
    <cellStyle name="常规 13 3 2" xfId="293"/>
    <cellStyle name="常规 13 3 2 2" xfId="4090"/>
    <cellStyle name="常规 13 3 3" xfId="4089"/>
    <cellStyle name="常规 13 3_2015财政决算公开" xfId="4091"/>
    <cellStyle name="常规 13 4" xfId="299"/>
    <cellStyle name="常规 13 4 2" xfId="4092"/>
    <cellStyle name="常规 13 5" xfId="4081"/>
    <cellStyle name="常规 13_2015财政决算公开" xfId="4093"/>
    <cellStyle name="常规 130" xfId="5040"/>
    <cellStyle name="常规 131" xfId="5041"/>
    <cellStyle name="常规 132" xfId="5042"/>
    <cellStyle name="常规 133" xfId="5043"/>
    <cellStyle name="常规 134" xfId="5044"/>
    <cellStyle name="常规 135" xfId="5045"/>
    <cellStyle name="常规 136" xfId="5046"/>
    <cellStyle name="常规 137" xfId="5047"/>
    <cellStyle name="常规 138" xfId="5048"/>
    <cellStyle name="常规 139" xfId="5049"/>
    <cellStyle name="常规 14" xfId="1526"/>
    <cellStyle name="常规 14 2" xfId="1527"/>
    <cellStyle name="常规 14 2 2" xfId="4095"/>
    <cellStyle name="常规 14 3" xfId="1528"/>
    <cellStyle name="常规 14 3 2" xfId="4096"/>
    <cellStyle name="常规 14 4" xfId="1529"/>
    <cellStyle name="常规 14 4 2" xfId="4097"/>
    <cellStyle name="常规 14 5" xfId="1112"/>
    <cellStyle name="常规 14 6" xfId="1530"/>
    <cellStyle name="常规 14 7" xfId="4094"/>
    <cellStyle name="常规 14_2015财政决算公开" xfId="4098"/>
    <cellStyle name="常规 140" xfId="5050"/>
    <cellStyle name="常规 141" xfId="5051"/>
    <cellStyle name="常规 142" xfId="5052"/>
    <cellStyle name="常规 143" xfId="5053"/>
    <cellStyle name="常规 144" xfId="5054"/>
    <cellStyle name="常规 145" xfId="5055"/>
    <cellStyle name="常规 146" xfId="5056"/>
    <cellStyle name="常规 147" xfId="5057"/>
    <cellStyle name="常规 148" xfId="5058"/>
    <cellStyle name="常规 149" xfId="5059"/>
    <cellStyle name="常规 15" xfId="1075"/>
    <cellStyle name="常规 15 2" xfId="1078"/>
    <cellStyle name="常规 15 2 2" xfId="4100"/>
    <cellStyle name="常规 15 3" xfId="1081"/>
    <cellStyle name="常规 15 3 2" xfId="4101"/>
    <cellStyle name="常规 15 4" xfId="1531"/>
    <cellStyle name="常规 15 4 2" xfId="4102"/>
    <cellStyle name="常规 15 5" xfId="4099"/>
    <cellStyle name="常规 15_2015财政决算公开" xfId="4103"/>
    <cellStyle name="常规 150" xfId="5060"/>
    <cellStyle name="常规 151" xfId="5061"/>
    <cellStyle name="常规 152" xfId="5062"/>
    <cellStyle name="常规 153" xfId="5063"/>
    <cellStyle name="常规 154" xfId="5064"/>
    <cellStyle name="常规 155" xfId="5065"/>
    <cellStyle name="常规 156" xfId="5066"/>
    <cellStyle name="常规 157" xfId="5067"/>
    <cellStyle name="常规 158" xfId="5068"/>
    <cellStyle name="常规 159" xfId="5069"/>
    <cellStyle name="常规 16" xfId="1085"/>
    <cellStyle name="常规 16 2" xfId="1089"/>
    <cellStyle name="常规 16 2 2" xfId="4105"/>
    <cellStyle name="常规 16 3" xfId="4104"/>
    <cellStyle name="常规 16_2015财政决算公开" xfId="4106"/>
    <cellStyle name="常规 160" xfId="5070"/>
    <cellStyle name="常规 161" xfId="5071"/>
    <cellStyle name="常规 162" xfId="5072"/>
    <cellStyle name="常规 163" xfId="5073"/>
    <cellStyle name="常规 164" xfId="5074"/>
    <cellStyle name="常规 165" xfId="5075"/>
    <cellStyle name="常规 166" xfId="5076"/>
    <cellStyle name="常规 167" xfId="5077"/>
    <cellStyle name="常规 168" xfId="5078"/>
    <cellStyle name="常规 169" xfId="5079"/>
    <cellStyle name="常规 17" xfId="1094"/>
    <cellStyle name="常规 17 2" xfId="1534"/>
    <cellStyle name="常规 17 2 2" xfId="4108"/>
    <cellStyle name="常规 17 3" xfId="4107"/>
    <cellStyle name="常规 17_2015财政决算公开" xfId="4109"/>
    <cellStyle name="常规 170" xfId="5080"/>
    <cellStyle name="常规 171" xfId="5081"/>
    <cellStyle name="常规 172" xfId="5082"/>
    <cellStyle name="常规 173" xfId="5083"/>
    <cellStyle name="常规 174" xfId="5084"/>
    <cellStyle name="常规 175" xfId="5085"/>
    <cellStyle name="常规 176" xfId="5086"/>
    <cellStyle name="常规 177" xfId="5087"/>
    <cellStyle name="常规 178" xfId="5088"/>
    <cellStyle name="常规 179" xfId="5089"/>
    <cellStyle name="常规 18" xfId="1537"/>
    <cellStyle name="常规 18 2" xfId="1539"/>
    <cellStyle name="常规 18 2 2" xfId="4111"/>
    <cellStyle name="常规 18 3" xfId="4110"/>
    <cellStyle name="常规 18_2015财政决算公开" xfId="4112"/>
    <cellStyle name="常规 180" xfId="5090"/>
    <cellStyle name="常规 181" xfId="5091"/>
    <cellStyle name="常规 182" xfId="5092"/>
    <cellStyle name="常规 183" xfId="5093"/>
    <cellStyle name="常规 19" xfId="1541"/>
    <cellStyle name="常规 19 2" xfId="1543"/>
    <cellStyle name="常规 19 2 2" xfId="4114"/>
    <cellStyle name="常规 19 3" xfId="4113"/>
    <cellStyle name="常规 19_2015财政决算公开" xfId="4115"/>
    <cellStyle name="常规 2" xfId="1544"/>
    <cellStyle name="常规 2 10" xfId="4974"/>
    <cellStyle name="常规 2 11" xfId="4978"/>
    <cellStyle name="常规 2 2" xfId="1192"/>
    <cellStyle name="常规 2 2 10" xfId="1546"/>
    <cellStyle name="常规 2 2 11" xfId="2566"/>
    <cellStyle name="常规 2 2 2" xfId="1548"/>
    <cellStyle name="常规 2 2 2 10" xfId="2567"/>
    <cellStyle name="常规 2 2 2 2" xfId="1549"/>
    <cellStyle name="常规 2 2 2 2 2" xfId="1550"/>
    <cellStyle name="常规 2 2 2 2 2 2" xfId="1551"/>
    <cellStyle name="常规 2 2 2 2 2 2 2" xfId="4116"/>
    <cellStyle name="常规 2 2 2 2 2 3" xfId="1552"/>
    <cellStyle name="常规 2 2 2 2 2 3 2" xfId="4117"/>
    <cellStyle name="常规 2 2 2 2 2 4" xfId="1553"/>
    <cellStyle name="常规 2 2 2 2 2 4 2" xfId="4118"/>
    <cellStyle name="常规 2 2 2 2 2 5" xfId="2569"/>
    <cellStyle name="常规 2 2 2 2 2_2015财政决算公开" xfId="4119"/>
    <cellStyle name="常规 2 2 2 2 3" xfId="1554"/>
    <cellStyle name="常规 2 2 2 2 3 2" xfId="1556"/>
    <cellStyle name="常规 2 2 2 2 3 2 2" xfId="4120"/>
    <cellStyle name="常规 2 2 2 2 3 3" xfId="1557"/>
    <cellStyle name="常规 2 2 2 2 3 3 2" xfId="4121"/>
    <cellStyle name="常规 2 2 2 2 3 4" xfId="2570"/>
    <cellStyle name="常规 2 2 2 2 3_2015财政决算公开" xfId="4122"/>
    <cellStyle name="常规 2 2 2 2 4" xfId="1558"/>
    <cellStyle name="常规 2 2 2 2 4 2" xfId="1559"/>
    <cellStyle name="常规 2 2 2 2 4 2 2" xfId="4124"/>
    <cellStyle name="常规 2 2 2 2 4 3" xfId="1560"/>
    <cellStyle name="常规 2 2 2 2 4 3 2" xfId="4125"/>
    <cellStyle name="常规 2 2 2 2 4 4" xfId="1561"/>
    <cellStyle name="常规 2 2 2 2 4 4 2" xfId="4126"/>
    <cellStyle name="常规 2 2 2 2 4 5" xfId="4123"/>
    <cellStyle name="常规 2 2 2 2 4_2015财政决算公开" xfId="4127"/>
    <cellStyle name="常规 2 2 2 2 5" xfId="26"/>
    <cellStyle name="常规 2 2 2 2 5 2" xfId="4128"/>
    <cellStyle name="常规 2 2 2 2 6" xfId="1562"/>
    <cellStyle name="常规 2 2 2 2 6 2" xfId="4129"/>
    <cellStyle name="常规 2 2 2 2 7" xfId="1563"/>
    <cellStyle name="常规 2 2 2 2 8" xfId="2568"/>
    <cellStyle name="常规 2 2 2 2_2015财政决算公开" xfId="4130"/>
    <cellStyle name="常规 2 2 2 3" xfId="1564"/>
    <cellStyle name="常规 2 2 2 3 2" xfId="1565"/>
    <cellStyle name="常规 2 2 2 3 2 2" xfId="4131"/>
    <cellStyle name="常规 2 2 2 3 3" xfId="1566"/>
    <cellStyle name="常规 2 2 2 3 3 2" xfId="4132"/>
    <cellStyle name="常规 2 2 2 3 4" xfId="1567"/>
    <cellStyle name="常规 2 2 2 3 4 2" xfId="4133"/>
    <cellStyle name="常规 2 2 2 3 5" xfId="2571"/>
    <cellStyle name="常规 2 2 2 3_2015财政决算公开" xfId="4134"/>
    <cellStyle name="常规 2 2 2 4" xfId="817"/>
    <cellStyle name="常规 2 2 2 4 2" xfId="820"/>
    <cellStyle name="常规 2 2 2 4 2 2" xfId="4135"/>
    <cellStyle name="常规 2 2 2 4 3" xfId="1569"/>
    <cellStyle name="常规 2 2 2 4 3 2" xfId="4136"/>
    <cellStyle name="常规 2 2 2 4 4" xfId="1571"/>
    <cellStyle name="常规 2 2 2 4 4 2" xfId="4137"/>
    <cellStyle name="常规 2 2 2 4 5" xfId="2572"/>
    <cellStyle name="常规 2 2 2 4_2015财政决算公开" xfId="4138"/>
    <cellStyle name="常规 2 2 2 5" xfId="823"/>
    <cellStyle name="常规 2 2 2 5 2" xfId="1573"/>
    <cellStyle name="常规 2 2 2 5 2 2" xfId="4140"/>
    <cellStyle name="常规 2 2 2 5 3" xfId="1575"/>
    <cellStyle name="常规 2 2 2 5 3 2" xfId="4141"/>
    <cellStyle name="常规 2 2 2 5 4" xfId="4139"/>
    <cellStyle name="常规 2 2 2 5_2015财政决算公开" xfId="4142"/>
    <cellStyle name="常规 2 2 2 6" xfId="1578"/>
    <cellStyle name="常规 2 2 2 6 2" xfId="1580"/>
    <cellStyle name="常规 2 2 2 6 2 2" xfId="4144"/>
    <cellStyle name="常规 2 2 2 6 3" xfId="1582"/>
    <cellStyle name="常规 2 2 2 6 3 2" xfId="4145"/>
    <cellStyle name="常规 2 2 2 6 4" xfId="1584"/>
    <cellStyle name="常规 2 2 2 6 4 2" xfId="4146"/>
    <cellStyle name="常规 2 2 2 6 5" xfId="4143"/>
    <cellStyle name="常规 2 2 2 6_2015财政决算公开" xfId="4147"/>
    <cellStyle name="常规 2 2 2 7" xfId="1587"/>
    <cellStyle name="常规 2 2 2 7 2" xfId="4148"/>
    <cellStyle name="常规 2 2 2 8" xfId="1178"/>
    <cellStyle name="常规 2 2 2 8 2" xfId="4149"/>
    <cellStyle name="常规 2 2 2 9" xfId="1183"/>
    <cellStyle name="常规 2 2 2_2015财政决算公开" xfId="4150"/>
    <cellStyle name="常规 2 2 3" xfId="1588"/>
    <cellStyle name="常规 2 2 3 2" xfId="1589"/>
    <cellStyle name="常规 2 2 3 2 2" xfId="1591"/>
    <cellStyle name="常规 2 2 3 2 2 2" xfId="2575"/>
    <cellStyle name="常规 2 2 3 2 3" xfId="1593"/>
    <cellStyle name="常规 2 2 3 2 3 2" xfId="2576"/>
    <cellStyle name="常规 2 2 3 2 4" xfId="1595"/>
    <cellStyle name="常规 2 2 3 2 4 2" xfId="4151"/>
    <cellStyle name="常规 2 2 3 2 5" xfId="2574"/>
    <cellStyle name="常规 2 2 3 3" xfId="1596"/>
    <cellStyle name="常规 2 2 3 3 2" xfId="1598"/>
    <cellStyle name="常规 2 2 3 3 2 2" xfId="4152"/>
    <cellStyle name="常规 2 2 3 3 3" xfId="1599"/>
    <cellStyle name="常规 2 2 3 3 3 2" xfId="4153"/>
    <cellStyle name="常规 2 2 3 3 4" xfId="2577"/>
    <cellStyle name="常规 2 2 3 4" xfId="826"/>
    <cellStyle name="常规 2 2 3 4 2" xfId="1600"/>
    <cellStyle name="常规 2 2 3 4 2 2" xfId="4154"/>
    <cellStyle name="常规 2 2 3 4 3" xfId="1601"/>
    <cellStyle name="常规 2 2 3 4 3 2" xfId="4155"/>
    <cellStyle name="常规 2 2 3 4 4" xfId="735"/>
    <cellStyle name="常规 2 2 3 4 4 2" xfId="4156"/>
    <cellStyle name="常规 2 2 3 4 5" xfId="2578"/>
    <cellStyle name="常规 2 2 3 5" xfId="1602"/>
    <cellStyle name="常规 2 2 3 5 2" xfId="4157"/>
    <cellStyle name="常规 2 2 3 6" xfId="1603"/>
    <cellStyle name="常规 2 2 3 6 2" xfId="4158"/>
    <cellStyle name="常规 2 2 3 7" xfId="1604"/>
    <cellStyle name="常规 2 2 3 8" xfId="2573"/>
    <cellStyle name="常规 2 2 4" xfId="1605"/>
    <cellStyle name="常规 2 2 4 2" xfId="1606"/>
    <cellStyle name="常规 2 2 4 2 2" xfId="2580"/>
    <cellStyle name="常规 2 2 4 3" xfId="1607"/>
    <cellStyle name="常规 2 2 4 3 2" xfId="2581"/>
    <cellStyle name="常规 2 2 4 4" xfId="1608"/>
    <cellStyle name="常规 2 2 4 4 2" xfId="4159"/>
    <cellStyle name="常规 2 2 4 5" xfId="2579"/>
    <cellStyle name="常规 2 2 5" xfId="1609"/>
    <cellStyle name="常规 2 2 5 2" xfId="1610"/>
    <cellStyle name="常规 2 2 5 2 2" xfId="4160"/>
    <cellStyle name="常规 2 2 5 3" xfId="1611"/>
    <cellStyle name="常规 2 2 5 3 2" xfId="4161"/>
    <cellStyle name="常规 2 2 5 4" xfId="1612"/>
    <cellStyle name="常规 2 2 5 4 2" xfId="4162"/>
    <cellStyle name="常规 2 2 5 5" xfId="2582"/>
    <cellStyle name="常规 2 2 6" xfId="1235"/>
    <cellStyle name="常规 2 2 6 2" xfId="1237"/>
    <cellStyle name="常规 2 2 6 2 2" xfId="4164"/>
    <cellStyle name="常规 2 2 6 3" xfId="1240"/>
    <cellStyle name="常规 2 2 6 3 2" xfId="4165"/>
    <cellStyle name="常规 2 2 6 4" xfId="4163"/>
    <cellStyle name="常规 2 2 7" xfId="1242"/>
    <cellStyle name="常规 2 2 7 2" xfId="1245"/>
    <cellStyle name="常规 2 2 7 2 2" xfId="4167"/>
    <cellStyle name="常规 2 2 7 3" xfId="1614"/>
    <cellStyle name="常规 2 2 7 3 2" xfId="4168"/>
    <cellStyle name="常规 2 2 7 4" xfId="591"/>
    <cellStyle name="常规 2 2 7 4 2" xfId="4169"/>
    <cellStyle name="常规 2 2 7 5" xfId="4166"/>
    <cellStyle name="常规 2 2 8" xfId="1247"/>
    <cellStyle name="常规 2 2 8 2" xfId="4170"/>
    <cellStyle name="常规 2 2 9" xfId="1615"/>
    <cellStyle name="常规 2 2 9 2" xfId="4171"/>
    <cellStyle name="常规 2 2_2015财政决算公开" xfId="4172"/>
    <cellStyle name="常规 2 3" xfId="1616"/>
    <cellStyle name="常规 2 3 10" xfId="2583"/>
    <cellStyle name="常规 2 3 11" xfId="4173"/>
    <cellStyle name="常规 2 3 2" xfId="1617"/>
    <cellStyle name="常规 2 3 2 2" xfId="1618"/>
    <cellStyle name="常规 2 3 2 2 2" xfId="1619"/>
    <cellStyle name="常规 2 3 2 2 2 2" xfId="4176"/>
    <cellStyle name="常规 2 3 2 2 3" xfId="1620"/>
    <cellStyle name="常规 2 3 2 2 3 2" xfId="4177"/>
    <cellStyle name="常规 2 3 2 2 4" xfId="1622"/>
    <cellStyle name="常规 2 3 2 2 4 2" xfId="4178"/>
    <cellStyle name="常规 2 3 2 2 5" xfId="1623"/>
    <cellStyle name="常规 2 3 2 2 5 2" xfId="4179"/>
    <cellStyle name="常规 2 3 2 2 6" xfId="2585"/>
    <cellStyle name="常规 2 3 2 2 7" xfId="4175"/>
    <cellStyle name="常规 2 3 2 3" xfId="1624"/>
    <cellStyle name="常规 2 3 2 3 2" xfId="1625"/>
    <cellStyle name="常规 2 3 2 3 2 2" xfId="4181"/>
    <cellStyle name="常规 2 3 2 3 3" xfId="1626"/>
    <cellStyle name="常规 2 3 2 3 3 2" xfId="4182"/>
    <cellStyle name="常规 2 3 2 3 4" xfId="2586"/>
    <cellStyle name="常规 2 3 2 3 5" xfId="4180"/>
    <cellStyle name="常规 2 3 2 4" xfId="836"/>
    <cellStyle name="常规 2 3 2 4 2" xfId="1627"/>
    <cellStyle name="常规 2 3 2 4 2 2" xfId="4184"/>
    <cellStyle name="常规 2 3 2 4 3" xfId="1628"/>
    <cellStyle name="常规 2 3 2 4 3 2" xfId="4185"/>
    <cellStyle name="常规 2 3 2 4 4" xfId="1629"/>
    <cellStyle name="常规 2 3 2 4 4 2" xfId="4186"/>
    <cellStyle name="常规 2 3 2 4 5" xfId="4183"/>
    <cellStyle name="常规 2 3 2 5" xfId="1630"/>
    <cellStyle name="常规 2 3 2 5 2" xfId="4187"/>
    <cellStyle name="常规 2 3 2 6" xfId="1631"/>
    <cellStyle name="常规 2 3 2 6 2" xfId="4188"/>
    <cellStyle name="常规 2 3 2 7" xfId="1632"/>
    <cellStyle name="常规 2 3 2 7 2" xfId="4189"/>
    <cellStyle name="常规 2 3 2 8" xfId="2584"/>
    <cellStyle name="常规 2 3 2 9" xfId="4174"/>
    <cellStyle name="常规 2 3 3" xfId="1633"/>
    <cellStyle name="常规 2 3 3 2" xfId="1634"/>
    <cellStyle name="常规 2 3 3 2 2" xfId="4191"/>
    <cellStyle name="常规 2 3 3 3" xfId="1635"/>
    <cellStyle name="常规 2 3 3 3 2" xfId="4192"/>
    <cellStyle name="常规 2 3 3 4" xfId="1636"/>
    <cellStyle name="常规 2 3 3 4 2" xfId="4193"/>
    <cellStyle name="常规 2 3 3 5" xfId="1637"/>
    <cellStyle name="常规 2 3 3 5 2" xfId="4194"/>
    <cellStyle name="常规 2 3 3 6" xfId="2587"/>
    <cellStyle name="常规 2 3 3 7" xfId="4190"/>
    <cellStyle name="常规 2 3 4" xfId="1638"/>
    <cellStyle name="常规 2 3 4 2" xfId="1639"/>
    <cellStyle name="常规 2 3 4 2 2" xfId="4196"/>
    <cellStyle name="常规 2 3 4 3" xfId="1640"/>
    <cellStyle name="常规 2 3 4 3 2" xfId="4197"/>
    <cellStyle name="常规 2 3 4 4" xfId="1641"/>
    <cellStyle name="常规 2 3 4 4 2" xfId="4198"/>
    <cellStyle name="常规 2 3 4 5" xfId="2588"/>
    <cellStyle name="常规 2 3 4 6" xfId="4195"/>
    <cellStyle name="常规 2 3 5" xfId="1443"/>
    <cellStyle name="常规 2 3 5 2" xfId="1445"/>
    <cellStyle name="常规 2 3 5 2 2" xfId="4200"/>
    <cellStyle name="常规 2 3 5 3" xfId="1642"/>
    <cellStyle name="常规 2 3 5 3 2" xfId="4201"/>
    <cellStyle name="常规 2 3 5 4" xfId="4199"/>
    <cellStyle name="常规 2 3 6" xfId="1252"/>
    <cellStyle name="常规 2 3 6 2" xfId="1255"/>
    <cellStyle name="常规 2 3 6 2 2" xfId="4203"/>
    <cellStyle name="常规 2 3 6 3" xfId="1258"/>
    <cellStyle name="常规 2 3 6 3 2" xfId="4204"/>
    <cellStyle name="常规 2 3 6 4" xfId="546"/>
    <cellStyle name="常规 2 3 6 4 2" xfId="4205"/>
    <cellStyle name="常规 2 3 6 5" xfId="4202"/>
    <cellStyle name="常规 2 3 7" xfId="1260"/>
    <cellStyle name="常规 2 3 7 2" xfId="4206"/>
    <cellStyle name="常规 2 3 8" xfId="1263"/>
    <cellStyle name="常规 2 3 8 2" xfId="4207"/>
    <cellStyle name="常规 2 3 9" xfId="1265"/>
    <cellStyle name="常规 2 3 9 2" xfId="4208"/>
    <cellStyle name="常规 2 4" xfId="1643"/>
    <cellStyle name="常规 2 4 10" xfId="2589"/>
    <cellStyle name="常规 2 4 10 2" xfId="4210"/>
    <cellStyle name="常规 2 4 11" xfId="4209"/>
    <cellStyle name="常规 2 4 2" xfId="1644"/>
    <cellStyle name="常规 2 4 2 2" xfId="1645"/>
    <cellStyle name="常规 2 4 2 2 2" xfId="1646"/>
    <cellStyle name="常规 2 4 2 2 2 2" xfId="4213"/>
    <cellStyle name="常规 2 4 2 2 3" xfId="1647"/>
    <cellStyle name="常规 2 4 2 2 3 2" xfId="4214"/>
    <cellStyle name="常规 2 4 2 2 4" xfId="1648"/>
    <cellStyle name="常规 2 4 2 2 4 2" xfId="4215"/>
    <cellStyle name="常规 2 4 2 2 5" xfId="1649"/>
    <cellStyle name="常规 2 4 2 2 5 2" xfId="4216"/>
    <cellStyle name="常规 2 4 2 2 6" xfId="2591"/>
    <cellStyle name="常规 2 4 2 2 7" xfId="4212"/>
    <cellStyle name="常规 2 4 2 3" xfId="1651"/>
    <cellStyle name="常规 2 4 2 3 2" xfId="1653"/>
    <cellStyle name="常规 2 4 2 3 2 2" xfId="4218"/>
    <cellStyle name="常规 2 4 2 3 3" xfId="1654"/>
    <cellStyle name="常规 2 4 2 3 3 2" xfId="4219"/>
    <cellStyle name="常规 2 4 2 3 4" xfId="2592"/>
    <cellStyle name="常规 2 4 2 3 5" xfId="4217"/>
    <cellStyle name="常规 2 4 2 4" xfId="1656"/>
    <cellStyle name="常规 2 4 2 4 2" xfId="984"/>
    <cellStyle name="常规 2 4 2 4 2 2" xfId="4221"/>
    <cellStyle name="常规 2 4 2 4 3" xfId="989"/>
    <cellStyle name="常规 2 4 2 4 3 2" xfId="4222"/>
    <cellStyle name="常规 2 4 2 4 4" xfId="994"/>
    <cellStyle name="常规 2 4 2 4 4 2" xfId="4223"/>
    <cellStyle name="常规 2 4 2 4 5" xfId="4220"/>
    <cellStyle name="常规 2 4 2 5" xfId="1657"/>
    <cellStyle name="常规 2 4 2 5 2" xfId="4224"/>
    <cellStyle name="常规 2 4 2 6" xfId="1658"/>
    <cellStyle name="常规 2 4 2 6 2" xfId="4225"/>
    <cellStyle name="常规 2 4 2 7" xfId="1659"/>
    <cellStyle name="常规 2 4 2 7 2" xfId="4226"/>
    <cellStyle name="常规 2 4 2 8" xfId="2590"/>
    <cellStyle name="常规 2 4 2 9" xfId="4211"/>
    <cellStyle name="常规 2 4 3" xfId="737"/>
    <cellStyle name="常规 2 4 3 2" xfId="1660"/>
    <cellStyle name="常规 2 4 3 2 2" xfId="4228"/>
    <cellStyle name="常规 2 4 3 3" xfId="1662"/>
    <cellStyle name="常规 2 4 3 3 2" xfId="4229"/>
    <cellStyle name="常规 2 4 3 4" xfId="1664"/>
    <cellStyle name="常规 2 4 3 4 2" xfId="4230"/>
    <cellStyle name="常规 2 4 3 5" xfId="1547"/>
    <cellStyle name="常规 2 4 3 5 2" xfId="4231"/>
    <cellStyle name="常规 2 4 3 6" xfId="2593"/>
    <cellStyle name="常规 2 4 3 7" xfId="4227"/>
    <cellStyle name="常规 2 4 4" xfId="1665"/>
    <cellStyle name="常规 2 4 4 2" xfId="1666"/>
    <cellStyle name="常规 2 4 4 2 2" xfId="4233"/>
    <cellStyle name="常规 2 4 4 3" xfId="1668"/>
    <cellStyle name="常规 2 4 4 3 2" xfId="4234"/>
    <cellStyle name="常规 2 4 4 4" xfId="1669"/>
    <cellStyle name="常规 2 4 4 4 2" xfId="4235"/>
    <cellStyle name="常规 2 4 4 5" xfId="2594"/>
    <cellStyle name="常规 2 4 4 6" xfId="4232"/>
    <cellStyle name="常规 2 4 5" xfId="1448"/>
    <cellStyle name="常规 2 4 5 2" xfId="1670"/>
    <cellStyle name="常规 2 4 5 2 2" xfId="4237"/>
    <cellStyle name="常规 2 4 5 3" xfId="1671"/>
    <cellStyle name="常规 2 4 5 3 2" xfId="4238"/>
    <cellStyle name="常规 2 4 5 4" xfId="4236"/>
    <cellStyle name="常规 2 4 6" xfId="1269"/>
    <cellStyle name="常规 2 4 6 2" xfId="1271"/>
    <cellStyle name="常规 2 4 6 2 2" xfId="4240"/>
    <cellStyle name="常规 2 4 6 3" xfId="1275"/>
    <cellStyle name="常规 2 4 6 3 2" xfId="4241"/>
    <cellStyle name="常规 2 4 6 4" xfId="609"/>
    <cellStyle name="常规 2 4 6 4 2" xfId="4242"/>
    <cellStyle name="常规 2 4 6 5" xfId="4239"/>
    <cellStyle name="常规 2 4 7" xfId="1277"/>
    <cellStyle name="常规 2 4 7 2" xfId="4243"/>
    <cellStyle name="常规 2 4 8" xfId="1280"/>
    <cellStyle name="常规 2 4 8 2" xfId="4244"/>
    <cellStyle name="常规 2 4 9" xfId="1672"/>
    <cellStyle name="常规 2 4 9 2" xfId="4245"/>
    <cellStyle name="常规 2 5" xfId="1673"/>
    <cellStyle name="常规 2 5 2" xfId="1674"/>
    <cellStyle name="常规 2 5 2 2" xfId="1677"/>
    <cellStyle name="常规 2 5 2 2 2" xfId="2597"/>
    <cellStyle name="常规 2 5 2 2 3" xfId="4248"/>
    <cellStyle name="常规 2 5 2 3" xfId="2598"/>
    <cellStyle name="常规 2 5 2 4" xfId="2596"/>
    <cellStyle name="常规 2 5 2 5" xfId="4247"/>
    <cellStyle name="常规 2 5 3" xfId="1678"/>
    <cellStyle name="常规 2 5 3 2" xfId="2599"/>
    <cellStyle name="常规 2 5 3 3" xfId="4249"/>
    <cellStyle name="常规 2 5 4" xfId="1680"/>
    <cellStyle name="常规 2 5 4 2" xfId="2600"/>
    <cellStyle name="常规 2 5 4 3" xfId="4250"/>
    <cellStyle name="常规 2 5 5" xfId="2595"/>
    <cellStyle name="常规 2 5 6" xfId="4246"/>
    <cellStyle name="常规 2 6" xfId="1681"/>
    <cellStyle name="常规 2 6 2" xfId="1682"/>
    <cellStyle name="常规 2 6 2 2" xfId="2602"/>
    <cellStyle name="常规 2 6 3" xfId="2603"/>
    <cellStyle name="常规 2 6 4" xfId="2601"/>
    <cellStyle name="常规 2 7" xfId="1683"/>
    <cellStyle name="常规 2 7 2" xfId="2604"/>
    <cellStyle name="常规 2 7 3" xfId="4251"/>
    <cellStyle name="常规 2 8" xfId="1686"/>
    <cellStyle name="常规 2 8 2" xfId="2605"/>
    <cellStyle name="常规 2 9" xfId="2565"/>
    <cellStyle name="常规 2_2012-2013年“三公”经费预决算情况汇总表样" xfId="2606"/>
    <cellStyle name="常规 20" xfId="1074"/>
    <cellStyle name="常规 20 2" xfId="1077"/>
    <cellStyle name="常规 20 2 2" xfId="4253"/>
    <cellStyle name="常规 20 3" xfId="4252"/>
    <cellStyle name="常规 21" xfId="1084"/>
    <cellStyle name="常规 21 2" xfId="1088"/>
    <cellStyle name="常规 21 2 2" xfId="4255"/>
    <cellStyle name="常规 21 3" xfId="4254"/>
    <cellStyle name="常规 22" xfId="1093"/>
    <cellStyle name="常规 22 2" xfId="1533"/>
    <cellStyle name="常规 22 2 2" xfId="4257"/>
    <cellStyle name="常规 22 3" xfId="4256"/>
    <cellStyle name="常规 23" xfId="1536"/>
    <cellStyle name="常规 23 2" xfId="1538"/>
    <cellStyle name="常规 23 2 2" xfId="4259"/>
    <cellStyle name="常规 23 3" xfId="4258"/>
    <cellStyle name="常规 24" xfId="1540"/>
    <cellStyle name="常规 24 2" xfId="1542"/>
    <cellStyle name="常规 24 2 2" xfId="4261"/>
    <cellStyle name="常规 24 3" xfId="4260"/>
    <cellStyle name="常规 25" xfId="785"/>
    <cellStyle name="常规 25 2" xfId="788"/>
    <cellStyle name="常规 25 2 2" xfId="4263"/>
    <cellStyle name="常规 25 3" xfId="4262"/>
    <cellStyle name="常规 26" xfId="794"/>
    <cellStyle name="常规 26 2" xfId="767"/>
    <cellStyle name="常规 26 2 2" xfId="4265"/>
    <cellStyle name="常规 26 3" xfId="4264"/>
    <cellStyle name="常规 27" xfId="797"/>
    <cellStyle name="常规 27 2" xfId="1687"/>
    <cellStyle name="常规 27 2 2" xfId="4267"/>
    <cellStyle name="常规 27 3" xfId="4266"/>
    <cellStyle name="常规 28" xfId="1689"/>
    <cellStyle name="常规 28 2" xfId="1201"/>
    <cellStyle name="常规 28 2 2" xfId="4269"/>
    <cellStyle name="常规 28 3" xfId="4268"/>
    <cellStyle name="常规 29" xfId="1690"/>
    <cellStyle name="常规 29 2" xfId="1691"/>
    <cellStyle name="常规 29 2 2" xfId="4271"/>
    <cellStyle name="常规 29 3" xfId="4270"/>
    <cellStyle name="常规 3" xfId="1694"/>
    <cellStyle name="常规 3 10" xfId="1695"/>
    <cellStyle name="常规 3 11" xfId="2610"/>
    <cellStyle name="常规 3 2" xfId="1697"/>
    <cellStyle name="常规 3 2 2" xfId="1698"/>
    <cellStyle name="常规 3 2 2 2" xfId="1699"/>
    <cellStyle name="常规 3 2 2 2 2" xfId="4272"/>
    <cellStyle name="常规 3 2 2 3" xfId="1701"/>
    <cellStyle name="常规 3 2 2 3 2" xfId="4273"/>
    <cellStyle name="常规 3 2 2 4" xfId="862"/>
    <cellStyle name="常规 3 2 2 4 2" xfId="4274"/>
    <cellStyle name="常规 3 2 2 5" xfId="1702"/>
    <cellStyle name="常规 3 2 2 6" xfId="2612"/>
    <cellStyle name="常规 3 2 2 6 2" xfId="4275"/>
    <cellStyle name="常规 3 2 3" xfId="1703"/>
    <cellStyle name="常规 3 2 3 2" xfId="1704"/>
    <cellStyle name="常规 3 2 3 2 2" xfId="4277"/>
    <cellStyle name="常规 3 2 3 3" xfId="1706"/>
    <cellStyle name="常规 3 2 3 3 2" xfId="4278"/>
    <cellStyle name="常规 3 2 3 4" xfId="2613"/>
    <cellStyle name="常规 3 2 3 5" xfId="4276"/>
    <cellStyle name="常规 3 2 4" xfId="1707"/>
    <cellStyle name="常规 3 2 4 2" xfId="1708"/>
    <cellStyle name="常规 3 2 4 2 2" xfId="4280"/>
    <cellStyle name="常规 3 2 4 3" xfId="1710"/>
    <cellStyle name="常规 3 2 4 3 2" xfId="4281"/>
    <cellStyle name="常规 3 2 4 4" xfId="1711"/>
    <cellStyle name="常规 3 2 4 4 2" xfId="4282"/>
    <cellStyle name="常规 3 2 4 5" xfId="4279"/>
    <cellStyle name="常规 3 2 5" xfId="585"/>
    <cellStyle name="常规 3 2 5 2" xfId="4283"/>
    <cellStyle name="常规 3 2 6" xfId="599"/>
    <cellStyle name="常规 3 2 6 2" xfId="4284"/>
    <cellStyle name="常规 3 2 7" xfId="606"/>
    <cellStyle name="常规 3 2 8" xfId="2611"/>
    <cellStyle name="常规 3 2 8 2" xfId="4285"/>
    <cellStyle name="常规 3 3" xfId="1712"/>
    <cellStyle name="常规 3 3 2" xfId="1713"/>
    <cellStyle name="常规 3 3 3" xfId="1714"/>
    <cellStyle name="常规 3 3 4" xfId="1716"/>
    <cellStyle name="常规 3 3 5" xfId="2614"/>
    <cellStyle name="常规 3 4" xfId="1210"/>
    <cellStyle name="常规 3 4 2" xfId="1717"/>
    <cellStyle name="常规 3 4 2 2" xfId="4287"/>
    <cellStyle name="常规 3 4 3" xfId="1718"/>
    <cellStyle name="常规 3 4 3 2" xfId="4288"/>
    <cellStyle name="常规 3 4 4" xfId="2615"/>
    <cellStyle name="常规 3 4 5" xfId="4286"/>
    <cellStyle name="常规 3 5" xfId="1719"/>
    <cellStyle name="常规 3 5 2" xfId="1720"/>
    <cellStyle name="常规 3 5 2 2" xfId="4290"/>
    <cellStyle name="常规 3 5 3" xfId="1721"/>
    <cellStyle name="常规 3 5 3 2" xfId="4291"/>
    <cellStyle name="常规 3 5 4" xfId="2616"/>
    <cellStyle name="常规 3 5 5" xfId="4289"/>
    <cellStyle name="常规 3 6" xfId="1189"/>
    <cellStyle name="常规 3 6 2" xfId="1722"/>
    <cellStyle name="常规 3 6 2 2" xfId="4293"/>
    <cellStyle name="常规 3 6 3" xfId="1723"/>
    <cellStyle name="常规 3 6 3 2" xfId="4294"/>
    <cellStyle name="常规 3 6 4" xfId="2617"/>
    <cellStyle name="常规 3 6 5" xfId="4292"/>
    <cellStyle name="常规 3 7" xfId="1724"/>
    <cellStyle name="常规 3 7 2" xfId="1725"/>
    <cellStyle name="常规 3 7 2 2" xfId="4296"/>
    <cellStyle name="常规 3 7 3" xfId="1726"/>
    <cellStyle name="常规 3 7 3 2" xfId="4297"/>
    <cellStyle name="常规 3 7 4" xfId="4295"/>
    <cellStyle name="常规 3 8" xfId="1728"/>
    <cellStyle name="常规 3 8 2" xfId="4298"/>
    <cellStyle name="常规 3 9" xfId="1729"/>
    <cellStyle name="常规 3 9 2" xfId="4299"/>
    <cellStyle name="常规 3_收入总表2" xfId="2618"/>
    <cellStyle name="常规 30" xfId="784"/>
    <cellStyle name="常规 30 2" xfId="787"/>
    <cellStyle name="常规 30 3" xfId="2619"/>
    <cellStyle name="常规 31" xfId="793"/>
    <cellStyle name="常规 31 2" xfId="2620"/>
    <cellStyle name="常规 32" xfId="796"/>
    <cellStyle name="常规 32 2" xfId="2621"/>
    <cellStyle name="常规 33" xfId="1688"/>
    <cellStyle name="常规 33 2" xfId="2622"/>
    <cellStyle name="常规 33 3" xfId="4982"/>
    <cellStyle name="常规 34" xfId="2623"/>
    <cellStyle name="常规 35" xfId="2624"/>
    <cellStyle name="常规 36" xfId="2625"/>
    <cellStyle name="常规 37" xfId="2626"/>
    <cellStyle name="常规 38" xfId="2627"/>
    <cellStyle name="常规 39" xfId="2628"/>
    <cellStyle name="常规 4" xfId="1731"/>
    <cellStyle name="常规 4 2" xfId="1732"/>
    <cellStyle name="常规 4 2 10" xfId="2630"/>
    <cellStyle name="常规 4 2 11" xfId="4300"/>
    <cellStyle name="常规 4 2 2" xfId="1734"/>
    <cellStyle name="常规 4 2 2 2" xfId="1736"/>
    <cellStyle name="常规 4 2 2 2 2" xfId="1738"/>
    <cellStyle name="常规 4 2 2 2 2 2" xfId="4303"/>
    <cellStyle name="常规 4 2 2 2 3" xfId="1739"/>
    <cellStyle name="常规 4 2 2 2 3 2" xfId="4304"/>
    <cellStyle name="常规 4 2 2 2 4" xfId="1740"/>
    <cellStyle name="常规 4 2 2 2 4 2" xfId="4305"/>
    <cellStyle name="常规 4 2 2 2 5" xfId="1741"/>
    <cellStyle name="常规 4 2 2 2 5 2" xfId="4306"/>
    <cellStyle name="常规 4 2 2 2 6" xfId="4302"/>
    <cellStyle name="常规 4 2 2 3" xfId="1744"/>
    <cellStyle name="常规 4 2 2 3 2" xfId="1747"/>
    <cellStyle name="常规 4 2 2 3 2 2" xfId="4308"/>
    <cellStyle name="常规 4 2 2 3 3" xfId="1749"/>
    <cellStyle name="常规 4 2 2 3 3 2" xfId="4309"/>
    <cellStyle name="常规 4 2 2 3 4" xfId="4307"/>
    <cellStyle name="常规 4 2 2 4" xfId="910"/>
    <cellStyle name="常规 4 2 2 4 2" xfId="912"/>
    <cellStyle name="常规 4 2 2 4 2 2" xfId="4311"/>
    <cellStyle name="常规 4 2 2 4 3" xfId="1750"/>
    <cellStyle name="常规 4 2 2 4 3 2" xfId="4312"/>
    <cellStyle name="常规 4 2 2 4 4" xfId="1751"/>
    <cellStyle name="常规 4 2 2 4 4 2" xfId="4313"/>
    <cellStyle name="常规 4 2 2 4 5" xfId="4310"/>
    <cellStyle name="常规 4 2 2 5" xfId="914"/>
    <cellStyle name="常规 4 2 2 5 2" xfId="4314"/>
    <cellStyle name="常规 4 2 2 6" xfId="1753"/>
    <cellStyle name="常规 4 2 2 6 2" xfId="4315"/>
    <cellStyle name="常规 4 2 2 7" xfId="1755"/>
    <cellStyle name="常规 4 2 2 7 2" xfId="4316"/>
    <cellStyle name="常规 4 2 2 8" xfId="2631"/>
    <cellStyle name="常规 4 2 2 9" xfId="4301"/>
    <cellStyle name="常规 4 2 3" xfId="1757"/>
    <cellStyle name="常规 4 2 3 2" xfId="1759"/>
    <cellStyle name="常规 4 2 3 2 2" xfId="4318"/>
    <cellStyle name="常规 4 2 3 3" xfId="1760"/>
    <cellStyle name="常规 4 2 3 3 2" xfId="4319"/>
    <cellStyle name="常规 4 2 3 4" xfId="918"/>
    <cellStyle name="常规 4 2 3 4 2" xfId="4320"/>
    <cellStyle name="常规 4 2 3 5" xfId="2632"/>
    <cellStyle name="常规 4 2 3 6" xfId="4317"/>
    <cellStyle name="常规 4 2 4" xfId="1762"/>
    <cellStyle name="常规 4 2 4 2" xfId="1764"/>
    <cellStyle name="常规 4 2 4 2 2" xfId="4322"/>
    <cellStyle name="常规 4 2 4 3" xfId="1765"/>
    <cellStyle name="常规 4 2 4 3 2" xfId="4323"/>
    <cellStyle name="常规 4 2 4 4" xfId="1766"/>
    <cellStyle name="常规 4 2 4 4 2" xfId="4324"/>
    <cellStyle name="常规 4 2 4 5" xfId="4321"/>
    <cellStyle name="常规 4 2 5" xfId="1767"/>
    <cellStyle name="常规 4 2 5 2" xfId="722"/>
    <cellStyle name="常规 4 2 5 2 2" xfId="4326"/>
    <cellStyle name="常规 4 2 5 3" xfId="727"/>
    <cellStyle name="常规 4 2 5 3 2" xfId="4327"/>
    <cellStyle name="常规 4 2 5 4" xfId="4325"/>
    <cellStyle name="常规 4 2 6" xfId="1431"/>
    <cellStyle name="常规 4 2 6 2" xfId="759"/>
    <cellStyle name="常规 4 2 6 2 2" xfId="4329"/>
    <cellStyle name="常规 4 2 6 3" xfId="764"/>
    <cellStyle name="常规 4 2 6 3 2" xfId="4330"/>
    <cellStyle name="常规 4 2 6 4" xfId="310"/>
    <cellStyle name="常规 4 2 6 4 2" xfId="4331"/>
    <cellStyle name="常规 4 2 6 5" xfId="4328"/>
    <cellStyle name="常规 4 2 7" xfId="1769"/>
    <cellStyle name="常规 4 2 7 2" xfId="4332"/>
    <cellStyle name="常规 4 2 8" xfId="1771"/>
    <cellStyle name="常规 4 2 8 2" xfId="4333"/>
    <cellStyle name="常规 4 2 9" xfId="1772"/>
    <cellStyle name="常规 4 2 9 2" xfId="4334"/>
    <cellStyle name="常规 4 3" xfId="1773"/>
    <cellStyle name="常规 4 3 2" xfId="1775"/>
    <cellStyle name="常规 4 3 2 2" xfId="4337"/>
    <cellStyle name="常规 4 3 2 3" xfId="4336"/>
    <cellStyle name="常规 4 3 3" xfId="1777"/>
    <cellStyle name="常规 4 3 3 2" xfId="4338"/>
    <cellStyle name="常规 4 3 4" xfId="902"/>
    <cellStyle name="常规 4 3 4 2" xfId="4339"/>
    <cellStyle name="常规 4 3 5" xfId="2633"/>
    <cellStyle name="常规 4 3 6" xfId="4335"/>
    <cellStyle name="常规 4 4" xfId="1733"/>
    <cellStyle name="常规 4 4 2" xfId="2634"/>
    <cellStyle name="常规 4 4 3" xfId="4340"/>
    <cellStyle name="常规 4 5" xfId="1756"/>
    <cellStyle name="常规 4 5 2" xfId="2635"/>
    <cellStyle name="常规 4 5 3" xfId="4341"/>
    <cellStyle name="常规 4 6" xfId="1761"/>
    <cellStyle name="常规 4 6 2" xfId="2636"/>
    <cellStyle name="常规 4 6 3" xfId="4342"/>
    <cellStyle name="常规 4 7" xfId="2629"/>
    <cellStyle name="常规 4_征收计划表8" xfId="2637"/>
    <cellStyle name="常规 40" xfId="2638"/>
    <cellStyle name="常规 41" xfId="2639"/>
    <cellStyle name="常规 42" xfId="2640"/>
    <cellStyle name="常规 43" xfId="2641"/>
    <cellStyle name="常规 44" xfId="2642"/>
    <cellStyle name="常规 44 2" xfId="4979"/>
    <cellStyle name="常规 45" xfId="2643"/>
    <cellStyle name="常规 45 2" xfId="4981"/>
    <cellStyle name="常规 46" xfId="2644"/>
    <cellStyle name="常规 47" xfId="2645"/>
    <cellStyle name="常规 48" xfId="2646"/>
    <cellStyle name="常规 48 2" xfId="4980"/>
    <cellStyle name="常规 48 3" xfId="4975"/>
    <cellStyle name="常规 49" xfId="2393"/>
    <cellStyle name="常规 49 2" xfId="4976"/>
    <cellStyle name="常规 5" xfId="1778"/>
    <cellStyle name="常规 5 10" xfId="2647"/>
    <cellStyle name="常规 5 2" xfId="1779"/>
    <cellStyle name="常规 5 2 2" xfId="1780"/>
    <cellStyle name="常规 5 2 2 2" xfId="1781"/>
    <cellStyle name="常规 5 2 2 2 2" xfId="4343"/>
    <cellStyle name="常规 5 2 2 3" xfId="1782"/>
    <cellStyle name="常规 5 2 2 3 2" xfId="4344"/>
    <cellStyle name="常规 5 2 2 4" xfId="292"/>
    <cellStyle name="常规 5 2 2 4 2" xfId="4345"/>
    <cellStyle name="常规 5 2 2 5" xfId="295"/>
    <cellStyle name="常规 5 2 2 5 2" xfId="4346"/>
    <cellStyle name="常规 5 2 2 6" xfId="2649"/>
    <cellStyle name="常规 5 2 3" xfId="1783"/>
    <cellStyle name="常规 5 2 3 2" xfId="1784"/>
    <cellStyle name="常规 5 2 3 2 2" xfId="4348"/>
    <cellStyle name="常规 5 2 3 3" xfId="1785"/>
    <cellStyle name="常规 5 2 3 3 2" xfId="4349"/>
    <cellStyle name="常规 5 2 3 4" xfId="2650"/>
    <cellStyle name="常规 5 2 3 5" xfId="4347"/>
    <cellStyle name="常规 5 2 4" xfId="1786"/>
    <cellStyle name="常规 5 2 4 2" xfId="1787"/>
    <cellStyle name="常规 5 2 4 2 2" xfId="4350"/>
    <cellStyle name="常规 5 2 4 3" xfId="1788"/>
    <cellStyle name="常规 5 2 4 3 2" xfId="4351"/>
    <cellStyle name="常规 5 2 4 4" xfId="1790"/>
    <cellStyle name="常规 5 2 4 4 2" xfId="4352"/>
    <cellStyle name="常规 5 2 4 5" xfId="2651"/>
    <cellStyle name="常规 5 2 5" xfId="1791"/>
    <cellStyle name="常规 5 2 5 2" xfId="4353"/>
    <cellStyle name="常规 5 2 6" xfId="1792"/>
    <cellStyle name="常规 5 2 6 2" xfId="4354"/>
    <cellStyle name="常规 5 2 7" xfId="1793"/>
    <cellStyle name="常规 5 2 7 2" xfId="4355"/>
    <cellStyle name="常规 5 2 8" xfId="2648"/>
    <cellStyle name="常规 5 3" xfId="1794"/>
    <cellStyle name="常规 5 3 2" xfId="1795"/>
    <cellStyle name="常规 5 3 2 2" xfId="4356"/>
    <cellStyle name="常规 5 3 3" xfId="1796"/>
    <cellStyle name="常规 5 3 3 2" xfId="4357"/>
    <cellStyle name="常规 5 3 4" xfId="925"/>
    <cellStyle name="常规 5 3 4 2" xfId="4358"/>
    <cellStyle name="常规 5 3 5" xfId="2652"/>
    <cellStyle name="常规 5 4" xfId="1774"/>
    <cellStyle name="常规 5 4 2" xfId="1797"/>
    <cellStyle name="常规 5 4 2 2" xfId="4360"/>
    <cellStyle name="常规 5 4 3" xfId="1798"/>
    <cellStyle name="常规 5 4 3 2" xfId="4361"/>
    <cellStyle name="常规 5 4 4" xfId="931"/>
    <cellStyle name="常规 5 4 4 2" xfId="4362"/>
    <cellStyle name="常规 5 4 5" xfId="2653"/>
    <cellStyle name="常规 5 4 6" xfId="4359"/>
    <cellStyle name="常规 5 5" xfId="1776"/>
    <cellStyle name="常规 5 5 2" xfId="1799"/>
    <cellStyle name="常规 5 5 2 2" xfId="4363"/>
    <cellStyle name="常规 5 5 3" xfId="1800"/>
    <cellStyle name="常规 5 5 3 2" xfId="4364"/>
    <cellStyle name="常规 5 5 4" xfId="2654"/>
    <cellStyle name="常规 5 6" xfId="901"/>
    <cellStyle name="常规 5 6 2" xfId="904"/>
    <cellStyle name="常规 5 6 2 2" xfId="4366"/>
    <cellStyle name="常规 5 6 3" xfId="1801"/>
    <cellStyle name="常规 5 6 3 2" xfId="4367"/>
    <cellStyle name="常规 5 6 4" xfId="1802"/>
    <cellStyle name="常规 5 6 4 2" xfId="4368"/>
    <cellStyle name="常规 5 6 5" xfId="4365"/>
    <cellStyle name="常规 5 7" xfId="906"/>
    <cellStyle name="常规 5 7 2" xfId="4369"/>
    <cellStyle name="常规 5 8" xfId="1804"/>
    <cellStyle name="常规 5 8 2" xfId="4370"/>
    <cellStyle name="常规 5 9" xfId="1806"/>
    <cellStyle name="常规 5 9 2" xfId="4371"/>
    <cellStyle name="常规 50" xfId="2801"/>
    <cellStyle name="常规 50 2" xfId="4977"/>
    <cellStyle name="常规 51" xfId="2802"/>
    <cellStyle name="常规 51 2" xfId="5431"/>
    <cellStyle name="常规 52" xfId="2803"/>
    <cellStyle name="常规 53" xfId="2804"/>
    <cellStyle name="常规 54" xfId="2817"/>
    <cellStyle name="常规 55" xfId="2833"/>
    <cellStyle name="常规 56" xfId="2834"/>
    <cellStyle name="常规 57" xfId="2837"/>
    <cellStyle name="常规 58" xfId="2838"/>
    <cellStyle name="常规 59" xfId="2839"/>
    <cellStyle name="常规 6" xfId="1807"/>
    <cellStyle name="常规 6 2" xfId="1808"/>
    <cellStyle name="常规 6 2 2" xfId="1809"/>
    <cellStyle name="常规 6 2 2 2" xfId="1810"/>
    <cellStyle name="常规 6 2 2 2 2" xfId="1812"/>
    <cellStyle name="常规 6 2 2 3" xfId="1813"/>
    <cellStyle name="常规 6 2 2 4" xfId="2657"/>
    <cellStyle name="常规 6 2 3" xfId="1814"/>
    <cellStyle name="常规 6 2 3 2" xfId="1815"/>
    <cellStyle name="常规 6 2 3 3" xfId="2658"/>
    <cellStyle name="常规 6 2 4" xfId="1816"/>
    <cellStyle name="常规 6 2 5" xfId="2656"/>
    <cellStyle name="常规 6 3" xfId="1817"/>
    <cellStyle name="常规 6 3 2" xfId="1818"/>
    <cellStyle name="常规 6 3 2 2" xfId="1819"/>
    <cellStyle name="常规 6 3 3" xfId="1820"/>
    <cellStyle name="常规 6 3 4" xfId="2659"/>
    <cellStyle name="常规 6 4" xfId="1735"/>
    <cellStyle name="常规 6 4 2" xfId="1737"/>
    <cellStyle name="常规 6 4 3" xfId="2660"/>
    <cellStyle name="常规 6 5" xfId="1743"/>
    <cellStyle name="常规 6 6" xfId="2655"/>
    <cellStyle name="常规 60" xfId="2840"/>
    <cellStyle name="常规 61" xfId="2841"/>
    <cellStyle name="常规 62" xfId="2842"/>
    <cellStyle name="常规 63" xfId="2843"/>
    <cellStyle name="常规 64" xfId="2844"/>
    <cellStyle name="常规 65" xfId="2845"/>
    <cellStyle name="常规 66" xfId="2846"/>
    <cellStyle name="常规 67" xfId="2847"/>
    <cellStyle name="常规 68" xfId="2848"/>
    <cellStyle name="常规 69" xfId="2849"/>
    <cellStyle name="常规 7" xfId="1821"/>
    <cellStyle name="常规 7 2" xfId="1822"/>
    <cellStyle name="常规 7 2 2" xfId="10"/>
    <cellStyle name="常规 7 2 2 2" xfId="47"/>
    <cellStyle name="常规 7 2 2 2 2" xfId="4374"/>
    <cellStyle name="常规 7 2 2 3" xfId="2664"/>
    <cellStyle name="常规 7 2 2 4" xfId="4373"/>
    <cellStyle name="常规 7 2 3" xfId="102"/>
    <cellStyle name="常规 7 2 3 2" xfId="2665"/>
    <cellStyle name="常规 7 2 3 3" xfId="4375"/>
    <cellStyle name="常规 7 2 4" xfId="2663"/>
    <cellStyle name="常规 7 2 5" xfId="4372"/>
    <cellStyle name="常规 7 3" xfId="1823"/>
    <cellStyle name="常规 7 3 2" xfId="112"/>
    <cellStyle name="常规 7 3 2 2" xfId="4377"/>
    <cellStyle name="常规 7 3 3" xfId="2666"/>
    <cellStyle name="常规 7 3 4" xfId="4376"/>
    <cellStyle name="常规 7 4" xfId="1758"/>
    <cellStyle name="常规 7 4 2" xfId="2667"/>
    <cellStyle name="常规 7 4 3" xfId="4378"/>
    <cellStyle name="常规 7 5" xfId="2668"/>
    <cellStyle name="常规 7 6" xfId="2662"/>
    <cellStyle name="常规 70" xfId="2850"/>
    <cellStyle name="常规 71" xfId="2851"/>
    <cellStyle name="常规 72" xfId="2852"/>
    <cellStyle name="常规 73" xfId="4983"/>
    <cellStyle name="常规 74" xfId="4984"/>
    <cellStyle name="常规 75" xfId="4985"/>
    <cellStyle name="常规 76" xfId="4986"/>
    <cellStyle name="常规 77" xfId="4987"/>
    <cellStyle name="常规 78" xfId="4988"/>
    <cellStyle name="常规 79" xfId="4989"/>
    <cellStyle name="常规 8" xfId="1824"/>
    <cellStyle name="常规 8 2" xfId="1826"/>
    <cellStyle name="常规 8 2 2" xfId="117"/>
    <cellStyle name="常规 8 2 2 2" xfId="1827"/>
    <cellStyle name="常规 8 2 2 2 2" xfId="4381"/>
    <cellStyle name="常规 8 2 2 3" xfId="4380"/>
    <cellStyle name="常规 8 2 3" xfId="1829"/>
    <cellStyle name="常规 8 2 3 2" xfId="4382"/>
    <cellStyle name="常规 8 2 4" xfId="2670"/>
    <cellStyle name="常规 8 2 5" xfId="4379"/>
    <cellStyle name="常规 8 3" xfId="978"/>
    <cellStyle name="常规 8 3 2" xfId="1830"/>
    <cellStyle name="常规 8 3 2 2" xfId="4384"/>
    <cellStyle name="常规 8 3 3" xfId="2671"/>
    <cellStyle name="常规 8 3 4" xfId="4383"/>
    <cellStyle name="常规 8 4" xfId="1763"/>
    <cellStyle name="常规 8 4 2" xfId="2672"/>
    <cellStyle name="常规 8 4 3" xfId="4385"/>
    <cellStyle name="常规 8 5" xfId="2673"/>
    <cellStyle name="常规 8 6" xfId="2669"/>
    <cellStyle name="常规 8_报 预算   行政政法处(1)" xfId="2674"/>
    <cellStyle name="常规 80" xfId="4990"/>
    <cellStyle name="常规 81" xfId="4991"/>
    <cellStyle name="常规 82" xfId="4992"/>
    <cellStyle name="常规 83" xfId="4993"/>
    <cellStyle name="常规 84" xfId="4994"/>
    <cellStyle name="常规 85" xfId="4995"/>
    <cellStyle name="常规 86" xfId="4996"/>
    <cellStyle name="常规 87" xfId="4997"/>
    <cellStyle name="常规 88" xfId="4998"/>
    <cellStyle name="常规 89" xfId="4999"/>
    <cellStyle name="常规 9" xfId="1831"/>
    <cellStyle name="常规 9 2" xfId="702"/>
    <cellStyle name="常规 9 2 2" xfId="705"/>
    <cellStyle name="常规 9 2 2 2" xfId="707"/>
    <cellStyle name="常规 9 2 3" xfId="711"/>
    <cellStyle name="常规 9 3" xfId="715"/>
    <cellStyle name="常规 9 3 2" xfId="717"/>
    <cellStyle name="常规 9 4" xfId="721"/>
    <cellStyle name="常规 9 5" xfId="2675"/>
    <cellStyle name="常规 90" xfId="5000"/>
    <cellStyle name="常规 91" xfId="5001"/>
    <cellStyle name="常规 92" xfId="5002"/>
    <cellStyle name="常规 93" xfId="5003"/>
    <cellStyle name="常规 94" xfId="5004"/>
    <cellStyle name="常规 95" xfId="5005"/>
    <cellStyle name="常规 96" xfId="5006"/>
    <cellStyle name="常规 97" xfId="5007"/>
    <cellStyle name="常规 98" xfId="5008"/>
    <cellStyle name="常规 99" xfId="5009"/>
    <cellStyle name="常规_2006年预算表" xfId="1837"/>
    <cellStyle name="常规_2007年云南省向人大报送政府收支预算表格式编制过程表" xfId="2835"/>
    <cellStyle name="超级链接" xfId="1838"/>
    <cellStyle name="超级链接 2" xfId="1839"/>
    <cellStyle name="超级链接 2 2" xfId="1840"/>
    <cellStyle name="超级链接 2 2 2" xfId="1841"/>
    <cellStyle name="超级链接 2 2 2 2" xfId="1459"/>
    <cellStyle name="超级链接 2 2 3" xfId="1842"/>
    <cellStyle name="超级链接 2 3" xfId="1843"/>
    <cellStyle name="超级链接 2 3 2" xfId="1844"/>
    <cellStyle name="超级链接 2 4" xfId="1105"/>
    <cellStyle name="超级链接 3" xfId="1845"/>
    <cellStyle name="超级链接 3 2" xfId="1846"/>
    <cellStyle name="超级链接 3 2 2" xfId="1847"/>
    <cellStyle name="超级链接 3 3" xfId="1848"/>
    <cellStyle name="超级链接 4" xfId="1046"/>
    <cellStyle name="超级链接 4 2" xfId="1049"/>
    <cellStyle name="超级链接 5" xfId="1051"/>
    <cellStyle name="好" xfId="229"/>
    <cellStyle name="好 2" xfId="1849"/>
    <cellStyle name="好 2 2" xfId="1850"/>
    <cellStyle name="好 2 2 2" xfId="1851"/>
    <cellStyle name="好 2 2 2 2" xfId="1853"/>
    <cellStyle name="好 2 2 2 2 2" xfId="4386"/>
    <cellStyle name="好 2 2 2 3" xfId="2679"/>
    <cellStyle name="好 2 2 3" xfId="1854"/>
    <cellStyle name="好 2 2 3 2" xfId="2680"/>
    <cellStyle name="好 2 2 4" xfId="2678"/>
    <cellStyle name="好 2 3" xfId="851"/>
    <cellStyle name="好 2 3 2" xfId="853"/>
    <cellStyle name="好 2 3 2 2" xfId="4387"/>
    <cellStyle name="好 2 3 3" xfId="2681"/>
    <cellStyle name="好 2 4" xfId="865"/>
    <cellStyle name="好 2 4 2" xfId="4388"/>
    <cellStyle name="好 2 5" xfId="2677"/>
    <cellStyle name="好 3" xfId="1855"/>
    <cellStyle name="好 3 2" xfId="1856"/>
    <cellStyle name="好 3 2 2" xfId="1857"/>
    <cellStyle name="好 3 2 2 2" xfId="1715"/>
    <cellStyle name="好 3 2 2 2 2" xfId="4391"/>
    <cellStyle name="好 3 2 2 3" xfId="4390"/>
    <cellStyle name="好 3 2 3" xfId="1858"/>
    <cellStyle name="好 3 2 3 2" xfId="4392"/>
    <cellStyle name="好 3 2 4" xfId="4389"/>
    <cellStyle name="好 3 3" xfId="897"/>
    <cellStyle name="好 3 3 2" xfId="899"/>
    <cellStyle name="好 3 3 2 2" xfId="4394"/>
    <cellStyle name="好 3 3 3" xfId="4393"/>
    <cellStyle name="好 3 4" xfId="922"/>
    <cellStyle name="好 3 4 2" xfId="4395"/>
    <cellStyle name="好 3 5" xfId="2682"/>
    <cellStyle name="好 4" xfId="1859"/>
    <cellStyle name="好 4 2" xfId="1514"/>
    <cellStyle name="好 4 2 2" xfId="193"/>
    <cellStyle name="好 4 2 2 2" xfId="4398"/>
    <cellStyle name="好 4 2 3" xfId="4397"/>
    <cellStyle name="好 4 3" xfId="1522"/>
    <cellStyle name="好 4 3 2" xfId="4399"/>
    <cellStyle name="好 4 4" xfId="4396"/>
    <cellStyle name="好 5" xfId="1363"/>
    <cellStyle name="好 5 2" xfId="1366"/>
    <cellStyle name="好 5 2 2" xfId="394"/>
    <cellStyle name="好 5 2 2 2" xfId="4402"/>
    <cellStyle name="好 5 2 3" xfId="4401"/>
    <cellStyle name="好 5 3" xfId="1369"/>
    <cellStyle name="好 5 3 2" xfId="4403"/>
    <cellStyle name="好 5 4" xfId="4400"/>
    <cellStyle name="好 6" xfId="1371"/>
    <cellStyle name="好 6 2" xfId="1373"/>
    <cellStyle name="好 6 2 2" xfId="4405"/>
    <cellStyle name="好 6 3" xfId="4404"/>
    <cellStyle name="好 7" xfId="1376"/>
    <cellStyle name="好 7 2" xfId="4406"/>
    <cellStyle name="好 8" xfId="2676"/>
    <cellStyle name="好_5.中央部门决算（草案)-1" xfId="2683"/>
    <cellStyle name="好_F00DC810C49E00C2E0430A3413167AE0" xfId="2684"/>
    <cellStyle name="好_出版署2010年度中央部门决算草案" xfId="2685"/>
    <cellStyle name="好_全国友协2010年度中央部门决算（草案）" xfId="2686"/>
    <cellStyle name="好_司法部2010年度中央部门决算（草案）报" xfId="2687"/>
    <cellStyle name="后继超级链接" xfId="1860"/>
    <cellStyle name="后继超级链接 2" xfId="1861"/>
    <cellStyle name="后继超级链接 2 2" xfId="1862"/>
    <cellStyle name="后继超级链接 2 2 2" xfId="1863"/>
    <cellStyle name="后继超级链接 2 2 2 2" xfId="1865"/>
    <cellStyle name="后继超级链接 2 2 3" xfId="1866"/>
    <cellStyle name="后继超级链接 2 3" xfId="1867"/>
    <cellStyle name="后继超级链接 2 3 2" xfId="1868"/>
    <cellStyle name="后继超级链接 2 4" xfId="1869"/>
    <cellStyle name="后继超级链接 3" xfId="1870"/>
    <cellStyle name="后继超级链接 3 2" xfId="348"/>
    <cellStyle name="后继超级链接 3 2 2" xfId="351"/>
    <cellStyle name="后继超级链接 3 3" xfId="356"/>
    <cellStyle name="后继超级链接 4" xfId="1365"/>
    <cellStyle name="后继超级链接 4 2" xfId="393"/>
    <cellStyle name="后继超级链接 5" xfId="1368"/>
    <cellStyle name="汇总" xfId="1871"/>
    <cellStyle name="汇总 2" xfId="1872"/>
    <cellStyle name="汇总 2 2" xfId="1873"/>
    <cellStyle name="汇总 2 2 2" xfId="1874"/>
    <cellStyle name="汇总 2 2 2 2" xfId="1875"/>
    <cellStyle name="汇总 2 2 3" xfId="1877"/>
    <cellStyle name="汇总 2 3" xfId="1878"/>
    <cellStyle name="汇总 2 3 2" xfId="1880"/>
    <cellStyle name="汇总 2 3 2 2" xfId="1882"/>
    <cellStyle name="汇总 2 3 3" xfId="1885"/>
    <cellStyle name="汇总 2 3 4" xfId="2691"/>
    <cellStyle name="汇总 2 4" xfId="691"/>
    <cellStyle name="汇总 2 4 2" xfId="1888"/>
    <cellStyle name="汇总 2 5" xfId="1889"/>
    <cellStyle name="汇总 3" xfId="1244"/>
    <cellStyle name="汇总 3 2" xfId="1890"/>
    <cellStyle name="汇总 3 2 2" xfId="1891"/>
    <cellStyle name="汇总 3 2 2 2" xfId="1892"/>
    <cellStyle name="汇总 3 2 3" xfId="1894"/>
    <cellStyle name="汇总 3 3" xfId="1895"/>
    <cellStyle name="汇总 3 3 2" xfId="1897"/>
    <cellStyle name="汇总 3 4" xfId="1898"/>
    <cellStyle name="汇总 4" xfId="1613"/>
    <cellStyle name="汇总 4 2" xfId="1899"/>
    <cellStyle name="汇总 4 2 2" xfId="1900"/>
    <cellStyle name="汇总 4 3" xfId="1901"/>
    <cellStyle name="汇总 5" xfId="590"/>
    <cellStyle name="汇总 5 2" xfId="593"/>
    <cellStyle name="汇总 5 2 2" xfId="20"/>
    <cellStyle name="汇总 5 3" xfId="1902"/>
    <cellStyle name="汇总 6" xfId="595"/>
    <cellStyle name="汇总 6 2" xfId="1506"/>
    <cellStyle name="汇总 7" xfId="1903"/>
    <cellStyle name="货币 2" xfId="1904"/>
    <cellStyle name="货币 2 10" xfId="1905"/>
    <cellStyle name="货币 2 10 2" xfId="4408"/>
    <cellStyle name="货币 2 10 3" xfId="5252"/>
    <cellStyle name="货币 2 11" xfId="4407"/>
    <cellStyle name="货币 2 12" xfId="5251"/>
    <cellStyle name="货币 2 2" xfId="1906"/>
    <cellStyle name="货币 2 2 10" xfId="4409"/>
    <cellStyle name="货币 2 2 11" xfId="5253"/>
    <cellStyle name="货币 2 2 2" xfId="1907"/>
    <cellStyle name="货币 2 2 2 2" xfId="1908"/>
    <cellStyle name="货币 2 2 2 2 2" xfId="1909"/>
    <cellStyle name="货币 2 2 2 2 2 2" xfId="4412"/>
    <cellStyle name="货币 2 2 2 2 2 3" xfId="5256"/>
    <cellStyle name="货币 2 2 2 2 3" xfId="1910"/>
    <cellStyle name="货币 2 2 2 2 3 2" xfId="4413"/>
    <cellStyle name="货币 2 2 2 2 3 3" xfId="5257"/>
    <cellStyle name="货币 2 2 2 2 4" xfId="1911"/>
    <cellStyle name="货币 2 2 2 2 4 2" xfId="4414"/>
    <cellStyle name="货币 2 2 2 2 4 3" xfId="5258"/>
    <cellStyle name="货币 2 2 2 2 5" xfId="4411"/>
    <cellStyle name="货币 2 2 2 2 6" xfId="5255"/>
    <cellStyle name="货币 2 2 2 3" xfId="1879"/>
    <cellStyle name="货币 2 2 2 3 2" xfId="1881"/>
    <cellStyle name="货币 2 2 2 3 2 2" xfId="4416"/>
    <cellStyle name="货币 2 2 2 3 2 3" xfId="5247"/>
    <cellStyle name="货币 2 2 2 3 3" xfId="1912"/>
    <cellStyle name="货币 2 2 2 3 3 2" xfId="4417"/>
    <cellStyle name="货币 2 2 2 3 3 3" xfId="5259"/>
    <cellStyle name="货币 2 2 2 3 4" xfId="4415"/>
    <cellStyle name="货币 2 2 2 3 5" xfId="5246"/>
    <cellStyle name="货币 2 2 2 4" xfId="1884"/>
    <cellStyle name="货币 2 2 2 4 2" xfId="1913"/>
    <cellStyle name="货币 2 2 2 4 2 2" xfId="4419"/>
    <cellStyle name="货币 2 2 2 4 2 3" xfId="5260"/>
    <cellStyle name="货币 2 2 2 4 3" xfId="1914"/>
    <cellStyle name="货币 2 2 2 4 3 2" xfId="4420"/>
    <cellStyle name="货币 2 2 2 4 3 3" xfId="5261"/>
    <cellStyle name="货币 2 2 2 4 4" xfId="1915"/>
    <cellStyle name="货币 2 2 2 4 4 2" xfId="4421"/>
    <cellStyle name="货币 2 2 2 4 4 3" xfId="5262"/>
    <cellStyle name="货币 2 2 2 4 5" xfId="4418"/>
    <cellStyle name="货币 2 2 2 4 6" xfId="5248"/>
    <cellStyle name="货币 2 2 2 5" xfId="1916"/>
    <cellStyle name="货币 2 2 2 5 2" xfId="4422"/>
    <cellStyle name="货币 2 2 2 5 3" xfId="5263"/>
    <cellStyle name="货币 2 2 2 6" xfId="1918"/>
    <cellStyle name="货币 2 2 2 6 2" xfId="4423"/>
    <cellStyle name="货币 2 2 2 6 3" xfId="5264"/>
    <cellStyle name="货币 2 2 2 7" xfId="1920"/>
    <cellStyle name="货币 2 2 2 7 2" xfId="4424"/>
    <cellStyle name="货币 2 2 2 7 3" xfId="5265"/>
    <cellStyle name="货币 2 2 2 8" xfId="4410"/>
    <cellStyle name="货币 2 2 2 9" xfId="5254"/>
    <cellStyle name="货币 2 2 3" xfId="1922"/>
    <cellStyle name="货币 2 2 3 2" xfId="1924"/>
    <cellStyle name="货币 2 2 3 2 2" xfId="4426"/>
    <cellStyle name="货币 2 2 3 2 3" xfId="5267"/>
    <cellStyle name="货币 2 2 3 3" xfId="1887"/>
    <cellStyle name="货币 2 2 3 3 2" xfId="4427"/>
    <cellStyle name="货币 2 2 3 3 3" xfId="5249"/>
    <cellStyle name="货币 2 2 3 4" xfId="1925"/>
    <cellStyle name="货币 2 2 3 4 2" xfId="4428"/>
    <cellStyle name="货币 2 2 3 4 3" xfId="5268"/>
    <cellStyle name="货币 2 2 3 5" xfId="4425"/>
    <cellStyle name="货币 2 2 3 6" xfId="5266"/>
    <cellStyle name="货币 2 2 4" xfId="1927"/>
    <cellStyle name="货币 2 2 4 2" xfId="1929"/>
    <cellStyle name="货币 2 2 4 2 2" xfId="4430"/>
    <cellStyle name="货币 2 2 4 2 3" xfId="5270"/>
    <cellStyle name="货币 2 2 4 3" xfId="1930"/>
    <cellStyle name="货币 2 2 4 3 2" xfId="4431"/>
    <cellStyle name="货币 2 2 4 3 3" xfId="5271"/>
    <cellStyle name="货币 2 2 4 4" xfId="1931"/>
    <cellStyle name="货币 2 2 4 4 2" xfId="4432"/>
    <cellStyle name="货币 2 2 4 4 3" xfId="5272"/>
    <cellStyle name="货币 2 2 4 5" xfId="4429"/>
    <cellStyle name="货币 2 2 4 6" xfId="5269"/>
    <cellStyle name="货币 2 2 5" xfId="1835"/>
    <cellStyle name="货币 2 2 5 2" xfId="916"/>
    <cellStyle name="货币 2 2 5 2 2" xfId="4434"/>
    <cellStyle name="货币 2 2 5 2 3" xfId="5124"/>
    <cellStyle name="货币 2 2 5 3" xfId="920"/>
    <cellStyle name="货币 2 2 5 3 2" xfId="4435"/>
    <cellStyle name="货币 2 2 5 3 3" xfId="5125"/>
    <cellStyle name="货币 2 2 5 4" xfId="4433"/>
    <cellStyle name="货币 2 2 5 5" xfId="5245"/>
    <cellStyle name="货币 2 2 6" xfId="1932"/>
    <cellStyle name="货币 2 2 6 2" xfId="933"/>
    <cellStyle name="货币 2 2 6 2 2" xfId="4437"/>
    <cellStyle name="货币 2 2 6 2 3" xfId="5126"/>
    <cellStyle name="货币 2 2 6 3" xfId="1933"/>
    <cellStyle name="货币 2 2 6 3 2" xfId="4438"/>
    <cellStyle name="货币 2 2 6 3 3" xfId="5274"/>
    <cellStyle name="货币 2 2 6 4" xfId="1934"/>
    <cellStyle name="货币 2 2 6 4 2" xfId="4439"/>
    <cellStyle name="货币 2 2 6 4 3" xfId="5275"/>
    <cellStyle name="货币 2 2 6 5" xfId="4436"/>
    <cellStyle name="货币 2 2 6 6" xfId="5273"/>
    <cellStyle name="货币 2 2 7" xfId="1935"/>
    <cellStyle name="货币 2 2 7 2" xfId="4440"/>
    <cellStyle name="货币 2 2 7 3" xfId="5276"/>
    <cellStyle name="货币 2 2 8" xfId="1936"/>
    <cellStyle name="货币 2 2 8 2" xfId="4441"/>
    <cellStyle name="货币 2 2 8 3" xfId="5277"/>
    <cellStyle name="货币 2 2 9" xfId="1555"/>
    <cellStyle name="货币 2 2 9 2" xfId="4442"/>
    <cellStyle name="货币 2 2 9 3" xfId="5228"/>
    <cellStyle name="货币 2 3" xfId="1937"/>
    <cellStyle name="货币 2 3 2" xfId="1938"/>
    <cellStyle name="货币 2 3 2 2" xfId="1510"/>
    <cellStyle name="货币 2 3 2 2 2" xfId="4445"/>
    <cellStyle name="货币 2 3 2 2 3" xfId="5224"/>
    <cellStyle name="货币 2 3 2 3" xfId="1896"/>
    <cellStyle name="货币 2 3 2 3 2" xfId="4446"/>
    <cellStyle name="货币 2 3 2 3 3" xfId="5250"/>
    <cellStyle name="货币 2 3 2 4" xfId="1940"/>
    <cellStyle name="货币 2 3 2 4 2" xfId="4447"/>
    <cellStyle name="货币 2 3 2 4 3" xfId="5280"/>
    <cellStyle name="货币 2 3 2 5" xfId="4444"/>
    <cellStyle name="货币 2 3 2 6" xfId="5279"/>
    <cellStyle name="货币 2 3 3" xfId="1942"/>
    <cellStyle name="货币 2 3 3 2" xfId="149"/>
    <cellStyle name="货币 2 3 3 2 2" xfId="4449"/>
    <cellStyle name="货币 2 3 3 2 3" xfId="5098"/>
    <cellStyle name="货币 2 3 3 3" xfId="14"/>
    <cellStyle name="货币 2 3 3 3 2" xfId="4450"/>
    <cellStyle name="货币 2 3 3 3 3" xfId="5094"/>
    <cellStyle name="货币 2 3 3 4" xfId="4448"/>
    <cellStyle name="货币 2 3 3 5" xfId="5281"/>
    <cellStyle name="货币 2 3 4" xfId="1944"/>
    <cellStyle name="货币 2 3 4 2" xfId="213"/>
    <cellStyle name="货币 2 3 4 2 2" xfId="4452"/>
    <cellStyle name="货币 2 3 4 2 3" xfId="5099"/>
    <cellStyle name="货币 2 3 4 3" xfId="218"/>
    <cellStyle name="货币 2 3 4 3 2" xfId="4453"/>
    <cellStyle name="货币 2 3 4 3 3" xfId="5100"/>
    <cellStyle name="货币 2 3 4 4" xfId="223"/>
    <cellStyle name="货币 2 3 4 4 2" xfId="4454"/>
    <cellStyle name="货币 2 3 4 4 3" xfId="5101"/>
    <cellStyle name="货币 2 3 4 5" xfId="4451"/>
    <cellStyle name="货币 2 3 4 6" xfId="5282"/>
    <cellStyle name="货币 2 3 5" xfId="1946"/>
    <cellStyle name="货币 2 3 5 2" xfId="4455"/>
    <cellStyle name="货币 2 3 5 3" xfId="5283"/>
    <cellStyle name="货币 2 3 6" xfId="1947"/>
    <cellStyle name="货币 2 3 6 2" xfId="4456"/>
    <cellStyle name="货币 2 3 6 3" xfId="5284"/>
    <cellStyle name="货币 2 3 7" xfId="1948"/>
    <cellStyle name="货币 2 3 7 2" xfId="4457"/>
    <cellStyle name="货币 2 3 7 3" xfId="5285"/>
    <cellStyle name="货币 2 3 8" xfId="4443"/>
    <cellStyle name="货币 2 3 9" xfId="5278"/>
    <cellStyle name="货币 2 4" xfId="1949"/>
    <cellStyle name="货币 2 4 2" xfId="1950"/>
    <cellStyle name="货币 2 4 2 2" xfId="4459"/>
    <cellStyle name="货币 2 4 2 3" xfId="5287"/>
    <cellStyle name="货币 2 4 3" xfId="1952"/>
    <cellStyle name="货币 2 4 3 2" xfId="4460"/>
    <cellStyle name="货币 2 4 3 3" xfId="5288"/>
    <cellStyle name="货币 2 4 4" xfId="1954"/>
    <cellStyle name="货币 2 4 4 2" xfId="4461"/>
    <cellStyle name="货币 2 4 4 3" xfId="5289"/>
    <cellStyle name="货币 2 4 5" xfId="4458"/>
    <cellStyle name="货币 2 4 6" xfId="5286"/>
    <cellStyle name="货币 2 5" xfId="1955"/>
    <cellStyle name="货币 2 5 2" xfId="1956"/>
    <cellStyle name="货币 2 5 2 2" xfId="4463"/>
    <cellStyle name="货币 2 5 2 3" xfId="5291"/>
    <cellStyle name="货币 2 5 3" xfId="1958"/>
    <cellStyle name="货币 2 5 3 2" xfId="4464"/>
    <cellStyle name="货币 2 5 3 3" xfId="5292"/>
    <cellStyle name="货币 2 5 4" xfId="1960"/>
    <cellStyle name="货币 2 5 4 2" xfId="4465"/>
    <cellStyle name="货币 2 5 4 3" xfId="5293"/>
    <cellStyle name="货币 2 5 5" xfId="4462"/>
    <cellStyle name="货币 2 5 6" xfId="5290"/>
    <cellStyle name="货币 2 6" xfId="1337"/>
    <cellStyle name="货币 2 6 2" xfId="1339"/>
    <cellStyle name="货币 2 6 2 2" xfId="4467"/>
    <cellStyle name="货币 2 6 2 3" xfId="5199"/>
    <cellStyle name="货币 2 6 3" xfId="1962"/>
    <cellStyle name="货币 2 6 3 2" xfId="4468"/>
    <cellStyle name="货币 2 6 3 3" xfId="5294"/>
    <cellStyle name="货币 2 6 4" xfId="4466"/>
    <cellStyle name="货币 2 6 5" xfId="5198"/>
    <cellStyle name="货币 2 7" xfId="1341"/>
    <cellStyle name="货币 2 7 2" xfId="17"/>
    <cellStyle name="货币 2 7 2 2" xfId="4470"/>
    <cellStyle name="货币 2 7 2 3" xfId="5095"/>
    <cellStyle name="货币 2 7 3" xfId="116"/>
    <cellStyle name="货币 2 7 3 2" xfId="4471"/>
    <cellStyle name="货币 2 7 3 3" xfId="5097"/>
    <cellStyle name="货币 2 7 4" xfId="1828"/>
    <cellStyle name="货币 2 7 4 2" xfId="4472"/>
    <cellStyle name="货币 2 7 4 3" xfId="5243"/>
    <cellStyle name="货币 2 7 5" xfId="4469"/>
    <cellStyle name="货币 2 7 6" xfId="5200"/>
    <cellStyle name="货币 2 8" xfId="1963"/>
    <cellStyle name="货币 2 8 2" xfId="4473"/>
    <cellStyle name="货币 2 8 3" xfId="5295"/>
    <cellStyle name="货币 2 9" xfId="1964"/>
    <cellStyle name="货币 2 9 2" xfId="4474"/>
    <cellStyle name="货币 2 9 3" xfId="5296"/>
    <cellStyle name="货币 3" xfId="1965"/>
    <cellStyle name="货币 3 10" xfId="4475"/>
    <cellStyle name="货币 3 11" xfId="5297"/>
    <cellStyle name="货币 3 2" xfId="1966"/>
    <cellStyle name="货币 3 2 2" xfId="1967"/>
    <cellStyle name="货币 3 2 2 2" xfId="1968"/>
    <cellStyle name="货币 3 2 2 2 2" xfId="4478"/>
    <cellStyle name="货币 3 2 2 2 3" xfId="5300"/>
    <cellStyle name="货币 3 2 2 3" xfId="1969"/>
    <cellStyle name="货币 3 2 2 3 2" xfId="4479"/>
    <cellStyle name="货币 3 2 2 3 3" xfId="5301"/>
    <cellStyle name="货币 3 2 2 4" xfId="1970"/>
    <cellStyle name="货币 3 2 2 4 2" xfId="4480"/>
    <cellStyle name="货币 3 2 2 4 3" xfId="5302"/>
    <cellStyle name="货币 3 2 2 5" xfId="4477"/>
    <cellStyle name="货币 3 2 2 6" xfId="5299"/>
    <cellStyle name="货币 3 2 3" xfId="1971"/>
    <cellStyle name="货币 3 2 3 2" xfId="1972"/>
    <cellStyle name="货币 3 2 3 2 2" xfId="4482"/>
    <cellStyle name="货币 3 2 3 2 3" xfId="5304"/>
    <cellStyle name="货币 3 2 3 3" xfId="1973"/>
    <cellStyle name="货币 3 2 3 3 2" xfId="4483"/>
    <cellStyle name="货币 3 2 3 3 3" xfId="5305"/>
    <cellStyle name="货币 3 2 3 4" xfId="4481"/>
    <cellStyle name="货币 3 2 3 5" xfId="5303"/>
    <cellStyle name="货币 3 2 4" xfId="1974"/>
    <cellStyle name="货币 3 2 4 2" xfId="1975"/>
    <cellStyle name="货币 3 2 4 2 2" xfId="4485"/>
    <cellStyle name="货币 3 2 4 2 3" xfId="5307"/>
    <cellStyle name="货币 3 2 4 3" xfId="1976"/>
    <cellStyle name="货币 3 2 4 3 2" xfId="4486"/>
    <cellStyle name="货币 3 2 4 3 3" xfId="5308"/>
    <cellStyle name="货币 3 2 4 4" xfId="1977"/>
    <cellStyle name="货币 3 2 4 4 2" xfId="4487"/>
    <cellStyle name="货币 3 2 4 4 3" xfId="5309"/>
    <cellStyle name="货币 3 2 4 5" xfId="4484"/>
    <cellStyle name="货币 3 2 4 6" xfId="5306"/>
    <cellStyle name="货币 3 2 5" xfId="1978"/>
    <cellStyle name="货币 3 2 5 2" xfId="4488"/>
    <cellStyle name="货币 3 2 5 3" xfId="5310"/>
    <cellStyle name="货币 3 2 6" xfId="1979"/>
    <cellStyle name="货币 3 2 6 2" xfId="4489"/>
    <cellStyle name="货币 3 2 6 3" xfId="5311"/>
    <cellStyle name="货币 3 2 7" xfId="1200"/>
    <cellStyle name="货币 3 2 7 2" xfId="4490"/>
    <cellStyle name="货币 3 2 7 3" xfId="5143"/>
    <cellStyle name="货币 3 2 8" xfId="4476"/>
    <cellStyle name="货币 3 2 9" xfId="5298"/>
    <cellStyle name="货币 3 3" xfId="1980"/>
    <cellStyle name="货币 3 3 2" xfId="1981"/>
    <cellStyle name="货币 3 3 2 2" xfId="4492"/>
    <cellStyle name="货币 3 3 2 3" xfId="5313"/>
    <cellStyle name="货币 3 3 3" xfId="1982"/>
    <cellStyle name="货币 3 3 3 2" xfId="4493"/>
    <cellStyle name="货币 3 3 3 3" xfId="5314"/>
    <cellStyle name="货币 3 3 4" xfId="1983"/>
    <cellStyle name="货币 3 3 4 2" xfId="4494"/>
    <cellStyle name="货币 3 3 4 3" xfId="5315"/>
    <cellStyle name="货币 3 3 5" xfId="4491"/>
    <cellStyle name="货币 3 3 6" xfId="5312"/>
    <cellStyle name="货币 3 4" xfId="1984"/>
    <cellStyle name="货币 3 4 2" xfId="1985"/>
    <cellStyle name="货币 3 4 2 2" xfId="4496"/>
    <cellStyle name="货币 3 4 2 3" xfId="5317"/>
    <cellStyle name="货币 3 4 3" xfId="1986"/>
    <cellStyle name="货币 3 4 3 2" xfId="4497"/>
    <cellStyle name="货币 3 4 3 3" xfId="5318"/>
    <cellStyle name="货币 3 4 4" xfId="1987"/>
    <cellStyle name="货币 3 4 4 2" xfId="4498"/>
    <cellStyle name="货币 3 4 4 3" xfId="5319"/>
    <cellStyle name="货币 3 4 5" xfId="4495"/>
    <cellStyle name="货币 3 4 6" xfId="5316"/>
    <cellStyle name="货币 3 5" xfId="1988"/>
    <cellStyle name="货币 3 5 2" xfId="1989"/>
    <cellStyle name="货币 3 5 2 2" xfId="4500"/>
    <cellStyle name="货币 3 5 2 3" xfId="5321"/>
    <cellStyle name="货币 3 5 3" xfId="1990"/>
    <cellStyle name="货币 3 5 3 2" xfId="4501"/>
    <cellStyle name="货币 3 5 3 3" xfId="5322"/>
    <cellStyle name="货币 3 5 4" xfId="4499"/>
    <cellStyle name="货币 3 5 5" xfId="5320"/>
    <cellStyle name="货币 3 6" xfId="1343"/>
    <cellStyle name="货币 3 6 2" xfId="1991"/>
    <cellStyle name="货币 3 6 2 2" xfId="4503"/>
    <cellStyle name="货币 3 6 2 3" xfId="5323"/>
    <cellStyle name="货币 3 6 3" xfId="688"/>
    <cellStyle name="货币 3 6 3 2" xfId="4504"/>
    <cellStyle name="货币 3 6 3 3" xfId="5116"/>
    <cellStyle name="货币 3 6 4" xfId="694"/>
    <cellStyle name="货币 3 6 4 2" xfId="4505"/>
    <cellStyle name="货币 3 6 4 3" xfId="5117"/>
    <cellStyle name="货币 3 6 5" xfId="4502"/>
    <cellStyle name="货币 3 6 6" xfId="5201"/>
    <cellStyle name="货币 3 7" xfId="1992"/>
    <cellStyle name="货币 3 7 2" xfId="4506"/>
    <cellStyle name="货币 3 7 3" xfId="5324"/>
    <cellStyle name="货币 3 8" xfId="1993"/>
    <cellStyle name="货币 3 8 2" xfId="4507"/>
    <cellStyle name="货币 3 8 3" xfId="5325"/>
    <cellStyle name="货币 3 9" xfId="1994"/>
    <cellStyle name="货币 3 9 2" xfId="4508"/>
    <cellStyle name="货币 3 9 3" xfId="5326"/>
    <cellStyle name="货币 4" xfId="1995"/>
    <cellStyle name="货币 4 10" xfId="4509"/>
    <cellStyle name="货币 4 11" xfId="5327"/>
    <cellStyle name="货币 4 2" xfId="1996"/>
    <cellStyle name="货币 4 2 2" xfId="1997"/>
    <cellStyle name="货币 4 2 2 2" xfId="1998"/>
    <cellStyle name="货币 4 2 2 2 2" xfId="4512"/>
    <cellStyle name="货币 4 2 2 2 3" xfId="5330"/>
    <cellStyle name="货币 4 2 2 3" xfId="1999"/>
    <cellStyle name="货币 4 2 2 3 2" xfId="4513"/>
    <cellStyle name="货币 4 2 2 3 3" xfId="5331"/>
    <cellStyle name="货币 4 2 2 4" xfId="2000"/>
    <cellStyle name="货币 4 2 2 4 2" xfId="4514"/>
    <cellStyle name="货币 4 2 2 4 3" xfId="5332"/>
    <cellStyle name="货币 4 2 2 5" xfId="4511"/>
    <cellStyle name="货币 4 2 2 6" xfId="5329"/>
    <cellStyle name="货币 4 2 3" xfId="2001"/>
    <cellStyle name="货币 4 2 3 2" xfId="2002"/>
    <cellStyle name="货币 4 2 3 2 2" xfId="4516"/>
    <cellStyle name="货币 4 2 3 2 3" xfId="5334"/>
    <cellStyle name="货币 4 2 3 3" xfId="2003"/>
    <cellStyle name="货币 4 2 3 3 2" xfId="4517"/>
    <cellStyle name="货币 4 2 3 3 3" xfId="5335"/>
    <cellStyle name="货币 4 2 3 4" xfId="4515"/>
    <cellStyle name="货币 4 2 3 5" xfId="5333"/>
    <cellStyle name="货币 4 2 4" xfId="2004"/>
    <cellStyle name="货币 4 2 4 2" xfId="2005"/>
    <cellStyle name="货币 4 2 4 2 2" xfId="4519"/>
    <cellStyle name="货币 4 2 4 2 3" xfId="5337"/>
    <cellStyle name="货币 4 2 4 3" xfId="2006"/>
    <cellStyle name="货币 4 2 4 3 2" xfId="4520"/>
    <cellStyle name="货币 4 2 4 3 3" xfId="5338"/>
    <cellStyle name="货币 4 2 4 4" xfId="2007"/>
    <cellStyle name="货币 4 2 4 4 2" xfId="4521"/>
    <cellStyle name="货币 4 2 4 4 3" xfId="5339"/>
    <cellStyle name="货币 4 2 4 5" xfId="4518"/>
    <cellStyle name="货币 4 2 4 6" xfId="5336"/>
    <cellStyle name="货币 4 2 5" xfId="2008"/>
    <cellStyle name="货币 4 2 5 2" xfId="4522"/>
    <cellStyle name="货币 4 2 5 3" xfId="5340"/>
    <cellStyle name="货币 4 2 6" xfId="2009"/>
    <cellStyle name="货币 4 2 6 2" xfId="4523"/>
    <cellStyle name="货币 4 2 6 3" xfId="5341"/>
    <cellStyle name="货币 4 2 7" xfId="2010"/>
    <cellStyle name="货币 4 2 7 2" xfId="4524"/>
    <cellStyle name="货币 4 2 7 3" xfId="5342"/>
    <cellStyle name="货币 4 2 8" xfId="4510"/>
    <cellStyle name="货币 4 2 9" xfId="5328"/>
    <cellStyle name="货币 4 3" xfId="2011"/>
    <cellStyle name="货币 4 3 2" xfId="2012"/>
    <cellStyle name="货币 4 3 2 2" xfId="4526"/>
    <cellStyle name="货币 4 3 2 3" xfId="5344"/>
    <cellStyle name="货币 4 3 3" xfId="2013"/>
    <cellStyle name="货币 4 3 3 2" xfId="4527"/>
    <cellStyle name="货币 4 3 3 3" xfId="5345"/>
    <cellStyle name="货币 4 3 4" xfId="2014"/>
    <cellStyle name="货币 4 3 4 2" xfId="4528"/>
    <cellStyle name="货币 4 3 4 3" xfId="5346"/>
    <cellStyle name="货币 4 3 5" xfId="4525"/>
    <cellStyle name="货币 4 3 6" xfId="5343"/>
    <cellStyle name="货币 4 4" xfId="2015"/>
    <cellStyle name="货币 4 4 2" xfId="2016"/>
    <cellStyle name="货币 4 4 2 2" xfId="4530"/>
    <cellStyle name="货币 4 4 2 3" xfId="5348"/>
    <cellStyle name="货币 4 4 3" xfId="2017"/>
    <cellStyle name="货币 4 4 3 2" xfId="4531"/>
    <cellStyle name="货币 4 4 3 3" xfId="5349"/>
    <cellStyle name="货币 4 4 4" xfId="2018"/>
    <cellStyle name="货币 4 4 4 2" xfId="4532"/>
    <cellStyle name="货币 4 4 4 3" xfId="5350"/>
    <cellStyle name="货币 4 4 5" xfId="4529"/>
    <cellStyle name="货币 4 4 6" xfId="5347"/>
    <cellStyle name="货币 4 5" xfId="2019"/>
    <cellStyle name="货币 4 5 2" xfId="2020"/>
    <cellStyle name="货币 4 5 2 2" xfId="4534"/>
    <cellStyle name="货币 4 5 2 3" xfId="5352"/>
    <cellStyle name="货币 4 5 3" xfId="2021"/>
    <cellStyle name="货币 4 5 3 2" xfId="4535"/>
    <cellStyle name="货币 4 5 3 3" xfId="5353"/>
    <cellStyle name="货币 4 5 4" xfId="4533"/>
    <cellStyle name="货币 4 5 5" xfId="5351"/>
    <cellStyle name="货币 4 6" xfId="2022"/>
    <cellStyle name="货币 4 6 2" xfId="2023"/>
    <cellStyle name="货币 4 6 2 2" xfId="4537"/>
    <cellStyle name="货币 4 6 2 3" xfId="5355"/>
    <cellStyle name="货币 4 6 3" xfId="733"/>
    <cellStyle name="货币 4 6 3 2" xfId="4538"/>
    <cellStyle name="货币 4 6 3 3" xfId="5119"/>
    <cellStyle name="货币 4 6 4" xfId="741"/>
    <cellStyle name="货币 4 6 4 2" xfId="4539"/>
    <cellStyle name="货币 4 6 4 3" xfId="5120"/>
    <cellStyle name="货币 4 6 5" xfId="4536"/>
    <cellStyle name="货币 4 6 6" xfId="5354"/>
    <cellStyle name="货币 4 7" xfId="1832"/>
    <cellStyle name="货币 4 7 2" xfId="4540"/>
    <cellStyle name="货币 4 7 3" xfId="5244"/>
    <cellStyle name="货币 4 8" xfId="2024"/>
    <cellStyle name="货币 4 8 2" xfId="4541"/>
    <cellStyle name="货币 4 8 3" xfId="5356"/>
    <cellStyle name="货币 4 9" xfId="2025"/>
    <cellStyle name="货币 4 9 2" xfId="4542"/>
    <cellStyle name="货币 4 9 3" xfId="5357"/>
    <cellStyle name="货币 5" xfId="2027"/>
    <cellStyle name="货币 5 2" xfId="2028"/>
    <cellStyle name="货币 5 2 2" xfId="4544"/>
    <cellStyle name="货币 5 2 3" xfId="5359"/>
    <cellStyle name="货币 5 3" xfId="2029"/>
    <cellStyle name="货币 5 3 2" xfId="4545"/>
    <cellStyle name="货币 5 3 3" xfId="5360"/>
    <cellStyle name="货币 5 4" xfId="4543"/>
    <cellStyle name="货币 5 5" xfId="5358"/>
    <cellStyle name="货币[0] 2" xfId="2693"/>
    <cellStyle name="货币[0] 3" xfId="2694"/>
    <cellStyle name="计算" xfId="2031"/>
    <cellStyle name="计算 2" xfId="2032"/>
    <cellStyle name="计算 2 2" xfId="2033"/>
    <cellStyle name="计算 2 2 2" xfId="1833"/>
    <cellStyle name="计算 2 2 2 2" xfId="2034"/>
    <cellStyle name="计算 2 2 2 2 2" xfId="4548"/>
    <cellStyle name="计算 2 2 2 3" xfId="2698"/>
    <cellStyle name="计算 2 2 3" xfId="2035"/>
    <cellStyle name="计算 2 2 3 2" xfId="2699"/>
    <cellStyle name="计算 2 2 4" xfId="2697"/>
    <cellStyle name="计算 2 3" xfId="2036"/>
    <cellStyle name="计算 2 3 2" xfId="1297"/>
    <cellStyle name="计算 2 3 2 2" xfId="2037"/>
    <cellStyle name="计算 2 3 2 2 2" xfId="4551"/>
    <cellStyle name="计算 2 3 2 3" xfId="4550"/>
    <cellStyle name="计算 2 3 3" xfId="2030"/>
    <cellStyle name="计算 2 3 3 2" xfId="4552"/>
    <cellStyle name="计算 2 3 4" xfId="2700"/>
    <cellStyle name="计算 2 3 5" xfId="4549"/>
    <cellStyle name="计算 2 4" xfId="2038"/>
    <cellStyle name="计算 2 4 2" xfId="1301"/>
    <cellStyle name="计算 2 4 2 2" xfId="4554"/>
    <cellStyle name="计算 2 4 3" xfId="4553"/>
    <cellStyle name="计算 2 5" xfId="2039"/>
    <cellStyle name="计算 2 5 2" xfId="4555"/>
    <cellStyle name="计算 2 6" xfId="2696"/>
    <cellStyle name="计算 2 7" xfId="4547"/>
    <cellStyle name="计算 3" xfId="2040"/>
    <cellStyle name="计算 3 2" xfId="2041"/>
    <cellStyle name="计算 3 2 2" xfId="2042"/>
    <cellStyle name="计算 3 2 2 2" xfId="2043"/>
    <cellStyle name="计算 3 2 2 2 2" xfId="4558"/>
    <cellStyle name="计算 3 2 2 3" xfId="4557"/>
    <cellStyle name="计算 3 2 3" xfId="2044"/>
    <cellStyle name="计算 3 2 3 2" xfId="4559"/>
    <cellStyle name="计算 3 2 4" xfId="4556"/>
    <cellStyle name="计算 3 3" xfId="2045"/>
    <cellStyle name="计算 3 3 2" xfId="1314"/>
    <cellStyle name="计算 3 3 2 2" xfId="4561"/>
    <cellStyle name="计算 3 3 3" xfId="4560"/>
    <cellStyle name="计算 3 4" xfId="2046"/>
    <cellStyle name="计算 3 4 2" xfId="4562"/>
    <cellStyle name="计算 3 5" xfId="2701"/>
    <cellStyle name="计算 4" xfId="2047"/>
    <cellStyle name="计算 4 2" xfId="2048"/>
    <cellStyle name="计算 4 2 2" xfId="2049"/>
    <cellStyle name="计算 4 2 2 2" xfId="4565"/>
    <cellStyle name="计算 4 2 3" xfId="4564"/>
    <cellStyle name="计算 4 3" xfId="2050"/>
    <cellStyle name="计算 4 3 2" xfId="4566"/>
    <cellStyle name="计算 4 4" xfId="4563"/>
    <cellStyle name="计算 5" xfId="1048"/>
    <cellStyle name="计算 5 2" xfId="2051"/>
    <cellStyle name="计算 5 2 2" xfId="2052"/>
    <cellStyle name="计算 5 2 2 2" xfId="4569"/>
    <cellStyle name="计算 5 2 3" xfId="4568"/>
    <cellStyle name="计算 5 3" xfId="2053"/>
    <cellStyle name="计算 5 3 2" xfId="4570"/>
    <cellStyle name="计算 5 4" xfId="4567"/>
    <cellStyle name="计算 6" xfId="2054"/>
    <cellStyle name="计算 6 2" xfId="1196"/>
    <cellStyle name="计算 6 2 2" xfId="4572"/>
    <cellStyle name="计算 6 3" xfId="4571"/>
    <cellStyle name="计算 7" xfId="2055"/>
    <cellStyle name="计算 7 2" xfId="4573"/>
    <cellStyle name="计算 8" xfId="2695"/>
    <cellStyle name="计算 9" xfId="4546"/>
    <cellStyle name="检查单元格" xfId="303"/>
    <cellStyle name="检查单元格 2" xfId="1789"/>
    <cellStyle name="检查单元格 2 2" xfId="2056"/>
    <cellStyle name="检查单元格 2 2 2" xfId="1083"/>
    <cellStyle name="检查单元格 2 2 2 2" xfId="1087"/>
    <cellStyle name="检查单元格 2 2 2 2 2" xfId="4576"/>
    <cellStyle name="检查单元格 2 2 2 3" xfId="2705"/>
    <cellStyle name="检查单元格 2 2 3" xfId="1092"/>
    <cellStyle name="检查单元格 2 2 3 2" xfId="2706"/>
    <cellStyle name="检查单元格 2 2 4" xfId="2704"/>
    <cellStyle name="检查单元格 2 3" xfId="2057"/>
    <cellStyle name="检查单元格 2 3 2" xfId="1098"/>
    <cellStyle name="检查单元格 2 3 2 2" xfId="364"/>
    <cellStyle name="检查单元格 2 3 2 2 2" xfId="4579"/>
    <cellStyle name="检查单元格 2 3 2 3" xfId="4578"/>
    <cellStyle name="检查单元格 2 3 3" xfId="2059"/>
    <cellStyle name="检查单元格 2 3 3 2" xfId="4580"/>
    <cellStyle name="检查单元格 2 3 4" xfId="2707"/>
    <cellStyle name="检查单元格 2 3 5" xfId="4577"/>
    <cellStyle name="检查单元格 2 4" xfId="2060"/>
    <cellStyle name="检查单元格 2 4 2" xfId="1102"/>
    <cellStyle name="检查单元格 2 4 2 2" xfId="4582"/>
    <cellStyle name="检查单元格 2 4 3" xfId="4581"/>
    <cellStyle name="检查单元格 2 5" xfId="2061"/>
    <cellStyle name="检查单元格 2 5 2" xfId="4583"/>
    <cellStyle name="检查单元格 2 6" xfId="2703"/>
    <cellStyle name="检查单元格 2 7" xfId="4575"/>
    <cellStyle name="检查单元格 3" xfId="2062"/>
    <cellStyle name="检查单元格 3 2" xfId="2063"/>
    <cellStyle name="检查单元格 3 2 2" xfId="1127"/>
    <cellStyle name="检查单元格 3 2 2 2" xfId="1129"/>
    <cellStyle name="检查单元格 3 2 2 2 2" xfId="4586"/>
    <cellStyle name="检查单元格 3 2 2 3" xfId="4585"/>
    <cellStyle name="检查单元格 3 2 3" xfId="1131"/>
    <cellStyle name="检查单元格 3 2 3 2" xfId="4587"/>
    <cellStyle name="检查单元格 3 2 4" xfId="4584"/>
    <cellStyle name="检查单元格 3 3" xfId="2064"/>
    <cellStyle name="检查单元格 3 3 2" xfId="1135"/>
    <cellStyle name="检查单元格 3 3 2 2" xfId="4589"/>
    <cellStyle name="检查单元格 3 3 3" xfId="4588"/>
    <cellStyle name="检查单元格 3 4" xfId="2065"/>
    <cellStyle name="检查单元格 3 4 2" xfId="4590"/>
    <cellStyle name="检查单元格 3 5" xfId="2708"/>
    <cellStyle name="检查单元格 4" xfId="2067"/>
    <cellStyle name="检查单元格 4 2" xfId="2069"/>
    <cellStyle name="检查单元格 4 2 2" xfId="1162"/>
    <cellStyle name="检查单元格 4 2 2 2" xfId="4593"/>
    <cellStyle name="检查单元格 4 2 3" xfId="4592"/>
    <cellStyle name="检查单元格 4 3" xfId="2071"/>
    <cellStyle name="检查单元格 4 3 2" xfId="4594"/>
    <cellStyle name="检查单元格 4 4" xfId="4591"/>
    <cellStyle name="检查单元格 5" xfId="2073"/>
    <cellStyle name="检查单元格 5 2" xfId="2075"/>
    <cellStyle name="检查单元格 5 2 2" xfId="2077"/>
    <cellStyle name="检查单元格 5 2 2 2" xfId="4597"/>
    <cellStyle name="检查单元格 5 2 3" xfId="4596"/>
    <cellStyle name="检查单元格 5 3" xfId="2079"/>
    <cellStyle name="检查单元格 5 3 2" xfId="4598"/>
    <cellStyle name="检查单元格 5 4" xfId="4595"/>
    <cellStyle name="检查单元格 6" xfId="1676"/>
    <cellStyle name="检查单元格 6 2" xfId="2081"/>
    <cellStyle name="检查单元格 6 2 2" xfId="4600"/>
    <cellStyle name="检查单元格 6 3" xfId="4599"/>
    <cellStyle name="检查单元格 7" xfId="2084"/>
    <cellStyle name="检查单元格 7 2" xfId="4601"/>
    <cellStyle name="检查单元格 8" xfId="2702"/>
    <cellStyle name="检查单元格 9" xfId="4574"/>
    <cellStyle name="解释性文本" xfId="1324"/>
    <cellStyle name="解释性文本 2" xfId="749"/>
    <cellStyle name="解释性文本 2 2" xfId="2085"/>
    <cellStyle name="解释性文本 2 2 2" xfId="1122"/>
    <cellStyle name="解释性文本 2 2 2 2" xfId="2086"/>
    <cellStyle name="解释性文本 2 2 3" xfId="2087"/>
    <cellStyle name="解释性文本 2 3" xfId="156"/>
    <cellStyle name="解释性文本 2 3 2" xfId="2088"/>
    <cellStyle name="解释性文本 2 4" xfId="159"/>
    <cellStyle name="解释性文本 3" xfId="2089"/>
    <cellStyle name="解释性文本 3 2" xfId="2090"/>
    <cellStyle name="解释性文本 3 2 2" xfId="1155"/>
    <cellStyle name="解释性文本 3 2 2 2" xfId="2091"/>
    <cellStyle name="解释性文本 3 2 3" xfId="2092"/>
    <cellStyle name="解释性文本 3 3" xfId="2093"/>
    <cellStyle name="解释性文本 3 3 2" xfId="2094"/>
    <cellStyle name="解释性文本 3 4" xfId="2095"/>
    <cellStyle name="解释性文本 4" xfId="2096"/>
    <cellStyle name="解释性文本 4 2" xfId="2097"/>
    <cellStyle name="解释性文本 4 2 2" xfId="2098"/>
    <cellStyle name="解释性文本 4 3" xfId="2099"/>
    <cellStyle name="解释性文本 5" xfId="1477"/>
    <cellStyle name="解释性文本 5 2" xfId="1479"/>
    <cellStyle name="解释性文本 5 2 2" xfId="270"/>
    <cellStyle name="解释性文本 5 3" xfId="1481"/>
    <cellStyle name="解释性文本 6" xfId="1484"/>
    <cellStyle name="解释性文本 6 2" xfId="1486"/>
    <cellStyle name="解释性文本 7" xfId="1492"/>
    <cellStyle name="警告文本" xfId="1742"/>
    <cellStyle name="警告文本 2" xfId="1746"/>
    <cellStyle name="警告文本 2 2" xfId="260"/>
    <cellStyle name="警告文本 2 2 2" xfId="1876"/>
    <cellStyle name="警告文本 2 2 2 2" xfId="2100"/>
    <cellStyle name="警告文本 2 2 3" xfId="2101"/>
    <cellStyle name="警告文本 2 3" xfId="2102"/>
    <cellStyle name="警告文本 2 3 2" xfId="1883"/>
    <cellStyle name="警告文本 2 4" xfId="2103"/>
    <cellStyle name="警告文本 3" xfId="1748"/>
    <cellStyle name="警告文本 3 2" xfId="2104"/>
    <cellStyle name="警告文本 3 2 2" xfId="1893"/>
    <cellStyle name="警告文本 3 2 2 2" xfId="2105"/>
    <cellStyle name="警告文本 3 2 3" xfId="2106"/>
    <cellStyle name="警告文本 3 3" xfId="2107"/>
    <cellStyle name="警告文本 3 3 2" xfId="1939"/>
    <cellStyle name="警告文本 3 4" xfId="2108"/>
    <cellStyle name="警告文本 4" xfId="2109"/>
    <cellStyle name="警告文本 4 2" xfId="2110"/>
    <cellStyle name="警告文本 4 2 2" xfId="2111"/>
    <cellStyle name="警告文本 4 3" xfId="2112"/>
    <cellStyle name="警告文本 5" xfId="2113"/>
    <cellStyle name="警告文本 5 2" xfId="2114"/>
    <cellStyle name="警告文本 5 2 2" xfId="2115"/>
    <cellStyle name="警告文本 5 3" xfId="2116"/>
    <cellStyle name="警告文本 6" xfId="2117"/>
    <cellStyle name="警告文本 6 2" xfId="2118"/>
    <cellStyle name="警告文本 7" xfId="326"/>
    <cellStyle name="链接单元格" xfId="2119"/>
    <cellStyle name="链接单元格 2" xfId="2120"/>
    <cellStyle name="链接单元格 2 2" xfId="1921"/>
    <cellStyle name="链接单元格 2 2 2" xfId="1923"/>
    <cellStyle name="链接单元格 2 2 2 2" xfId="1679"/>
    <cellStyle name="链接单元格 2 2 3" xfId="1886"/>
    <cellStyle name="链接单元格 2 3" xfId="1926"/>
    <cellStyle name="链接单元格 2 3 2" xfId="1928"/>
    <cellStyle name="链接单元格 2 4" xfId="1834"/>
    <cellStyle name="链接单元格 3" xfId="2121"/>
    <cellStyle name="链接单元格 3 2" xfId="1941"/>
    <cellStyle name="链接单元格 3 2 2" xfId="148"/>
    <cellStyle name="链接单元格 3 2 2 2" xfId="155"/>
    <cellStyle name="链接单元格 3 2 3" xfId="13"/>
    <cellStyle name="链接单元格 3 3" xfId="1943"/>
    <cellStyle name="链接单元格 3 3 2" xfId="212"/>
    <cellStyle name="链接单元格 3 4" xfId="1945"/>
    <cellStyle name="链接单元格 4" xfId="2122"/>
    <cellStyle name="链接单元格 4 2" xfId="1951"/>
    <cellStyle name="链接单元格 4 2 2" xfId="361"/>
    <cellStyle name="链接单元格 4 3" xfId="1953"/>
    <cellStyle name="链接单元格 5" xfId="2123"/>
    <cellStyle name="链接单元格 5 2" xfId="1957"/>
    <cellStyle name="链接单元格 5 2 2" xfId="444"/>
    <cellStyle name="链接单元格 5 3" xfId="1959"/>
    <cellStyle name="链接单元格 6" xfId="2124"/>
    <cellStyle name="链接单元格 6 2" xfId="1961"/>
    <cellStyle name="链接单元格 7" xfId="1825"/>
    <cellStyle name="霓付 [0]_laroux" xfId="1745"/>
    <cellStyle name="霓付_laroux" xfId="206"/>
    <cellStyle name="烹拳 [0]_laroux" xfId="134"/>
    <cellStyle name="烹拳_laroux" xfId="1391"/>
    <cellStyle name="普通_97-917" xfId="2125"/>
    <cellStyle name="千分位[0]_BT (2)" xfId="2126"/>
    <cellStyle name="千分位_97-917" xfId="2127"/>
    <cellStyle name="千位[0]_，" xfId="2128"/>
    <cellStyle name="千位_，" xfId="2129"/>
    <cellStyle name="千位分隔 10" xfId="4603"/>
    <cellStyle name="千位分隔 11" xfId="4602"/>
    <cellStyle name="千位分隔 2" xfId="2130"/>
    <cellStyle name="千位分隔 2 10" xfId="5362"/>
    <cellStyle name="千位分隔 2 2" xfId="2131"/>
    <cellStyle name="千位分隔 2 2 2" xfId="2132"/>
    <cellStyle name="千位分隔 2 2 2 2" xfId="2133"/>
    <cellStyle name="千位分隔 2 2 2 2 2" xfId="4604"/>
    <cellStyle name="千位分隔 2 2 2 2 3" xfId="5365"/>
    <cellStyle name="千位分隔 2 2 2 3" xfId="2134"/>
    <cellStyle name="千位分隔 2 2 2 3 2" xfId="4605"/>
    <cellStyle name="千位分隔 2 2 2 3 3" xfId="5366"/>
    <cellStyle name="千位分隔 2 2 2 4" xfId="1158"/>
    <cellStyle name="千位分隔 2 2 2 4 2" xfId="4606"/>
    <cellStyle name="千位分隔 2 2 2 4 3" xfId="5135"/>
    <cellStyle name="千位分隔 2 2 2 5" xfId="1161"/>
    <cellStyle name="千位分隔 2 2 2 5 2" xfId="4607"/>
    <cellStyle name="千位分隔 2 2 2 5 3" xfId="5136"/>
    <cellStyle name="千位分隔 2 2 2 6" xfId="2724"/>
    <cellStyle name="千位分隔 2 2 2 7" xfId="5364"/>
    <cellStyle name="千位分隔 2 2 3" xfId="2135"/>
    <cellStyle name="千位分隔 2 2 3 2" xfId="2136"/>
    <cellStyle name="千位分隔 2 2 3 2 2" xfId="4609"/>
    <cellStyle name="千位分隔 2 2 3 2 3" xfId="5368"/>
    <cellStyle name="千位分隔 2 2 3 3" xfId="2137"/>
    <cellStyle name="千位分隔 2 2 3 3 2" xfId="4610"/>
    <cellStyle name="千位分隔 2 2 3 3 3" xfId="5369"/>
    <cellStyle name="千位分隔 2 2 3 4" xfId="2725"/>
    <cellStyle name="千位分隔 2 2 3 5" xfId="4608"/>
    <cellStyle name="千位分隔 2 2 3 6" xfId="5367"/>
    <cellStyle name="千位分隔 2 2 4" xfId="2138"/>
    <cellStyle name="千位分隔 2 2 4 2" xfId="1577"/>
    <cellStyle name="千位分隔 2 2 4 2 2" xfId="4612"/>
    <cellStyle name="千位分隔 2 2 4 2 3" xfId="5229"/>
    <cellStyle name="千位分隔 2 2 4 3" xfId="1586"/>
    <cellStyle name="千位分隔 2 2 4 3 2" xfId="4613"/>
    <cellStyle name="千位分隔 2 2 4 3 3" xfId="5230"/>
    <cellStyle name="千位分隔 2 2 4 4" xfId="1177"/>
    <cellStyle name="千位分隔 2 2 4 4 2" xfId="4614"/>
    <cellStyle name="千位分隔 2 2 4 4 3" xfId="5140"/>
    <cellStyle name="千位分隔 2 2 4 5" xfId="4611"/>
    <cellStyle name="千位分隔 2 2 4 6" xfId="5370"/>
    <cellStyle name="千位分隔 2 2 5" xfId="1590"/>
    <cellStyle name="千位分隔 2 2 5 2" xfId="4615"/>
    <cellStyle name="千位分隔 2 2 5 3" xfId="5231"/>
    <cellStyle name="千位分隔 2 2 6" xfId="1592"/>
    <cellStyle name="千位分隔 2 2 6 2" xfId="4616"/>
    <cellStyle name="千位分隔 2 2 6 3" xfId="5232"/>
    <cellStyle name="千位分隔 2 2 7" xfId="1594"/>
    <cellStyle name="千位分隔 2 2 7 2" xfId="4617"/>
    <cellStyle name="千位分隔 2 2 7 3" xfId="5233"/>
    <cellStyle name="千位分隔 2 2 8" xfId="2723"/>
    <cellStyle name="千位分隔 2 2 9" xfId="5363"/>
    <cellStyle name="千位分隔 2 3" xfId="2139"/>
    <cellStyle name="千位分隔 2 3 2" xfId="2140"/>
    <cellStyle name="千位分隔 2 3 2 2" xfId="4618"/>
    <cellStyle name="千位分隔 2 3 2 3" xfId="5372"/>
    <cellStyle name="千位分隔 2 3 3" xfId="2141"/>
    <cellStyle name="千位分隔 2 3 3 2" xfId="4619"/>
    <cellStyle name="千位分隔 2 3 3 3" xfId="5373"/>
    <cellStyle name="千位分隔 2 3 4" xfId="2142"/>
    <cellStyle name="千位分隔 2 3 4 2" xfId="4620"/>
    <cellStyle name="千位分隔 2 3 4 3" xfId="5374"/>
    <cellStyle name="千位分隔 2 3 5" xfId="1597"/>
    <cellStyle name="千位分隔 2 3 5 2" xfId="4621"/>
    <cellStyle name="千位分隔 2 3 5 3" xfId="5234"/>
    <cellStyle name="千位分隔 2 3 6" xfId="2726"/>
    <cellStyle name="千位分隔 2 3 7" xfId="5371"/>
    <cellStyle name="千位分隔 2 4" xfId="2143"/>
    <cellStyle name="千位分隔 2 4 2" xfId="2144"/>
    <cellStyle name="千位分隔 2 4 2 2" xfId="4623"/>
    <cellStyle name="千位分隔 2 4 2 3" xfId="5376"/>
    <cellStyle name="千位分隔 2 4 3" xfId="2145"/>
    <cellStyle name="千位分隔 2 4 3 2" xfId="4624"/>
    <cellStyle name="千位分隔 2 4 3 3" xfId="5377"/>
    <cellStyle name="千位分隔 2 4 4" xfId="2727"/>
    <cellStyle name="千位分隔 2 4 5" xfId="4622"/>
    <cellStyle name="千位分隔 2 4 6" xfId="5375"/>
    <cellStyle name="千位分隔 2 5" xfId="2146"/>
    <cellStyle name="千位分隔 2 5 2" xfId="2147"/>
    <cellStyle name="千位分隔 2 5 2 2" xfId="4626"/>
    <cellStyle name="千位分隔 2 5 2 3" xfId="5379"/>
    <cellStyle name="千位分隔 2 5 3" xfId="2148"/>
    <cellStyle name="千位分隔 2 5 3 2" xfId="4627"/>
    <cellStyle name="千位分隔 2 5 3 3" xfId="5380"/>
    <cellStyle name="千位分隔 2 5 4" xfId="2149"/>
    <cellStyle name="千位分隔 2 5 4 2" xfId="4628"/>
    <cellStyle name="千位分隔 2 5 4 3" xfId="5381"/>
    <cellStyle name="千位分隔 2 5 5" xfId="4625"/>
    <cellStyle name="千位分隔 2 5 6" xfId="5378"/>
    <cellStyle name="千位分隔 2 6" xfId="2150"/>
    <cellStyle name="千位分隔 2 6 2" xfId="4629"/>
    <cellStyle name="千位分隔 2 6 3" xfId="5382"/>
    <cellStyle name="千位分隔 2 7" xfId="2151"/>
    <cellStyle name="千位分隔 2 7 2" xfId="4630"/>
    <cellStyle name="千位分隔 2 7 3" xfId="5383"/>
    <cellStyle name="千位分隔 2 8" xfId="2152"/>
    <cellStyle name="千位分隔 2 8 2" xfId="4631"/>
    <cellStyle name="千位分隔 2 8 3" xfId="5384"/>
    <cellStyle name="千位分隔 2 9" xfId="2722"/>
    <cellStyle name="千位分隔 3" xfId="1396"/>
    <cellStyle name="千位分隔 3 10" xfId="2728"/>
    <cellStyle name="千位分隔 3 11" xfId="4632"/>
    <cellStyle name="千位分隔 3 12" xfId="5202"/>
    <cellStyle name="千位分隔 3 2" xfId="1398"/>
    <cellStyle name="千位分隔 3 2 2" xfId="1401"/>
    <cellStyle name="千位分隔 3 2 2 2" xfId="1404"/>
    <cellStyle name="千位分隔 3 2 2 2 2" xfId="4635"/>
    <cellStyle name="千位分隔 3 2 2 2 3" xfId="5205"/>
    <cellStyle name="千位分隔 3 2 2 3" xfId="1468"/>
    <cellStyle name="千位分隔 3 2 2 3 2" xfId="4636"/>
    <cellStyle name="千位分隔 3 2 2 3 3" xfId="5221"/>
    <cellStyle name="千位分隔 3 2 2 4" xfId="1470"/>
    <cellStyle name="千位分隔 3 2 2 4 2" xfId="4637"/>
    <cellStyle name="千位分隔 3 2 2 4 3" xfId="5222"/>
    <cellStyle name="千位分隔 3 2 2 5" xfId="4634"/>
    <cellStyle name="千位分隔 3 2 2 6" xfId="5204"/>
    <cellStyle name="千位分隔 3 2 3" xfId="1406"/>
    <cellStyle name="千位分隔 3 2 3 2" xfId="2153"/>
    <cellStyle name="千位分隔 3 2 3 2 2" xfId="4639"/>
    <cellStyle name="千位分隔 3 2 3 2 3" xfId="5385"/>
    <cellStyle name="千位分隔 3 2 3 3" xfId="1473"/>
    <cellStyle name="千位分隔 3 2 3 3 2" xfId="4640"/>
    <cellStyle name="千位分隔 3 2 3 3 3" xfId="5223"/>
    <cellStyle name="千位分隔 3 2 3 4" xfId="4638"/>
    <cellStyle name="千位分隔 3 2 3 5" xfId="5206"/>
    <cellStyle name="千位分隔 3 2 4" xfId="2154"/>
    <cellStyle name="千位分隔 3 2 4 2" xfId="2155"/>
    <cellStyle name="千位分隔 3 2 4 2 2" xfId="4642"/>
    <cellStyle name="千位分隔 3 2 4 2 3" xfId="5387"/>
    <cellStyle name="千位分隔 3 2 4 3" xfId="2156"/>
    <cellStyle name="千位分隔 3 2 4 3 2" xfId="4643"/>
    <cellStyle name="千位分隔 3 2 4 3 3" xfId="5388"/>
    <cellStyle name="千位分隔 3 2 4 4" xfId="2157"/>
    <cellStyle name="千位分隔 3 2 4 4 2" xfId="4644"/>
    <cellStyle name="千位分隔 3 2 4 4 3" xfId="5389"/>
    <cellStyle name="千位分隔 3 2 4 5" xfId="4641"/>
    <cellStyle name="千位分隔 3 2 4 6" xfId="5386"/>
    <cellStyle name="千位分隔 3 2 5" xfId="2158"/>
    <cellStyle name="千位分隔 3 2 5 2" xfId="4645"/>
    <cellStyle name="千位分隔 3 2 5 3" xfId="5390"/>
    <cellStyle name="千位分隔 3 2 6" xfId="2159"/>
    <cellStyle name="千位分隔 3 2 6 2" xfId="4646"/>
    <cellStyle name="千位分隔 3 2 6 3" xfId="5391"/>
    <cellStyle name="千位分隔 3 2 7" xfId="2160"/>
    <cellStyle name="千位分隔 3 2 7 2" xfId="4647"/>
    <cellStyle name="千位分隔 3 2 7 3" xfId="5392"/>
    <cellStyle name="千位分隔 3 2 8" xfId="4633"/>
    <cellStyle name="千位分隔 3 2 9" xfId="5203"/>
    <cellStyle name="千位分隔 3 3" xfId="1408"/>
    <cellStyle name="千位分隔 3 3 2" xfId="1410"/>
    <cellStyle name="千位分隔 3 3 2 2" xfId="4649"/>
    <cellStyle name="千位分隔 3 3 2 3" xfId="5208"/>
    <cellStyle name="千位分隔 3 3 3" xfId="1414"/>
    <cellStyle name="千位分隔 3 3 3 2" xfId="4650"/>
    <cellStyle name="千位分隔 3 3 3 3" xfId="5209"/>
    <cellStyle name="千位分隔 3 3 4" xfId="2161"/>
    <cellStyle name="千位分隔 3 3 4 2" xfId="4651"/>
    <cellStyle name="千位分隔 3 3 4 3" xfId="5393"/>
    <cellStyle name="千位分隔 3 3 5" xfId="4648"/>
    <cellStyle name="千位分隔 3 3 6" xfId="5207"/>
    <cellStyle name="千位分隔 3 4" xfId="1416"/>
    <cellStyle name="千位分隔 3 4 2" xfId="1419"/>
    <cellStyle name="千位分隔 3 4 2 2" xfId="4653"/>
    <cellStyle name="千位分隔 3 4 2 3" xfId="5211"/>
    <cellStyle name="千位分隔 3 4 3" xfId="2163"/>
    <cellStyle name="千位分隔 3 4 3 2" xfId="4654"/>
    <cellStyle name="千位分隔 3 4 3 3" xfId="5394"/>
    <cellStyle name="千位分隔 3 4 4" xfId="2164"/>
    <cellStyle name="千位分隔 3 4 4 2" xfId="4655"/>
    <cellStyle name="千位分隔 3 4 4 3" xfId="5395"/>
    <cellStyle name="千位分隔 3 4 5" xfId="4652"/>
    <cellStyle name="千位分隔 3 4 6" xfId="5210"/>
    <cellStyle name="千位分隔 3 5" xfId="1421"/>
    <cellStyle name="千位分隔 3 5 2" xfId="2165"/>
    <cellStyle name="千位分隔 3 5 2 2" xfId="4657"/>
    <cellStyle name="千位分隔 3 5 2 3" xfId="5396"/>
    <cellStyle name="千位分隔 3 5 3" xfId="2166"/>
    <cellStyle name="千位分隔 3 5 3 2" xfId="4658"/>
    <cellStyle name="千位分隔 3 5 3 3" xfId="5397"/>
    <cellStyle name="千位分隔 3 5 4" xfId="4656"/>
    <cellStyle name="千位分隔 3 5 5" xfId="5212"/>
    <cellStyle name="千位分隔 3 6" xfId="2167"/>
    <cellStyle name="千位分隔 3 6 2" xfId="225"/>
    <cellStyle name="千位分隔 3 6 2 2" xfId="4660"/>
    <cellStyle name="千位分隔 3 6 2 3" xfId="5102"/>
    <cellStyle name="千位分隔 3 6 3" xfId="2168"/>
    <cellStyle name="千位分隔 3 6 3 2" xfId="4661"/>
    <cellStyle name="千位分隔 3 6 3 3" xfId="5399"/>
    <cellStyle name="千位分隔 3 6 4" xfId="2169"/>
    <cellStyle name="千位分隔 3 6 4 2" xfId="4662"/>
    <cellStyle name="千位分隔 3 6 4 3" xfId="5400"/>
    <cellStyle name="千位分隔 3 6 5" xfId="4659"/>
    <cellStyle name="千位分隔 3 6 6" xfId="5398"/>
    <cellStyle name="千位分隔 3 7" xfId="2170"/>
    <cellStyle name="千位分隔 3 7 2" xfId="4663"/>
    <cellStyle name="千位分隔 3 7 3" xfId="5401"/>
    <cellStyle name="千位分隔 3 8" xfId="2171"/>
    <cellStyle name="千位分隔 3 8 2" xfId="4664"/>
    <cellStyle name="千位分隔 3 8 3" xfId="5402"/>
    <cellStyle name="千位分隔 3 9" xfId="2172"/>
    <cellStyle name="千位分隔 3 9 2" xfId="4665"/>
    <cellStyle name="千位分隔 3 9 3" xfId="5403"/>
    <cellStyle name="千位分隔 4" xfId="1423"/>
    <cellStyle name="千位分隔 4 10" xfId="4666"/>
    <cellStyle name="千位分隔 4 11" xfId="5213"/>
    <cellStyle name="千位分隔 4 2" xfId="1425"/>
    <cellStyle name="千位分隔 4 2 2" xfId="1428"/>
    <cellStyle name="千位分隔 4 2 2 2" xfId="1430"/>
    <cellStyle name="千位分隔 4 2 2 2 2" xfId="4669"/>
    <cellStyle name="千位分隔 4 2 2 2 3" xfId="5216"/>
    <cellStyle name="千位分隔 4 2 2 3" xfId="1768"/>
    <cellStyle name="千位分隔 4 2 2 3 2" xfId="4670"/>
    <cellStyle name="千位分隔 4 2 2 3 3" xfId="5238"/>
    <cellStyle name="千位分隔 4 2 2 4" xfId="1770"/>
    <cellStyle name="千位分隔 4 2 2 4 2" xfId="4671"/>
    <cellStyle name="千位分隔 4 2 2 4 3" xfId="5239"/>
    <cellStyle name="千位分隔 4 2 2 5" xfId="4668"/>
    <cellStyle name="千位分隔 4 2 2 6" xfId="5215"/>
    <cellStyle name="千位分隔 4 2 3" xfId="1433"/>
    <cellStyle name="千位分隔 4 2 3 2" xfId="1803"/>
    <cellStyle name="千位分隔 4 2 3 2 2" xfId="4673"/>
    <cellStyle name="千位分隔 4 2 3 2 3" xfId="5240"/>
    <cellStyle name="千位分隔 4 2 3 3" xfId="1805"/>
    <cellStyle name="千位分隔 4 2 3 3 2" xfId="4674"/>
    <cellStyle name="千位分隔 4 2 3 3 3" xfId="5241"/>
    <cellStyle name="千位分隔 4 2 3 4" xfId="4672"/>
    <cellStyle name="千位分隔 4 2 3 5" xfId="5217"/>
    <cellStyle name="千位分隔 4 2 4" xfId="2173"/>
    <cellStyle name="千位分隔 4 2 4 2" xfId="1752"/>
    <cellStyle name="千位分隔 4 2 4 2 2" xfId="4676"/>
    <cellStyle name="千位分隔 4 2 4 2 3" xfId="5236"/>
    <cellStyle name="千位分隔 4 2 4 3" xfId="1754"/>
    <cellStyle name="千位分隔 4 2 4 3 2" xfId="4677"/>
    <cellStyle name="千位分隔 4 2 4 3 3" xfId="5237"/>
    <cellStyle name="千位分隔 4 2 4 4" xfId="2174"/>
    <cellStyle name="千位分隔 4 2 4 4 2" xfId="4678"/>
    <cellStyle name="千位分隔 4 2 4 4 3" xfId="5405"/>
    <cellStyle name="千位分隔 4 2 4 5" xfId="4675"/>
    <cellStyle name="千位分隔 4 2 4 6" xfId="5404"/>
    <cellStyle name="千位分隔 4 2 5" xfId="2175"/>
    <cellStyle name="千位分隔 4 2 5 2" xfId="4679"/>
    <cellStyle name="千位分隔 4 2 5 3" xfId="5406"/>
    <cellStyle name="千位分隔 4 2 6" xfId="2176"/>
    <cellStyle name="千位分隔 4 2 6 2" xfId="4680"/>
    <cellStyle name="千位分隔 4 2 6 3" xfId="5407"/>
    <cellStyle name="千位分隔 4 2 7" xfId="2177"/>
    <cellStyle name="千位分隔 4 2 7 2" xfId="4681"/>
    <cellStyle name="千位分隔 4 2 7 3" xfId="5408"/>
    <cellStyle name="千位分隔 4 2 8" xfId="4667"/>
    <cellStyle name="千位分隔 4 2 9" xfId="5214"/>
    <cellStyle name="千位分隔 4 3" xfId="1435"/>
    <cellStyle name="千位分隔 4 3 2" xfId="1437"/>
    <cellStyle name="千位分隔 4 3 2 2" xfId="4683"/>
    <cellStyle name="千位分隔 4 3 2 3" xfId="5219"/>
    <cellStyle name="千位分隔 4 3 3" xfId="2178"/>
    <cellStyle name="千位分隔 4 3 3 2" xfId="4684"/>
    <cellStyle name="千位分隔 4 3 3 3" xfId="5409"/>
    <cellStyle name="千位分隔 4 3 4" xfId="2179"/>
    <cellStyle name="千位分隔 4 3 4 2" xfId="4685"/>
    <cellStyle name="千位分隔 4 3 4 3" xfId="5410"/>
    <cellStyle name="千位分隔 4 3 5" xfId="4682"/>
    <cellStyle name="千位分隔 4 3 6" xfId="5218"/>
    <cellStyle name="千位分隔 4 4" xfId="1439"/>
    <cellStyle name="千位分隔 4 4 2" xfId="2180"/>
    <cellStyle name="千位分隔 4 4 2 2" xfId="4687"/>
    <cellStyle name="千位分隔 4 4 2 3" xfId="5411"/>
    <cellStyle name="千位分隔 4 4 3" xfId="2181"/>
    <cellStyle name="千位分隔 4 4 3 2" xfId="4688"/>
    <cellStyle name="千位分隔 4 4 3 3" xfId="5412"/>
    <cellStyle name="千位分隔 4 4 4" xfId="1811"/>
    <cellStyle name="千位分隔 4 4 4 2" xfId="4689"/>
    <cellStyle name="千位分隔 4 4 4 3" xfId="5242"/>
    <cellStyle name="千位分隔 4 4 5" xfId="4686"/>
    <cellStyle name="千位分隔 4 4 6" xfId="5220"/>
    <cellStyle name="千位分隔 4 5" xfId="2182"/>
    <cellStyle name="千位分隔 4 5 2" xfId="2183"/>
    <cellStyle name="千位分隔 4 5 2 2" xfId="4691"/>
    <cellStyle name="千位分隔 4 5 2 3" xfId="5414"/>
    <cellStyle name="千位分隔 4 5 3" xfId="2184"/>
    <cellStyle name="千位分隔 4 5 3 2" xfId="4692"/>
    <cellStyle name="千位分隔 4 5 3 3" xfId="5415"/>
    <cellStyle name="千位分隔 4 5 4" xfId="4690"/>
    <cellStyle name="千位分隔 4 5 5" xfId="5413"/>
    <cellStyle name="千位分隔 4 6" xfId="76"/>
    <cellStyle name="千位分隔 4 6 2" xfId="376"/>
    <cellStyle name="千位分隔 4 6 2 2" xfId="4694"/>
    <cellStyle name="千位分隔 4 6 2 3" xfId="5105"/>
    <cellStyle name="千位分隔 4 6 3" xfId="2185"/>
    <cellStyle name="千位分隔 4 6 3 2" xfId="4695"/>
    <cellStyle name="千位分隔 4 6 3 3" xfId="5416"/>
    <cellStyle name="千位分隔 4 6 4" xfId="2186"/>
    <cellStyle name="千位分隔 4 6 4 2" xfId="4696"/>
    <cellStyle name="千位分隔 4 6 4 3" xfId="5417"/>
    <cellStyle name="千位分隔 4 6 5" xfId="4693"/>
    <cellStyle name="千位分隔 4 6 6" xfId="5096"/>
    <cellStyle name="千位分隔 4 7" xfId="2187"/>
    <cellStyle name="千位分隔 4 7 2" xfId="4697"/>
    <cellStyle name="千位分隔 4 7 3" xfId="5418"/>
    <cellStyle name="千位分隔 4 8" xfId="2188"/>
    <cellStyle name="千位分隔 4 8 2" xfId="4698"/>
    <cellStyle name="千位分隔 4 8 3" xfId="5419"/>
    <cellStyle name="千位分隔 4 9" xfId="2189"/>
    <cellStyle name="千位分隔 4 9 2" xfId="4699"/>
    <cellStyle name="千位分隔 4 9 3" xfId="5420"/>
    <cellStyle name="千位分隔 5" xfId="497"/>
    <cellStyle name="千位分隔 5 2" xfId="500"/>
    <cellStyle name="千位分隔 5 2 2" xfId="4701"/>
    <cellStyle name="千位分隔 5 2 3" xfId="5110"/>
    <cellStyle name="千位分隔 5 3" xfId="503"/>
    <cellStyle name="千位分隔 5 3 2" xfId="4702"/>
    <cellStyle name="千位分隔 5 3 3" xfId="5111"/>
    <cellStyle name="千位分隔 5 4" xfId="506"/>
    <cellStyle name="千位分隔 5 4 2" xfId="4703"/>
    <cellStyle name="千位分隔 5 4 3" xfId="5112"/>
    <cellStyle name="千位分隔 5 5" xfId="4700"/>
    <cellStyle name="千位分隔 5 6" xfId="5109"/>
    <cellStyle name="千位分隔 6" xfId="509"/>
    <cellStyle name="千位分隔 6 2" xfId="512"/>
    <cellStyle name="千位分隔 6 2 2" xfId="4705"/>
    <cellStyle name="千位分隔 6 2 3" xfId="5114"/>
    <cellStyle name="千位分隔 6 3" xfId="515"/>
    <cellStyle name="千位分隔 6 3 2" xfId="4706"/>
    <cellStyle name="千位分隔 6 3 3" xfId="5115"/>
    <cellStyle name="千位分隔 6 4" xfId="4704"/>
    <cellStyle name="千位分隔 6 5" xfId="5113"/>
    <cellStyle name="千位分隔 7" xfId="418"/>
    <cellStyle name="千位分隔 7 2" xfId="4707"/>
    <cellStyle name="千位分隔 7 3" xfId="5106"/>
    <cellStyle name="千位分隔 8" xfId="429"/>
    <cellStyle name="千位分隔 8 2" xfId="4708"/>
    <cellStyle name="千位分隔 8 3" xfId="5107"/>
    <cellStyle name="千位分隔 9" xfId="435"/>
    <cellStyle name="千位分隔 9 2" xfId="4709"/>
    <cellStyle name="千位分隔 9 3" xfId="5108"/>
    <cellStyle name="钎霖_laroux" xfId="2191"/>
    <cellStyle name="强调文字颜色 1" xfId="816"/>
    <cellStyle name="强调文字颜色 1 2" xfId="819"/>
    <cellStyle name="强调文字颜色 1 2 2" xfId="2192"/>
    <cellStyle name="强调文字颜色 1 2 2 2" xfId="2193"/>
    <cellStyle name="强调文字颜色 1 2 2 2 2" xfId="2194"/>
    <cellStyle name="强调文字颜色 1 2 2 2 2 2" xfId="4712"/>
    <cellStyle name="强调文字颜色 1 2 2 2 3" xfId="2732"/>
    <cellStyle name="强调文字颜色 1 2 2 3" xfId="2195"/>
    <cellStyle name="强调文字颜色 1 2 2 3 2" xfId="2733"/>
    <cellStyle name="强调文字颜色 1 2 2 4" xfId="2731"/>
    <cellStyle name="强调文字颜色 1 2 3" xfId="2196"/>
    <cellStyle name="强调文字颜色 1 2 3 2" xfId="1249"/>
    <cellStyle name="强调文字颜色 1 2 3 2 2" xfId="1251"/>
    <cellStyle name="强调文字颜色 1 2 3 2 2 2" xfId="4715"/>
    <cellStyle name="强调文字颜色 1 2 3 2 3" xfId="4714"/>
    <cellStyle name="强调文字颜色 1 2 3 3" xfId="1267"/>
    <cellStyle name="强调文字颜色 1 2 3 3 2" xfId="4716"/>
    <cellStyle name="强调文字颜色 1 2 3 4" xfId="2734"/>
    <cellStyle name="强调文字颜色 1 2 3 5" xfId="4713"/>
    <cellStyle name="强调文字颜色 1 2 4" xfId="2197"/>
    <cellStyle name="强调文字颜色 1 2 4 2" xfId="2199"/>
    <cellStyle name="强调文字颜色 1 2 4 2 2" xfId="4718"/>
    <cellStyle name="强调文字颜色 1 2 4 3" xfId="4717"/>
    <cellStyle name="强调文字颜色 1 2 5" xfId="2200"/>
    <cellStyle name="强调文字颜色 1 2 5 2" xfId="4719"/>
    <cellStyle name="强调文字颜色 1 2 6" xfId="2730"/>
    <cellStyle name="强调文字颜色 1 2 7" xfId="4711"/>
    <cellStyle name="强调文字颜色 1 3" xfId="1568"/>
    <cellStyle name="强调文字颜色 1 3 2" xfId="2201"/>
    <cellStyle name="强调文字颜色 1 3 2 2" xfId="2202"/>
    <cellStyle name="强调文字颜色 1 3 2 2 2" xfId="2203"/>
    <cellStyle name="强调文字颜色 1 3 2 2 2 2" xfId="4722"/>
    <cellStyle name="强调文字颜色 1 3 2 2 3" xfId="4721"/>
    <cellStyle name="强调文字颜色 1 3 2 3" xfId="1836"/>
    <cellStyle name="强调文字颜色 1 3 2 3 2" xfId="4723"/>
    <cellStyle name="强调文字颜色 1 3 2 4" xfId="4720"/>
    <cellStyle name="强调文字颜色 1 3 3" xfId="2204"/>
    <cellStyle name="强调文字颜色 1 3 3 2" xfId="2205"/>
    <cellStyle name="强调文字颜色 1 3 3 2 2" xfId="4725"/>
    <cellStyle name="强调文字颜色 1 3 3 3" xfId="4724"/>
    <cellStyle name="强调文字颜色 1 3 4" xfId="1400"/>
    <cellStyle name="强调文字颜色 1 3 4 2" xfId="4726"/>
    <cellStyle name="强调文字颜色 1 3 5" xfId="2735"/>
    <cellStyle name="强调文字颜色 1 4" xfId="1570"/>
    <cellStyle name="强调文字颜色 1 4 2" xfId="2206"/>
    <cellStyle name="强调文字颜色 1 4 2 2" xfId="2207"/>
    <cellStyle name="强调文字颜色 1 4 2 2 2" xfId="4729"/>
    <cellStyle name="强调文字颜色 1 4 2 3" xfId="4728"/>
    <cellStyle name="强调文字颜色 1 4 3" xfId="2208"/>
    <cellStyle name="强调文字颜色 1 4 3 2" xfId="4730"/>
    <cellStyle name="强调文字颜色 1 4 4" xfId="4727"/>
    <cellStyle name="强调文字颜色 1 5" xfId="1308"/>
    <cellStyle name="强调文字颜色 1 5 2" xfId="1311"/>
    <cellStyle name="强调文字颜色 1 5 2 2" xfId="1693"/>
    <cellStyle name="强调文字颜色 1 5 2 2 2" xfId="4733"/>
    <cellStyle name="强调文字颜色 1 5 2 3" xfId="4732"/>
    <cellStyle name="强调文字颜色 1 5 3" xfId="2210"/>
    <cellStyle name="强调文字颜色 1 5 3 2" xfId="4734"/>
    <cellStyle name="强调文字颜色 1 5 4" xfId="4731"/>
    <cellStyle name="强调文字颜色 1 6" xfId="1313"/>
    <cellStyle name="强调文字颜色 1 6 2" xfId="2211"/>
    <cellStyle name="强调文字颜色 1 6 2 2" xfId="4736"/>
    <cellStyle name="强调文字颜色 1 6 3" xfId="4735"/>
    <cellStyle name="强调文字颜色 1 7" xfId="2212"/>
    <cellStyle name="强调文字颜色 1 7 2" xfId="4737"/>
    <cellStyle name="强调文字颜色 1 8" xfId="2729"/>
    <cellStyle name="强调文字颜色 1 9" xfId="4710"/>
    <cellStyle name="强调文字颜色 2" xfId="822"/>
    <cellStyle name="强调文字颜色 2 2" xfId="1572"/>
    <cellStyle name="强调文字颜色 2 2 2" xfId="2213"/>
    <cellStyle name="强调文字颜色 2 2 2 2" xfId="556"/>
    <cellStyle name="强调文字颜色 2 2 2 2 2" xfId="210"/>
    <cellStyle name="强调文字颜色 2 2 2 2 2 2" xfId="4740"/>
    <cellStyle name="强调文字颜色 2 2 2 2 3" xfId="2739"/>
    <cellStyle name="强调文字颜色 2 2 2 3" xfId="490"/>
    <cellStyle name="强调文字颜色 2 2 2 3 2" xfId="2740"/>
    <cellStyle name="强调文字颜色 2 2 2 4" xfId="2738"/>
    <cellStyle name="强调文字颜色 2 2 3" xfId="2214"/>
    <cellStyle name="强调文字颜色 2 2 3 2" xfId="574"/>
    <cellStyle name="强调文字颜色 2 2 3 2 2" xfId="63"/>
    <cellStyle name="强调文字颜色 2 2 3 2 2 2" xfId="4743"/>
    <cellStyle name="强调文字颜色 2 2 3 2 3" xfId="4742"/>
    <cellStyle name="强调文字颜色 2 2 3 3" xfId="581"/>
    <cellStyle name="强调文字颜色 2 2 3 3 2" xfId="4744"/>
    <cellStyle name="强调文字颜色 2 2 3 4" xfId="2741"/>
    <cellStyle name="强调文字颜色 2 2 3 5" xfId="4741"/>
    <cellStyle name="强调文字颜色 2 2 4" xfId="2215"/>
    <cellStyle name="强调文字颜色 2 2 4 2" xfId="598"/>
    <cellStyle name="强调文字颜色 2 2 4 2 2" xfId="4746"/>
    <cellStyle name="强调文字颜色 2 2 4 3" xfId="4745"/>
    <cellStyle name="强调文字颜色 2 2 5" xfId="2198"/>
    <cellStyle name="强调文字颜色 2 2 5 2" xfId="4747"/>
    <cellStyle name="强调文字颜色 2 2 6" xfId="2737"/>
    <cellStyle name="强调文字颜色 2 2 7" xfId="4739"/>
    <cellStyle name="强调文字颜色 2 3" xfId="1574"/>
    <cellStyle name="强调文字颜色 2 3 2" xfId="2217"/>
    <cellStyle name="强调文字颜色 2 3 2 2" xfId="1685"/>
    <cellStyle name="强调文字颜色 2 3 2 2 2" xfId="2219"/>
    <cellStyle name="强调文字颜色 2 3 2 2 2 2" xfId="4750"/>
    <cellStyle name="强调文字颜色 2 3 2 2 3" xfId="4749"/>
    <cellStyle name="强调文字颜色 2 3 2 3" xfId="535"/>
    <cellStyle name="强调文字颜色 2 3 2 3 2" xfId="4751"/>
    <cellStyle name="强调文字颜色 2 3 2 4" xfId="4748"/>
    <cellStyle name="强调文字颜色 2 3 3" xfId="1852"/>
    <cellStyle name="强调文字颜色 2 3 3 2" xfId="1727"/>
    <cellStyle name="强调文字颜色 2 3 3 2 2" xfId="4753"/>
    <cellStyle name="强调文字颜色 2 3 3 3" xfId="4752"/>
    <cellStyle name="强调文字颜色 2 3 4" xfId="1427"/>
    <cellStyle name="强调文字颜色 2 3 4 2" xfId="4754"/>
    <cellStyle name="强调文字颜色 2 3 5" xfId="2742"/>
    <cellStyle name="强调文字颜色 2 4" xfId="2220"/>
    <cellStyle name="强调文字颜色 2 4 2" xfId="2221"/>
    <cellStyle name="强调文字颜色 2 4 2 2" xfId="2222"/>
    <cellStyle name="强调文字颜色 2 4 2 2 2" xfId="4757"/>
    <cellStyle name="强调文字颜色 2 4 2 3" xfId="4756"/>
    <cellStyle name="强调文字颜色 2 4 3" xfId="2223"/>
    <cellStyle name="强调文字颜色 2 4 3 2" xfId="4758"/>
    <cellStyle name="强调文字颜色 2 4 4" xfId="4755"/>
    <cellStyle name="强调文字颜色 2 5" xfId="1317"/>
    <cellStyle name="强调文字颜色 2 5 2" xfId="2224"/>
    <cellStyle name="强调文字颜色 2 5 2 2" xfId="2225"/>
    <cellStyle name="强调文字颜色 2 5 2 2 2" xfId="4761"/>
    <cellStyle name="强调文字颜色 2 5 2 3" xfId="4760"/>
    <cellStyle name="强调文字颜色 2 5 3" xfId="2226"/>
    <cellStyle name="强调文字颜色 2 5 3 2" xfId="4762"/>
    <cellStyle name="强调文字颜色 2 5 4" xfId="4759"/>
    <cellStyle name="强调文字颜色 2 6" xfId="2227"/>
    <cellStyle name="强调文字颜色 2 6 2" xfId="2228"/>
    <cellStyle name="强调文字颜色 2 6 2 2" xfId="4764"/>
    <cellStyle name="强调文字颜色 2 6 3" xfId="4763"/>
    <cellStyle name="强调文字颜色 2 7" xfId="2229"/>
    <cellStyle name="强调文字颜色 2 7 2" xfId="4765"/>
    <cellStyle name="强调文字颜色 2 8" xfId="2736"/>
    <cellStyle name="强调文字颜色 2 9" xfId="4738"/>
    <cellStyle name="强调文字颜色 3" xfId="1576"/>
    <cellStyle name="强调文字颜色 3 2" xfId="1579"/>
    <cellStyle name="强调文字颜色 3 2 2" xfId="2230"/>
    <cellStyle name="强调文字颜色 3 2 2 2" xfId="172"/>
    <cellStyle name="强调文字颜色 3 2 2 2 2" xfId="174"/>
    <cellStyle name="强调文字颜色 3 2 2 2 2 2" xfId="4768"/>
    <cellStyle name="强调文字颜色 3 2 2 2 3" xfId="2746"/>
    <cellStyle name="强调文字颜色 3 2 2 3" xfId="176"/>
    <cellStyle name="强调文字颜色 3 2 2 3 2" xfId="2747"/>
    <cellStyle name="强调文字颜色 3 2 2 4" xfId="2745"/>
    <cellStyle name="强调文字颜色 3 2 3" xfId="2231"/>
    <cellStyle name="强调文字颜色 3 2 3 2" xfId="186"/>
    <cellStyle name="强调文字颜色 3 2 3 2 2" xfId="2232"/>
    <cellStyle name="强调文字颜色 3 2 3 2 2 2" xfId="4771"/>
    <cellStyle name="强调文字颜色 3 2 3 2 3" xfId="4770"/>
    <cellStyle name="强调文字颜色 3 2 3 3" xfId="1293"/>
    <cellStyle name="强调文字颜色 3 2 3 3 2" xfId="4772"/>
    <cellStyle name="强调文字颜色 3 2 3 4" xfId="2748"/>
    <cellStyle name="强调文字颜色 3 2 3 5" xfId="4769"/>
    <cellStyle name="强调文字颜色 3 2 4" xfId="2233"/>
    <cellStyle name="强调文字颜色 3 2 4 2" xfId="191"/>
    <cellStyle name="强调文字颜色 3 2 4 2 2" xfId="4774"/>
    <cellStyle name="强调文字颜色 3 2 4 3" xfId="4773"/>
    <cellStyle name="强调文字颜色 3 2 5" xfId="1403"/>
    <cellStyle name="强调文字颜色 3 2 5 2" xfId="4775"/>
    <cellStyle name="强调文字颜色 3 2 6" xfId="2744"/>
    <cellStyle name="强调文字颜色 3 2 7" xfId="4767"/>
    <cellStyle name="强调文字颜色 3 3" xfId="1581"/>
    <cellStyle name="强调文字颜色 3 3 2" xfId="2234"/>
    <cellStyle name="强调文字颜色 3 3 2 2" xfId="246"/>
    <cellStyle name="强调文字颜色 3 3 2 2 2" xfId="249"/>
    <cellStyle name="强调文字颜色 3 3 2 2 2 2" xfId="4778"/>
    <cellStyle name="强调文字颜色 3 3 2 2 3" xfId="4777"/>
    <cellStyle name="强调文字颜色 3 3 2 3" xfId="262"/>
    <cellStyle name="强调文字颜色 3 3 2 3 2" xfId="4779"/>
    <cellStyle name="强调文字颜色 3 3 2 4" xfId="4776"/>
    <cellStyle name="强调文字颜色 3 3 3" xfId="855"/>
    <cellStyle name="强调文字颜色 3 3 3 2" xfId="276"/>
    <cellStyle name="强调文字颜色 3 3 3 2 2" xfId="4781"/>
    <cellStyle name="强调文字颜色 3 3 3 3" xfId="4780"/>
    <cellStyle name="强调文字颜色 3 3 4" xfId="857"/>
    <cellStyle name="强调文字颜色 3 3 4 2" xfId="4782"/>
    <cellStyle name="强调文字颜色 3 3 5" xfId="2749"/>
    <cellStyle name="强调文字颜色 3 4" xfId="1583"/>
    <cellStyle name="强调文字颜色 3 4 2" xfId="1700"/>
    <cellStyle name="强调文字颜色 3 4 2 2" xfId="2235"/>
    <cellStyle name="强调文字颜色 3 4 2 2 2" xfId="4785"/>
    <cellStyle name="强调文字颜色 3 4 2 3" xfId="4784"/>
    <cellStyle name="强调文字颜色 3 4 3" xfId="861"/>
    <cellStyle name="强调文字颜色 3 4 3 2" xfId="4786"/>
    <cellStyle name="强调文字颜色 3 4 4" xfId="4783"/>
    <cellStyle name="强调文字颜色 3 5" xfId="2236"/>
    <cellStyle name="强调文字颜色 3 5 2" xfId="1705"/>
    <cellStyle name="强调文字颜色 3 5 2 2" xfId="2237"/>
    <cellStyle name="强调文字颜色 3 5 2 2 2" xfId="4789"/>
    <cellStyle name="强调文字颜色 3 5 2 3" xfId="4788"/>
    <cellStyle name="强调文字颜色 3 5 3" xfId="2238"/>
    <cellStyle name="强调文字颜色 3 5 3 2" xfId="4790"/>
    <cellStyle name="强调文字颜色 3 5 4" xfId="4787"/>
    <cellStyle name="强调文字颜色 3 6" xfId="2239"/>
    <cellStyle name="强调文字颜色 3 6 2" xfId="1709"/>
    <cellStyle name="强调文字颜色 3 6 2 2" xfId="4792"/>
    <cellStyle name="强调文字颜色 3 6 3" xfId="4791"/>
    <cellStyle name="强调文字颜色 3 7" xfId="2240"/>
    <cellStyle name="强调文字颜色 3 7 2" xfId="4793"/>
    <cellStyle name="强调文字颜色 3 8" xfId="2743"/>
    <cellStyle name="强调文字颜色 3 9" xfId="4766"/>
    <cellStyle name="强调文字颜色 4" xfId="1585"/>
    <cellStyle name="强调文字颜色 4 2" xfId="2241"/>
    <cellStyle name="强调文字颜色 4 2 2" xfId="2242"/>
    <cellStyle name="强调文字颜色 4 2 2 2" xfId="437"/>
    <cellStyle name="强调文字颜色 4 2 2 2 2" xfId="179"/>
    <cellStyle name="强调文字颜色 4 2 2 2 2 2" xfId="4796"/>
    <cellStyle name="强调文字颜色 4 2 2 2 3" xfId="2753"/>
    <cellStyle name="强调文字颜色 4 2 2 3" xfId="446"/>
    <cellStyle name="强调文字颜色 4 2 2 3 2" xfId="2754"/>
    <cellStyle name="强调文字颜色 4 2 2 4" xfId="2752"/>
    <cellStyle name="强调文字颜色 4 2 3" xfId="2243"/>
    <cellStyle name="强调文字颜色 4 2 3 2" xfId="459"/>
    <cellStyle name="强调文字颜色 4 2 3 2 2" xfId="267"/>
    <cellStyle name="强调文字颜色 4 2 3 2 2 2" xfId="4799"/>
    <cellStyle name="强调文字颜色 4 2 3 2 3" xfId="4798"/>
    <cellStyle name="强调文字颜色 4 2 3 3" xfId="544"/>
    <cellStyle name="强调文字颜色 4 2 3 3 2" xfId="4800"/>
    <cellStyle name="强调文字颜色 4 2 3 4" xfId="2755"/>
    <cellStyle name="强调文字颜色 4 2 3 5" xfId="4797"/>
    <cellStyle name="强调文字颜色 4 2 4" xfId="2244"/>
    <cellStyle name="强调文字颜色 4 2 4 2" xfId="390"/>
    <cellStyle name="强调文字颜色 4 2 4 2 2" xfId="4802"/>
    <cellStyle name="强调文字颜色 4 2 4 3" xfId="4801"/>
    <cellStyle name="强调文字颜色 4 2 5" xfId="1412"/>
    <cellStyle name="强调文字颜色 4 2 5 2" xfId="4803"/>
    <cellStyle name="强调文字颜色 4 2 6" xfId="2751"/>
    <cellStyle name="强调文字颜色 4 2 7" xfId="4795"/>
    <cellStyle name="强调文字颜色 4 3" xfId="2245"/>
    <cellStyle name="强调文字颜色 4 3 2" xfId="2246"/>
    <cellStyle name="强调文字颜色 4 3 2 2" xfId="471"/>
    <cellStyle name="强调文字颜色 4 3 2 2 2" xfId="451"/>
    <cellStyle name="强调文字颜色 4 3 2 2 2 2" xfId="4806"/>
    <cellStyle name="强调文字颜色 4 3 2 2 3" xfId="4805"/>
    <cellStyle name="强调文字颜色 4 3 2 3" xfId="479"/>
    <cellStyle name="强调文字颜色 4 3 2 3 2" xfId="4807"/>
    <cellStyle name="强调文字颜色 4 3 2 4" xfId="4804"/>
    <cellStyle name="强调文字颜色 4 3 3" xfId="868"/>
    <cellStyle name="强调文字颜色 4 3 3 2" xfId="34"/>
    <cellStyle name="强调文字颜色 4 3 3 2 2" xfId="4809"/>
    <cellStyle name="强调文字颜色 4 3 3 3" xfId="4808"/>
    <cellStyle name="强调文字颜色 4 3 4" xfId="870"/>
    <cellStyle name="强调文字颜色 4 3 4 2" xfId="4810"/>
    <cellStyle name="强调文字颜色 4 3 5" xfId="2756"/>
    <cellStyle name="强调文字颜色 4 4" xfId="2247"/>
    <cellStyle name="强调文字颜色 4 4 2" xfId="2248"/>
    <cellStyle name="强调文字颜色 4 4 2 2" xfId="2026"/>
    <cellStyle name="强调文字颜色 4 4 2 2 2" xfId="4813"/>
    <cellStyle name="强调文字颜色 4 4 2 3" xfId="4812"/>
    <cellStyle name="强调文字颜色 4 4 3" xfId="874"/>
    <cellStyle name="强调文字颜色 4 4 3 2" xfId="4814"/>
    <cellStyle name="强调文字颜色 4 4 4" xfId="4811"/>
    <cellStyle name="强调文字颜色 4 5" xfId="2249"/>
    <cellStyle name="强调文字颜色 4 5 2" xfId="2250"/>
    <cellStyle name="强调文字颜色 4 5 2 2" xfId="2251"/>
    <cellStyle name="强调文字颜色 4 5 2 2 2" xfId="4817"/>
    <cellStyle name="强调文字颜色 4 5 2 3" xfId="4816"/>
    <cellStyle name="强调文字颜色 4 5 3" xfId="2252"/>
    <cellStyle name="强调文字颜色 4 5 3 2" xfId="4818"/>
    <cellStyle name="强调文字颜色 4 5 4" xfId="4815"/>
    <cellStyle name="强调文字颜色 4 6" xfId="2253"/>
    <cellStyle name="强调文字颜色 4 6 2" xfId="2254"/>
    <cellStyle name="强调文字颜色 4 6 2 2" xfId="4820"/>
    <cellStyle name="强调文字颜色 4 6 3" xfId="4819"/>
    <cellStyle name="强调文字颜色 4 7" xfId="2255"/>
    <cellStyle name="强调文字颜色 4 7 2" xfId="4821"/>
    <cellStyle name="强调文字颜色 4 8" xfId="2750"/>
    <cellStyle name="强调文字颜色 4 9" xfId="4794"/>
    <cellStyle name="强调文字颜色 5" xfId="1176"/>
    <cellStyle name="强调文字颜色 5 2" xfId="1180"/>
    <cellStyle name="强调文字颜色 5 2 2" xfId="1203"/>
    <cellStyle name="强调文字颜色 5 2 2 2" xfId="2256"/>
    <cellStyle name="强调文字颜色 5 2 2 2 2" xfId="2257"/>
    <cellStyle name="强调文字颜色 5 2 2 2 2 2" xfId="4824"/>
    <cellStyle name="强调文字颜色 5 2 2 2 3" xfId="2760"/>
    <cellStyle name="强调文字颜色 5 2 2 3" xfId="2258"/>
    <cellStyle name="强调文字颜色 5 2 2 3 2" xfId="2761"/>
    <cellStyle name="强调文字颜色 5 2 2 4" xfId="2759"/>
    <cellStyle name="强调文字颜色 5 2 3" xfId="1205"/>
    <cellStyle name="强调文字颜色 5 2 3 2" xfId="2259"/>
    <cellStyle name="强调文字颜色 5 2 3 2 2" xfId="2260"/>
    <cellStyle name="强调文字颜色 5 2 3 2 2 2" xfId="4827"/>
    <cellStyle name="强调文字颜色 5 2 3 2 3" xfId="4826"/>
    <cellStyle name="强调文字颜色 5 2 3 3" xfId="2261"/>
    <cellStyle name="强调文字颜色 5 2 3 3 2" xfId="4828"/>
    <cellStyle name="强调文字颜色 5 2 3 4" xfId="2762"/>
    <cellStyle name="强调文字颜色 5 2 3 5" xfId="4825"/>
    <cellStyle name="强调文字颜色 5 2 4" xfId="2262"/>
    <cellStyle name="强调文字颜色 5 2 4 2" xfId="2263"/>
    <cellStyle name="强调文字颜色 5 2 4 2 2" xfId="4830"/>
    <cellStyle name="强调文字颜色 5 2 4 3" xfId="4829"/>
    <cellStyle name="强调文字颜色 5 2 5" xfId="2265"/>
    <cellStyle name="强调文字颜色 5 2 5 2" xfId="4831"/>
    <cellStyle name="强调文字颜色 5 2 6" xfId="2758"/>
    <cellStyle name="强调文字颜色 5 2 7" xfId="4823"/>
    <cellStyle name="强调文字颜色 5 3" xfId="2266"/>
    <cellStyle name="强调文字颜色 5 3 2" xfId="2267"/>
    <cellStyle name="强调文字颜色 5 3 2 2" xfId="2268"/>
    <cellStyle name="强调文字颜色 5 3 2 2 2" xfId="2269"/>
    <cellStyle name="强调文字颜色 5 3 2 2 2 2" xfId="4834"/>
    <cellStyle name="强调文字颜色 5 3 2 2 3" xfId="4833"/>
    <cellStyle name="强调文字颜色 5 3 2 3" xfId="2270"/>
    <cellStyle name="强调文字颜色 5 3 2 3 2" xfId="4835"/>
    <cellStyle name="强调文字颜色 5 3 2 4" xfId="4832"/>
    <cellStyle name="强调文字颜色 5 3 3" xfId="879"/>
    <cellStyle name="强调文字颜色 5 3 3 2" xfId="2271"/>
    <cellStyle name="强调文字颜色 5 3 3 2 2" xfId="4837"/>
    <cellStyle name="强调文字颜色 5 3 3 3" xfId="4836"/>
    <cellStyle name="强调文字颜色 5 3 4" xfId="2272"/>
    <cellStyle name="强调文字颜色 5 3 4 2" xfId="4838"/>
    <cellStyle name="强调文字颜色 5 3 5" xfId="2763"/>
    <cellStyle name="强调文字颜色 5 4" xfId="2273"/>
    <cellStyle name="强调文字颜色 5 4 2" xfId="1917"/>
    <cellStyle name="强调文字颜色 5 4 2 2" xfId="2274"/>
    <cellStyle name="强调文字颜色 5 4 2 2 2" xfId="4841"/>
    <cellStyle name="强调文字颜色 5 4 2 3" xfId="4840"/>
    <cellStyle name="强调文字颜色 5 4 3" xfId="1919"/>
    <cellStyle name="强调文字颜色 5 4 3 2" xfId="4842"/>
    <cellStyle name="强调文字颜色 5 4 4" xfId="4839"/>
    <cellStyle name="强调文字颜色 5 5" xfId="2275"/>
    <cellStyle name="强调文字颜色 5 5 2" xfId="2276"/>
    <cellStyle name="强调文字颜色 5 5 2 2" xfId="2278"/>
    <cellStyle name="强调文字颜色 5 5 2 2 2" xfId="4845"/>
    <cellStyle name="强调文字颜色 5 5 2 3" xfId="4844"/>
    <cellStyle name="强调文字颜色 5 5 3" xfId="2279"/>
    <cellStyle name="强调文字颜色 5 5 3 2" xfId="4846"/>
    <cellStyle name="强调文字颜色 5 5 4" xfId="4843"/>
    <cellStyle name="强调文字颜色 5 6" xfId="2280"/>
    <cellStyle name="强调文字颜色 5 6 2" xfId="2281"/>
    <cellStyle name="强调文字颜色 5 6 2 2" xfId="4848"/>
    <cellStyle name="强调文字颜色 5 6 3" xfId="4847"/>
    <cellStyle name="强调文字颜色 5 7" xfId="2282"/>
    <cellStyle name="强调文字颜色 5 7 2" xfId="4849"/>
    <cellStyle name="强调文字颜色 5 8" xfId="2757"/>
    <cellStyle name="强调文字颜色 5 9" xfId="4822"/>
    <cellStyle name="强调文字颜色 6" xfId="1182"/>
    <cellStyle name="强调文字颜色 6 2" xfId="2283"/>
    <cellStyle name="强调文字颜色 6 2 2" xfId="2284"/>
    <cellStyle name="强调文字颜色 6 2 2 2" xfId="2285"/>
    <cellStyle name="强调文字颜色 6 2 2 2 2" xfId="2286"/>
    <cellStyle name="强调文字颜色 6 2 2 2 2 2" xfId="4852"/>
    <cellStyle name="强调文字颜色 6 2 2 2 3" xfId="2767"/>
    <cellStyle name="强调文字颜色 6 2 2 3" xfId="2287"/>
    <cellStyle name="强调文字颜色 6 2 2 3 2" xfId="2768"/>
    <cellStyle name="强调文字颜色 6 2 2 4" xfId="2766"/>
    <cellStyle name="强调文字颜色 6 2 3" xfId="2288"/>
    <cellStyle name="强调文字颜色 6 2 3 2" xfId="2289"/>
    <cellStyle name="强调文字颜色 6 2 3 2 2" xfId="2290"/>
    <cellStyle name="强调文字颜色 6 2 3 2 2 2" xfId="4855"/>
    <cellStyle name="强调文字颜色 6 2 3 2 3" xfId="4854"/>
    <cellStyle name="强调文字颜色 6 2 3 3" xfId="2291"/>
    <cellStyle name="强调文字颜色 6 2 3 3 2" xfId="4856"/>
    <cellStyle name="强调文字颜色 6 2 3 4" xfId="2769"/>
    <cellStyle name="强调文字颜色 6 2 3 5" xfId="4853"/>
    <cellStyle name="强调文字颜色 6 2 4" xfId="2292"/>
    <cellStyle name="强调文字颜色 6 2 4 2" xfId="2293"/>
    <cellStyle name="强调文字颜色 6 2 4 2 2" xfId="4858"/>
    <cellStyle name="强调文字颜色 6 2 4 3" xfId="4857"/>
    <cellStyle name="强调文字颜色 6 2 5" xfId="2294"/>
    <cellStyle name="强调文字颜色 6 2 5 2" xfId="4859"/>
    <cellStyle name="强调文字颜色 6 2 6" xfId="2765"/>
    <cellStyle name="强调文字颜色 6 2 7" xfId="4851"/>
    <cellStyle name="强调文字颜色 6 3" xfId="2295"/>
    <cellStyle name="强调文字颜色 6 3 2" xfId="2296"/>
    <cellStyle name="强调文字颜色 6 3 2 2" xfId="2297"/>
    <cellStyle name="强调文字颜色 6 3 2 2 2" xfId="2298"/>
    <cellStyle name="强调文字颜色 6 3 2 2 2 2" xfId="4862"/>
    <cellStyle name="强调文字颜色 6 3 2 2 3" xfId="4861"/>
    <cellStyle name="强调文字颜色 6 3 2 3" xfId="2299"/>
    <cellStyle name="强调文字颜色 6 3 2 3 2" xfId="4863"/>
    <cellStyle name="强调文字颜色 6 3 2 4" xfId="4860"/>
    <cellStyle name="强调文字颜色 6 3 3" xfId="884"/>
    <cellStyle name="强调文字颜色 6 3 3 2" xfId="2300"/>
    <cellStyle name="强调文字颜色 6 3 3 2 2" xfId="4865"/>
    <cellStyle name="强调文字颜色 6 3 3 3" xfId="4864"/>
    <cellStyle name="强调文字颜色 6 3 4" xfId="2301"/>
    <cellStyle name="强调文字颜色 6 3 4 2" xfId="4866"/>
    <cellStyle name="强调文字颜色 6 3 5" xfId="2770"/>
    <cellStyle name="强调文字颜色 6 4" xfId="2302"/>
    <cellStyle name="强调文字颜色 6 4 2" xfId="2303"/>
    <cellStyle name="强调文字颜色 6 4 2 2" xfId="2304"/>
    <cellStyle name="强调文字颜色 6 4 2 2 2" xfId="4869"/>
    <cellStyle name="强调文字颜色 6 4 2 3" xfId="4868"/>
    <cellStyle name="强调文字颜色 6 4 3" xfId="2305"/>
    <cellStyle name="强调文字颜色 6 4 3 2" xfId="4870"/>
    <cellStyle name="强调文字颜色 6 4 4" xfId="4867"/>
    <cellStyle name="强调文字颜色 6 5" xfId="2306"/>
    <cellStyle name="强调文字颜色 6 5 2" xfId="2307"/>
    <cellStyle name="强调文字颜色 6 5 2 2" xfId="1488"/>
    <cellStyle name="强调文字颜色 6 5 2 2 2" xfId="4873"/>
    <cellStyle name="强调文字颜色 6 5 2 3" xfId="4872"/>
    <cellStyle name="强调文字颜色 6 5 3" xfId="2308"/>
    <cellStyle name="强调文字颜色 6 5 3 2" xfId="4874"/>
    <cellStyle name="强调文字颜色 6 5 4" xfId="4871"/>
    <cellStyle name="强调文字颜色 6 6" xfId="2309"/>
    <cellStyle name="强调文字颜色 6 6 2" xfId="2310"/>
    <cellStyle name="强调文字颜色 6 6 2 2" xfId="4876"/>
    <cellStyle name="强调文字颜色 6 6 3" xfId="4875"/>
    <cellStyle name="强调文字颜色 6 7" xfId="2311"/>
    <cellStyle name="强调文字颜色 6 7 2" xfId="4877"/>
    <cellStyle name="强调文字颜色 6 8" xfId="2764"/>
    <cellStyle name="强调文字颜色 6 9" xfId="4850"/>
    <cellStyle name="适中" xfId="2312"/>
    <cellStyle name="适中 2" xfId="1114"/>
    <cellStyle name="适中 2 2" xfId="2313"/>
    <cellStyle name="适中 2 2 2" xfId="1545"/>
    <cellStyle name="适中 2 2 2 2" xfId="2314"/>
    <cellStyle name="适中 2 2 2 2 2" xfId="4878"/>
    <cellStyle name="适中 2 2 2 3" xfId="2774"/>
    <cellStyle name="适中 2 2 3" xfId="2315"/>
    <cellStyle name="适中 2 2 3 2" xfId="2775"/>
    <cellStyle name="适中 2 2 4" xfId="2773"/>
    <cellStyle name="适中 2 3" xfId="2316"/>
    <cellStyle name="适中 2 3 2" xfId="2317"/>
    <cellStyle name="适中 2 3 2 2" xfId="4879"/>
    <cellStyle name="适中 2 3 3" xfId="2776"/>
    <cellStyle name="适中 2 4" xfId="674"/>
    <cellStyle name="适中 2 4 2" xfId="4880"/>
    <cellStyle name="适中 2 5" xfId="2772"/>
    <cellStyle name="适中 3" xfId="2318"/>
    <cellStyle name="适中 3 2" xfId="2319"/>
    <cellStyle name="适中 3 2 2" xfId="2320"/>
    <cellStyle name="适中 3 2 2 2" xfId="2321"/>
    <cellStyle name="适中 3 2 2 2 2" xfId="4883"/>
    <cellStyle name="适中 3 2 2 3" xfId="4882"/>
    <cellStyle name="适中 3 2 3" xfId="2322"/>
    <cellStyle name="适中 3 2 3 2" xfId="4884"/>
    <cellStyle name="适中 3 2 4" xfId="4881"/>
    <cellStyle name="适中 3 3" xfId="2323"/>
    <cellStyle name="适中 3 3 2" xfId="2324"/>
    <cellStyle name="适中 3 3 2 2" xfId="4886"/>
    <cellStyle name="适中 3 3 3" xfId="4885"/>
    <cellStyle name="适中 3 4" xfId="678"/>
    <cellStyle name="适中 3 4 2" xfId="4887"/>
    <cellStyle name="适中 3 5" xfId="2777"/>
    <cellStyle name="适中 4" xfId="2325"/>
    <cellStyle name="适中 4 2" xfId="2326"/>
    <cellStyle name="适中 4 2 2" xfId="2327"/>
    <cellStyle name="适中 4 2 2 2" xfId="4890"/>
    <cellStyle name="适中 4 2 3" xfId="4889"/>
    <cellStyle name="适中 4 3" xfId="2328"/>
    <cellStyle name="适中 4 3 2" xfId="4891"/>
    <cellStyle name="适中 4 4" xfId="4888"/>
    <cellStyle name="适中 5" xfId="2329"/>
    <cellStyle name="适中 5 2" xfId="2330"/>
    <cellStyle name="适中 5 2 2" xfId="2331"/>
    <cellStyle name="适中 5 2 2 2" xfId="4894"/>
    <cellStyle name="适中 5 2 3" xfId="4893"/>
    <cellStyle name="适中 5 3" xfId="2332"/>
    <cellStyle name="适中 5 3 2" xfId="4895"/>
    <cellStyle name="适中 5 4" xfId="4892"/>
    <cellStyle name="适中 6" xfId="2333"/>
    <cellStyle name="适中 6 2" xfId="2334"/>
    <cellStyle name="适中 6 2 2" xfId="4897"/>
    <cellStyle name="适中 6 3" xfId="4896"/>
    <cellStyle name="适中 7" xfId="2335"/>
    <cellStyle name="适中 7 2" xfId="4898"/>
    <cellStyle name="适中 8" xfId="2771"/>
    <cellStyle name="输出" xfId="85"/>
    <cellStyle name="输出 2" xfId="563"/>
    <cellStyle name="输出 2 2" xfId="2336"/>
    <cellStyle name="输出 2 2 2" xfId="1650"/>
    <cellStyle name="输出 2 2 2 2" xfId="1652"/>
    <cellStyle name="输出 2 2 2 2 2" xfId="4901"/>
    <cellStyle name="输出 2 2 2 3" xfId="2781"/>
    <cellStyle name="输出 2 2 3" xfId="1655"/>
    <cellStyle name="输出 2 2 3 2" xfId="2782"/>
    <cellStyle name="输出 2 2 4" xfId="2780"/>
    <cellStyle name="输出 2 3" xfId="2337"/>
    <cellStyle name="输出 2 3 2" xfId="1661"/>
    <cellStyle name="输出 2 3 2 2" xfId="2338"/>
    <cellStyle name="输出 2 3 2 2 2" xfId="4904"/>
    <cellStyle name="输出 2 3 2 3" xfId="4903"/>
    <cellStyle name="输出 2 3 3" xfId="1663"/>
    <cellStyle name="输出 2 3 3 2" xfId="4905"/>
    <cellStyle name="输出 2 3 4" xfId="2783"/>
    <cellStyle name="输出 2 3 5" xfId="4902"/>
    <cellStyle name="输出 2 4" xfId="2339"/>
    <cellStyle name="输出 2 4 2" xfId="1667"/>
    <cellStyle name="输出 2 4 2 2" xfId="4907"/>
    <cellStyle name="输出 2 4 3" xfId="4906"/>
    <cellStyle name="输出 2 5" xfId="1864"/>
    <cellStyle name="输出 2 5 2" xfId="4908"/>
    <cellStyle name="输出 2 6" xfId="2779"/>
    <cellStyle name="输出 2 7" xfId="4900"/>
    <cellStyle name="输出 3" xfId="2340"/>
    <cellStyle name="输出 3 2" xfId="2341"/>
    <cellStyle name="输出 3 2 2" xfId="2083"/>
    <cellStyle name="输出 3 2 2 2" xfId="2342"/>
    <cellStyle name="输出 3 2 2 2 2" xfId="4911"/>
    <cellStyle name="输出 3 2 2 3" xfId="4910"/>
    <cellStyle name="输出 3 2 3" xfId="2343"/>
    <cellStyle name="输出 3 2 3 2" xfId="4912"/>
    <cellStyle name="输出 3 2 4" xfId="4909"/>
    <cellStyle name="输出 3 3" xfId="2344"/>
    <cellStyle name="输出 3 3 2" xfId="2345"/>
    <cellStyle name="输出 3 3 2 2" xfId="4914"/>
    <cellStyle name="输出 3 3 3" xfId="4913"/>
    <cellStyle name="输出 3 4" xfId="2346"/>
    <cellStyle name="输出 3 4 2" xfId="4915"/>
    <cellStyle name="输出 3 5" xfId="2784"/>
    <cellStyle name="输出 4" xfId="1310"/>
    <cellStyle name="输出 4 2" xfId="1692"/>
    <cellStyle name="输出 4 2 2" xfId="1696"/>
    <cellStyle name="输出 4 2 2 2" xfId="4918"/>
    <cellStyle name="输出 4 2 3" xfId="4917"/>
    <cellStyle name="输出 4 3" xfId="1730"/>
    <cellStyle name="输出 4 3 2" xfId="4919"/>
    <cellStyle name="输出 4 4" xfId="4916"/>
    <cellStyle name="输出 5" xfId="2209"/>
    <cellStyle name="输出 5 2" xfId="2347"/>
    <cellStyle name="输出 5 2 2" xfId="2348"/>
    <cellStyle name="输出 5 2 2 2" xfId="4922"/>
    <cellStyle name="输出 5 2 3" xfId="4921"/>
    <cellStyle name="输出 5 3" xfId="2349"/>
    <cellStyle name="输出 5 3 2" xfId="4923"/>
    <cellStyle name="输出 5 4" xfId="4920"/>
    <cellStyle name="输出 6" xfId="1418"/>
    <cellStyle name="输出 6 2" xfId="2264"/>
    <cellStyle name="输出 6 2 2" xfId="4925"/>
    <cellStyle name="输出 6 3" xfId="4924"/>
    <cellStyle name="输出 7" xfId="2162"/>
    <cellStyle name="输出 7 2" xfId="4926"/>
    <cellStyle name="输出 8" xfId="2778"/>
    <cellStyle name="输出 9" xfId="4899"/>
    <cellStyle name="输入" xfId="2216"/>
    <cellStyle name="输入 2" xfId="1684"/>
    <cellStyle name="输入 2 2" xfId="2218"/>
    <cellStyle name="输入 2 2 2" xfId="2350"/>
    <cellStyle name="输入 2 2 2 2" xfId="2351"/>
    <cellStyle name="输入 2 2 2 2 2" xfId="4927"/>
    <cellStyle name="输入 2 2 2 3" xfId="2788"/>
    <cellStyle name="输入 2 2 3" xfId="2352"/>
    <cellStyle name="输入 2 2 3 2" xfId="2789"/>
    <cellStyle name="输入 2 2 4" xfId="2787"/>
    <cellStyle name="输入 2 3" xfId="2353"/>
    <cellStyle name="输入 2 3 2" xfId="2354"/>
    <cellStyle name="输入 2 3 2 2" xfId="4928"/>
    <cellStyle name="输入 2 3 3" xfId="2790"/>
    <cellStyle name="输入 2 4" xfId="2355"/>
    <cellStyle name="输入 2 4 2" xfId="4929"/>
    <cellStyle name="输入 2 5" xfId="2786"/>
    <cellStyle name="输入 3" xfId="534"/>
    <cellStyle name="输入 3 2" xfId="2356"/>
    <cellStyle name="输入 3 2 2" xfId="2357"/>
    <cellStyle name="输入 3 2 2 2" xfId="2358"/>
    <cellStyle name="输入 3 2 2 2 2" xfId="4932"/>
    <cellStyle name="输入 3 2 2 3" xfId="4931"/>
    <cellStyle name="输入 3 2 3" xfId="2359"/>
    <cellStyle name="输入 3 2 3 2" xfId="4933"/>
    <cellStyle name="输入 3 2 4" xfId="4930"/>
    <cellStyle name="输入 3 3" xfId="2190"/>
    <cellStyle name="输入 3 3 2" xfId="2360"/>
    <cellStyle name="输入 3 3 2 2" xfId="4935"/>
    <cellStyle name="输入 3 3 3" xfId="4934"/>
    <cellStyle name="输入 3 4" xfId="2277"/>
    <cellStyle name="输入 3 4 2" xfId="4936"/>
    <cellStyle name="输入 3 5" xfId="2791"/>
    <cellStyle name="输入 4" xfId="537"/>
    <cellStyle name="输入 4 2" xfId="2361"/>
    <cellStyle name="输入 4 2 2" xfId="971"/>
    <cellStyle name="输入 4 2 2 2" xfId="4939"/>
    <cellStyle name="输入 4 2 3" xfId="4938"/>
    <cellStyle name="输入 4 3" xfId="2362"/>
    <cellStyle name="输入 4 3 2" xfId="4940"/>
    <cellStyle name="输入 4 4" xfId="4937"/>
    <cellStyle name="输入 5" xfId="402"/>
    <cellStyle name="输入 5 2" xfId="2363"/>
    <cellStyle name="输入 5 2 2" xfId="1014"/>
    <cellStyle name="输入 5 2 2 2" xfId="4943"/>
    <cellStyle name="输入 5 2 3" xfId="4942"/>
    <cellStyle name="输入 5 3" xfId="2364"/>
    <cellStyle name="输入 5 3 2" xfId="4944"/>
    <cellStyle name="输入 5 4" xfId="4941"/>
    <cellStyle name="输入 6" xfId="407"/>
    <cellStyle name="输入 6 2" xfId="1006"/>
    <cellStyle name="输入 6 2 2" xfId="4946"/>
    <cellStyle name="输入 6 3" xfId="4945"/>
    <cellStyle name="输入 7" xfId="411"/>
    <cellStyle name="输入 7 2" xfId="4947"/>
    <cellStyle name="输入 8" xfId="2785"/>
    <cellStyle name="数字" xfId="2365"/>
    <cellStyle name="数字 2" xfId="2366"/>
    <cellStyle name="数字 2 2" xfId="2367"/>
    <cellStyle name="数字 2 2 2" xfId="2368"/>
    <cellStyle name="数字 2 2 2 2" xfId="929"/>
    <cellStyle name="数字 2 2 3" xfId="2369"/>
    <cellStyle name="数字 2 3" xfId="2370"/>
    <cellStyle name="数字 2 3 2" xfId="2371"/>
    <cellStyle name="数字 2 4" xfId="642"/>
    <cellStyle name="数字 3" xfId="2372"/>
    <cellStyle name="数字 3 2" xfId="2373"/>
    <cellStyle name="数字 3 2 2" xfId="2374"/>
    <cellStyle name="数字 3 3" xfId="2375"/>
    <cellStyle name="数字 4" xfId="2376"/>
    <cellStyle name="数字 4 2" xfId="2377"/>
    <cellStyle name="数字 5" xfId="2378"/>
    <cellStyle name="未定义" xfId="2379"/>
    <cellStyle name="未定义 2" xfId="4948"/>
    <cellStyle name="小数" xfId="2380"/>
    <cellStyle name="小数 2" xfId="2066"/>
    <cellStyle name="小数 2 2" xfId="2068"/>
    <cellStyle name="小数 2 2 2" xfId="1160"/>
    <cellStyle name="小数 2 2 2 2" xfId="1164"/>
    <cellStyle name="小数 2 2 3" xfId="1166"/>
    <cellStyle name="小数 2 3" xfId="2070"/>
    <cellStyle name="小数 2 3 2" xfId="1172"/>
    <cellStyle name="小数 2 4" xfId="2381"/>
    <cellStyle name="小数 3" xfId="2072"/>
    <cellStyle name="小数 3 2" xfId="2074"/>
    <cellStyle name="小数 3 2 2" xfId="2076"/>
    <cellStyle name="小数 3 3" xfId="2078"/>
    <cellStyle name="小数 4" xfId="1675"/>
    <cellStyle name="小数 4 2" xfId="2080"/>
    <cellStyle name="小数 5" xfId="2082"/>
    <cellStyle name="样式 1" xfId="2382"/>
    <cellStyle name="样式 1 2" xfId="2792"/>
    <cellStyle name="着色 1" xfId="2713"/>
    <cellStyle name="着色 1 2" xfId="2812"/>
    <cellStyle name="着色 2" xfId="2711"/>
    <cellStyle name="着色 2 2" xfId="2814"/>
    <cellStyle name="着色 3" xfId="2563"/>
    <cellStyle name="着色 3 2" xfId="2829"/>
    <cellStyle name="着色 4" xfId="2562"/>
    <cellStyle name="着色 4 2" xfId="2830"/>
    <cellStyle name="着色 5" xfId="2564"/>
    <cellStyle name="着色 5 2" xfId="2828"/>
    <cellStyle name="着色 6" xfId="2561"/>
    <cellStyle name="着色 6 2" xfId="2831"/>
    <cellStyle name="寘嬫愗傝 [0.00]_Region Orders (2)" xfId="2836"/>
    <cellStyle name="注释" xfId="1019"/>
    <cellStyle name="注释 10" xfId="2832"/>
    <cellStyle name="注释 11" xfId="5130"/>
    <cellStyle name="注释 2" xfId="1021"/>
    <cellStyle name="注释 2 2" xfId="887"/>
    <cellStyle name="注释 2 2 2" xfId="890"/>
    <cellStyle name="注释 2 2 2 2" xfId="2383"/>
    <cellStyle name="注释 2 2 2 2 2" xfId="4951"/>
    <cellStyle name="注释 2 2 2 2 3" xfId="5421"/>
    <cellStyle name="注释 2 2 2 3" xfId="2796"/>
    <cellStyle name="注释 2 2 2 4" xfId="4950"/>
    <cellStyle name="注释 2 2 2 5" xfId="5122"/>
    <cellStyle name="注释 2 2 3" xfId="2384"/>
    <cellStyle name="注释 2 2 3 2" xfId="2797"/>
    <cellStyle name="注释 2 2 3 3" xfId="4952"/>
    <cellStyle name="注释 2 2 3 4" xfId="5422"/>
    <cellStyle name="注释 2 2 4" xfId="2795"/>
    <cellStyle name="注释 2 2 5" xfId="4949"/>
    <cellStyle name="注释 2 2 6" xfId="5121"/>
    <cellStyle name="注释 2 3" xfId="893"/>
    <cellStyle name="注释 2 3 2" xfId="1621"/>
    <cellStyle name="注释 2 3 2 2" xfId="4954"/>
    <cellStyle name="注释 2 3 2 3" xfId="5235"/>
    <cellStyle name="注释 2 3 3" xfId="2798"/>
    <cellStyle name="注释 2 3 4" xfId="4953"/>
    <cellStyle name="注释 2 3 5" xfId="5123"/>
    <cellStyle name="注释 2 4" xfId="2385"/>
    <cellStyle name="注释 2 4 2" xfId="2799"/>
    <cellStyle name="注释 2 4 3" xfId="4955"/>
    <cellStyle name="注释 2 4 4" xfId="5423"/>
    <cellStyle name="注释 2 5" xfId="2794"/>
    <cellStyle name="注释 2 6" xfId="5131"/>
    <cellStyle name="注释 3" xfId="1023"/>
    <cellStyle name="注释 3 2" xfId="951"/>
    <cellStyle name="注释 3 2 2" xfId="955"/>
    <cellStyle name="注释 3 2 2 2" xfId="2386"/>
    <cellStyle name="注释 3 2 2 2 2" xfId="4958"/>
    <cellStyle name="注释 3 2 2 2 3" xfId="5424"/>
    <cellStyle name="注释 3 2 2 3" xfId="4957"/>
    <cellStyle name="注释 3 2 2 4" xfId="5128"/>
    <cellStyle name="注释 3 2 3" xfId="1524"/>
    <cellStyle name="注释 3 2 3 2" xfId="4959"/>
    <cellStyle name="注释 3 2 3 3" xfId="5225"/>
    <cellStyle name="注释 3 2 4" xfId="4956"/>
    <cellStyle name="注释 3 2 5" xfId="5127"/>
    <cellStyle name="注释 3 3" xfId="958"/>
    <cellStyle name="注释 3 3 2" xfId="2387"/>
    <cellStyle name="注释 3 3 2 2" xfId="4961"/>
    <cellStyle name="注释 3 3 2 3" xfId="5425"/>
    <cellStyle name="注释 3 3 3" xfId="4960"/>
    <cellStyle name="注释 3 3 4" xfId="5129"/>
    <cellStyle name="注释 3 4" xfId="2388"/>
    <cellStyle name="注释 3 4 2" xfId="4962"/>
    <cellStyle name="注释 3 4 3" xfId="5426"/>
    <cellStyle name="注释 3 5" xfId="2800"/>
    <cellStyle name="注释 3 6" xfId="5132"/>
    <cellStyle name="注释 4" xfId="1025"/>
    <cellStyle name="注释 4 2" xfId="1091"/>
    <cellStyle name="注释 4 2 2" xfId="1532"/>
    <cellStyle name="注释 4 2 2 2" xfId="4965"/>
    <cellStyle name="注释 4 2 2 3" xfId="5226"/>
    <cellStyle name="注释 4 2 3" xfId="4964"/>
    <cellStyle name="注释 4 2 4" xfId="5134"/>
    <cellStyle name="注释 4 3" xfId="1535"/>
    <cellStyle name="注释 4 3 2" xfId="4966"/>
    <cellStyle name="注释 4 3 3" xfId="5227"/>
    <cellStyle name="注释 4 4" xfId="4963"/>
    <cellStyle name="注释 4 5" xfId="5133"/>
    <cellStyle name="注释 5" xfId="2389"/>
    <cellStyle name="注释 5 2" xfId="2058"/>
    <cellStyle name="注释 5 2 2" xfId="256"/>
    <cellStyle name="注释 5 2 2 2" xfId="4969"/>
    <cellStyle name="注释 5 2 2 3" xfId="5104"/>
    <cellStyle name="注释 5 2 3" xfId="4968"/>
    <cellStyle name="注释 5 2 4" xfId="5361"/>
    <cellStyle name="注释 5 3" xfId="2390"/>
    <cellStyle name="注释 5 3 2" xfId="4970"/>
    <cellStyle name="注释 5 3 3" xfId="5428"/>
    <cellStyle name="注释 5 4" xfId="4967"/>
    <cellStyle name="注释 5 5" xfId="5427"/>
    <cellStyle name="注释 6" xfId="2391"/>
    <cellStyle name="注释 6 2" xfId="2392"/>
    <cellStyle name="注释 6 2 2" xfId="4972"/>
    <cellStyle name="注释 6 2 3" xfId="5430"/>
    <cellStyle name="注释 6 3" xfId="4971"/>
    <cellStyle name="注释 6 4" xfId="5429"/>
    <cellStyle name="注释 7" xfId="704"/>
    <cellStyle name="注释 7 2" xfId="4973"/>
    <cellStyle name="注释 7 3" xfId="5118"/>
    <cellStyle name="注释 8" xfId="2793"/>
    <cellStyle name="注释 9" xfId="2537"/>
  </cellStyles>
  <dxfs count="6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</font>
    </dxf>
    <dxf>
      <font>
        <b val="0"/>
        <condense val="0"/>
        <extend val="0"/>
        <color indexed="10"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3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76"/>
  <sheetViews>
    <sheetView topLeftCell="A43" zoomScaleNormal="70" workbookViewId="0">
      <selection activeCell="C55" sqref="C55"/>
    </sheetView>
  </sheetViews>
  <sheetFormatPr defaultColWidth="9" defaultRowHeight="14.25"/>
  <cols>
    <col min="1" max="1" width="13.625" style="3" customWidth="1"/>
    <col min="2" max="2" width="4.125" style="133" customWidth="1"/>
    <col min="3" max="3" width="91.375" style="3" customWidth="1"/>
    <col min="4" max="16384" width="9" style="3"/>
  </cols>
  <sheetData>
    <row r="1" spans="1:3" ht="36.6" customHeight="1">
      <c r="B1" s="140" t="s">
        <v>466</v>
      </c>
    </row>
    <row r="2" spans="1:3" s="1" customFormat="1" ht="43.9" customHeight="1">
      <c r="A2" s="364" t="s">
        <v>1954</v>
      </c>
      <c r="B2" s="365"/>
      <c r="C2" s="365"/>
    </row>
    <row r="3" spans="1:3" ht="15.6" customHeight="1">
      <c r="B3" s="366"/>
      <c r="C3" s="366"/>
    </row>
    <row r="4" spans="1:3" ht="34.9" customHeight="1">
      <c r="B4" s="367" t="s">
        <v>1955</v>
      </c>
      <c r="C4" s="367"/>
    </row>
    <row r="5" spans="1:3" s="2" customFormat="1" ht="27" customHeight="1">
      <c r="B5" s="141" t="s">
        <v>0</v>
      </c>
      <c r="C5" s="142" t="s">
        <v>1912</v>
      </c>
    </row>
    <row r="6" spans="1:3" s="2" customFormat="1" ht="27" customHeight="1">
      <c r="B6" s="141" t="s">
        <v>1</v>
      </c>
      <c r="C6" s="142" t="s">
        <v>1913</v>
      </c>
    </row>
    <row r="7" spans="1:3" s="2" customFormat="1" ht="27" customHeight="1">
      <c r="B7" s="141" t="s">
        <v>2</v>
      </c>
      <c r="C7" s="142" t="s">
        <v>1914</v>
      </c>
    </row>
    <row r="8" spans="1:3" s="2" customFormat="1" ht="27" customHeight="1">
      <c r="B8" s="141" t="s">
        <v>3</v>
      </c>
      <c r="C8" s="142" t="s">
        <v>1915</v>
      </c>
    </row>
    <row r="9" spans="1:3" s="2" customFormat="1" ht="27" customHeight="1">
      <c r="B9" s="141" t="s">
        <v>4</v>
      </c>
      <c r="C9" s="142" t="s">
        <v>1916</v>
      </c>
    </row>
    <row r="10" spans="1:3" s="2" customFormat="1" ht="27" customHeight="1">
      <c r="B10" s="141" t="s">
        <v>5</v>
      </c>
      <c r="C10" s="142" t="s">
        <v>1917</v>
      </c>
    </row>
    <row r="11" spans="1:3" s="2" customFormat="1" ht="27" customHeight="1">
      <c r="B11" s="141" t="s">
        <v>6</v>
      </c>
      <c r="C11" s="142" t="s">
        <v>1979</v>
      </c>
    </row>
    <row r="12" spans="1:3" s="2" customFormat="1" ht="27" customHeight="1">
      <c r="B12" s="141" t="s">
        <v>7</v>
      </c>
      <c r="C12" s="142" t="s">
        <v>1918</v>
      </c>
    </row>
    <row r="13" spans="1:3" s="2" customFormat="1" ht="27" customHeight="1">
      <c r="B13" s="141" t="s">
        <v>8</v>
      </c>
      <c r="C13" s="142" t="s">
        <v>1919</v>
      </c>
    </row>
    <row r="14" spans="1:3" s="2" customFormat="1" ht="27" customHeight="1">
      <c r="B14" s="141" t="s">
        <v>9</v>
      </c>
      <c r="C14" s="142" t="s">
        <v>1920</v>
      </c>
    </row>
    <row r="15" spans="1:3" s="2" customFormat="1" ht="27" customHeight="1">
      <c r="B15" s="141" t="s">
        <v>10</v>
      </c>
      <c r="C15" s="142" t="s">
        <v>1921</v>
      </c>
    </row>
    <row r="16" spans="1:3" s="2" customFormat="1" ht="27" customHeight="1">
      <c r="B16" s="141" t="s">
        <v>11</v>
      </c>
      <c r="C16" s="142" t="s">
        <v>1922</v>
      </c>
    </row>
    <row r="17" spans="2:3" s="2" customFormat="1" ht="27" customHeight="1">
      <c r="B17" s="141" t="s">
        <v>12</v>
      </c>
      <c r="C17" s="142" t="s">
        <v>1923</v>
      </c>
    </row>
    <row r="18" spans="2:3" s="2" customFormat="1" ht="27" customHeight="1">
      <c r="B18" s="141" t="s">
        <v>13</v>
      </c>
      <c r="C18" s="142" t="s">
        <v>1924</v>
      </c>
    </row>
    <row r="19" spans="2:3" s="2" customFormat="1" ht="27" customHeight="1">
      <c r="B19" s="141" t="s">
        <v>14</v>
      </c>
      <c r="C19" s="142" t="s">
        <v>1925</v>
      </c>
    </row>
    <row r="20" spans="2:3" s="2" customFormat="1" ht="27" customHeight="1">
      <c r="B20" s="141" t="s">
        <v>15</v>
      </c>
      <c r="C20" s="142" t="s">
        <v>1926</v>
      </c>
    </row>
    <row r="21" spans="2:3" s="2" customFormat="1" ht="27" customHeight="1">
      <c r="B21" s="141" t="s">
        <v>16</v>
      </c>
      <c r="C21" s="142" t="s">
        <v>1927</v>
      </c>
    </row>
    <row r="22" spans="2:3" s="2" customFormat="1" ht="27" customHeight="1">
      <c r="B22" s="141" t="s">
        <v>17</v>
      </c>
      <c r="C22" s="142" t="s">
        <v>1928</v>
      </c>
    </row>
    <row r="23" spans="2:3" s="2" customFormat="1" ht="27" customHeight="1">
      <c r="B23" s="141" t="s">
        <v>18</v>
      </c>
      <c r="C23" s="142" t="s">
        <v>1929</v>
      </c>
    </row>
    <row r="24" spans="2:3" s="2" customFormat="1" ht="27" customHeight="1">
      <c r="B24" s="141" t="s">
        <v>19</v>
      </c>
      <c r="C24" s="142" t="s">
        <v>1930</v>
      </c>
    </row>
    <row r="25" spans="2:3" s="2" customFormat="1" ht="27" customHeight="1">
      <c r="B25" s="141" t="s">
        <v>20</v>
      </c>
      <c r="C25" s="142" t="s">
        <v>1931</v>
      </c>
    </row>
    <row r="26" spans="2:3" s="2" customFormat="1" ht="27" customHeight="1">
      <c r="B26" s="141" t="s">
        <v>441</v>
      </c>
      <c r="C26" s="142" t="s">
        <v>1932</v>
      </c>
    </row>
    <row r="27" spans="2:3" s="2" customFormat="1" ht="27" customHeight="1">
      <c r="B27" s="141" t="s">
        <v>474</v>
      </c>
      <c r="C27" s="142" t="s">
        <v>1977</v>
      </c>
    </row>
    <row r="28" spans="2:3" s="2" customFormat="1" ht="27" customHeight="1">
      <c r="B28" s="141" t="s">
        <v>475</v>
      </c>
      <c r="C28" s="142" t="s">
        <v>1978</v>
      </c>
    </row>
    <row r="29" spans="2:3" s="2" customFormat="1" ht="34.9" customHeight="1">
      <c r="B29" s="367" t="s">
        <v>1956</v>
      </c>
      <c r="C29" s="367"/>
    </row>
    <row r="30" spans="2:3" ht="27" customHeight="1">
      <c r="B30" s="141" t="s">
        <v>419</v>
      </c>
      <c r="C30" s="142" t="s">
        <v>1933</v>
      </c>
    </row>
    <row r="31" spans="2:3" ht="27" customHeight="1">
      <c r="B31" s="141" t="s">
        <v>420</v>
      </c>
      <c r="C31" s="142" t="s">
        <v>1934</v>
      </c>
    </row>
    <row r="32" spans="2:3" ht="27" customHeight="1">
      <c r="B32" s="141" t="s">
        <v>421</v>
      </c>
      <c r="C32" s="142" t="s">
        <v>1935</v>
      </c>
    </row>
    <row r="33" spans="2:3" ht="27" customHeight="1">
      <c r="B33" s="141" t="s">
        <v>422</v>
      </c>
      <c r="C33" s="142" t="s">
        <v>1936</v>
      </c>
    </row>
    <row r="34" spans="2:3" ht="27" customHeight="1">
      <c r="B34" s="141" t="s">
        <v>423</v>
      </c>
      <c r="C34" s="142" t="s">
        <v>1937</v>
      </c>
    </row>
    <row r="35" spans="2:3" ht="27" customHeight="1">
      <c r="B35" s="141" t="s">
        <v>424</v>
      </c>
      <c r="C35" s="142" t="s">
        <v>1938</v>
      </c>
    </row>
    <row r="36" spans="2:3" ht="27" customHeight="1">
      <c r="B36" s="141" t="s">
        <v>425</v>
      </c>
      <c r="C36" s="142" t="s">
        <v>1939</v>
      </c>
    </row>
    <row r="37" spans="2:3" ht="27" customHeight="1">
      <c r="B37" s="141" t="s">
        <v>426</v>
      </c>
      <c r="C37" s="142" t="s">
        <v>1940</v>
      </c>
    </row>
    <row r="38" spans="2:3" ht="27" customHeight="1">
      <c r="B38" s="141" t="s">
        <v>427</v>
      </c>
      <c r="C38" s="142" t="s">
        <v>1941</v>
      </c>
    </row>
    <row r="39" spans="2:3" ht="27" customHeight="1">
      <c r="B39" s="141" t="s">
        <v>428</v>
      </c>
      <c r="C39" s="142" t="s">
        <v>1942</v>
      </c>
    </row>
    <row r="40" spans="2:3" ht="27" customHeight="1">
      <c r="B40" s="141" t="s">
        <v>429</v>
      </c>
      <c r="C40" s="142" t="s">
        <v>1943</v>
      </c>
    </row>
    <row r="41" spans="2:3" ht="27" customHeight="1">
      <c r="B41" s="141" t="s">
        <v>430</v>
      </c>
      <c r="C41" s="142" t="s">
        <v>1944</v>
      </c>
    </row>
    <row r="42" spans="2:3" ht="27" customHeight="1">
      <c r="B42" s="141" t="s">
        <v>431</v>
      </c>
      <c r="C42" s="142" t="s">
        <v>1945</v>
      </c>
    </row>
    <row r="43" spans="2:3" ht="27" customHeight="1">
      <c r="B43" s="141" t="s">
        <v>432</v>
      </c>
      <c r="C43" s="142" t="s">
        <v>1946</v>
      </c>
    </row>
    <row r="44" spans="2:3" ht="27" customHeight="1">
      <c r="B44" s="141" t="s">
        <v>433</v>
      </c>
      <c r="C44" s="142" t="s">
        <v>1947</v>
      </c>
    </row>
    <row r="45" spans="2:3" ht="27" customHeight="1">
      <c r="B45" s="141" t="s">
        <v>434</v>
      </c>
      <c r="C45" s="142" t="s">
        <v>1948</v>
      </c>
    </row>
    <row r="46" spans="2:3" ht="27" customHeight="1">
      <c r="B46" s="141" t="s">
        <v>435</v>
      </c>
      <c r="C46" s="142" t="s">
        <v>1949</v>
      </c>
    </row>
    <row r="47" spans="2:3" ht="27" customHeight="1">
      <c r="B47" s="141" t="s">
        <v>436</v>
      </c>
      <c r="C47" s="142" t="s">
        <v>1950</v>
      </c>
    </row>
    <row r="48" spans="2:3" ht="27" customHeight="1">
      <c r="B48" s="141" t="s">
        <v>437</v>
      </c>
      <c r="C48" s="142" t="s">
        <v>1951</v>
      </c>
    </row>
    <row r="49" spans="2:3" ht="27" customHeight="1">
      <c r="B49" s="141" t="s">
        <v>438</v>
      </c>
      <c r="C49" s="142" t="s">
        <v>1952</v>
      </c>
    </row>
    <row r="50" spans="2:3" ht="27" customHeight="1">
      <c r="B50" s="141" t="s">
        <v>439</v>
      </c>
      <c r="C50" s="142" t="s">
        <v>1953</v>
      </c>
    </row>
    <row r="51" spans="2:3" ht="32.450000000000003" customHeight="1">
      <c r="B51" s="141" t="s">
        <v>1989</v>
      </c>
      <c r="C51" s="142" t="s">
        <v>1990</v>
      </c>
    </row>
    <row r="52" spans="2:3" ht="25.5" customHeight="1">
      <c r="B52" s="141" t="s">
        <v>474</v>
      </c>
      <c r="C52" s="142" t="s">
        <v>1992</v>
      </c>
    </row>
    <row r="53" spans="2:3" ht="27" customHeight="1">
      <c r="B53" s="141" t="s">
        <v>475</v>
      </c>
      <c r="C53" s="142" t="s">
        <v>1993</v>
      </c>
    </row>
    <row r="54" spans="2:3" ht="27" customHeight="1">
      <c r="B54" s="141" t="s">
        <v>1991</v>
      </c>
      <c r="C54" s="142" t="s">
        <v>1994</v>
      </c>
    </row>
    <row r="55" spans="2:3" ht="27" customHeight="1"/>
    <row r="56" spans="2:3" ht="27" customHeight="1"/>
    <row r="57" spans="2:3" ht="27" customHeight="1"/>
    <row r="58" spans="2:3" ht="27" customHeight="1"/>
    <row r="59" spans="2:3" ht="27" customHeight="1"/>
    <row r="60" spans="2:3" ht="27" customHeight="1"/>
    <row r="61" spans="2:3" ht="27" customHeight="1"/>
    <row r="62" spans="2:3" ht="27" customHeight="1"/>
    <row r="63" spans="2:3" ht="28.9" customHeight="1"/>
    <row r="64" spans="2:3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16.899999999999999" customHeight="1"/>
    <row r="76" ht="57.6" customHeight="1"/>
  </sheetData>
  <mergeCells count="4">
    <mergeCell ref="A2:C2"/>
    <mergeCell ref="B3:C3"/>
    <mergeCell ref="B4:C4"/>
    <mergeCell ref="B29:C29"/>
  </mergeCells>
  <phoneticPr fontId="38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5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1"/>
  <sheetViews>
    <sheetView topLeftCell="A25" workbookViewId="0">
      <selection activeCell="D36" sqref="D36"/>
    </sheetView>
  </sheetViews>
  <sheetFormatPr defaultRowHeight="14.25"/>
  <cols>
    <col min="1" max="1" width="36.125" customWidth="1"/>
    <col min="2" max="3" width="12.125" customWidth="1"/>
    <col min="4" max="4" width="15.125" customWidth="1"/>
  </cols>
  <sheetData>
    <row r="1" spans="1:7">
      <c r="A1" s="369"/>
      <c r="B1" s="369"/>
      <c r="C1" s="369"/>
      <c r="D1" s="369"/>
    </row>
    <row r="2" spans="1:7" ht="18" customHeight="1">
      <c r="A2" s="6" t="s">
        <v>374</v>
      </c>
      <c r="B2" s="4"/>
    </row>
    <row r="3" spans="1:7" ht="22.5">
      <c r="A3" s="368" t="s">
        <v>479</v>
      </c>
      <c r="B3" s="368"/>
      <c r="C3" s="368"/>
      <c r="D3" s="368"/>
    </row>
    <row r="4" spans="1:7">
      <c r="A4" s="5"/>
      <c r="B4" s="4"/>
      <c r="D4" s="8" t="s">
        <v>56</v>
      </c>
    </row>
    <row r="5" spans="1:7" ht="37.35" customHeight="1">
      <c r="A5" s="108" t="s">
        <v>69</v>
      </c>
      <c r="B5" s="109" t="s">
        <v>53</v>
      </c>
      <c r="C5" s="110" t="s">
        <v>54</v>
      </c>
      <c r="D5" s="110" t="s">
        <v>55</v>
      </c>
    </row>
    <row r="6" spans="1:7" ht="15.6" customHeight="1">
      <c r="A6" s="13" t="s">
        <v>21</v>
      </c>
      <c r="B6" s="155">
        <f>SUM(B7:B22)</f>
        <v>201200</v>
      </c>
      <c r="C6" s="155">
        <f>SUM(C7:C22)</f>
        <v>181432</v>
      </c>
      <c r="D6" s="158">
        <f>B6/C6*100</f>
        <v>110.9</v>
      </c>
    </row>
    <row r="7" spans="1:7" ht="15.6" customHeight="1">
      <c r="A7" s="9" t="s">
        <v>29</v>
      </c>
      <c r="B7" s="159">
        <v>76500</v>
      </c>
      <c r="C7" s="159">
        <v>48489</v>
      </c>
      <c r="D7" s="217">
        <f t="shared" ref="D7:D45" si="0">B7/C7*100</f>
        <v>157.80000000000001</v>
      </c>
    </row>
    <row r="8" spans="1:7" ht="15.6" customHeight="1">
      <c r="A8" s="9" t="s">
        <v>30</v>
      </c>
      <c r="B8" s="159">
        <v>0</v>
      </c>
      <c r="C8" s="153">
        <v>33275</v>
      </c>
      <c r="D8" s="217"/>
    </row>
    <row r="9" spans="1:7" ht="15.6" customHeight="1">
      <c r="A9" s="9" t="s">
        <v>31</v>
      </c>
      <c r="B9" s="159">
        <f>42000+5000</f>
        <v>47000</v>
      </c>
      <c r="C9" s="153">
        <v>30661</v>
      </c>
      <c r="D9" s="217">
        <f t="shared" si="0"/>
        <v>153.30000000000001</v>
      </c>
    </row>
    <row r="10" spans="1:7" ht="15.6" customHeight="1">
      <c r="A10" s="9" t="s">
        <v>32</v>
      </c>
      <c r="B10" s="159">
        <v>0</v>
      </c>
      <c r="C10" s="160">
        <v>0</v>
      </c>
      <c r="D10" s="217"/>
      <c r="G10" s="59"/>
    </row>
    <row r="11" spans="1:7" ht="15.6" customHeight="1">
      <c r="A11" s="9" t="s">
        <v>33</v>
      </c>
      <c r="B11" s="159">
        <f>15600-5000</f>
        <v>10600</v>
      </c>
      <c r="C11" s="160">
        <v>14189</v>
      </c>
      <c r="D11" s="217">
        <f t="shared" si="0"/>
        <v>74.7</v>
      </c>
    </row>
    <row r="12" spans="1:7" ht="15.6" customHeight="1">
      <c r="A12" s="9" t="s">
        <v>34</v>
      </c>
      <c r="B12" s="159">
        <v>70</v>
      </c>
      <c r="C12" s="160">
        <v>54</v>
      </c>
      <c r="D12" s="217">
        <f t="shared" si="0"/>
        <v>129.6</v>
      </c>
    </row>
    <row r="13" spans="1:7" ht="15.6" customHeight="1">
      <c r="A13" s="9" t="s">
        <v>35</v>
      </c>
      <c r="B13" s="159">
        <v>10900</v>
      </c>
      <c r="C13" s="160">
        <v>9012</v>
      </c>
      <c r="D13" s="217">
        <f t="shared" si="0"/>
        <v>120.9</v>
      </c>
    </row>
    <row r="14" spans="1:7" ht="15.6" customHeight="1">
      <c r="A14" s="9" t="s">
        <v>36</v>
      </c>
      <c r="B14" s="159">
        <v>2400</v>
      </c>
      <c r="C14" s="160">
        <v>2276</v>
      </c>
      <c r="D14" s="217">
        <f t="shared" si="0"/>
        <v>105.4</v>
      </c>
    </row>
    <row r="15" spans="1:7" ht="15.6" customHeight="1">
      <c r="A15" s="9" t="s">
        <v>37</v>
      </c>
      <c r="B15" s="159">
        <v>4200</v>
      </c>
      <c r="C15" s="160">
        <v>4301</v>
      </c>
      <c r="D15" s="217">
        <f t="shared" si="0"/>
        <v>97.7</v>
      </c>
    </row>
    <row r="16" spans="1:7" ht="15.6" customHeight="1">
      <c r="A16" s="9" t="s">
        <v>38</v>
      </c>
      <c r="B16" s="159">
        <v>8760</v>
      </c>
      <c r="C16" s="160">
        <v>5720</v>
      </c>
      <c r="D16" s="217">
        <f t="shared" si="0"/>
        <v>153.1</v>
      </c>
    </row>
    <row r="17" spans="1:4" ht="15.6" customHeight="1">
      <c r="A17" s="9" t="s">
        <v>39</v>
      </c>
      <c r="B17" s="159">
        <v>26100</v>
      </c>
      <c r="C17" s="160">
        <v>25162</v>
      </c>
      <c r="D17" s="217">
        <f t="shared" si="0"/>
        <v>103.7</v>
      </c>
    </row>
    <row r="18" spans="1:4" ht="15.6" customHeight="1">
      <c r="A18" s="9" t="s">
        <v>40</v>
      </c>
      <c r="B18" s="159">
        <v>1750</v>
      </c>
      <c r="C18" s="160">
        <v>1619</v>
      </c>
      <c r="D18" s="217">
        <f t="shared" si="0"/>
        <v>108.1</v>
      </c>
    </row>
    <row r="19" spans="1:4" ht="15.6" customHeight="1">
      <c r="A19" s="9" t="s">
        <v>41</v>
      </c>
      <c r="B19" s="159">
        <v>4000</v>
      </c>
      <c r="C19" s="160">
        <v>87</v>
      </c>
      <c r="D19" s="217">
        <f t="shared" si="0"/>
        <v>4597.7</v>
      </c>
    </row>
    <row r="20" spans="1:4" ht="15.6" customHeight="1">
      <c r="A20" s="9" t="s">
        <v>42</v>
      </c>
      <c r="B20" s="159">
        <v>8920</v>
      </c>
      <c r="C20" s="160">
        <v>6587</v>
      </c>
      <c r="D20" s="217">
        <f t="shared" si="0"/>
        <v>135.4</v>
      </c>
    </row>
    <row r="21" spans="1:4" ht="15.6" customHeight="1">
      <c r="A21" s="9" t="s">
        <v>43</v>
      </c>
      <c r="B21" s="159">
        <v>0</v>
      </c>
      <c r="C21" s="159">
        <v>0</v>
      </c>
      <c r="D21" s="217"/>
    </row>
    <row r="22" spans="1:4" ht="15.6" customHeight="1">
      <c r="A22" s="9" t="s">
        <v>44</v>
      </c>
      <c r="B22" s="159">
        <v>0</v>
      </c>
      <c r="C22" s="159">
        <v>0</v>
      </c>
      <c r="D22" s="217"/>
    </row>
    <row r="23" spans="1:4" ht="15.6" customHeight="1">
      <c r="A23" s="13" t="s">
        <v>23</v>
      </c>
      <c r="B23" s="155">
        <f>SUM(B24:B31)</f>
        <v>70900</v>
      </c>
      <c r="C23" s="155">
        <f>SUM(C24:C31)</f>
        <v>83130</v>
      </c>
      <c r="D23" s="158">
        <f t="shared" si="0"/>
        <v>85.3</v>
      </c>
    </row>
    <row r="24" spans="1:4" ht="15.6" customHeight="1">
      <c r="A24" s="9" t="s">
        <v>45</v>
      </c>
      <c r="B24" s="161">
        <v>37550</v>
      </c>
      <c r="C24" s="160">
        <v>24080</v>
      </c>
      <c r="D24" s="217">
        <f t="shared" si="0"/>
        <v>155.9</v>
      </c>
    </row>
    <row r="25" spans="1:4" ht="15.6" customHeight="1">
      <c r="A25" s="9" t="s">
        <v>46</v>
      </c>
      <c r="B25" s="159">
        <v>5740</v>
      </c>
      <c r="C25" s="160">
        <v>7727</v>
      </c>
      <c r="D25" s="217">
        <f t="shared" si="0"/>
        <v>74.3</v>
      </c>
    </row>
    <row r="26" spans="1:4" ht="15.6" customHeight="1">
      <c r="A26" s="9" t="s">
        <v>47</v>
      </c>
      <c r="B26" s="159">
        <v>4350</v>
      </c>
      <c r="C26" s="160">
        <v>35025</v>
      </c>
      <c r="D26" s="217">
        <f t="shared" si="0"/>
        <v>12.4</v>
      </c>
    </row>
    <row r="27" spans="1:4" ht="15.6" customHeight="1">
      <c r="A27" s="9" t="s">
        <v>48</v>
      </c>
      <c r="B27" s="159">
        <v>0</v>
      </c>
      <c r="C27" s="160">
        <v>1000</v>
      </c>
      <c r="D27" s="217"/>
    </row>
    <row r="28" spans="1:4" ht="15.6" customHeight="1">
      <c r="A28" s="9" t="s">
        <v>49</v>
      </c>
      <c r="B28" s="159">
        <f>13000+5000</f>
        <v>18000</v>
      </c>
      <c r="C28" s="160">
        <v>13986</v>
      </c>
      <c r="D28" s="217">
        <f t="shared" si="0"/>
        <v>128.69999999999999</v>
      </c>
    </row>
    <row r="29" spans="1:4" ht="15.6" customHeight="1">
      <c r="A29" s="9" t="s">
        <v>50</v>
      </c>
      <c r="B29" s="159">
        <v>0</v>
      </c>
      <c r="C29" s="159">
        <v>0</v>
      </c>
      <c r="D29" s="217"/>
    </row>
    <row r="30" spans="1:4" ht="15.6" customHeight="1">
      <c r="A30" s="9" t="s">
        <v>51</v>
      </c>
      <c r="B30" s="159">
        <v>260</v>
      </c>
      <c r="C30" s="160">
        <v>888</v>
      </c>
      <c r="D30" s="217">
        <f t="shared" si="0"/>
        <v>29.3</v>
      </c>
    </row>
    <row r="31" spans="1:4" ht="15.6" customHeight="1">
      <c r="A31" s="9" t="s">
        <v>52</v>
      </c>
      <c r="B31" s="159">
        <v>5000</v>
      </c>
      <c r="C31" s="160">
        <v>424</v>
      </c>
      <c r="D31" s="217">
        <f t="shared" si="0"/>
        <v>1179.2</v>
      </c>
    </row>
    <row r="32" spans="1:4" ht="15.6" customHeight="1">
      <c r="A32" s="15" t="s">
        <v>24</v>
      </c>
      <c r="B32" s="157">
        <f>B23+B6</f>
        <v>272100</v>
      </c>
      <c r="C32" s="157">
        <f>C23+C6</f>
        <v>264562</v>
      </c>
      <c r="D32" s="218">
        <f t="shared" si="0"/>
        <v>102.8</v>
      </c>
    </row>
    <row r="33" spans="1:4" ht="15.6" customHeight="1">
      <c r="A33" s="14" t="s">
        <v>57</v>
      </c>
      <c r="B33" s="197">
        <v>150000</v>
      </c>
      <c r="C33" s="198">
        <v>183015</v>
      </c>
      <c r="D33" s="158">
        <f>B33/C33*100</f>
        <v>82</v>
      </c>
    </row>
    <row r="34" spans="1:4" ht="15.6" customHeight="1">
      <c r="A34" s="14" t="s">
        <v>58</v>
      </c>
      <c r="B34" s="162">
        <f>SUM(B35,B39:B44)</f>
        <v>303300</v>
      </c>
      <c r="C34" s="163">
        <f>SUM(C35,C39:C44)</f>
        <v>772382</v>
      </c>
      <c r="D34" s="158">
        <f t="shared" si="0"/>
        <v>39.299999999999997</v>
      </c>
    </row>
    <row r="35" spans="1:4" ht="15.6" customHeight="1">
      <c r="A35" s="11" t="s">
        <v>340</v>
      </c>
      <c r="B35" s="159">
        <f>SUM(B36:B38)</f>
        <v>185515</v>
      </c>
      <c r="C35" s="159">
        <f>SUM(C36:C38)</f>
        <v>355077</v>
      </c>
      <c r="D35" s="217">
        <f t="shared" si="0"/>
        <v>52.2</v>
      </c>
    </row>
    <row r="36" spans="1:4" ht="15.6" customHeight="1">
      <c r="A36" s="105" t="s">
        <v>60</v>
      </c>
      <c r="B36" s="159">
        <v>25411</v>
      </c>
      <c r="C36" s="160">
        <v>18049</v>
      </c>
      <c r="D36" s="217">
        <f t="shared" si="0"/>
        <v>140.80000000000001</v>
      </c>
    </row>
    <row r="37" spans="1:4" ht="15.6" customHeight="1">
      <c r="A37" s="105" t="s">
        <v>61</v>
      </c>
      <c r="B37" s="159">
        <v>20104</v>
      </c>
      <c r="C37" s="160">
        <v>235554</v>
      </c>
      <c r="D37" s="217">
        <f t="shared" si="0"/>
        <v>8.5</v>
      </c>
    </row>
    <row r="38" spans="1:4" ht="15.6" customHeight="1">
      <c r="A38" s="105" t="s">
        <v>62</v>
      </c>
      <c r="B38" s="159">
        <v>140000</v>
      </c>
      <c r="C38" s="160">
        <v>101474</v>
      </c>
      <c r="D38" s="217">
        <f t="shared" si="0"/>
        <v>138</v>
      </c>
    </row>
    <row r="39" spans="1:4" ht="15.6" customHeight="1">
      <c r="A39" s="12" t="s">
        <v>63</v>
      </c>
      <c r="B39" s="159"/>
      <c r="C39" s="160"/>
      <c r="D39" s="217"/>
    </row>
    <row r="40" spans="1:4" ht="15.6" customHeight="1">
      <c r="A40" s="10" t="s">
        <v>65</v>
      </c>
      <c r="B40" s="159">
        <v>0</v>
      </c>
      <c r="C40" s="160">
        <v>66083</v>
      </c>
      <c r="D40" s="217"/>
    </row>
    <row r="41" spans="1:4" ht="15.6" customHeight="1">
      <c r="A41" s="11" t="s">
        <v>66</v>
      </c>
      <c r="B41" s="159">
        <v>87785</v>
      </c>
      <c r="C41" s="160">
        <v>79772</v>
      </c>
      <c r="D41" s="217">
        <f t="shared" si="0"/>
        <v>110</v>
      </c>
    </row>
    <row r="42" spans="1:4" ht="15.6" customHeight="1">
      <c r="A42" s="117" t="s">
        <v>67</v>
      </c>
      <c r="B42" s="159">
        <v>0</v>
      </c>
      <c r="C42" s="160">
        <v>271450</v>
      </c>
      <c r="D42" s="217"/>
    </row>
    <row r="43" spans="1:4" ht="15.6" customHeight="1">
      <c r="A43" s="119" t="s">
        <v>64</v>
      </c>
      <c r="B43" s="101"/>
      <c r="C43" s="101"/>
      <c r="D43" s="101"/>
    </row>
    <row r="44" spans="1:4" ht="15.6" customHeight="1">
      <c r="A44" s="117" t="s">
        <v>68</v>
      </c>
      <c r="B44" s="159">
        <v>30000</v>
      </c>
      <c r="C44" s="160"/>
      <c r="D44" s="217"/>
    </row>
    <row r="45" spans="1:4" ht="15.6" customHeight="1">
      <c r="A45" s="114" t="s">
        <v>28</v>
      </c>
      <c r="B45" s="231">
        <f>SUM(B32:B34)</f>
        <v>725400</v>
      </c>
      <c r="C45" s="231">
        <f>SUM(C32:C34)</f>
        <v>1219959</v>
      </c>
      <c r="D45" s="218">
        <f t="shared" si="0"/>
        <v>59.5</v>
      </c>
    </row>
    <row r="46" spans="1:4">
      <c r="A46" s="7"/>
      <c r="B46" s="4"/>
    </row>
    <row r="47" spans="1:4">
      <c r="A47" s="7"/>
      <c r="B47" s="4"/>
    </row>
    <row r="48" spans="1:4">
      <c r="A48" s="7"/>
      <c r="B48" s="4"/>
    </row>
    <row r="49" spans="1:2">
      <c r="A49" s="4"/>
      <c r="B49" s="4"/>
    </row>
    <row r="50" spans="1:2">
      <c r="A50" s="4"/>
      <c r="B50" s="4"/>
    </row>
    <row r="51" spans="1:2">
      <c r="A51" s="4"/>
      <c r="B51" s="4"/>
    </row>
  </sheetData>
  <protectedRanges>
    <protectedRange password="CF6E" sqref="B23:C23" name="区域1_4_2"/>
    <protectedRange password="CF6E" sqref="B24" name="区域1_4_3"/>
    <protectedRange password="CF6E" sqref="C8:C9" name="区域1_1_3_1"/>
  </protectedRanges>
  <mergeCells count="2">
    <mergeCell ref="A3:D3"/>
    <mergeCell ref="A1:D1"/>
  </mergeCells>
  <phoneticPr fontId="38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  <headerFooter>
    <oddFooter>&amp;C附表1-1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5"/>
  <sheetViews>
    <sheetView topLeftCell="A19" workbookViewId="0">
      <selection activeCell="A63" sqref="A63"/>
    </sheetView>
  </sheetViews>
  <sheetFormatPr defaultRowHeight="14.25"/>
  <cols>
    <col min="1" max="1" width="44.625" customWidth="1"/>
    <col min="2" max="3" width="12.125" customWidth="1"/>
    <col min="4" max="4" width="15.125" customWidth="1"/>
  </cols>
  <sheetData>
    <row r="1" spans="1:7" ht="18" customHeight="1">
      <c r="A1" s="6" t="s">
        <v>108</v>
      </c>
      <c r="B1" s="4"/>
    </row>
    <row r="2" spans="1:7" ht="22.5">
      <c r="A2" s="370" t="s">
        <v>483</v>
      </c>
      <c r="B2" s="370"/>
      <c r="C2" s="370"/>
      <c r="D2" s="370"/>
    </row>
    <row r="3" spans="1:7">
      <c r="A3" s="5"/>
      <c r="B3" s="4"/>
      <c r="D3" s="8" t="s">
        <v>56</v>
      </c>
    </row>
    <row r="4" spans="1:7" ht="37.35" customHeight="1">
      <c r="A4" s="112" t="s">
        <v>107</v>
      </c>
      <c r="B4" s="112" t="s">
        <v>53</v>
      </c>
      <c r="C4" s="113" t="s">
        <v>54</v>
      </c>
      <c r="D4" s="113" t="s">
        <v>55</v>
      </c>
    </row>
    <row r="5" spans="1:7" ht="15.6" customHeight="1">
      <c r="A5" s="17" t="s">
        <v>22</v>
      </c>
      <c r="B5" s="216">
        <v>51167</v>
      </c>
      <c r="C5" s="164">
        <v>44892</v>
      </c>
      <c r="D5" s="165">
        <f>B5/C5*100</f>
        <v>114</v>
      </c>
      <c r="F5" s="213"/>
      <c r="G5" s="213"/>
    </row>
    <row r="6" spans="1:7" ht="15.6" customHeight="1">
      <c r="A6" s="17" t="s">
        <v>70</v>
      </c>
      <c r="B6" s="216">
        <v>0</v>
      </c>
      <c r="C6" s="164">
        <v>0</v>
      </c>
      <c r="D6" s="165"/>
      <c r="F6" s="213"/>
      <c r="G6" s="213"/>
    </row>
    <row r="7" spans="1:7" ht="15.6" customHeight="1">
      <c r="A7" s="17" t="s">
        <v>71</v>
      </c>
      <c r="B7" s="216">
        <v>470</v>
      </c>
      <c r="C7" s="164">
        <v>793</v>
      </c>
      <c r="D7" s="165">
        <f t="shared" ref="D7:D45" si="0">B7/C7*100</f>
        <v>59.3</v>
      </c>
      <c r="F7" s="214"/>
      <c r="G7" s="214"/>
    </row>
    <row r="8" spans="1:7" ht="15.6" customHeight="1">
      <c r="A8" s="17" t="s">
        <v>72</v>
      </c>
      <c r="B8" s="215">
        <v>39405</v>
      </c>
      <c r="C8" s="164">
        <v>26960</v>
      </c>
      <c r="D8" s="165">
        <f t="shared" si="0"/>
        <v>146.19999999999999</v>
      </c>
      <c r="F8" s="214"/>
      <c r="G8" s="214"/>
    </row>
    <row r="9" spans="1:7" ht="15.6" customHeight="1">
      <c r="A9" s="17" t="s">
        <v>73</v>
      </c>
      <c r="B9" s="215">
        <v>79474</v>
      </c>
      <c r="C9" s="164">
        <v>80902</v>
      </c>
      <c r="D9" s="165">
        <f t="shared" si="0"/>
        <v>98.2</v>
      </c>
      <c r="F9" s="214"/>
      <c r="G9" s="214"/>
    </row>
    <row r="10" spans="1:7" ht="15.6" customHeight="1">
      <c r="A10" s="17" t="s">
        <v>74</v>
      </c>
      <c r="B10" s="215">
        <v>648</v>
      </c>
      <c r="C10" s="164">
        <v>387</v>
      </c>
      <c r="D10" s="165">
        <f t="shared" si="0"/>
        <v>167.4</v>
      </c>
      <c r="F10" s="214"/>
      <c r="G10" s="214"/>
    </row>
    <row r="11" spans="1:7" ht="15.6" customHeight="1">
      <c r="A11" s="17" t="s">
        <v>75</v>
      </c>
      <c r="B11" s="215">
        <v>10541</v>
      </c>
      <c r="C11" s="164">
        <v>19447</v>
      </c>
      <c r="D11" s="165">
        <f t="shared" si="0"/>
        <v>54.2</v>
      </c>
      <c r="F11" s="214"/>
      <c r="G11" s="214"/>
    </row>
    <row r="12" spans="1:7" ht="15.6" customHeight="1">
      <c r="A12" s="17" t="s">
        <v>76</v>
      </c>
      <c r="B12" s="215">
        <v>45869</v>
      </c>
      <c r="C12" s="164">
        <v>49761</v>
      </c>
      <c r="D12" s="165">
        <f t="shared" si="0"/>
        <v>92.2</v>
      </c>
      <c r="F12" s="214"/>
      <c r="G12" s="214"/>
    </row>
    <row r="13" spans="1:7" ht="15.6" customHeight="1">
      <c r="A13" s="17" t="s">
        <v>77</v>
      </c>
      <c r="B13" s="215">
        <v>29791</v>
      </c>
      <c r="C13" s="164">
        <v>47258</v>
      </c>
      <c r="D13" s="165">
        <f t="shared" si="0"/>
        <v>63</v>
      </c>
      <c r="F13" s="214"/>
      <c r="G13" s="214"/>
    </row>
    <row r="14" spans="1:7" ht="15.6" customHeight="1">
      <c r="A14" s="17" t="s">
        <v>78</v>
      </c>
      <c r="B14" s="215">
        <v>5223</v>
      </c>
      <c r="C14" s="164">
        <v>38599</v>
      </c>
      <c r="D14" s="165">
        <f t="shared" si="0"/>
        <v>13.5</v>
      </c>
      <c r="F14" s="214"/>
      <c r="G14" s="214"/>
    </row>
    <row r="15" spans="1:7" ht="15.6" customHeight="1">
      <c r="A15" s="17" t="s">
        <v>79</v>
      </c>
      <c r="B15" s="215">
        <v>170372</v>
      </c>
      <c r="C15" s="164">
        <v>332597</v>
      </c>
      <c r="D15" s="165">
        <f t="shared" si="0"/>
        <v>51.2</v>
      </c>
      <c r="F15" s="214"/>
      <c r="G15" s="214"/>
    </row>
    <row r="16" spans="1:7" ht="15.6" customHeight="1">
      <c r="A16" s="17" t="s">
        <v>80</v>
      </c>
      <c r="B16" s="215">
        <v>16605</v>
      </c>
      <c r="C16" s="164">
        <v>28239</v>
      </c>
      <c r="D16" s="165">
        <f t="shared" si="0"/>
        <v>58.8</v>
      </c>
      <c r="F16" s="214"/>
      <c r="G16" s="214"/>
    </row>
    <row r="17" spans="1:7" ht="15.6" customHeight="1">
      <c r="A17" s="17" t="s">
        <v>81</v>
      </c>
      <c r="B17" s="215">
        <v>4643</v>
      </c>
      <c r="C17" s="164">
        <v>22023</v>
      </c>
      <c r="D17" s="165">
        <f t="shared" si="0"/>
        <v>21.1</v>
      </c>
      <c r="F17" s="214"/>
      <c r="G17" s="214"/>
    </row>
    <row r="18" spans="1:7" ht="15.6" customHeight="1">
      <c r="A18" s="17" t="s">
        <v>82</v>
      </c>
      <c r="B18" s="215">
        <v>84006</v>
      </c>
      <c r="C18" s="164">
        <v>66417</v>
      </c>
      <c r="D18" s="165">
        <f t="shared" si="0"/>
        <v>126.5</v>
      </c>
      <c r="F18" s="214"/>
      <c r="G18" s="214"/>
    </row>
    <row r="19" spans="1:7" ht="15.6" customHeight="1">
      <c r="A19" s="17" t="s">
        <v>83</v>
      </c>
      <c r="B19" s="215">
        <v>13447</v>
      </c>
      <c r="C19" s="164">
        <v>16633</v>
      </c>
      <c r="D19" s="165">
        <f t="shared" si="0"/>
        <v>80.8</v>
      </c>
      <c r="F19" s="214"/>
      <c r="G19" s="214"/>
    </row>
    <row r="20" spans="1:7" ht="15.6" customHeight="1">
      <c r="A20" s="17" t="s">
        <v>84</v>
      </c>
      <c r="B20" s="215">
        <v>250</v>
      </c>
      <c r="C20" s="164">
        <v>285</v>
      </c>
      <c r="D20" s="165">
        <f t="shared" si="0"/>
        <v>87.7</v>
      </c>
      <c r="F20" s="214"/>
      <c r="G20" s="214"/>
    </row>
    <row r="21" spans="1:7" ht="15.6" customHeight="1">
      <c r="A21" s="17" t="s">
        <v>85</v>
      </c>
      <c r="B21" s="215">
        <v>0</v>
      </c>
      <c r="C21" s="164">
        <v>0</v>
      </c>
      <c r="D21" s="165"/>
      <c r="F21" s="214"/>
      <c r="G21" s="214"/>
    </row>
    <row r="22" spans="1:7" ht="15.6" customHeight="1">
      <c r="A22" s="17" t="s">
        <v>86</v>
      </c>
      <c r="B22" s="215">
        <v>8499</v>
      </c>
      <c r="C22" s="164">
        <v>21269</v>
      </c>
      <c r="D22" s="165">
        <f t="shared" si="0"/>
        <v>40</v>
      </c>
      <c r="F22" s="214"/>
      <c r="G22" s="214"/>
    </row>
    <row r="23" spans="1:7" ht="15.6" customHeight="1">
      <c r="A23" s="17" t="s">
        <v>87</v>
      </c>
      <c r="B23" s="215">
        <v>18742</v>
      </c>
      <c r="C23" s="164">
        <v>26160</v>
      </c>
      <c r="D23" s="165">
        <f t="shared" si="0"/>
        <v>71.599999999999994</v>
      </c>
      <c r="F23" s="214"/>
      <c r="G23" s="214"/>
    </row>
    <row r="24" spans="1:7" ht="15.6" customHeight="1">
      <c r="A24" s="17" t="s">
        <v>88</v>
      </c>
      <c r="B24" s="215">
        <v>1683</v>
      </c>
      <c r="C24" s="164">
        <v>3225</v>
      </c>
      <c r="D24" s="165">
        <f t="shared" si="0"/>
        <v>52.2</v>
      </c>
      <c r="F24" s="214"/>
      <c r="G24" s="214"/>
    </row>
    <row r="25" spans="1:7" ht="15.6" customHeight="1">
      <c r="A25" s="17" t="s">
        <v>89</v>
      </c>
      <c r="B25" s="215">
        <v>3000</v>
      </c>
      <c r="C25" s="164">
        <v>0</v>
      </c>
      <c r="D25" s="165"/>
      <c r="F25" s="214"/>
      <c r="G25" s="214"/>
    </row>
    <row r="26" spans="1:7" ht="15.6" customHeight="1">
      <c r="A26" s="17" t="s">
        <v>90</v>
      </c>
      <c r="B26" s="215">
        <v>73565</v>
      </c>
      <c r="C26" s="164">
        <v>19704</v>
      </c>
      <c r="D26" s="165">
        <f t="shared" si="0"/>
        <v>373.4</v>
      </c>
      <c r="F26" s="214"/>
      <c r="G26" s="214"/>
    </row>
    <row r="27" spans="1:7" ht="15.6" customHeight="1">
      <c r="A27" s="17" t="s">
        <v>91</v>
      </c>
      <c r="B27" s="215">
        <v>65000</v>
      </c>
      <c r="C27" s="164">
        <v>73164</v>
      </c>
      <c r="D27" s="165">
        <f t="shared" si="0"/>
        <v>88.8</v>
      </c>
      <c r="F27" s="214"/>
      <c r="G27" s="214"/>
    </row>
    <row r="28" spans="1:7" ht="15.6" customHeight="1">
      <c r="A28" s="17" t="s">
        <v>92</v>
      </c>
      <c r="B28" s="215">
        <v>0</v>
      </c>
      <c r="C28" s="164">
        <v>190</v>
      </c>
      <c r="D28" s="165"/>
      <c r="F28" s="214"/>
      <c r="G28" s="214"/>
    </row>
    <row r="29" spans="1:7" ht="15.6" customHeight="1">
      <c r="A29" s="219" t="s">
        <v>25</v>
      </c>
      <c r="B29" s="220">
        <f>SUM(B5:B28)</f>
        <v>722400</v>
      </c>
      <c r="C29" s="222">
        <f>SUM(C5:C28)</f>
        <v>918905</v>
      </c>
      <c r="D29" s="221">
        <f t="shared" si="0"/>
        <v>78.599999999999994</v>
      </c>
      <c r="F29" s="214"/>
      <c r="G29" s="214"/>
    </row>
    <row r="30" spans="1:7" ht="15.6" customHeight="1">
      <c r="A30" s="54" t="s">
        <v>26</v>
      </c>
      <c r="B30" s="210"/>
      <c r="C30" s="230">
        <v>170915</v>
      </c>
      <c r="D30" s="165"/>
    </row>
    <row r="31" spans="1:7" ht="15.6" customHeight="1">
      <c r="A31" s="54" t="s">
        <v>27</v>
      </c>
      <c r="B31" s="211">
        <f>SUM(B32,B36:B44)</f>
        <v>3000</v>
      </c>
      <c r="C31" s="166">
        <f>SUM(C32,C36:C44)</f>
        <v>130139</v>
      </c>
      <c r="D31" s="200">
        <f t="shared" si="0"/>
        <v>2.2999999999999998</v>
      </c>
    </row>
    <row r="32" spans="1:7" ht="15.6" customHeight="1">
      <c r="A32" s="20" t="s">
        <v>94</v>
      </c>
      <c r="B32" s="210"/>
      <c r="C32" s="164">
        <v>4939</v>
      </c>
      <c r="D32" s="165"/>
    </row>
    <row r="33" spans="1:4" ht="15.6" customHeight="1">
      <c r="A33" s="20" t="s">
        <v>95</v>
      </c>
      <c r="B33" s="210"/>
      <c r="C33" s="164"/>
      <c r="D33" s="165"/>
    </row>
    <row r="34" spans="1:4" ht="15.6" customHeight="1">
      <c r="A34" s="19" t="s">
        <v>96</v>
      </c>
      <c r="B34" s="212"/>
      <c r="C34" s="164"/>
      <c r="D34" s="165"/>
    </row>
    <row r="35" spans="1:4" ht="15.6" customHeight="1">
      <c r="A35" s="19" t="s">
        <v>97</v>
      </c>
      <c r="B35" s="210"/>
      <c r="C35" s="164">
        <v>4939</v>
      </c>
      <c r="D35" s="165"/>
    </row>
    <row r="36" spans="1:4">
      <c r="A36" s="20" t="s">
        <v>98</v>
      </c>
      <c r="B36" s="210">
        <v>3000</v>
      </c>
      <c r="C36" s="167"/>
      <c r="D36" s="165"/>
    </row>
    <row r="37" spans="1:4">
      <c r="A37" s="21" t="s">
        <v>99</v>
      </c>
      <c r="B37" s="210"/>
      <c r="C37" s="167"/>
      <c r="D37" s="165"/>
    </row>
    <row r="38" spans="1:4">
      <c r="A38" s="19" t="s">
        <v>100</v>
      </c>
      <c r="B38" s="210"/>
      <c r="D38" s="165"/>
    </row>
    <row r="39" spans="1:4">
      <c r="A39" s="20" t="s">
        <v>101</v>
      </c>
      <c r="B39" s="210"/>
      <c r="C39" s="167">
        <v>-8890</v>
      </c>
      <c r="D39" s="165"/>
    </row>
    <row r="40" spans="1:4">
      <c r="A40" s="22" t="s">
        <v>102</v>
      </c>
      <c r="B40" s="210"/>
      <c r="C40" s="167"/>
      <c r="D40" s="165"/>
    </row>
    <row r="41" spans="1:4">
      <c r="A41" s="22" t="s">
        <v>103</v>
      </c>
      <c r="B41" s="210"/>
      <c r="C41" s="167"/>
      <c r="D41" s="165"/>
    </row>
    <row r="42" spans="1:4">
      <c r="A42" s="23" t="s">
        <v>104</v>
      </c>
      <c r="B42" s="210">
        <v>0</v>
      </c>
      <c r="C42" s="167">
        <v>87497</v>
      </c>
      <c r="D42" s="165"/>
    </row>
    <row r="43" spans="1:4">
      <c r="A43" s="22" t="s">
        <v>105</v>
      </c>
      <c r="B43" s="210">
        <v>0</v>
      </c>
      <c r="C43" s="167"/>
      <c r="D43" s="165"/>
    </row>
    <row r="44" spans="1:4">
      <c r="A44" s="18" t="s">
        <v>106</v>
      </c>
      <c r="B44" s="210">
        <v>0</v>
      </c>
      <c r="C44" s="167">
        <v>46593</v>
      </c>
      <c r="D44" s="165"/>
    </row>
    <row r="45" spans="1:4">
      <c r="A45" s="223" t="s">
        <v>514</v>
      </c>
      <c r="B45" s="224">
        <f>SUM(B29:B31)</f>
        <v>725400</v>
      </c>
      <c r="C45" s="222">
        <f>SUM(C29:C31)</f>
        <v>1219959</v>
      </c>
      <c r="D45" s="221">
        <f t="shared" si="0"/>
        <v>59.5</v>
      </c>
    </row>
  </sheetData>
  <mergeCells count="1">
    <mergeCell ref="A2:D2"/>
  </mergeCells>
  <phoneticPr fontId="38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3" orientation="portrait" r:id="rId1"/>
  <headerFooter>
    <oddFooter>&amp;C附表1-2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0"/>
  <sheetViews>
    <sheetView workbookViewId="0">
      <pane xSplit="1" ySplit="4" topLeftCell="B23" activePane="bottomRight" state="frozen"/>
      <selection pane="topRight" activeCell="B1" sqref="B1"/>
      <selection pane="bottomLeft" activeCell="A5" sqref="A5"/>
      <selection pane="bottomRight" activeCell="C33" sqref="C33"/>
    </sheetView>
  </sheetViews>
  <sheetFormatPr defaultRowHeight="14.25"/>
  <cols>
    <col min="1" max="1" width="44.625" bestFit="1" customWidth="1"/>
    <col min="2" max="3" width="12.125" customWidth="1"/>
    <col min="4" max="4" width="15.375" customWidth="1"/>
  </cols>
  <sheetData>
    <row r="1" spans="1:7" ht="18" customHeight="1">
      <c r="A1" s="6" t="s">
        <v>440</v>
      </c>
      <c r="B1" s="4"/>
    </row>
    <row r="2" spans="1:7" ht="22.5">
      <c r="A2" s="370" t="s">
        <v>482</v>
      </c>
      <c r="B2" s="370"/>
      <c r="C2" s="370"/>
      <c r="D2" s="370"/>
    </row>
    <row r="3" spans="1:7">
      <c r="A3" s="5"/>
      <c r="B3" s="4"/>
      <c r="D3" s="8" t="s">
        <v>56</v>
      </c>
    </row>
    <row r="4" spans="1:7" ht="37.35" customHeight="1">
      <c r="A4" s="109" t="s">
        <v>370</v>
      </c>
      <c r="B4" s="109" t="s">
        <v>53</v>
      </c>
      <c r="C4" s="110" t="s">
        <v>54</v>
      </c>
      <c r="D4" s="110" t="s">
        <v>55</v>
      </c>
    </row>
    <row r="5" spans="1:7" ht="15.6" customHeight="1">
      <c r="A5" s="72" t="s">
        <v>21</v>
      </c>
      <c r="B5" s="155">
        <f>SUM(B6:B21)</f>
        <v>201200</v>
      </c>
      <c r="C5" s="202">
        <f>SUM(C6:C21)</f>
        <v>175522</v>
      </c>
      <c r="D5" s="207">
        <f>B5/C5*100</f>
        <v>114.6</v>
      </c>
    </row>
    <row r="6" spans="1:7" ht="15.6" customHeight="1">
      <c r="A6" s="70" t="s">
        <v>29</v>
      </c>
      <c r="B6" s="151">
        <v>76500</v>
      </c>
      <c r="C6" s="203">
        <v>44512</v>
      </c>
      <c r="D6" s="207">
        <f t="shared" ref="D6:D31" si="0">B6/C6*100</f>
        <v>171.9</v>
      </c>
    </row>
    <row r="7" spans="1:7" ht="15.6" customHeight="1">
      <c r="A7" s="70" t="s">
        <v>30</v>
      </c>
      <c r="B7" s="151">
        <v>0</v>
      </c>
      <c r="C7" s="204">
        <v>32734</v>
      </c>
      <c r="D7" s="207">
        <f t="shared" si="0"/>
        <v>0</v>
      </c>
    </row>
    <row r="8" spans="1:7" ht="15.6" customHeight="1">
      <c r="A8" s="70" t="s">
        <v>31</v>
      </c>
      <c r="B8" s="151">
        <f>42000+5000</f>
        <v>47000</v>
      </c>
      <c r="C8" s="204">
        <v>30089</v>
      </c>
      <c r="D8" s="207">
        <f t="shared" si="0"/>
        <v>156.19999999999999</v>
      </c>
    </row>
    <row r="9" spans="1:7" ht="15.6" customHeight="1">
      <c r="A9" s="70" t="s">
        <v>32</v>
      </c>
      <c r="B9" s="151">
        <v>0</v>
      </c>
      <c r="C9" s="205">
        <v>0</v>
      </c>
      <c r="D9" s="207"/>
      <c r="G9" s="59"/>
    </row>
    <row r="10" spans="1:7" ht="15.6" customHeight="1">
      <c r="A10" s="70" t="s">
        <v>33</v>
      </c>
      <c r="B10" s="151">
        <f>15600-5000</f>
        <v>10600</v>
      </c>
      <c r="C10" s="205">
        <v>13895</v>
      </c>
      <c r="D10" s="207">
        <f t="shared" si="0"/>
        <v>76.3</v>
      </c>
    </row>
    <row r="11" spans="1:7" ht="15.6" customHeight="1">
      <c r="A11" s="70" t="s">
        <v>34</v>
      </c>
      <c r="B11" s="151">
        <v>70</v>
      </c>
      <c r="C11" s="205">
        <v>40</v>
      </c>
      <c r="D11" s="207">
        <f t="shared" si="0"/>
        <v>175</v>
      </c>
    </row>
    <row r="12" spans="1:7" ht="15.6" customHeight="1">
      <c r="A12" s="70" t="s">
        <v>35</v>
      </c>
      <c r="B12" s="151">
        <v>10900</v>
      </c>
      <c r="C12" s="205">
        <v>8727</v>
      </c>
      <c r="D12" s="207">
        <f t="shared" si="0"/>
        <v>124.9</v>
      </c>
    </row>
    <row r="13" spans="1:7" ht="15.6" customHeight="1">
      <c r="A13" s="70" t="s">
        <v>36</v>
      </c>
      <c r="B13" s="151">
        <v>2400</v>
      </c>
      <c r="C13" s="205">
        <v>2262</v>
      </c>
      <c r="D13" s="207">
        <f t="shared" si="0"/>
        <v>106.1</v>
      </c>
    </row>
    <row r="14" spans="1:7" ht="15.6" customHeight="1">
      <c r="A14" s="70" t="s">
        <v>37</v>
      </c>
      <c r="B14" s="151">
        <v>4200</v>
      </c>
      <c r="C14" s="205">
        <v>4159</v>
      </c>
      <c r="D14" s="207">
        <f t="shared" si="0"/>
        <v>101</v>
      </c>
    </row>
    <row r="15" spans="1:7" ht="15.6" customHeight="1">
      <c r="A15" s="70" t="s">
        <v>38</v>
      </c>
      <c r="B15" s="151">
        <v>8760</v>
      </c>
      <c r="C15" s="205">
        <v>5653</v>
      </c>
      <c r="D15" s="207">
        <f t="shared" si="0"/>
        <v>155</v>
      </c>
    </row>
    <row r="16" spans="1:7" ht="15.6" customHeight="1">
      <c r="A16" s="70" t="s">
        <v>39</v>
      </c>
      <c r="B16" s="151">
        <v>26100</v>
      </c>
      <c r="C16" s="205">
        <v>25162</v>
      </c>
      <c r="D16" s="207">
        <f t="shared" si="0"/>
        <v>103.7</v>
      </c>
    </row>
    <row r="17" spans="1:4" ht="15.6" customHeight="1">
      <c r="A17" s="70" t="s">
        <v>40</v>
      </c>
      <c r="B17" s="151">
        <v>1750</v>
      </c>
      <c r="C17" s="205">
        <v>1614</v>
      </c>
      <c r="D17" s="207">
        <f t="shared" si="0"/>
        <v>108.4</v>
      </c>
    </row>
    <row r="18" spans="1:4" ht="15.6" customHeight="1">
      <c r="A18" s="70" t="s">
        <v>41</v>
      </c>
      <c r="B18" s="151">
        <v>4000</v>
      </c>
      <c r="C18" s="205">
        <v>87</v>
      </c>
      <c r="D18" s="207">
        <f t="shared" si="0"/>
        <v>4597.7</v>
      </c>
    </row>
    <row r="19" spans="1:4" ht="15.6" customHeight="1">
      <c r="A19" s="70" t="s">
        <v>42</v>
      </c>
      <c r="B19" s="151">
        <v>8920</v>
      </c>
      <c r="C19" s="205">
        <v>6588</v>
      </c>
      <c r="D19" s="207">
        <f t="shared" si="0"/>
        <v>135.4</v>
      </c>
    </row>
    <row r="20" spans="1:4" ht="15.6" customHeight="1">
      <c r="A20" s="70" t="s">
        <v>43</v>
      </c>
      <c r="B20" s="151" t="s">
        <v>512</v>
      </c>
      <c r="C20" s="203" t="s">
        <v>512</v>
      </c>
      <c r="D20" s="207"/>
    </row>
    <row r="21" spans="1:4" ht="15.6" customHeight="1">
      <c r="A21" s="70" t="s">
        <v>44</v>
      </c>
      <c r="B21" s="151" t="s">
        <v>512</v>
      </c>
      <c r="C21" s="203" t="s">
        <v>512</v>
      </c>
      <c r="D21" s="207"/>
    </row>
    <row r="22" spans="1:4" ht="15.6" customHeight="1">
      <c r="A22" s="72" t="s">
        <v>23</v>
      </c>
      <c r="B22" s="156">
        <f>SUM(B23:B30)</f>
        <v>65860</v>
      </c>
      <c r="C22" s="206">
        <f>SUM(C23:C30)</f>
        <v>83130</v>
      </c>
      <c r="D22" s="207">
        <f t="shared" si="0"/>
        <v>79.2</v>
      </c>
    </row>
    <row r="23" spans="1:4" ht="15.6" customHeight="1">
      <c r="A23" s="70" t="s">
        <v>45</v>
      </c>
      <c r="B23" s="152">
        <v>37550</v>
      </c>
      <c r="C23" s="205">
        <v>24080</v>
      </c>
      <c r="D23" s="207">
        <f t="shared" si="0"/>
        <v>155.9</v>
      </c>
    </row>
    <row r="24" spans="1:4" ht="15.6" customHeight="1">
      <c r="A24" s="70" t="s">
        <v>46</v>
      </c>
      <c r="B24" s="203">
        <v>700</v>
      </c>
      <c r="C24" s="205">
        <v>7727</v>
      </c>
      <c r="D24" s="207">
        <f t="shared" si="0"/>
        <v>9.1</v>
      </c>
    </row>
    <row r="25" spans="1:4" ht="15.6" customHeight="1">
      <c r="A25" s="70" t="s">
        <v>47</v>
      </c>
      <c r="B25" s="151">
        <v>4350</v>
      </c>
      <c r="C25" s="205">
        <v>35025</v>
      </c>
      <c r="D25" s="207">
        <f t="shared" si="0"/>
        <v>12.4</v>
      </c>
    </row>
    <row r="26" spans="1:4" ht="15.6" customHeight="1">
      <c r="A26" s="70" t="s">
        <v>48</v>
      </c>
      <c r="B26" s="151">
        <v>0</v>
      </c>
      <c r="C26" s="205">
        <v>1000</v>
      </c>
      <c r="D26" s="207">
        <f t="shared" si="0"/>
        <v>0</v>
      </c>
    </row>
    <row r="27" spans="1:4" ht="15.6" customHeight="1">
      <c r="A27" s="70" t="s">
        <v>49</v>
      </c>
      <c r="B27" s="151">
        <f>13000+5000</f>
        <v>18000</v>
      </c>
      <c r="C27" s="205">
        <v>13986</v>
      </c>
      <c r="D27" s="207">
        <f t="shared" si="0"/>
        <v>128.69999999999999</v>
      </c>
    </row>
    <row r="28" spans="1:4" ht="15.6" customHeight="1">
      <c r="A28" s="70" t="s">
        <v>50</v>
      </c>
      <c r="B28" s="151" t="s">
        <v>512</v>
      </c>
      <c r="C28" s="203" t="s">
        <v>512</v>
      </c>
      <c r="D28" s="207"/>
    </row>
    <row r="29" spans="1:4" ht="15.6" customHeight="1">
      <c r="A29" s="70" t="s">
        <v>51</v>
      </c>
      <c r="B29" s="151">
        <v>260</v>
      </c>
      <c r="C29" s="205">
        <v>888</v>
      </c>
      <c r="D29" s="207">
        <f t="shared" si="0"/>
        <v>29.3</v>
      </c>
    </row>
    <row r="30" spans="1:4" ht="15.6" customHeight="1">
      <c r="A30" s="70" t="s">
        <v>52</v>
      </c>
      <c r="B30" s="151">
        <v>5000</v>
      </c>
      <c r="C30" s="205">
        <v>424</v>
      </c>
      <c r="D30" s="207">
        <f t="shared" si="0"/>
        <v>1179.2</v>
      </c>
    </row>
    <row r="31" spans="1:4" ht="15.6" customHeight="1">
      <c r="A31" s="114" t="s">
        <v>24</v>
      </c>
      <c r="B31" s="157">
        <f>B22+B5</f>
        <v>267060</v>
      </c>
      <c r="C31" s="157">
        <f>C22+C5</f>
        <v>258652</v>
      </c>
      <c r="D31" s="235">
        <f t="shared" si="0"/>
        <v>103.3</v>
      </c>
    </row>
    <row r="32" spans="1:4" ht="15.6" customHeight="1">
      <c r="A32" s="115" t="s">
        <v>57</v>
      </c>
      <c r="B32" s="232">
        <v>150000</v>
      </c>
      <c r="C32" s="233">
        <f>139300+43715</f>
        <v>183015</v>
      </c>
      <c r="D32" s="234">
        <f>B32/C32*100</f>
        <v>82</v>
      </c>
    </row>
    <row r="33" spans="1:4" ht="15.6" customHeight="1">
      <c r="A33" s="115" t="s">
        <v>58</v>
      </c>
      <c r="B33" s="115">
        <f>SUM(B34,B38:B43)</f>
        <v>303300</v>
      </c>
      <c r="C33" s="115">
        <f>SUM(C34,C38:C43)</f>
        <v>682597</v>
      </c>
      <c r="D33" s="236">
        <f t="shared" ref="D33:D44" si="1">B33/C33*100</f>
        <v>44.4</v>
      </c>
    </row>
    <row r="34" spans="1:4" ht="15.6" customHeight="1">
      <c r="A34" s="116" t="s">
        <v>59</v>
      </c>
      <c r="B34" s="151">
        <f>SUM(B35:B37)</f>
        <v>205515</v>
      </c>
      <c r="C34" s="151">
        <f>SUM(C35:C37)</f>
        <v>275077</v>
      </c>
      <c r="D34" s="208">
        <f t="shared" si="1"/>
        <v>74.7</v>
      </c>
    </row>
    <row r="35" spans="1:4" ht="15.6" customHeight="1">
      <c r="A35" s="116" t="s">
        <v>60</v>
      </c>
      <c r="B35" s="151">
        <v>45411</v>
      </c>
      <c r="C35" s="154">
        <v>18049</v>
      </c>
      <c r="D35" s="208"/>
    </row>
    <row r="36" spans="1:4" ht="15.6" customHeight="1">
      <c r="A36" s="117" t="s">
        <v>61</v>
      </c>
      <c r="B36" s="203">
        <v>20104</v>
      </c>
      <c r="C36" s="154">
        <v>155554</v>
      </c>
      <c r="D36" s="208">
        <f t="shared" si="1"/>
        <v>12.9</v>
      </c>
    </row>
    <row r="37" spans="1:4" ht="15.6" customHeight="1">
      <c r="A37" s="117" t="s">
        <v>62</v>
      </c>
      <c r="B37" s="151">
        <v>140000</v>
      </c>
      <c r="C37" s="154">
        <v>101474</v>
      </c>
      <c r="D37" s="208"/>
    </row>
    <row r="38" spans="1:4" ht="15.6" customHeight="1">
      <c r="A38" s="118" t="s">
        <v>63</v>
      </c>
      <c r="B38" s="151"/>
      <c r="C38" s="154">
        <v>4825</v>
      </c>
      <c r="D38" s="208"/>
    </row>
    <row r="39" spans="1:4" ht="15.6" customHeight="1">
      <c r="A39" s="117" t="s">
        <v>65</v>
      </c>
      <c r="B39" s="151">
        <v>0</v>
      </c>
      <c r="C39" s="154">
        <v>61117</v>
      </c>
      <c r="D39" s="208">
        <f t="shared" si="1"/>
        <v>0</v>
      </c>
    </row>
    <row r="40" spans="1:4" ht="15.6" customHeight="1">
      <c r="A40" s="116" t="s">
        <v>66</v>
      </c>
      <c r="B40" s="151">
        <v>97785</v>
      </c>
      <c r="C40" s="154">
        <f>82928-8889</f>
        <v>74039</v>
      </c>
      <c r="D40" s="208">
        <f t="shared" si="1"/>
        <v>132.1</v>
      </c>
    </row>
    <row r="41" spans="1:4" ht="15.6" customHeight="1">
      <c r="A41" s="117" t="s">
        <v>67</v>
      </c>
      <c r="B41" s="151">
        <v>0</v>
      </c>
      <c r="C41" s="154">
        <v>267539</v>
      </c>
      <c r="D41" s="208">
        <f t="shared" si="1"/>
        <v>0</v>
      </c>
    </row>
    <row r="42" spans="1:4" ht="15.6" customHeight="1">
      <c r="A42" s="119" t="s">
        <v>64</v>
      </c>
      <c r="B42" s="101"/>
      <c r="C42" s="101"/>
      <c r="D42" s="101"/>
    </row>
    <row r="43" spans="1:4" ht="15.6" customHeight="1">
      <c r="A43" s="117" t="s">
        <v>68</v>
      </c>
      <c r="B43" s="151"/>
      <c r="C43" s="154"/>
      <c r="D43" s="208"/>
    </row>
    <row r="44" spans="1:4" ht="15.6" customHeight="1">
      <c r="A44" s="114" t="s">
        <v>28</v>
      </c>
      <c r="B44" s="201">
        <f>SUM(B31:B33)</f>
        <v>720360</v>
      </c>
      <c r="C44" s="201">
        <f>SUM(C31:C33)</f>
        <v>1124264</v>
      </c>
      <c r="D44" s="209">
        <f t="shared" si="1"/>
        <v>64.099999999999994</v>
      </c>
    </row>
    <row r="45" spans="1:4">
      <c r="A45" s="7"/>
      <c r="B45" s="4"/>
    </row>
    <row r="46" spans="1:4">
      <c r="A46" s="7"/>
      <c r="B46" s="4"/>
    </row>
    <row r="47" spans="1:4">
      <c r="A47" s="7"/>
      <c r="B47" s="4"/>
    </row>
    <row r="48" spans="1:4">
      <c r="A48" s="4"/>
      <c r="B48" s="4"/>
    </row>
    <row r="49" spans="1:2">
      <c r="A49" s="4"/>
      <c r="B49" s="4"/>
    </row>
    <row r="50" spans="1:2">
      <c r="A50" s="4"/>
      <c r="B50" s="4"/>
    </row>
  </sheetData>
  <protectedRanges>
    <protectedRange password="CF6E" sqref="B22:C22" name="区域1_4_2"/>
    <protectedRange password="CF6E" sqref="B23" name="区域1_4_3"/>
    <protectedRange password="CF6E" sqref="C7:C8" name="区域1_1_3_1"/>
  </protectedRanges>
  <mergeCells count="1">
    <mergeCell ref="A2:D2"/>
  </mergeCells>
  <phoneticPr fontId="38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  <headerFooter>
    <oddFooter>&amp;C附表1-3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589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565" sqref="F565"/>
    </sheetView>
  </sheetViews>
  <sheetFormatPr defaultRowHeight="13.5"/>
  <cols>
    <col min="1" max="1" width="35.25" style="350" customWidth="1"/>
    <col min="2" max="3" width="12.125" style="348" customWidth="1"/>
    <col min="4" max="4" width="15.125" style="349" customWidth="1"/>
    <col min="5" max="5" width="9" style="348"/>
    <col min="6" max="6" width="11.625" style="348" bestFit="1" customWidth="1"/>
    <col min="7" max="7" width="34.375" style="348" customWidth="1"/>
    <col min="8" max="9" width="7.5" style="348" bestFit="1" customWidth="1"/>
    <col min="10" max="10" width="8.5" style="348" bestFit="1" customWidth="1"/>
    <col min="11" max="16384" width="9" style="348"/>
  </cols>
  <sheetData>
    <row r="1" spans="1:4" ht="14.25">
      <c r="A1" s="363" t="s">
        <v>2447</v>
      </c>
    </row>
    <row r="2" spans="1:4" ht="30" customHeight="1">
      <c r="A2" s="371" t="s">
        <v>2446</v>
      </c>
      <c r="B2" s="371"/>
      <c r="C2" s="371"/>
      <c r="D2" s="371"/>
    </row>
    <row r="3" spans="1:4">
      <c r="D3" s="362" t="s">
        <v>2445</v>
      </c>
    </row>
    <row r="4" spans="1:4" ht="32.450000000000003" customHeight="1">
      <c r="A4" s="354" t="s">
        <v>2444</v>
      </c>
      <c r="B4" s="354" t="s">
        <v>2443</v>
      </c>
      <c r="C4" s="354" t="s">
        <v>2442</v>
      </c>
      <c r="D4" s="361" t="s">
        <v>2441</v>
      </c>
    </row>
    <row r="5" spans="1:4" s="358" customFormat="1">
      <c r="A5" s="360" t="s">
        <v>22</v>
      </c>
      <c r="B5" s="359">
        <v>44872</v>
      </c>
      <c r="C5" s="359">
        <v>37190</v>
      </c>
      <c r="D5" s="352">
        <f>B5/C5*100</f>
        <v>120.7</v>
      </c>
    </row>
    <row r="6" spans="1:4">
      <c r="A6" s="357" t="s">
        <v>2003</v>
      </c>
      <c r="B6" s="356">
        <v>767</v>
      </c>
      <c r="C6" s="356">
        <v>658</v>
      </c>
      <c r="D6" s="355">
        <f>B6/C6*100</f>
        <v>116.6</v>
      </c>
    </row>
    <row r="7" spans="1:4">
      <c r="A7" s="357" t="s">
        <v>2271</v>
      </c>
      <c r="B7" s="356">
        <v>517</v>
      </c>
      <c r="C7" s="356">
        <v>554</v>
      </c>
      <c r="D7" s="355">
        <f>B7/C7*100</f>
        <v>93.3</v>
      </c>
    </row>
    <row r="8" spans="1:4">
      <c r="A8" s="357" t="s">
        <v>2241</v>
      </c>
      <c r="B8" s="356">
        <v>83</v>
      </c>
      <c r="C8" s="356"/>
      <c r="D8" s="355"/>
    </row>
    <row r="9" spans="1:4">
      <c r="A9" s="357" t="s">
        <v>2440</v>
      </c>
      <c r="B9" s="356">
        <v>75</v>
      </c>
      <c r="C9" s="356">
        <v>73</v>
      </c>
      <c r="D9" s="355">
        <f>B9/C9*100</f>
        <v>102.7</v>
      </c>
    </row>
    <row r="10" spans="1:4">
      <c r="A10" s="357" t="s">
        <v>2439</v>
      </c>
      <c r="B10" s="356">
        <v>20</v>
      </c>
      <c r="C10" s="356">
        <v>15</v>
      </c>
      <c r="D10" s="355">
        <f>B10/C10*100</f>
        <v>133.30000000000001</v>
      </c>
    </row>
    <row r="11" spans="1:4">
      <c r="A11" s="357" t="s">
        <v>2438</v>
      </c>
      <c r="B11" s="356">
        <v>21</v>
      </c>
      <c r="C11" s="356">
        <v>16</v>
      </c>
      <c r="D11" s="355">
        <f>B11/C11*100</f>
        <v>131.30000000000001</v>
      </c>
    </row>
    <row r="12" spans="1:4">
      <c r="A12" s="357" t="s">
        <v>2238</v>
      </c>
      <c r="B12" s="356">
        <v>51</v>
      </c>
      <c r="C12" s="356"/>
      <c r="D12" s="355"/>
    </row>
    <row r="13" spans="1:4">
      <c r="A13" s="357" t="s">
        <v>2004</v>
      </c>
      <c r="B13" s="356">
        <v>423</v>
      </c>
      <c r="C13" s="356">
        <v>442</v>
      </c>
      <c r="D13" s="355">
        <f t="shared" ref="D13:D21" si="0">B13/C13*100</f>
        <v>95.7</v>
      </c>
    </row>
    <row r="14" spans="1:4">
      <c r="A14" s="357" t="s">
        <v>2271</v>
      </c>
      <c r="B14" s="356">
        <v>335</v>
      </c>
      <c r="C14" s="356">
        <v>346</v>
      </c>
      <c r="D14" s="355">
        <f t="shared" si="0"/>
        <v>96.8</v>
      </c>
    </row>
    <row r="15" spans="1:4">
      <c r="A15" s="357" t="s">
        <v>2241</v>
      </c>
      <c r="B15" s="356">
        <v>88</v>
      </c>
      <c r="C15" s="356">
        <v>96</v>
      </c>
      <c r="D15" s="355">
        <f t="shared" si="0"/>
        <v>91.7</v>
      </c>
    </row>
    <row r="16" spans="1:4">
      <c r="A16" s="357" t="s">
        <v>2437</v>
      </c>
      <c r="B16" s="356">
        <v>23330</v>
      </c>
      <c r="C16" s="356">
        <v>11394</v>
      </c>
      <c r="D16" s="355">
        <f t="shared" si="0"/>
        <v>204.8</v>
      </c>
    </row>
    <row r="17" spans="1:4">
      <c r="A17" s="357" t="s">
        <v>2271</v>
      </c>
      <c r="B17" s="356">
        <v>8504</v>
      </c>
      <c r="C17" s="356">
        <v>6884</v>
      </c>
      <c r="D17" s="355">
        <f t="shared" si="0"/>
        <v>123.5</v>
      </c>
    </row>
    <row r="18" spans="1:4">
      <c r="A18" s="357" t="s">
        <v>2241</v>
      </c>
      <c r="B18" s="356">
        <v>13833</v>
      </c>
      <c r="C18" s="356">
        <v>3621</v>
      </c>
      <c r="D18" s="355">
        <f t="shared" si="0"/>
        <v>382</v>
      </c>
    </row>
    <row r="19" spans="1:4">
      <c r="A19" s="357" t="s">
        <v>2293</v>
      </c>
      <c r="B19" s="356">
        <v>765</v>
      </c>
      <c r="C19" s="356">
        <v>550</v>
      </c>
      <c r="D19" s="355">
        <f t="shared" si="0"/>
        <v>139.1</v>
      </c>
    </row>
    <row r="20" spans="1:4">
      <c r="A20" s="357" t="s">
        <v>2436</v>
      </c>
      <c r="B20" s="356"/>
      <c r="C20" s="356">
        <v>58</v>
      </c>
      <c r="D20" s="355">
        <f t="shared" si="0"/>
        <v>0</v>
      </c>
    </row>
    <row r="21" spans="1:4">
      <c r="A21" s="357" t="s">
        <v>2435</v>
      </c>
      <c r="B21" s="356">
        <v>177</v>
      </c>
      <c r="C21" s="356">
        <v>160</v>
      </c>
      <c r="D21" s="355">
        <f t="shared" si="0"/>
        <v>110.6</v>
      </c>
    </row>
    <row r="22" spans="1:4">
      <c r="A22" s="357" t="s">
        <v>2238</v>
      </c>
      <c r="B22" s="356">
        <v>51</v>
      </c>
      <c r="C22" s="356"/>
      <c r="D22" s="355"/>
    </row>
    <row r="23" spans="1:4" ht="27">
      <c r="A23" s="357" t="s">
        <v>2434</v>
      </c>
      <c r="B23" s="356"/>
      <c r="C23" s="356">
        <v>121</v>
      </c>
      <c r="D23" s="355">
        <f t="shared" ref="D23:D33" si="1">B23/C23*100</f>
        <v>0</v>
      </c>
    </row>
    <row r="24" spans="1:4">
      <c r="A24" s="357" t="s">
        <v>2005</v>
      </c>
      <c r="B24" s="356">
        <v>2563</v>
      </c>
      <c r="C24" s="356">
        <v>4324</v>
      </c>
      <c r="D24" s="355">
        <f t="shared" si="1"/>
        <v>59.3</v>
      </c>
    </row>
    <row r="25" spans="1:4">
      <c r="A25" s="357" t="s">
        <v>2271</v>
      </c>
      <c r="B25" s="356">
        <v>1250</v>
      </c>
      <c r="C25" s="356">
        <v>1917</v>
      </c>
      <c r="D25" s="355">
        <f t="shared" si="1"/>
        <v>65.2</v>
      </c>
    </row>
    <row r="26" spans="1:4">
      <c r="A26" s="357" t="s">
        <v>2241</v>
      </c>
      <c r="B26" s="356">
        <v>1313</v>
      </c>
      <c r="C26" s="356">
        <v>351</v>
      </c>
      <c r="D26" s="355">
        <f t="shared" si="1"/>
        <v>374.1</v>
      </c>
    </row>
    <row r="27" spans="1:4">
      <c r="A27" s="357" t="s">
        <v>2433</v>
      </c>
      <c r="B27" s="356"/>
      <c r="C27" s="356">
        <v>50</v>
      </c>
      <c r="D27" s="355">
        <f t="shared" si="1"/>
        <v>0</v>
      </c>
    </row>
    <row r="28" spans="1:4">
      <c r="A28" s="357" t="s">
        <v>2432</v>
      </c>
      <c r="B28" s="356"/>
      <c r="C28" s="356">
        <v>3</v>
      </c>
      <c r="D28" s="355">
        <f t="shared" si="1"/>
        <v>0</v>
      </c>
    </row>
    <row r="29" spans="1:4">
      <c r="A29" s="357" t="s">
        <v>2431</v>
      </c>
      <c r="B29" s="356"/>
      <c r="C29" s="356">
        <v>27</v>
      </c>
      <c r="D29" s="355">
        <f t="shared" si="1"/>
        <v>0</v>
      </c>
    </row>
    <row r="30" spans="1:4">
      <c r="A30" s="357" t="s">
        <v>2430</v>
      </c>
      <c r="B30" s="356"/>
      <c r="C30" s="356">
        <v>1976</v>
      </c>
      <c r="D30" s="355">
        <f t="shared" si="1"/>
        <v>0</v>
      </c>
    </row>
    <row r="31" spans="1:4">
      <c r="A31" s="357" t="s">
        <v>2006</v>
      </c>
      <c r="B31" s="356">
        <v>918</v>
      </c>
      <c r="C31" s="356">
        <v>415</v>
      </c>
      <c r="D31" s="355">
        <f t="shared" si="1"/>
        <v>221.2</v>
      </c>
    </row>
    <row r="32" spans="1:4">
      <c r="A32" s="357" t="s">
        <v>2271</v>
      </c>
      <c r="B32" s="356">
        <v>531</v>
      </c>
      <c r="C32" s="356">
        <v>401</v>
      </c>
      <c r="D32" s="355">
        <f t="shared" si="1"/>
        <v>132.4</v>
      </c>
    </row>
    <row r="33" spans="1:4">
      <c r="A33" s="357" t="s">
        <v>2241</v>
      </c>
      <c r="B33" s="356">
        <v>64</v>
      </c>
      <c r="C33" s="356">
        <v>14</v>
      </c>
      <c r="D33" s="355">
        <f t="shared" si="1"/>
        <v>457.1</v>
      </c>
    </row>
    <row r="34" spans="1:4">
      <c r="A34" s="357" t="s">
        <v>2293</v>
      </c>
      <c r="B34" s="356">
        <v>6</v>
      </c>
      <c r="C34" s="356"/>
      <c r="D34" s="355"/>
    </row>
    <row r="35" spans="1:4">
      <c r="A35" s="357" t="s">
        <v>2429</v>
      </c>
      <c r="B35" s="356">
        <v>317</v>
      </c>
      <c r="C35" s="356"/>
      <c r="D35" s="355"/>
    </row>
    <row r="36" spans="1:4">
      <c r="A36" s="357" t="s">
        <v>2007</v>
      </c>
      <c r="B36" s="356">
        <v>2266</v>
      </c>
      <c r="C36" s="356">
        <v>2224</v>
      </c>
      <c r="D36" s="355">
        <f>B36/C36*100</f>
        <v>101.9</v>
      </c>
    </row>
    <row r="37" spans="1:4">
      <c r="A37" s="357" t="s">
        <v>2271</v>
      </c>
      <c r="B37" s="356">
        <v>840</v>
      </c>
      <c r="C37" s="356">
        <v>1130</v>
      </c>
      <c r="D37" s="355">
        <f>B37/C37*100</f>
        <v>74.3</v>
      </c>
    </row>
    <row r="38" spans="1:4">
      <c r="A38" s="357" t="s">
        <v>2241</v>
      </c>
      <c r="B38" s="356">
        <v>87</v>
      </c>
      <c r="C38" s="356">
        <v>41</v>
      </c>
      <c r="D38" s="355">
        <f>B38/C38*100</f>
        <v>212.2</v>
      </c>
    </row>
    <row r="39" spans="1:4">
      <c r="A39" s="357" t="s">
        <v>2293</v>
      </c>
      <c r="B39" s="356">
        <v>155</v>
      </c>
      <c r="C39" s="356">
        <v>94</v>
      </c>
      <c r="D39" s="355">
        <f>B39/C39*100</f>
        <v>164.9</v>
      </c>
    </row>
    <row r="40" spans="1:4">
      <c r="A40" s="357" t="s">
        <v>2428</v>
      </c>
      <c r="B40" s="356">
        <v>80</v>
      </c>
      <c r="C40" s="356"/>
      <c r="D40" s="355"/>
    </row>
    <row r="41" spans="1:4">
      <c r="A41" s="357" t="s">
        <v>2383</v>
      </c>
      <c r="B41" s="356">
        <v>107</v>
      </c>
      <c r="C41" s="356"/>
      <c r="D41" s="355"/>
    </row>
    <row r="42" spans="1:4">
      <c r="A42" s="357" t="s">
        <v>2238</v>
      </c>
      <c r="B42" s="356">
        <v>997</v>
      </c>
      <c r="C42" s="356">
        <v>831</v>
      </c>
      <c r="D42" s="355">
        <f t="shared" ref="D42:D48" si="2">B42/C42*100</f>
        <v>120</v>
      </c>
    </row>
    <row r="43" spans="1:4">
      <c r="A43" s="357" t="s">
        <v>2427</v>
      </c>
      <c r="B43" s="356"/>
      <c r="C43" s="356">
        <v>68</v>
      </c>
      <c r="D43" s="355">
        <f t="shared" si="2"/>
        <v>0</v>
      </c>
    </row>
    <row r="44" spans="1:4">
      <c r="A44" s="357" t="s">
        <v>2426</v>
      </c>
      <c r="B44" s="356"/>
      <c r="C44" s="356">
        <v>55</v>
      </c>
      <c r="D44" s="355">
        <f t="shared" si="2"/>
        <v>0</v>
      </c>
    </row>
    <row r="45" spans="1:4">
      <c r="A45" s="357" t="s">
        <v>2425</v>
      </c>
      <c r="B45" s="356"/>
      <c r="C45" s="356">
        <v>5</v>
      </c>
      <c r="D45" s="355">
        <f t="shared" si="2"/>
        <v>0</v>
      </c>
    </row>
    <row r="46" spans="1:4">
      <c r="A46" s="357" t="s">
        <v>2008</v>
      </c>
      <c r="B46" s="356">
        <v>2300</v>
      </c>
      <c r="C46" s="356">
        <v>2520</v>
      </c>
      <c r="D46" s="355">
        <f t="shared" si="2"/>
        <v>91.3</v>
      </c>
    </row>
    <row r="47" spans="1:4">
      <c r="A47" s="357" t="s">
        <v>2241</v>
      </c>
      <c r="B47" s="356">
        <v>2300</v>
      </c>
      <c r="C47" s="356">
        <v>2520</v>
      </c>
      <c r="D47" s="355">
        <f t="shared" si="2"/>
        <v>91.3</v>
      </c>
    </row>
    <row r="48" spans="1:4">
      <c r="A48" s="357" t="s">
        <v>2009</v>
      </c>
      <c r="B48" s="356">
        <v>382</v>
      </c>
      <c r="C48" s="356">
        <v>23</v>
      </c>
      <c r="D48" s="355">
        <f t="shared" si="2"/>
        <v>1660.9</v>
      </c>
    </row>
    <row r="49" spans="1:4">
      <c r="A49" s="357" t="s">
        <v>2271</v>
      </c>
      <c r="B49" s="356">
        <v>10</v>
      </c>
      <c r="C49" s="356"/>
      <c r="D49" s="355"/>
    </row>
    <row r="50" spans="1:4">
      <c r="A50" s="357" t="s">
        <v>2241</v>
      </c>
      <c r="B50" s="356">
        <v>315</v>
      </c>
      <c r="C50" s="356"/>
      <c r="D50" s="355"/>
    </row>
    <row r="51" spans="1:4">
      <c r="A51" s="357" t="s">
        <v>2238</v>
      </c>
      <c r="B51" s="356">
        <v>57</v>
      </c>
      <c r="C51" s="356">
        <v>23</v>
      </c>
      <c r="D51" s="355">
        <f t="shared" ref="D51:D66" si="3">B51/C51*100</f>
        <v>247.8</v>
      </c>
    </row>
    <row r="52" spans="1:4">
      <c r="A52" s="357" t="s">
        <v>2010</v>
      </c>
      <c r="B52" s="356">
        <v>600</v>
      </c>
      <c r="C52" s="356">
        <v>2096</v>
      </c>
      <c r="D52" s="355">
        <f t="shared" si="3"/>
        <v>28.6</v>
      </c>
    </row>
    <row r="53" spans="1:4">
      <c r="A53" s="357" t="s">
        <v>2271</v>
      </c>
      <c r="B53" s="356">
        <v>600</v>
      </c>
      <c r="C53" s="356">
        <v>700</v>
      </c>
      <c r="D53" s="355">
        <f t="shared" si="3"/>
        <v>85.7</v>
      </c>
    </row>
    <row r="54" spans="1:4">
      <c r="A54" s="357" t="s">
        <v>2424</v>
      </c>
      <c r="B54" s="356"/>
      <c r="C54" s="356">
        <v>1396</v>
      </c>
      <c r="D54" s="355">
        <f t="shared" si="3"/>
        <v>0</v>
      </c>
    </row>
    <row r="55" spans="1:4">
      <c r="A55" s="357" t="s">
        <v>2011</v>
      </c>
      <c r="B55" s="356">
        <v>2086</v>
      </c>
      <c r="C55" s="356">
        <v>260</v>
      </c>
      <c r="D55" s="355">
        <f t="shared" si="3"/>
        <v>802.3</v>
      </c>
    </row>
    <row r="56" spans="1:4">
      <c r="A56" s="357" t="s">
        <v>2238</v>
      </c>
      <c r="B56" s="356">
        <v>2086</v>
      </c>
      <c r="C56" s="356">
        <v>34</v>
      </c>
      <c r="D56" s="355">
        <f t="shared" si="3"/>
        <v>6135.3</v>
      </c>
    </row>
    <row r="57" spans="1:4">
      <c r="A57" s="357" t="s">
        <v>2325</v>
      </c>
      <c r="B57" s="356"/>
      <c r="C57" s="356">
        <v>113</v>
      </c>
      <c r="D57" s="355">
        <f t="shared" si="3"/>
        <v>0</v>
      </c>
    </row>
    <row r="58" spans="1:4">
      <c r="A58" s="357" t="s">
        <v>2423</v>
      </c>
      <c r="B58" s="356"/>
      <c r="C58" s="356">
        <v>10</v>
      </c>
      <c r="D58" s="355">
        <f t="shared" si="3"/>
        <v>0</v>
      </c>
    </row>
    <row r="59" spans="1:4">
      <c r="A59" s="357" t="s">
        <v>2422</v>
      </c>
      <c r="B59" s="356"/>
      <c r="C59" s="356">
        <v>50</v>
      </c>
      <c r="D59" s="355">
        <f t="shared" si="3"/>
        <v>0</v>
      </c>
    </row>
    <row r="60" spans="1:4">
      <c r="A60" s="357" t="s">
        <v>2421</v>
      </c>
      <c r="B60" s="356"/>
      <c r="C60" s="356">
        <v>53</v>
      </c>
      <c r="D60" s="355">
        <f t="shared" si="3"/>
        <v>0</v>
      </c>
    </row>
    <row r="61" spans="1:4">
      <c r="A61" s="357" t="s">
        <v>2012</v>
      </c>
      <c r="B61" s="356">
        <v>1382</v>
      </c>
      <c r="C61" s="356">
        <v>1592</v>
      </c>
      <c r="D61" s="355">
        <f t="shared" si="3"/>
        <v>86.8</v>
      </c>
    </row>
    <row r="62" spans="1:4">
      <c r="A62" s="357" t="s">
        <v>2271</v>
      </c>
      <c r="B62" s="356">
        <v>1067</v>
      </c>
      <c r="C62" s="356">
        <v>1183</v>
      </c>
      <c r="D62" s="355">
        <f t="shared" si="3"/>
        <v>90.2</v>
      </c>
    </row>
    <row r="63" spans="1:4">
      <c r="A63" s="357" t="s">
        <v>2241</v>
      </c>
      <c r="B63" s="356">
        <v>315</v>
      </c>
      <c r="C63" s="356">
        <v>409</v>
      </c>
      <c r="D63" s="355">
        <f t="shared" si="3"/>
        <v>77</v>
      </c>
    </row>
    <row r="64" spans="1:4">
      <c r="A64" s="357" t="s">
        <v>2013</v>
      </c>
      <c r="B64" s="356">
        <v>669</v>
      </c>
      <c r="C64" s="356">
        <v>1146</v>
      </c>
      <c r="D64" s="355">
        <f t="shared" si="3"/>
        <v>58.4</v>
      </c>
    </row>
    <row r="65" spans="1:4">
      <c r="A65" s="357" t="s">
        <v>2271</v>
      </c>
      <c r="B65" s="356">
        <v>54</v>
      </c>
      <c r="C65" s="356">
        <v>413</v>
      </c>
      <c r="D65" s="355">
        <f t="shared" si="3"/>
        <v>13.1</v>
      </c>
    </row>
    <row r="66" spans="1:4">
      <c r="A66" s="357" t="s">
        <v>2241</v>
      </c>
      <c r="B66" s="356">
        <v>30</v>
      </c>
      <c r="C66" s="356">
        <v>278</v>
      </c>
      <c r="D66" s="355">
        <f t="shared" si="3"/>
        <v>10.8</v>
      </c>
    </row>
    <row r="67" spans="1:4" ht="18.600000000000001" customHeight="1">
      <c r="A67" s="357" t="s">
        <v>2420</v>
      </c>
      <c r="B67" s="356">
        <v>100</v>
      </c>
      <c r="C67" s="356"/>
      <c r="D67" s="355"/>
    </row>
    <row r="68" spans="1:4">
      <c r="A68" s="357" t="s">
        <v>2238</v>
      </c>
      <c r="B68" s="356">
        <v>485</v>
      </c>
      <c r="C68" s="356">
        <v>455</v>
      </c>
      <c r="D68" s="355">
        <f>B68/C68*100</f>
        <v>106.6</v>
      </c>
    </row>
    <row r="69" spans="1:4">
      <c r="A69" s="357" t="s">
        <v>2014</v>
      </c>
      <c r="B69" s="356">
        <v>2352</v>
      </c>
      <c r="C69" s="356">
        <v>2430</v>
      </c>
      <c r="D69" s="355">
        <f>B69/C69*100</f>
        <v>96.8</v>
      </c>
    </row>
    <row r="70" spans="1:4">
      <c r="A70" s="357" t="s">
        <v>2271</v>
      </c>
      <c r="B70" s="356">
        <v>1881</v>
      </c>
      <c r="C70" s="356">
        <v>2077</v>
      </c>
      <c r="D70" s="355">
        <f>B70/C70*100</f>
        <v>90.6</v>
      </c>
    </row>
    <row r="71" spans="1:4">
      <c r="A71" s="357" t="s">
        <v>2241</v>
      </c>
      <c r="B71" s="356">
        <v>267</v>
      </c>
      <c r="C71" s="356">
        <v>209</v>
      </c>
      <c r="D71" s="355">
        <f>B71/C71*100</f>
        <v>127.8</v>
      </c>
    </row>
    <row r="72" spans="1:4">
      <c r="A72" s="357" t="s">
        <v>2419</v>
      </c>
      <c r="B72" s="356">
        <v>50</v>
      </c>
      <c r="C72" s="356"/>
      <c r="D72" s="355"/>
    </row>
    <row r="73" spans="1:4">
      <c r="A73" s="357" t="s">
        <v>2418</v>
      </c>
      <c r="B73" s="356">
        <v>30</v>
      </c>
      <c r="C73" s="356">
        <v>24</v>
      </c>
      <c r="D73" s="355">
        <f t="shared" ref="D73:D82" si="4">B73/C73*100</f>
        <v>125</v>
      </c>
    </row>
    <row r="74" spans="1:4">
      <c r="A74" s="357" t="s">
        <v>2383</v>
      </c>
      <c r="B74" s="356">
        <v>30</v>
      </c>
      <c r="C74" s="356">
        <v>1</v>
      </c>
      <c r="D74" s="355">
        <f t="shared" si="4"/>
        <v>3000</v>
      </c>
    </row>
    <row r="75" spans="1:4">
      <c r="A75" s="357" t="s">
        <v>2417</v>
      </c>
      <c r="B75" s="356">
        <v>94</v>
      </c>
      <c r="C75" s="356">
        <v>119</v>
      </c>
      <c r="D75" s="355">
        <f t="shared" si="4"/>
        <v>79</v>
      </c>
    </row>
    <row r="76" spans="1:4">
      <c r="A76" s="357" t="s">
        <v>2015</v>
      </c>
      <c r="B76" s="356">
        <v>456</v>
      </c>
      <c r="C76" s="356">
        <v>512</v>
      </c>
      <c r="D76" s="355">
        <f t="shared" si="4"/>
        <v>89.1</v>
      </c>
    </row>
    <row r="77" spans="1:4">
      <c r="A77" s="357" t="s">
        <v>2271</v>
      </c>
      <c r="B77" s="356">
        <v>300</v>
      </c>
      <c r="C77" s="356">
        <v>81</v>
      </c>
      <c r="D77" s="355">
        <f t="shared" si="4"/>
        <v>370.4</v>
      </c>
    </row>
    <row r="78" spans="1:4">
      <c r="A78" s="357" t="s">
        <v>2241</v>
      </c>
      <c r="B78" s="356">
        <v>5</v>
      </c>
      <c r="C78" s="356">
        <v>7</v>
      </c>
      <c r="D78" s="355">
        <f t="shared" si="4"/>
        <v>71.400000000000006</v>
      </c>
    </row>
    <row r="79" spans="1:4">
      <c r="A79" s="357" t="s">
        <v>2238</v>
      </c>
      <c r="B79" s="356">
        <v>146</v>
      </c>
      <c r="C79" s="356">
        <v>117</v>
      </c>
      <c r="D79" s="355">
        <f t="shared" si="4"/>
        <v>124.8</v>
      </c>
    </row>
    <row r="80" spans="1:4" ht="27">
      <c r="A80" s="357" t="s">
        <v>2416</v>
      </c>
      <c r="B80" s="356">
        <v>5</v>
      </c>
      <c r="C80" s="356">
        <v>7</v>
      </c>
      <c r="D80" s="355">
        <f t="shared" si="4"/>
        <v>71.400000000000006</v>
      </c>
    </row>
    <row r="81" spans="1:4" ht="27">
      <c r="A81" s="357" t="s">
        <v>2415</v>
      </c>
      <c r="B81" s="356"/>
      <c r="C81" s="356">
        <v>300</v>
      </c>
      <c r="D81" s="355">
        <f t="shared" si="4"/>
        <v>0</v>
      </c>
    </row>
    <row r="82" spans="1:4">
      <c r="A82" s="357" t="s">
        <v>2016</v>
      </c>
      <c r="B82" s="356"/>
      <c r="C82" s="356">
        <v>90</v>
      </c>
      <c r="D82" s="355">
        <f t="shared" si="4"/>
        <v>0</v>
      </c>
    </row>
    <row r="83" spans="1:4">
      <c r="A83" s="357" t="s">
        <v>2271</v>
      </c>
      <c r="B83" s="356">
        <v>315.83</v>
      </c>
      <c r="C83" s="356"/>
      <c r="D83" s="355"/>
    </row>
    <row r="84" spans="1:4">
      <c r="A84" s="357" t="s">
        <v>2241</v>
      </c>
      <c r="B84" s="356">
        <v>205</v>
      </c>
      <c r="C84" s="356"/>
      <c r="D84" s="355"/>
    </row>
    <row r="85" spans="1:4">
      <c r="A85" s="357" t="s">
        <v>2413</v>
      </c>
      <c r="B85" s="356">
        <v>730</v>
      </c>
      <c r="C85" s="356"/>
      <c r="D85" s="355"/>
    </row>
    <row r="86" spans="1:4">
      <c r="A86" s="357" t="s">
        <v>2412</v>
      </c>
      <c r="B86" s="356">
        <v>5</v>
      </c>
      <c r="C86" s="356"/>
      <c r="D86" s="355"/>
    </row>
    <row r="87" spans="1:4">
      <c r="A87" s="357" t="s">
        <v>2238</v>
      </c>
      <c r="B87" s="356">
        <v>60.13</v>
      </c>
      <c r="C87" s="356"/>
      <c r="D87" s="355"/>
    </row>
    <row r="88" spans="1:4">
      <c r="A88" s="357" t="s">
        <v>2414</v>
      </c>
      <c r="B88" s="356"/>
      <c r="C88" s="356">
        <v>90</v>
      </c>
      <c r="D88" s="355">
        <f t="shared" ref="D88:D93" si="5">B88/C88*100</f>
        <v>0</v>
      </c>
    </row>
    <row r="89" spans="1:4">
      <c r="A89" s="357" t="s">
        <v>2017</v>
      </c>
      <c r="B89" s="356">
        <v>1316</v>
      </c>
      <c r="C89" s="356">
        <v>1035</v>
      </c>
      <c r="D89" s="355">
        <f t="shared" si="5"/>
        <v>127.1</v>
      </c>
    </row>
    <row r="90" spans="1:4">
      <c r="A90" s="357" t="s">
        <v>2271</v>
      </c>
      <c r="B90" s="356">
        <v>316</v>
      </c>
      <c r="C90" s="356">
        <v>370</v>
      </c>
      <c r="D90" s="355">
        <f t="shared" si="5"/>
        <v>85.4</v>
      </c>
    </row>
    <row r="91" spans="1:4">
      <c r="A91" s="357" t="s">
        <v>2241</v>
      </c>
      <c r="B91" s="356">
        <v>205</v>
      </c>
      <c r="C91" s="356">
        <v>326</v>
      </c>
      <c r="D91" s="355">
        <f t="shared" si="5"/>
        <v>62.9</v>
      </c>
    </row>
    <row r="92" spans="1:4">
      <c r="A92" s="357" t="s">
        <v>2413</v>
      </c>
      <c r="B92" s="356">
        <v>730</v>
      </c>
      <c r="C92" s="356">
        <v>335</v>
      </c>
      <c r="D92" s="355">
        <f t="shared" si="5"/>
        <v>217.9</v>
      </c>
    </row>
    <row r="93" spans="1:4">
      <c r="A93" s="357" t="s">
        <v>2412</v>
      </c>
      <c r="B93" s="356">
        <v>5</v>
      </c>
      <c r="C93" s="356">
        <v>4</v>
      </c>
      <c r="D93" s="355">
        <f t="shared" si="5"/>
        <v>125</v>
      </c>
    </row>
    <row r="94" spans="1:4">
      <c r="A94" s="357" t="s">
        <v>2238</v>
      </c>
      <c r="B94" s="356">
        <v>60</v>
      </c>
      <c r="C94" s="356"/>
      <c r="D94" s="355"/>
    </row>
    <row r="95" spans="1:4">
      <c r="A95" s="357" t="s">
        <v>2018</v>
      </c>
      <c r="B95" s="356">
        <v>143</v>
      </c>
      <c r="C95" s="356">
        <v>298</v>
      </c>
      <c r="D95" s="355">
        <f t="shared" ref="D95:D116" si="6">B95/C95*100</f>
        <v>48</v>
      </c>
    </row>
    <row r="96" spans="1:4">
      <c r="A96" s="357" t="s">
        <v>2271</v>
      </c>
      <c r="B96" s="356">
        <v>143</v>
      </c>
      <c r="C96" s="356">
        <v>184</v>
      </c>
      <c r="D96" s="355">
        <f t="shared" si="6"/>
        <v>77.7</v>
      </c>
    </row>
    <row r="97" spans="1:4">
      <c r="A97" s="357" t="s">
        <v>2411</v>
      </c>
      <c r="B97" s="356"/>
      <c r="C97" s="356">
        <v>114</v>
      </c>
      <c r="D97" s="355">
        <f t="shared" si="6"/>
        <v>0</v>
      </c>
    </row>
    <row r="98" spans="1:4">
      <c r="A98" s="357" t="s">
        <v>2019</v>
      </c>
      <c r="B98" s="356">
        <v>133</v>
      </c>
      <c r="C98" s="356">
        <v>165</v>
      </c>
      <c r="D98" s="355">
        <f t="shared" si="6"/>
        <v>80.599999999999994</v>
      </c>
    </row>
    <row r="99" spans="1:4">
      <c r="A99" s="357" t="s">
        <v>2271</v>
      </c>
      <c r="B99" s="356">
        <v>121</v>
      </c>
      <c r="C99" s="356">
        <v>123</v>
      </c>
      <c r="D99" s="355">
        <f t="shared" si="6"/>
        <v>98.4</v>
      </c>
    </row>
    <row r="100" spans="1:4">
      <c r="A100" s="357" t="s">
        <v>2241</v>
      </c>
      <c r="B100" s="356">
        <v>12</v>
      </c>
      <c r="C100" s="356">
        <v>42</v>
      </c>
      <c r="D100" s="355">
        <f t="shared" si="6"/>
        <v>28.6</v>
      </c>
    </row>
    <row r="101" spans="1:4">
      <c r="A101" s="357" t="s">
        <v>2020</v>
      </c>
      <c r="B101" s="356">
        <v>528</v>
      </c>
      <c r="C101" s="356">
        <v>366</v>
      </c>
      <c r="D101" s="355">
        <f t="shared" si="6"/>
        <v>144.30000000000001</v>
      </c>
    </row>
    <row r="102" spans="1:4">
      <c r="A102" s="357" t="s">
        <v>2271</v>
      </c>
      <c r="B102" s="356">
        <v>218</v>
      </c>
      <c r="C102" s="356">
        <v>196</v>
      </c>
      <c r="D102" s="355">
        <f t="shared" si="6"/>
        <v>111.2</v>
      </c>
    </row>
    <row r="103" spans="1:4">
      <c r="A103" s="357" t="s">
        <v>2241</v>
      </c>
      <c r="B103" s="356">
        <v>265</v>
      </c>
      <c r="C103" s="356">
        <v>121</v>
      </c>
      <c r="D103" s="355">
        <f t="shared" si="6"/>
        <v>219</v>
      </c>
    </row>
    <row r="104" spans="1:4">
      <c r="A104" s="357" t="s">
        <v>2238</v>
      </c>
      <c r="B104" s="356">
        <v>45</v>
      </c>
      <c r="C104" s="356">
        <v>36</v>
      </c>
      <c r="D104" s="355">
        <f t="shared" si="6"/>
        <v>125</v>
      </c>
    </row>
    <row r="105" spans="1:4">
      <c r="A105" s="357" t="s">
        <v>2410</v>
      </c>
      <c r="B105" s="356"/>
      <c r="C105" s="356">
        <v>13</v>
      </c>
      <c r="D105" s="355">
        <f t="shared" si="6"/>
        <v>0</v>
      </c>
    </row>
    <row r="106" spans="1:4">
      <c r="A106" s="357" t="s">
        <v>2021</v>
      </c>
      <c r="B106" s="356">
        <v>807</v>
      </c>
      <c r="C106" s="356">
        <v>2921</v>
      </c>
      <c r="D106" s="355">
        <f t="shared" si="6"/>
        <v>27.6</v>
      </c>
    </row>
    <row r="107" spans="1:4">
      <c r="A107" s="357" t="s">
        <v>2271</v>
      </c>
      <c r="B107" s="356">
        <v>291</v>
      </c>
      <c r="C107" s="356">
        <v>441</v>
      </c>
      <c r="D107" s="355">
        <f t="shared" si="6"/>
        <v>66</v>
      </c>
    </row>
    <row r="108" spans="1:4">
      <c r="A108" s="357" t="s">
        <v>2241</v>
      </c>
      <c r="B108" s="356">
        <v>484</v>
      </c>
      <c r="C108" s="356">
        <v>1846</v>
      </c>
      <c r="D108" s="355">
        <f t="shared" si="6"/>
        <v>26.2</v>
      </c>
    </row>
    <row r="109" spans="1:4">
      <c r="A109" s="357" t="s">
        <v>2238</v>
      </c>
      <c r="B109" s="356">
        <v>27</v>
      </c>
      <c r="C109" s="356">
        <v>37</v>
      </c>
      <c r="D109" s="355">
        <f t="shared" si="6"/>
        <v>73</v>
      </c>
    </row>
    <row r="110" spans="1:4" ht="27">
      <c r="A110" s="357" t="s">
        <v>2409</v>
      </c>
      <c r="B110" s="356">
        <v>5</v>
      </c>
      <c r="C110" s="356">
        <v>597</v>
      </c>
      <c r="D110" s="355">
        <f t="shared" si="6"/>
        <v>0.8</v>
      </c>
    </row>
    <row r="111" spans="1:4">
      <c r="A111" s="357" t="s">
        <v>2022</v>
      </c>
      <c r="B111" s="356">
        <v>0</v>
      </c>
      <c r="C111" s="356">
        <v>1344</v>
      </c>
      <c r="D111" s="355">
        <f t="shared" si="6"/>
        <v>0</v>
      </c>
    </row>
    <row r="112" spans="1:4">
      <c r="A112" s="357" t="s">
        <v>2242</v>
      </c>
      <c r="B112" s="356"/>
      <c r="C112" s="356">
        <v>1234</v>
      </c>
      <c r="D112" s="355">
        <f t="shared" si="6"/>
        <v>0</v>
      </c>
    </row>
    <row r="113" spans="1:4">
      <c r="A113" s="357" t="s">
        <v>2325</v>
      </c>
      <c r="B113" s="356"/>
      <c r="C113" s="356">
        <v>110</v>
      </c>
      <c r="D113" s="355">
        <f t="shared" si="6"/>
        <v>0</v>
      </c>
    </row>
    <row r="114" spans="1:4">
      <c r="A114" s="357" t="s">
        <v>2023</v>
      </c>
      <c r="B114" s="356">
        <v>1451</v>
      </c>
      <c r="C114" s="356">
        <v>932</v>
      </c>
      <c r="D114" s="355">
        <f t="shared" si="6"/>
        <v>155.69999999999999</v>
      </c>
    </row>
    <row r="115" spans="1:4">
      <c r="A115" s="357" t="s">
        <v>2271</v>
      </c>
      <c r="B115" s="356">
        <v>141</v>
      </c>
      <c r="C115" s="356">
        <v>420</v>
      </c>
      <c r="D115" s="355">
        <f t="shared" si="6"/>
        <v>33.6</v>
      </c>
    </row>
    <row r="116" spans="1:4">
      <c r="A116" s="357" t="s">
        <v>2241</v>
      </c>
      <c r="B116" s="356">
        <v>1150</v>
      </c>
      <c r="C116" s="356">
        <v>452</v>
      </c>
      <c r="D116" s="355">
        <f t="shared" si="6"/>
        <v>254.4</v>
      </c>
    </row>
    <row r="117" spans="1:4">
      <c r="A117" s="357" t="s">
        <v>2238</v>
      </c>
      <c r="B117" s="356">
        <v>48</v>
      </c>
      <c r="C117" s="356"/>
      <c r="D117" s="355"/>
    </row>
    <row r="118" spans="1:4">
      <c r="A118" s="357" t="s">
        <v>2408</v>
      </c>
      <c r="B118" s="356">
        <v>112</v>
      </c>
      <c r="C118" s="356">
        <v>60</v>
      </c>
      <c r="D118" s="355">
        <f>B118/C118*100</f>
        <v>186.7</v>
      </c>
    </row>
    <row r="119" spans="1:4">
      <c r="A119" s="357" t="s">
        <v>2024</v>
      </c>
      <c r="B119" s="356">
        <v>0</v>
      </c>
      <c r="C119" s="356">
        <v>0</v>
      </c>
      <c r="D119" s="355"/>
    </row>
    <row r="120" spans="1:4">
      <c r="A120" s="357" t="s">
        <v>2025</v>
      </c>
      <c r="B120" s="356">
        <v>0</v>
      </c>
      <c r="C120" s="356">
        <v>3</v>
      </c>
      <c r="D120" s="355">
        <f>B120/C120*100</f>
        <v>0</v>
      </c>
    </row>
    <row r="121" spans="1:4">
      <c r="A121" s="357" t="s">
        <v>2325</v>
      </c>
      <c r="B121" s="356"/>
      <c r="C121" s="356">
        <v>3</v>
      </c>
      <c r="D121" s="355">
        <f>B121/C121*100</f>
        <v>0</v>
      </c>
    </row>
    <row r="122" spans="1:4" s="358" customFormat="1">
      <c r="A122" s="360" t="s">
        <v>70</v>
      </c>
      <c r="B122" s="359">
        <v>0</v>
      </c>
      <c r="C122" s="359">
        <v>0</v>
      </c>
      <c r="D122" s="352"/>
    </row>
    <row r="123" spans="1:4" s="358" customFormat="1">
      <c r="A123" s="360" t="s">
        <v>71</v>
      </c>
      <c r="B123" s="359">
        <v>470</v>
      </c>
      <c r="C123" s="359">
        <v>760</v>
      </c>
      <c r="D123" s="352">
        <f>B123/C123*100</f>
        <v>61.8</v>
      </c>
    </row>
    <row r="124" spans="1:4">
      <c r="A124" s="357" t="s">
        <v>2407</v>
      </c>
      <c r="B124" s="356">
        <v>181</v>
      </c>
      <c r="C124" s="356">
        <v>0</v>
      </c>
      <c r="D124" s="355"/>
    </row>
    <row r="125" spans="1:4">
      <c r="A125" s="357" t="s">
        <v>2406</v>
      </c>
      <c r="B125" s="356">
        <v>181</v>
      </c>
      <c r="C125" s="356"/>
      <c r="D125" s="355"/>
    </row>
    <row r="126" spans="1:4">
      <c r="A126" s="357" t="s">
        <v>2026</v>
      </c>
      <c r="B126" s="356">
        <v>289</v>
      </c>
      <c r="C126" s="356">
        <v>733</v>
      </c>
      <c r="D126" s="355">
        <f>B126/C126*100</f>
        <v>39.4</v>
      </c>
    </row>
    <row r="127" spans="1:4">
      <c r="A127" s="357" t="s">
        <v>2405</v>
      </c>
      <c r="B127" s="356">
        <v>117</v>
      </c>
      <c r="C127" s="356"/>
      <c r="D127" s="355"/>
    </row>
    <row r="128" spans="1:4">
      <c r="A128" s="357" t="s">
        <v>2404</v>
      </c>
      <c r="B128" s="356">
        <v>15</v>
      </c>
      <c r="C128" s="356"/>
      <c r="D128" s="355"/>
    </row>
    <row r="129" spans="1:4">
      <c r="A129" s="357" t="s">
        <v>2403</v>
      </c>
      <c r="B129" s="356">
        <v>20</v>
      </c>
      <c r="C129" s="356"/>
      <c r="D129" s="355"/>
    </row>
    <row r="130" spans="1:4">
      <c r="A130" s="357" t="s">
        <v>2402</v>
      </c>
      <c r="B130" s="356">
        <v>92</v>
      </c>
      <c r="C130" s="356">
        <v>733</v>
      </c>
      <c r="D130" s="355">
        <f>B130/C130*100</f>
        <v>12.6</v>
      </c>
    </row>
    <row r="131" spans="1:4">
      <c r="A131" s="357" t="s">
        <v>2401</v>
      </c>
      <c r="B131" s="356">
        <v>45</v>
      </c>
      <c r="C131" s="356"/>
      <c r="D131" s="355"/>
    </row>
    <row r="132" spans="1:4">
      <c r="A132" s="357" t="s">
        <v>2400</v>
      </c>
      <c r="B132" s="356">
        <v>0</v>
      </c>
      <c r="C132" s="356">
        <v>27</v>
      </c>
      <c r="D132" s="355">
        <f t="shared" ref="D132:D143" si="7">B132/C132*100</f>
        <v>0</v>
      </c>
    </row>
    <row r="133" spans="1:4">
      <c r="A133" s="357" t="s">
        <v>2399</v>
      </c>
      <c r="B133" s="356"/>
      <c r="C133" s="356">
        <v>27</v>
      </c>
      <c r="D133" s="355">
        <f t="shared" si="7"/>
        <v>0</v>
      </c>
    </row>
    <row r="134" spans="1:4" s="358" customFormat="1">
      <c r="A134" s="360" t="s">
        <v>72</v>
      </c>
      <c r="B134" s="359">
        <v>39405</v>
      </c>
      <c r="C134" s="359">
        <v>26960</v>
      </c>
      <c r="D134" s="352">
        <f t="shared" si="7"/>
        <v>146.19999999999999</v>
      </c>
    </row>
    <row r="135" spans="1:4">
      <c r="A135" s="357" t="s">
        <v>2027</v>
      </c>
      <c r="B135" s="356">
        <v>14600</v>
      </c>
      <c r="C135" s="356">
        <v>4304</v>
      </c>
      <c r="D135" s="355">
        <f t="shared" si="7"/>
        <v>339.2</v>
      </c>
    </row>
    <row r="136" spans="1:4">
      <c r="A136" s="357" t="s">
        <v>2398</v>
      </c>
      <c r="B136" s="356">
        <v>488</v>
      </c>
      <c r="C136" s="356">
        <v>787</v>
      </c>
      <c r="D136" s="355">
        <f t="shared" si="7"/>
        <v>62</v>
      </c>
    </row>
    <row r="137" spans="1:4">
      <c r="A137" s="357" t="s">
        <v>2397</v>
      </c>
      <c r="B137" s="356">
        <v>7039</v>
      </c>
      <c r="C137" s="356">
        <v>2136</v>
      </c>
      <c r="D137" s="355">
        <f t="shared" si="7"/>
        <v>329.5</v>
      </c>
    </row>
    <row r="138" spans="1:4">
      <c r="A138" s="357" t="s">
        <v>2396</v>
      </c>
      <c r="B138" s="356">
        <v>3973</v>
      </c>
      <c r="C138" s="356">
        <v>1281</v>
      </c>
      <c r="D138" s="355">
        <f t="shared" si="7"/>
        <v>310.10000000000002</v>
      </c>
    </row>
    <row r="139" spans="1:4">
      <c r="A139" s="357" t="s">
        <v>2395</v>
      </c>
      <c r="B139" s="356">
        <v>3100</v>
      </c>
      <c r="C139" s="356">
        <v>100</v>
      </c>
      <c r="D139" s="355">
        <f t="shared" si="7"/>
        <v>3100</v>
      </c>
    </row>
    <row r="140" spans="1:4">
      <c r="A140" s="357" t="s">
        <v>2028</v>
      </c>
      <c r="B140" s="356">
        <v>23184</v>
      </c>
      <c r="C140" s="356">
        <v>14652</v>
      </c>
      <c r="D140" s="355">
        <f t="shared" si="7"/>
        <v>158.19999999999999</v>
      </c>
    </row>
    <row r="141" spans="1:4">
      <c r="A141" s="357" t="s">
        <v>2271</v>
      </c>
      <c r="B141" s="356">
        <v>8460</v>
      </c>
      <c r="C141" s="356">
        <v>9627</v>
      </c>
      <c r="D141" s="355">
        <f t="shared" si="7"/>
        <v>87.9</v>
      </c>
    </row>
    <row r="142" spans="1:4">
      <c r="A142" s="357" t="s">
        <v>2241</v>
      </c>
      <c r="B142" s="356">
        <v>871</v>
      </c>
      <c r="C142" s="356">
        <v>753</v>
      </c>
      <c r="D142" s="355">
        <f t="shared" si="7"/>
        <v>115.7</v>
      </c>
    </row>
    <row r="143" spans="1:4">
      <c r="A143" s="357" t="s">
        <v>2394</v>
      </c>
      <c r="B143" s="356">
        <v>126</v>
      </c>
      <c r="C143" s="356">
        <v>217</v>
      </c>
      <c r="D143" s="355">
        <f t="shared" si="7"/>
        <v>58.1</v>
      </c>
    </row>
    <row r="144" spans="1:4">
      <c r="A144" s="357" t="s">
        <v>2393</v>
      </c>
      <c r="B144" s="356">
        <v>50</v>
      </c>
      <c r="C144" s="356"/>
      <c r="D144" s="355"/>
    </row>
    <row r="145" spans="1:4">
      <c r="A145" s="357" t="s">
        <v>2392</v>
      </c>
      <c r="B145" s="356">
        <v>20</v>
      </c>
      <c r="C145" s="356"/>
      <c r="D145" s="355"/>
    </row>
    <row r="146" spans="1:4">
      <c r="A146" s="357" t="s">
        <v>2391</v>
      </c>
      <c r="B146" s="356">
        <v>50</v>
      </c>
      <c r="C146" s="356">
        <v>23</v>
      </c>
      <c r="D146" s="355">
        <f t="shared" ref="D146:D153" si="8">B146/C146*100</f>
        <v>217.4</v>
      </c>
    </row>
    <row r="147" spans="1:4">
      <c r="A147" s="357" t="s">
        <v>2390</v>
      </c>
      <c r="B147" s="356">
        <v>80</v>
      </c>
      <c r="C147" s="356">
        <v>1983</v>
      </c>
      <c r="D147" s="355">
        <f t="shared" si="8"/>
        <v>4</v>
      </c>
    </row>
    <row r="148" spans="1:4">
      <c r="A148" s="357" t="s">
        <v>2389</v>
      </c>
      <c r="B148" s="356">
        <v>190</v>
      </c>
      <c r="C148" s="356">
        <v>111</v>
      </c>
      <c r="D148" s="355">
        <f t="shared" si="8"/>
        <v>171.2</v>
      </c>
    </row>
    <row r="149" spans="1:4">
      <c r="A149" s="357" t="s">
        <v>2388</v>
      </c>
      <c r="B149" s="356">
        <v>450</v>
      </c>
      <c r="C149" s="356">
        <v>302</v>
      </c>
      <c r="D149" s="355">
        <f t="shared" si="8"/>
        <v>149</v>
      </c>
    </row>
    <row r="150" spans="1:4">
      <c r="A150" s="357" t="s">
        <v>2387</v>
      </c>
      <c r="B150" s="356"/>
      <c r="C150" s="356">
        <v>289</v>
      </c>
      <c r="D150" s="355">
        <f t="shared" si="8"/>
        <v>0</v>
      </c>
    </row>
    <row r="151" spans="1:4">
      <c r="A151" s="357" t="s">
        <v>2386</v>
      </c>
      <c r="B151" s="356"/>
      <c r="C151" s="356">
        <v>10</v>
      </c>
      <c r="D151" s="355">
        <f t="shared" si="8"/>
        <v>0</v>
      </c>
    </row>
    <row r="152" spans="1:4">
      <c r="A152" s="357" t="s">
        <v>2385</v>
      </c>
      <c r="B152" s="356">
        <v>980</v>
      </c>
      <c r="C152" s="356">
        <v>330</v>
      </c>
      <c r="D152" s="355">
        <f t="shared" si="8"/>
        <v>297</v>
      </c>
    </row>
    <row r="153" spans="1:4">
      <c r="A153" s="357" t="s">
        <v>2384</v>
      </c>
      <c r="B153" s="356">
        <v>407</v>
      </c>
      <c r="C153" s="356">
        <v>247</v>
      </c>
      <c r="D153" s="355">
        <f t="shared" si="8"/>
        <v>164.8</v>
      </c>
    </row>
    <row r="154" spans="1:4">
      <c r="A154" s="357" t="s">
        <v>2383</v>
      </c>
      <c r="B154" s="356">
        <v>3500</v>
      </c>
      <c r="C154" s="356"/>
      <c r="D154" s="355"/>
    </row>
    <row r="155" spans="1:4">
      <c r="A155" s="357" t="s">
        <v>2382</v>
      </c>
      <c r="B155" s="356">
        <v>8000</v>
      </c>
      <c r="C155" s="356">
        <v>760</v>
      </c>
      <c r="D155" s="355">
        <f>B155/C155*100</f>
        <v>1052.5999999999999</v>
      </c>
    </row>
    <row r="156" spans="1:4">
      <c r="A156" s="357" t="s">
        <v>2029</v>
      </c>
      <c r="B156" s="356">
        <v>150</v>
      </c>
      <c r="C156" s="356">
        <v>3025</v>
      </c>
      <c r="D156" s="355">
        <f>B156/C156*100</f>
        <v>5</v>
      </c>
    </row>
    <row r="157" spans="1:4">
      <c r="A157" s="357" t="s">
        <v>2271</v>
      </c>
      <c r="B157" s="356">
        <v>150</v>
      </c>
      <c r="C157" s="356"/>
      <c r="D157" s="355"/>
    </row>
    <row r="158" spans="1:4">
      <c r="A158" s="357" t="s">
        <v>2030</v>
      </c>
      <c r="B158" s="356">
        <v>70</v>
      </c>
      <c r="C158" s="356">
        <v>1673</v>
      </c>
      <c r="D158" s="355">
        <f t="shared" ref="D158:D173" si="9">B158/C158*100</f>
        <v>4.2</v>
      </c>
    </row>
    <row r="159" spans="1:4">
      <c r="A159" s="357" t="s">
        <v>2242</v>
      </c>
      <c r="B159" s="356"/>
      <c r="C159" s="356">
        <v>1471</v>
      </c>
      <c r="D159" s="355">
        <f t="shared" si="9"/>
        <v>0</v>
      </c>
    </row>
    <row r="160" spans="1:4">
      <c r="A160" s="357" t="s">
        <v>2241</v>
      </c>
      <c r="B160" s="356">
        <v>70</v>
      </c>
      <c r="C160" s="356">
        <v>151</v>
      </c>
      <c r="D160" s="355">
        <f t="shared" si="9"/>
        <v>46.4</v>
      </c>
    </row>
    <row r="161" spans="1:4">
      <c r="A161" s="357" t="s">
        <v>2381</v>
      </c>
      <c r="B161" s="356"/>
      <c r="C161" s="356">
        <v>31</v>
      </c>
      <c r="D161" s="355">
        <f t="shared" si="9"/>
        <v>0</v>
      </c>
    </row>
    <row r="162" spans="1:4">
      <c r="A162" s="357" t="s">
        <v>2380</v>
      </c>
      <c r="B162" s="356"/>
      <c r="C162" s="356">
        <v>20</v>
      </c>
      <c r="D162" s="355">
        <f t="shared" si="9"/>
        <v>0</v>
      </c>
    </row>
    <row r="163" spans="1:4">
      <c r="A163" s="357" t="s">
        <v>2031</v>
      </c>
      <c r="B163" s="356">
        <v>50</v>
      </c>
      <c r="C163" s="356">
        <v>1987</v>
      </c>
      <c r="D163" s="355">
        <f t="shared" si="9"/>
        <v>2.5</v>
      </c>
    </row>
    <row r="164" spans="1:4">
      <c r="A164" s="357" t="s">
        <v>2242</v>
      </c>
      <c r="B164" s="356"/>
      <c r="C164" s="356">
        <v>1459</v>
      </c>
      <c r="D164" s="355">
        <f t="shared" si="9"/>
        <v>0</v>
      </c>
    </row>
    <row r="165" spans="1:4">
      <c r="A165" s="357" t="s">
        <v>2241</v>
      </c>
      <c r="B165" s="356">
        <v>50</v>
      </c>
      <c r="C165" s="356">
        <v>267</v>
      </c>
      <c r="D165" s="355">
        <f t="shared" si="9"/>
        <v>18.7</v>
      </c>
    </row>
    <row r="166" spans="1:4">
      <c r="A166" s="357" t="s">
        <v>2379</v>
      </c>
      <c r="B166" s="356"/>
      <c r="C166" s="356">
        <v>261</v>
      </c>
      <c r="D166" s="355">
        <f t="shared" si="9"/>
        <v>0</v>
      </c>
    </row>
    <row r="167" spans="1:4">
      <c r="A167" s="357" t="s">
        <v>2032</v>
      </c>
      <c r="B167" s="356">
        <v>1351</v>
      </c>
      <c r="C167" s="356">
        <v>1319</v>
      </c>
      <c r="D167" s="355">
        <f t="shared" si="9"/>
        <v>102.4</v>
      </c>
    </row>
    <row r="168" spans="1:4">
      <c r="A168" s="357" t="s">
        <v>2271</v>
      </c>
      <c r="B168" s="356">
        <v>894</v>
      </c>
      <c r="C168" s="356">
        <v>895</v>
      </c>
      <c r="D168" s="355">
        <f t="shared" si="9"/>
        <v>99.9</v>
      </c>
    </row>
    <row r="169" spans="1:4">
      <c r="A169" s="357" t="s">
        <v>2325</v>
      </c>
      <c r="B169" s="356"/>
      <c r="C169" s="356">
        <v>109</v>
      </c>
      <c r="D169" s="355">
        <f t="shared" si="9"/>
        <v>0</v>
      </c>
    </row>
    <row r="170" spans="1:4">
      <c r="A170" s="357" t="s">
        <v>2378</v>
      </c>
      <c r="B170" s="356">
        <v>20</v>
      </c>
      <c r="C170" s="356">
        <v>6</v>
      </c>
      <c r="D170" s="355">
        <f t="shared" si="9"/>
        <v>333.3</v>
      </c>
    </row>
    <row r="171" spans="1:4">
      <c r="A171" s="357" t="s">
        <v>2377</v>
      </c>
      <c r="B171" s="356">
        <v>21</v>
      </c>
      <c r="C171" s="356">
        <v>18</v>
      </c>
      <c r="D171" s="355">
        <f t="shared" si="9"/>
        <v>116.7</v>
      </c>
    </row>
    <row r="172" spans="1:4">
      <c r="A172" s="357" t="s">
        <v>2376</v>
      </c>
      <c r="B172" s="356">
        <v>319</v>
      </c>
      <c r="C172" s="356">
        <v>244</v>
      </c>
      <c r="D172" s="355">
        <f t="shared" si="9"/>
        <v>130.69999999999999</v>
      </c>
    </row>
    <row r="173" spans="1:4">
      <c r="A173" s="357" t="s">
        <v>2375</v>
      </c>
      <c r="B173" s="356">
        <v>22</v>
      </c>
      <c r="C173" s="356">
        <v>11</v>
      </c>
      <c r="D173" s="355">
        <f t="shared" si="9"/>
        <v>200</v>
      </c>
    </row>
    <row r="174" spans="1:4">
      <c r="A174" s="357" t="s">
        <v>2374</v>
      </c>
      <c r="B174" s="356">
        <v>75</v>
      </c>
      <c r="C174" s="356"/>
      <c r="D174" s="355"/>
    </row>
    <row r="175" spans="1:4">
      <c r="A175" s="357" t="s">
        <v>2373</v>
      </c>
      <c r="B175" s="356"/>
      <c r="C175" s="356">
        <v>36</v>
      </c>
      <c r="D175" s="355">
        <f>B175/C175*100</f>
        <v>0</v>
      </c>
    </row>
    <row r="176" spans="1:4">
      <c r="A176" s="357" t="s">
        <v>2033</v>
      </c>
      <c r="B176" s="356"/>
      <c r="C176" s="356" t="s">
        <v>2115</v>
      </c>
      <c r="D176" s="355"/>
    </row>
    <row r="177" spans="1:4">
      <c r="A177" s="357" t="s">
        <v>2372</v>
      </c>
      <c r="B177" s="356" t="s">
        <v>2098</v>
      </c>
      <c r="C177" s="356">
        <v>3025</v>
      </c>
      <c r="D177" s="355"/>
    </row>
    <row r="178" spans="1:4">
      <c r="A178" s="357" t="s">
        <v>2371</v>
      </c>
      <c r="B178" s="356"/>
      <c r="C178" s="356">
        <v>3025</v>
      </c>
      <c r="D178" s="355">
        <f>B178/C178*100</f>
        <v>0</v>
      </c>
    </row>
    <row r="179" spans="1:4" s="358" customFormat="1">
      <c r="A179" s="360" t="s">
        <v>73</v>
      </c>
      <c r="B179" s="359">
        <v>79474</v>
      </c>
      <c r="C179" s="359">
        <v>80902</v>
      </c>
      <c r="D179" s="352">
        <f>B179/C179*100</f>
        <v>98.2</v>
      </c>
    </row>
    <row r="180" spans="1:4">
      <c r="A180" s="357" t="s">
        <v>2034</v>
      </c>
      <c r="B180" s="356">
        <v>2635</v>
      </c>
      <c r="C180" s="356">
        <v>1136</v>
      </c>
      <c r="D180" s="355">
        <f>B180/C180*100</f>
        <v>232</v>
      </c>
    </row>
    <row r="181" spans="1:4">
      <c r="A181" s="357" t="s">
        <v>2271</v>
      </c>
      <c r="B181" s="356">
        <v>1173</v>
      </c>
      <c r="C181" s="356">
        <v>454</v>
      </c>
      <c r="D181" s="355">
        <f>B181/C181*100</f>
        <v>258.39999999999998</v>
      </c>
    </row>
    <row r="182" spans="1:4">
      <c r="A182" s="357" t="s">
        <v>2241</v>
      </c>
      <c r="B182" s="356">
        <v>386</v>
      </c>
      <c r="C182" s="356">
        <v>682</v>
      </c>
      <c r="D182" s="355">
        <f>B182/C182*100</f>
        <v>56.6</v>
      </c>
    </row>
    <row r="183" spans="1:4">
      <c r="A183" s="357" t="s">
        <v>2370</v>
      </c>
      <c r="B183" s="356">
        <v>1076</v>
      </c>
      <c r="C183" s="356"/>
      <c r="D183" s="355"/>
    </row>
    <row r="184" spans="1:4">
      <c r="A184" s="357" t="s">
        <v>2035</v>
      </c>
      <c r="B184" s="356">
        <v>58990</v>
      </c>
      <c r="C184" s="356">
        <v>74331</v>
      </c>
      <c r="D184" s="355">
        <f t="shared" ref="D184:D192" si="10">B184/C184*100</f>
        <v>79.400000000000006</v>
      </c>
    </row>
    <row r="185" spans="1:4">
      <c r="A185" s="357" t="s">
        <v>2369</v>
      </c>
      <c r="B185" s="356">
        <v>4211</v>
      </c>
      <c r="C185" s="356">
        <v>4760</v>
      </c>
      <c r="D185" s="355">
        <f t="shared" si="10"/>
        <v>88.5</v>
      </c>
    </row>
    <row r="186" spans="1:4">
      <c r="A186" s="357" t="s">
        <v>2368</v>
      </c>
      <c r="B186" s="356">
        <v>25025</v>
      </c>
      <c r="C186" s="356">
        <v>22932</v>
      </c>
      <c r="D186" s="355">
        <f t="shared" si="10"/>
        <v>109.1</v>
      </c>
    </row>
    <row r="187" spans="1:4">
      <c r="A187" s="357" t="s">
        <v>2367</v>
      </c>
      <c r="B187" s="356">
        <v>11882</v>
      </c>
      <c r="C187" s="356">
        <v>14387</v>
      </c>
      <c r="D187" s="355">
        <f t="shared" si="10"/>
        <v>82.6</v>
      </c>
    </row>
    <row r="188" spans="1:4">
      <c r="A188" s="357" t="s">
        <v>2366</v>
      </c>
      <c r="B188" s="356">
        <v>14083</v>
      </c>
      <c r="C188" s="356">
        <v>17159</v>
      </c>
      <c r="D188" s="355">
        <f t="shared" si="10"/>
        <v>82.1</v>
      </c>
    </row>
    <row r="189" spans="1:4">
      <c r="A189" s="357" t="s">
        <v>2365</v>
      </c>
      <c r="B189" s="356"/>
      <c r="C189" s="356">
        <v>6</v>
      </c>
      <c r="D189" s="355">
        <f t="shared" si="10"/>
        <v>0</v>
      </c>
    </row>
    <row r="190" spans="1:4">
      <c r="A190" s="357" t="s">
        <v>2364</v>
      </c>
      <c r="B190" s="356">
        <v>3789</v>
      </c>
      <c r="C190" s="356">
        <v>15087</v>
      </c>
      <c r="D190" s="355">
        <f t="shared" si="10"/>
        <v>25.1</v>
      </c>
    </row>
    <row r="191" spans="1:4">
      <c r="A191" s="357" t="s">
        <v>2036</v>
      </c>
      <c r="B191" s="356">
        <v>10864</v>
      </c>
      <c r="C191" s="356">
        <v>1182</v>
      </c>
      <c r="D191" s="355">
        <f t="shared" si="10"/>
        <v>919.1</v>
      </c>
    </row>
    <row r="192" spans="1:4">
      <c r="A192" s="357" t="s">
        <v>2363</v>
      </c>
      <c r="B192" s="356">
        <v>844</v>
      </c>
      <c r="C192" s="356">
        <v>1182</v>
      </c>
      <c r="D192" s="355">
        <f t="shared" si="10"/>
        <v>71.400000000000006</v>
      </c>
    </row>
    <row r="193" spans="1:4">
      <c r="A193" s="357" t="s">
        <v>2362</v>
      </c>
      <c r="B193" s="356">
        <v>10020</v>
      </c>
      <c r="C193" s="356"/>
      <c r="D193" s="355"/>
    </row>
    <row r="194" spans="1:4">
      <c r="A194" s="357" t="s">
        <v>2037</v>
      </c>
      <c r="B194" s="356">
        <v>248</v>
      </c>
      <c r="C194" s="356">
        <v>278</v>
      </c>
      <c r="D194" s="355">
        <f t="shared" ref="D194:D208" si="11">B194/C194*100</f>
        <v>89.2</v>
      </c>
    </row>
    <row r="195" spans="1:4">
      <c r="A195" s="357" t="s">
        <v>2361</v>
      </c>
      <c r="B195" s="356">
        <v>248</v>
      </c>
      <c r="C195" s="356">
        <v>278</v>
      </c>
      <c r="D195" s="355">
        <f t="shared" si="11"/>
        <v>89.2</v>
      </c>
    </row>
    <row r="196" spans="1:4">
      <c r="A196" s="357" t="s">
        <v>2038</v>
      </c>
      <c r="B196" s="356">
        <v>784</v>
      </c>
      <c r="C196" s="356">
        <v>850</v>
      </c>
      <c r="D196" s="355">
        <f t="shared" si="11"/>
        <v>92.2</v>
      </c>
    </row>
    <row r="197" spans="1:4">
      <c r="A197" s="357" t="s">
        <v>2360</v>
      </c>
      <c r="B197" s="356">
        <v>495</v>
      </c>
      <c r="C197" s="356">
        <v>561</v>
      </c>
      <c r="D197" s="355">
        <f t="shared" si="11"/>
        <v>88.2</v>
      </c>
    </row>
    <row r="198" spans="1:4">
      <c r="A198" s="357" t="s">
        <v>2359</v>
      </c>
      <c r="B198" s="356">
        <v>289</v>
      </c>
      <c r="C198" s="356">
        <v>289</v>
      </c>
      <c r="D198" s="355">
        <f t="shared" si="11"/>
        <v>100</v>
      </c>
    </row>
    <row r="199" spans="1:4">
      <c r="A199" s="357" t="s">
        <v>2039</v>
      </c>
      <c r="B199" s="356">
        <v>3000</v>
      </c>
      <c r="C199" s="356">
        <v>2722</v>
      </c>
      <c r="D199" s="355">
        <f t="shared" si="11"/>
        <v>110.2</v>
      </c>
    </row>
    <row r="200" spans="1:4">
      <c r="A200" s="357" t="s">
        <v>2358</v>
      </c>
      <c r="B200" s="356">
        <v>3000</v>
      </c>
      <c r="C200" s="356">
        <v>2722</v>
      </c>
      <c r="D200" s="355">
        <f t="shared" si="11"/>
        <v>110.2</v>
      </c>
    </row>
    <row r="201" spans="1:4">
      <c r="A201" s="357" t="s">
        <v>2357</v>
      </c>
      <c r="B201" s="356">
        <v>2953</v>
      </c>
      <c r="C201" s="356">
        <v>399</v>
      </c>
      <c r="D201" s="355">
        <f t="shared" si="11"/>
        <v>740.1</v>
      </c>
    </row>
    <row r="202" spans="1:4">
      <c r="A202" s="357" t="s">
        <v>2356</v>
      </c>
      <c r="B202" s="356">
        <v>2953</v>
      </c>
      <c r="C202" s="356">
        <v>399</v>
      </c>
      <c r="D202" s="355">
        <f t="shared" si="11"/>
        <v>740.1</v>
      </c>
    </row>
    <row r="203" spans="1:4" s="358" customFormat="1">
      <c r="A203" s="360" t="s">
        <v>74</v>
      </c>
      <c r="B203" s="359">
        <v>648</v>
      </c>
      <c r="C203" s="359">
        <v>387</v>
      </c>
      <c r="D203" s="352">
        <f t="shared" si="11"/>
        <v>167.4</v>
      </c>
    </row>
    <row r="204" spans="1:4">
      <c r="A204" s="357" t="s">
        <v>2040</v>
      </c>
      <c r="B204" s="356">
        <v>104</v>
      </c>
      <c r="C204" s="356">
        <v>178</v>
      </c>
      <c r="D204" s="355">
        <f t="shared" si="11"/>
        <v>58.4</v>
      </c>
    </row>
    <row r="205" spans="1:4">
      <c r="A205" s="357" t="s">
        <v>2271</v>
      </c>
      <c r="B205" s="356">
        <v>74</v>
      </c>
      <c r="C205" s="356">
        <v>102</v>
      </c>
      <c r="D205" s="355">
        <f t="shared" si="11"/>
        <v>72.5</v>
      </c>
    </row>
    <row r="206" spans="1:4">
      <c r="A206" s="357" t="s">
        <v>2325</v>
      </c>
      <c r="B206" s="356"/>
      <c r="C206" s="356">
        <v>50</v>
      </c>
      <c r="D206" s="355">
        <f t="shared" si="11"/>
        <v>0</v>
      </c>
    </row>
    <row r="207" spans="1:4">
      <c r="A207" s="357" t="s">
        <v>2355</v>
      </c>
      <c r="B207" s="356">
        <v>30</v>
      </c>
      <c r="C207" s="356">
        <v>26</v>
      </c>
      <c r="D207" s="355">
        <f t="shared" si="11"/>
        <v>115.4</v>
      </c>
    </row>
    <row r="208" spans="1:4">
      <c r="A208" s="357" t="s">
        <v>2041</v>
      </c>
      <c r="B208" s="356">
        <v>74</v>
      </c>
      <c r="C208" s="356">
        <v>100</v>
      </c>
      <c r="D208" s="355">
        <f t="shared" si="11"/>
        <v>74</v>
      </c>
    </row>
    <row r="209" spans="1:4">
      <c r="A209" s="357" t="s">
        <v>2354</v>
      </c>
      <c r="B209" s="356">
        <v>74</v>
      </c>
      <c r="C209" s="356"/>
      <c r="D209" s="355"/>
    </row>
    <row r="210" spans="1:4">
      <c r="A210" s="357" t="s">
        <v>2353</v>
      </c>
      <c r="B210" s="356"/>
      <c r="C210" s="356">
        <v>100</v>
      </c>
      <c r="D210" s="355">
        <f>B210/C210*100</f>
        <v>0</v>
      </c>
    </row>
    <row r="211" spans="1:4">
      <c r="A211" s="357" t="s">
        <v>2042</v>
      </c>
      <c r="B211" s="356">
        <v>420</v>
      </c>
      <c r="C211" s="356">
        <v>1</v>
      </c>
      <c r="D211" s="355">
        <f>B211/C211*100</f>
        <v>42000</v>
      </c>
    </row>
    <row r="212" spans="1:4">
      <c r="A212" s="357" t="s">
        <v>2352</v>
      </c>
      <c r="B212" s="356"/>
      <c r="C212" s="356">
        <v>1</v>
      </c>
      <c r="D212" s="355">
        <f>B212/C212*100</f>
        <v>0</v>
      </c>
    </row>
    <row r="213" spans="1:4">
      <c r="A213" s="357" t="s">
        <v>2351</v>
      </c>
      <c r="B213" s="356">
        <v>420</v>
      </c>
      <c r="C213" s="356"/>
      <c r="D213" s="355"/>
    </row>
    <row r="214" spans="1:4">
      <c r="A214" s="357" t="s">
        <v>2043</v>
      </c>
      <c r="B214" s="356">
        <v>50</v>
      </c>
      <c r="C214" s="356">
        <v>108</v>
      </c>
      <c r="D214" s="355">
        <f t="shared" ref="D214:D220" si="12">B214/C214*100</f>
        <v>46.3</v>
      </c>
    </row>
    <row r="215" spans="1:4">
      <c r="A215" s="357" t="s">
        <v>2350</v>
      </c>
      <c r="B215" s="356"/>
      <c r="C215" s="356">
        <v>58</v>
      </c>
      <c r="D215" s="355">
        <f t="shared" si="12"/>
        <v>0</v>
      </c>
    </row>
    <row r="216" spans="1:4">
      <c r="A216" s="357" t="s">
        <v>2349</v>
      </c>
      <c r="B216" s="356">
        <v>50</v>
      </c>
      <c r="C216" s="356">
        <v>50</v>
      </c>
      <c r="D216" s="355">
        <f t="shared" si="12"/>
        <v>100</v>
      </c>
    </row>
    <row r="217" spans="1:4" s="358" customFormat="1">
      <c r="A217" s="360" t="s">
        <v>75</v>
      </c>
      <c r="B217" s="359">
        <v>10385</v>
      </c>
      <c r="C217" s="359">
        <v>19323</v>
      </c>
      <c r="D217" s="352">
        <f t="shared" si="12"/>
        <v>53.7</v>
      </c>
    </row>
    <row r="218" spans="1:4">
      <c r="A218" s="357" t="s">
        <v>2044</v>
      </c>
      <c r="B218" s="356">
        <v>757</v>
      </c>
      <c r="C218" s="356">
        <v>2863</v>
      </c>
      <c r="D218" s="355">
        <f t="shared" si="12"/>
        <v>26.4</v>
      </c>
    </row>
    <row r="219" spans="1:4">
      <c r="A219" s="357" t="s">
        <v>2271</v>
      </c>
      <c r="B219" s="356">
        <v>191</v>
      </c>
      <c r="C219" s="356">
        <v>2081</v>
      </c>
      <c r="D219" s="355">
        <f t="shared" si="12"/>
        <v>9.1999999999999993</v>
      </c>
    </row>
    <row r="220" spans="1:4">
      <c r="A220" s="357" t="s">
        <v>2241</v>
      </c>
      <c r="B220" s="356">
        <v>20</v>
      </c>
      <c r="C220" s="356">
        <v>12</v>
      </c>
      <c r="D220" s="355">
        <f t="shared" si="12"/>
        <v>166.7</v>
      </c>
    </row>
    <row r="221" spans="1:4">
      <c r="A221" s="357" t="s">
        <v>2293</v>
      </c>
      <c r="B221" s="356">
        <v>59</v>
      </c>
      <c r="C221" s="356"/>
      <c r="D221" s="355"/>
    </row>
    <row r="222" spans="1:4">
      <c r="A222" s="357" t="s">
        <v>2348</v>
      </c>
      <c r="B222" s="356">
        <v>265</v>
      </c>
      <c r="C222" s="356">
        <v>263</v>
      </c>
      <c r="D222" s="355">
        <f t="shared" ref="D222:D227" si="13">B222/C222*100</f>
        <v>100.8</v>
      </c>
    </row>
    <row r="223" spans="1:4">
      <c r="A223" s="357" t="s">
        <v>2347</v>
      </c>
      <c r="B223" s="356">
        <v>163</v>
      </c>
      <c r="C223" s="356">
        <v>297</v>
      </c>
      <c r="D223" s="355">
        <f t="shared" si="13"/>
        <v>54.9</v>
      </c>
    </row>
    <row r="224" spans="1:4">
      <c r="A224" s="357" t="s">
        <v>2346</v>
      </c>
      <c r="B224" s="356">
        <v>59</v>
      </c>
      <c r="C224" s="356">
        <v>117</v>
      </c>
      <c r="D224" s="355">
        <f t="shared" si="13"/>
        <v>50.4</v>
      </c>
    </row>
    <row r="225" spans="1:4">
      <c r="A225" s="357" t="s">
        <v>2345</v>
      </c>
      <c r="B225" s="356"/>
      <c r="C225" s="356">
        <v>20</v>
      </c>
      <c r="D225" s="355">
        <f t="shared" si="13"/>
        <v>0</v>
      </c>
    </row>
    <row r="226" spans="1:4">
      <c r="A226" s="357" t="s">
        <v>2344</v>
      </c>
      <c r="B226" s="356"/>
      <c r="C226" s="356">
        <v>73</v>
      </c>
      <c r="D226" s="355">
        <f t="shared" si="13"/>
        <v>0</v>
      </c>
    </row>
    <row r="227" spans="1:4">
      <c r="A227" s="357" t="s">
        <v>2045</v>
      </c>
      <c r="B227" s="356">
        <v>32</v>
      </c>
      <c r="C227" s="356">
        <v>17</v>
      </c>
      <c r="D227" s="355">
        <f t="shared" si="13"/>
        <v>188.2</v>
      </c>
    </row>
    <row r="228" spans="1:4">
      <c r="A228" s="357" t="s">
        <v>2343</v>
      </c>
      <c r="B228" s="356">
        <v>15</v>
      </c>
      <c r="C228" s="356"/>
      <c r="D228" s="355"/>
    </row>
    <row r="229" spans="1:4">
      <c r="A229" s="357" t="s">
        <v>2342</v>
      </c>
      <c r="B229" s="356">
        <v>10</v>
      </c>
      <c r="C229" s="356">
        <v>10</v>
      </c>
      <c r="D229" s="355">
        <f t="shared" ref="D229:D235" si="14">B229/C229*100</f>
        <v>100</v>
      </c>
    </row>
    <row r="230" spans="1:4">
      <c r="A230" s="357" t="s">
        <v>2341</v>
      </c>
      <c r="B230" s="356">
        <v>7</v>
      </c>
      <c r="C230" s="356">
        <v>7</v>
      </c>
      <c r="D230" s="355">
        <f t="shared" si="14"/>
        <v>100</v>
      </c>
    </row>
    <row r="231" spans="1:4">
      <c r="A231" s="357" t="s">
        <v>2046</v>
      </c>
      <c r="B231" s="356">
        <v>1320</v>
      </c>
      <c r="C231" s="356">
        <v>948</v>
      </c>
      <c r="D231" s="355">
        <f t="shared" si="14"/>
        <v>139.19999999999999</v>
      </c>
    </row>
    <row r="232" spans="1:4">
      <c r="A232" s="357" t="s">
        <v>2242</v>
      </c>
      <c r="B232" s="356"/>
      <c r="C232" s="356">
        <v>9</v>
      </c>
      <c r="D232" s="355">
        <f t="shared" si="14"/>
        <v>0</v>
      </c>
    </row>
    <row r="233" spans="1:4">
      <c r="A233" s="357" t="s">
        <v>2340</v>
      </c>
      <c r="B233" s="356">
        <v>858</v>
      </c>
      <c r="C233" s="356">
        <v>593</v>
      </c>
      <c r="D233" s="355">
        <f t="shared" si="14"/>
        <v>144.69999999999999</v>
      </c>
    </row>
    <row r="234" spans="1:4">
      <c r="A234" s="357" t="s">
        <v>2339</v>
      </c>
      <c r="B234" s="356">
        <v>15</v>
      </c>
      <c r="C234" s="356">
        <v>14</v>
      </c>
      <c r="D234" s="355">
        <f t="shared" si="14"/>
        <v>107.1</v>
      </c>
    </row>
    <row r="235" spans="1:4">
      <c r="A235" s="357" t="s">
        <v>2338</v>
      </c>
      <c r="B235" s="356">
        <v>447</v>
      </c>
      <c r="C235" s="356">
        <v>332</v>
      </c>
      <c r="D235" s="355">
        <f t="shared" si="14"/>
        <v>134.6</v>
      </c>
    </row>
    <row r="236" spans="1:4">
      <c r="A236" s="357" t="s">
        <v>2047</v>
      </c>
      <c r="B236" s="356">
        <v>8276</v>
      </c>
      <c r="C236" s="356">
        <v>0</v>
      </c>
      <c r="D236" s="355"/>
    </row>
    <row r="237" spans="1:4">
      <c r="A237" s="357" t="s">
        <v>2337</v>
      </c>
      <c r="B237" s="356">
        <v>2361</v>
      </c>
      <c r="C237" s="356"/>
      <c r="D237" s="355"/>
    </row>
    <row r="238" spans="1:4">
      <c r="A238" s="357" t="s">
        <v>2336</v>
      </c>
      <c r="B238" s="356">
        <v>921</v>
      </c>
      <c r="C238" s="356"/>
      <c r="D238" s="355"/>
    </row>
    <row r="239" spans="1:4">
      <c r="A239" s="357" t="s">
        <v>2335</v>
      </c>
      <c r="B239" s="356">
        <v>4994</v>
      </c>
      <c r="C239" s="356"/>
      <c r="D239" s="355"/>
    </row>
    <row r="240" spans="1:4">
      <c r="A240" s="357" t="s">
        <v>2048</v>
      </c>
      <c r="B240" s="356">
        <v>0</v>
      </c>
      <c r="C240" s="356">
        <v>14964</v>
      </c>
      <c r="D240" s="355">
        <f t="shared" ref="D240:D260" si="15">B240/C240*100</f>
        <v>0</v>
      </c>
    </row>
    <row r="241" spans="1:4">
      <c r="A241" s="357" t="s">
        <v>2334</v>
      </c>
      <c r="B241" s="356"/>
      <c r="C241" s="356">
        <v>13453</v>
      </c>
      <c r="D241" s="355">
        <f t="shared" si="15"/>
        <v>0</v>
      </c>
    </row>
    <row r="242" spans="1:4">
      <c r="A242" s="357" t="s">
        <v>2333</v>
      </c>
      <c r="B242" s="356"/>
      <c r="C242" s="356">
        <v>1388</v>
      </c>
      <c r="D242" s="355">
        <f t="shared" si="15"/>
        <v>0</v>
      </c>
    </row>
    <row r="243" spans="1:4">
      <c r="A243" s="357" t="s">
        <v>2332</v>
      </c>
      <c r="B243" s="356"/>
      <c r="C243" s="356">
        <v>33</v>
      </c>
      <c r="D243" s="355">
        <f t="shared" si="15"/>
        <v>0</v>
      </c>
    </row>
    <row r="244" spans="1:4">
      <c r="A244" s="357" t="s">
        <v>2331</v>
      </c>
      <c r="B244" s="356"/>
      <c r="C244" s="356">
        <v>2</v>
      </c>
      <c r="D244" s="355">
        <f t="shared" si="15"/>
        <v>0</v>
      </c>
    </row>
    <row r="245" spans="1:4">
      <c r="A245" s="357" t="s">
        <v>2330</v>
      </c>
      <c r="B245" s="356"/>
      <c r="C245" s="356">
        <v>88</v>
      </c>
      <c r="D245" s="355">
        <f t="shared" si="15"/>
        <v>0</v>
      </c>
    </row>
    <row r="246" spans="1:4">
      <c r="A246" s="357" t="s">
        <v>2329</v>
      </c>
      <c r="B246" s="356"/>
      <c r="C246" s="356">
        <v>531</v>
      </c>
      <c r="D246" s="355">
        <f t="shared" si="15"/>
        <v>0</v>
      </c>
    </row>
    <row r="247" spans="1:4">
      <c r="A247" s="357" t="s">
        <v>2328</v>
      </c>
      <c r="B247" s="356"/>
      <c r="C247" s="356">
        <v>66</v>
      </c>
      <c r="D247" s="355">
        <f t="shared" si="15"/>
        <v>0</v>
      </c>
    </row>
    <row r="248" spans="1:4">
      <c r="A248" s="357" t="s">
        <v>2327</v>
      </c>
      <c r="B248" s="356"/>
      <c r="C248" s="356">
        <v>10</v>
      </c>
      <c r="D248" s="355">
        <f t="shared" si="15"/>
        <v>0</v>
      </c>
    </row>
    <row r="249" spans="1:4">
      <c r="A249" s="357" t="s">
        <v>2326</v>
      </c>
      <c r="B249" s="356"/>
      <c r="C249" s="356">
        <v>455</v>
      </c>
      <c r="D249" s="355">
        <f t="shared" si="15"/>
        <v>0</v>
      </c>
    </row>
    <row r="250" spans="1:4" s="358" customFormat="1">
      <c r="A250" s="360" t="s">
        <v>76</v>
      </c>
      <c r="B250" s="359">
        <v>45869</v>
      </c>
      <c r="C250" s="359">
        <v>49641</v>
      </c>
      <c r="D250" s="352">
        <f t="shared" si="15"/>
        <v>92.4</v>
      </c>
    </row>
    <row r="251" spans="1:4">
      <c r="A251" s="357" t="s">
        <v>2049</v>
      </c>
      <c r="B251" s="356">
        <v>925</v>
      </c>
      <c r="C251" s="356">
        <v>1254</v>
      </c>
      <c r="D251" s="355">
        <f t="shared" si="15"/>
        <v>73.8</v>
      </c>
    </row>
    <row r="252" spans="1:4">
      <c r="A252" s="357" t="s">
        <v>2242</v>
      </c>
      <c r="B252" s="356"/>
      <c r="C252" s="356">
        <v>15</v>
      </c>
      <c r="D252" s="355">
        <f t="shared" si="15"/>
        <v>0</v>
      </c>
    </row>
    <row r="253" spans="1:4">
      <c r="A253" s="357" t="s">
        <v>2325</v>
      </c>
      <c r="B253" s="356"/>
      <c r="C253" s="356">
        <v>15</v>
      </c>
      <c r="D253" s="355">
        <f t="shared" si="15"/>
        <v>0</v>
      </c>
    </row>
    <row r="254" spans="1:4">
      <c r="A254" s="357" t="s">
        <v>2293</v>
      </c>
      <c r="B254" s="356">
        <v>14</v>
      </c>
      <c r="C254" s="356">
        <v>541</v>
      </c>
      <c r="D254" s="355">
        <f t="shared" si="15"/>
        <v>2.6</v>
      </c>
    </row>
    <row r="255" spans="1:4">
      <c r="A255" s="357" t="s">
        <v>2324</v>
      </c>
      <c r="B255" s="356"/>
      <c r="C255" s="356">
        <v>10</v>
      </c>
      <c r="D255" s="355">
        <f t="shared" si="15"/>
        <v>0</v>
      </c>
    </row>
    <row r="256" spans="1:4">
      <c r="A256" s="357" t="s">
        <v>2323</v>
      </c>
      <c r="B256" s="356">
        <v>819</v>
      </c>
      <c r="C256" s="356">
        <v>611</v>
      </c>
      <c r="D256" s="355">
        <f t="shared" si="15"/>
        <v>134</v>
      </c>
    </row>
    <row r="257" spans="1:4">
      <c r="A257" s="357" t="s">
        <v>2322</v>
      </c>
      <c r="B257" s="356">
        <v>57</v>
      </c>
      <c r="C257" s="356">
        <v>38</v>
      </c>
      <c r="D257" s="355">
        <f t="shared" si="15"/>
        <v>150</v>
      </c>
    </row>
    <row r="258" spans="1:4" ht="27">
      <c r="A258" s="357" t="s">
        <v>2321</v>
      </c>
      <c r="B258" s="356">
        <v>35</v>
      </c>
      <c r="C258" s="356">
        <v>24</v>
      </c>
      <c r="D258" s="355">
        <f t="shared" si="15"/>
        <v>145.80000000000001</v>
      </c>
    </row>
    <row r="259" spans="1:4">
      <c r="A259" s="357" t="s">
        <v>2050</v>
      </c>
      <c r="B259" s="356">
        <v>1495</v>
      </c>
      <c r="C259" s="356">
        <v>1576</v>
      </c>
      <c r="D259" s="355">
        <f t="shared" si="15"/>
        <v>94.9</v>
      </c>
    </row>
    <row r="260" spans="1:4">
      <c r="A260" s="357" t="s">
        <v>2271</v>
      </c>
      <c r="B260" s="356">
        <v>1114</v>
      </c>
      <c r="C260" s="356">
        <v>5</v>
      </c>
      <c r="D260" s="355">
        <f t="shared" si="15"/>
        <v>22280</v>
      </c>
    </row>
    <row r="261" spans="1:4">
      <c r="A261" s="357" t="s">
        <v>2293</v>
      </c>
      <c r="B261" s="356">
        <v>67</v>
      </c>
      <c r="C261" s="356"/>
      <c r="D261" s="355"/>
    </row>
    <row r="262" spans="1:4">
      <c r="A262" s="357" t="s">
        <v>2320</v>
      </c>
      <c r="B262" s="356">
        <v>210</v>
      </c>
      <c r="C262" s="356">
        <v>168</v>
      </c>
      <c r="D262" s="355">
        <f t="shared" ref="D262:D272" si="16">B262/C262*100</f>
        <v>125</v>
      </c>
    </row>
    <row r="263" spans="1:4">
      <c r="A263" s="357" t="s">
        <v>2319</v>
      </c>
      <c r="B263" s="356">
        <v>54</v>
      </c>
      <c r="C263" s="356">
        <v>1351</v>
      </c>
      <c r="D263" s="355">
        <f t="shared" si="16"/>
        <v>4</v>
      </c>
    </row>
    <row r="264" spans="1:4">
      <c r="A264" s="357" t="s">
        <v>2318</v>
      </c>
      <c r="B264" s="356">
        <v>50</v>
      </c>
      <c r="C264" s="356">
        <v>3</v>
      </c>
      <c r="D264" s="355">
        <f t="shared" si="16"/>
        <v>1666.7</v>
      </c>
    </row>
    <row r="265" spans="1:4">
      <c r="A265" s="357" t="s">
        <v>2317</v>
      </c>
      <c r="B265" s="356"/>
      <c r="C265" s="356">
        <v>49</v>
      </c>
      <c r="D265" s="355">
        <f t="shared" si="16"/>
        <v>0</v>
      </c>
    </row>
    <row r="266" spans="1:4">
      <c r="A266" s="357" t="s">
        <v>2051</v>
      </c>
      <c r="B266" s="356">
        <v>4368</v>
      </c>
      <c r="C266" s="356">
        <v>8844</v>
      </c>
      <c r="D266" s="355">
        <f t="shared" si="16"/>
        <v>49.4</v>
      </c>
    </row>
    <row r="267" spans="1:4" ht="27">
      <c r="A267" s="357" t="s">
        <v>2316</v>
      </c>
      <c r="B267" s="356">
        <v>4368</v>
      </c>
      <c r="C267" s="356">
        <v>8844</v>
      </c>
      <c r="D267" s="355">
        <f t="shared" si="16"/>
        <v>49.4</v>
      </c>
    </row>
    <row r="268" spans="1:4">
      <c r="A268" s="357" t="s">
        <v>2052</v>
      </c>
      <c r="B268" s="356">
        <v>26480</v>
      </c>
      <c r="C268" s="356">
        <v>22737</v>
      </c>
      <c r="D268" s="355">
        <f t="shared" si="16"/>
        <v>116.5</v>
      </c>
    </row>
    <row r="269" spans="1:4">
      <c r="A269" s="357" t="s">
        <v>2315</v>
      </c>
      <c r="B269" s="356">
        <v>22800</v>
      </c>
      <c r="C269" s="356">
        <v>16500</v>
      </c>
      <c r="D269" s="355">
        <f t="shared" si="16"/>
        <v>138.19999999999999</v>
      </c>
    </row>
    <row r="270" spans="1:4">
      <c r="A270" s="357" t="s">
        <v>2314</v>
      </c>
      <c r="B270" s="356">
        <v>57</v>
      </c>
      <c r="C270" s="356">
        <v>6004</v>
      </c>
      <c r="D270" s="355">
        <f t="shared" si="16"/>
        <v>0.9</v>
      </c>
    </row>
    <row r="271" spans="1:4">
      <c r="A271" s="357" t="s">
        <v>2313</v>
      </c>
      <c r="B271" s="356">
        <v>318</v>
      </c>
      <c r="C271" s="356">
        <v>226</v>
      </c>
      <c r="D271" s="355">
        <f t="shared" si="16"/>
        <v>140.69999999999999</v>
      </c>
    </row>
    <row r="272" spans="1:4">
      <c r="A272" s="357" t="s">
        <v>2312</v>
      </c>
      <c r="B272" s="356"/>
      <c r="C272" s="356">
        <v>2</v>
      </c>
      <c r="D272" s="355">
        <f t="shared" si="16"/>
        <v>0</v>
      </c>
    </row>
    <row r="273" spans="1:4">
      <c r="A273" s="357" t="s">
        <v>2311</v>
      </c>
      <c r="B273" s="356">
        <v>3305</v>
      </c>
      <c r="C273" s="356"/>
      <c r="D273" s="355"/>
    </row>
    <row r="274" spans="1:4">
      <c r="A274" s="357" t="s">
        <v>2310</v>
      </c>
      <c r="B274" s="356"/>
      <c r="C274" s="356">
        <v>5</v>
      </c>
      <c r="D274" s="355">
        <f t="shared" ref="D274:D281" si="17">B274/C274*100</f>
        <v>0</v>
      </c>
    </row>
    <row r="275" spans="1:4">
      <c r="A275" s="357" t="s">
        <v>2053</v>
      </c>
      <c r="B275" s="356">
        <v>0</v>
      </c>
      <c r="C275" s="356">
        <v>309</v>
      </c>
      <c r="D275" s="355">
        <f t="shared" si="17"/>
        <v>0</v>
      </c>
    </row>
    <row r="276" spans="1:4">
      <c r="A276" s="357" t="s">
        <v>2309</v>
      </c>
      <c r="B276" s="356"/>
      <c r="C276" s="356">
        <v>309</v>
      </c>
      <c r="D276" s="355">
        <f t="shared" si="17"/>
        <v>0</v>
      </c>
    </row>
    <row r="277" spans="1:4">
      <c r="A277" s="357" t="s">
        <v>2054</v>
      </c>
      <c r="B277" s="356">
        <v>1396</v>
      </c>
      <c r="C277" s="356">
        <v>1149</v>
      </c>
      <c r="D277" s="355">
        <f t="shared" si="17"/>
        <v>121.5</v>
      </c>
    </row>
    <row r="278" spans="1:4">
      <c r="A278" s="357" t="s">
        <v>2308</v>
      </c>
      <c r="B278" s="356">
        <v>49</v>
      </c>
      <c r="C278" s="356">
        <v>26</v>
      </c>
      <c r="D278" s="355">
        <f t="shared" si="17"/>
        <v>188.5</v>
      </c>
    </row>
    <row r="279" spans="1:4">
      <c r="A279" s="357" t="s">
        <v>2307</v>
      </c>
      <c r="B279" s="356">
        <v>152</v>
      </c>
      <c r="C279" s="356">
        <v>218</v>
      </c>
      <c r="D279" s="355">
        <f t="shared" si="17"/>
        <v>69.7</v>
      </c>
    </row>
    <row r="280" spans="1:4">
      <c r="A280" s="357" t="s">
        <v>2306</v>
      </c>
      <c r="B280" s="356">
        <v>132</v>
      </c>
      <c r="C280" s="356">
        <v>112</v>
      </c>
      <c r="D280" s="355">
        <f t="shared" si="17"/>
        <v>117.9</v>
      </c>
    </row>
    <row r="281" spans="1:4">
      <c r="A281" s="357" t="s">
        <v>2305</v>
      </c>
      <c r="B281" s="356">
        <v>646</v>
      </c>
      <c r="C281" s="356">
        <v>459</v>
      </c>
      <c r="D281" s="355">
        <f t="shared" si="17"/>
        <v>140.69999999999999</v>
      </c>
    </row>
    <row r="282" spans="1:4">
      <c r="A282" s="357" t="s">
        <v>2304</v>
      </c>
      <c r="B282" s="356">
        <v>45</v>
      </c>
      <c r="C282" s="356"/>
      <c r="D282" s="355"/>
    </row>
    <row r="283" spans="1:4">
      <c r="A283" s="357" t="s">
        <v>2303</v>
      </c>
      <c r="B283" s="356">
        <v>372</v>
      </c>
      <c r="C283" s="356">
        <v>334</v>
      </c>
      <c r="D283" s="355">
        <f t="shared" ref="D283:D296" si="18">B283/C283*100</f>
        <v>111.4</v>
      </c>
    </row>
    <row r="284" spans="1:4">
      <c r="A284" s="357" t="s">
        <v>2055</v>
      </c>
      <c r="B284" s="356">
        <v>543</v>
      </c>
      <c r="C284" s="356">
        <v>464</v>
      </c>
      <c r="D284" s="355">
        <f t="shared" si="18"/>
        <v>117</v>
      </c>
    </row>
    <row r="285" spans="1:4">
      <c r="A285" s="357" t="s">
        <v>2302</v>
      </c>
      <c r="B285" s="356">
        <v>380</v>
      </c>
      <c r="C285" s="356">
        <v>268</v>
      </c>
      <c r="D285" s="355">
        <f t="shared" si="18"/>
        <v>141.80000000000001</v>
      </c>
    </row>
    <row r="286" spans="1:4">
      <c r="A286" s="357" t="s">
        <v>2301</v>
      </c>
      <c r="B286" s="356"/>
      <c r="C286" s="356">
        <v>110</v>
      </c>
      <c r="D286" s="355">
        <f t="shared" si="18"/>
        <v>0</v>
      </c>
    </row>
    <row r="287" spans="1:4" ht="27">
      <c r="A287" s="357" t="s">
        <v>2300</v>
      </c>
      <c r="B287" s="356">
        <v>51</v>
      </c>
      <c r="C287" s="356">
        <v>78</v>
      </c>
      <c r="D287" s="355">
        <f t="shared" si="18"/>
        <v>65.400000000000006</v>
      </c>
    </row>
    <row r="288" spans="1:4">
      <c r="A288" s="357" t="s">
        <v>2299</v>
      </c>
      <c r="B288" s="356">
        <v>112</v>
      </c>
      <c r="C288" s="356">
        <v>8</v>
      </c>
      <c r="D288" s="355">
        <f t="shared" si="18"/>
        <v>1400</v>
      </c>
    </row>
    <row r="289" spans="1:4">
      <c r="A289" s="357" t="s">
        <v>2056</v>
      </c>
      <c r="B289" s="356">
        <v>4012</v>
      </c>
      <c r="C289" s="356">
        <v>2176</v>
      </c>
      <c r="D289" s="355">
        <f t="shared" si="18"/>
        <v>184.4</v>
      </c>
    </row>
    <row r="290" spans="1:4">
      <c r="A290" s="357" t="s">
        <v>2298</v>
      </c>
      <c r="B290" s="356">
        <v>13</v>
      </c>
      <c r="C290" s="356">
        <v>31</v>
      </c>
      <c r="D290" s="355">
        <f t="shared" si="18"/>
        <v>41.9</v>
      </c>
    </row>
    <row r="291" spans="1:4">
      <c r="A291" s="357" t="s">
        <v>2297</v>
      </c>
      <c r="B291" s="356">
        <v>650</v>
      </c>
      <c r="C291" s="356">
        <v>25</v>
      </c>
      <c r="D291" s="355">
        <f t="shared" si="18"/>
        <v>2600</v>
      </c>
    </row>
    <row r="292" spans="1:4">
      <c r="A292" s="357" t="s">
        <v>2296</v>
      </c>
      <c r="B292" s="356">
        <v>1016</v>
      </c>
      <c r="C292" s="356">
        <v>1952</v>
      </c>
      <c r="D292" s="355">
        <f t="shared" si="18"/>
        <v>52</v>
      </c>
    </row>
    <row r="293" spans="1:4">
      <c r="A293" s="357" t="s">
        <v>2295</v>
      </c>
      <c r="B293" s="356">
        <v>173</v>
      </c>
      <c r="C293" s="356">
        <v>163</v>
      </c>
      <c r="D293" s="355">
        <f t="shared" si="18"/>
        <v>106.1</v>
      </c>
    </row>
    <row r="294" spans="1:4">
      <c r="A294" s="357" t="s">
        <v>2294</v>
      </c>
      <c r="B294" s="356">
        <v>2160</v>
      </c>
      <c r="C294" s="356">
        <v>5</v>
      </c>
      <c r="D294" s="355">
        <f t="shared" si="18"/>
        <v>43200</v>
      </c>
    </row>
    <row r="295" spans="1:4">
      <c r="A295" s="357" t="s">
        <v>2057</v>
      </c>
      <c r="B295" s="356">
        <v>533</v>
      </c>
      <c r="C295" s="356">
        <v>1145</v>
      </c>
      <c r="D295" s="355">
        <f t="shared" si="18"/>
        <v>46.6</v>
      </c>
    </row>
    <row r="296" spans="1:4">
      <c r="A296" s="357" t="s">
        <v>2271</v>
      </c>
      <c r="B296" s="356">
        <v>26</v>
      </c>
      <c r="C296" s="356">
        <v>75</v>
      </c>
      <c r="D296" s="355">
        <f t="shared" si="18"/>
        <v>34.700000000000003</v>
      </c>
    </row>
    <row r="297" spans="1:4">
      <c r="A297" s="357" t="s">
        <v>2241</v>
      </c>
      <c r="B297" s="356">
        <v>3</v>
      </c>
      <c r="C297" s="356"/>
      <c r="D297" s="355"/>
    </row>
    <row r="298" spans="1:4">
      <c r="A298" s="357" t="s">
        <v>2293</v>
      </c>
      <c r="B298" s="356">
        <v>54</v>
      </c>
      <c r="C298" s="356"/>
      <c r="D298" s="355"/>
    </row>
    <row r="299" spans="1:4">
      <c r="A299" s="357" t="s">
        <v>2292</v>
      </c>
      <c r="B299" s="356">
        <v>47</v>
      </c>
      <c r="C299" s="356">
        <v>231</v>
      </c>
      <c r="D299" s="355">
        <f>B299/C299*100</f>
        <v>20.3</v>
      </c>
    </row>
    <row r="300" spans="1:4">
      <c r="A300" s="357" t="s">
        <v>2291</v>
      </c>
      <c r="B300" s="356">
        <v>195</v>
      </c>
      <c r="C300" s="356">
        <v>252</v>
      </c>
      <c r="D300" s="355">
        <f>B300/C300*100</f>
        <v>77.400000000000006</v>
      </c>
    </row>
    <row r="301" spans="1:4">
      <c r="A301" s="357" t="s">
        <v>2290</v>
      </c>
      <c r="B301" s="356">
        <v>5</v>
      </c>
      <c r="C301" s="356"/>
      <c r="D301" s="355"/>
    </row>
    <row r="302" spans="1:4">
      <c r="A302" s="357" t="s">
        <v>2289</v>
      </c>
      <c r="B302" s="356">
        <v>58</v>
      </c>
      <c r="C302" s="356"/>
      <c r="D302" s="355"/>
    </row>
    <row r="303" spans="1:4">
      <c r="A303" s="357" t="s">
        <v>2288</v>
      </c>
      <c r="B303" s="356">
        <v>145</v>
      </c>
      <c r="C303" s="356">
        <v>587</v>
      </c>
      <c r="D303" s="355">
        <f>B303/C303*100</f>
        <v>24.7</v>
      </c>
    </row>
    <row r="304" spans="1:4">
      <c r="A304" s="357" t="s">
        <v>2058</v>
      </c>
      <c r="B304" s="356">
        <v>200</v>
      </c>
      <c r="C304" s="356">
        <v>120</v>
      </c>
      <c r="D304" s="355">
        <f>B304/C304*100</f>
        <v>166.7</v>
      </c>
    </row>
    <row r="305" spans="1:4">
      <c r="A305" s="357" t="s">
        <v>2287</v>
      </c>
      <c r="B305" s="356"/>
      <c r="C305" s="356">
        <v>120</v>
      </c>
      <c r="D305" s="355">
        <f>B305/C305*100</f>
        <v>0</v>
      </c>
    </row>
    <row r="306" spans="1:4">
      <c r="A306" s="357" t="s">
        <v>2286</v>
      </c>
      <c r="B306" s="356">
        <v>200</v>
      </c>
      <c r="C306" s="356"/>
      <c r="D306" s="355"/>
    </row>
    <row r="307" spans="1:4">
      <c r="A307" s="357" t="s">
        <v>2059</v>
      </c>
      <c r="B307" s="356">
        <v>63</v>
      </c>
      <c r="C307" s="356">
        <v>34</v>
      </c>
      <c r="D307" s="355">
        <f>B307/C307*100</f>
        <v>185.3</v>
      </c>
    </row>
    <row r="308" spans="1:4">
      <c r="A308" s="357" t="s">
        <v>2271</v>
      </c>
      <c r="B308" s="356">
        <v>28</v>
      </c>
      <c r="C308" s="356">
        <v>34</v>
      </c>
      <c r="D308" s="355">
        <f>B308/C308*100</f>
        <v>82.4</v>
      </c>
    </row>
    <row r="309" spans="1:4">
      <c r="A309" s="357" t="s">
        <v>2241</v>
      </c>
      <c r="B309" s="356">
        <v>35</v>
      </c>
      <c r="C309" s="356"/>
      <c r="D309" s="355"/>
    </row>
    <row r="310" spans="1:4">
      <c r="A310" s="357" t="s">
        <v>2285</v>
      </c>
      <c r="B310" s="356">
        <v>2453</v>
      </c>
      <c r="C310" s="356">
        <v>5483</v>
      </c>
      <c r="D310" s="355">
        <f t="shared" ref="D310:D316" si="19">B310/C310*100</f>
        <v>44.7</v>
      </c>
    </row>
    <row r="311" spans="1:4">
      <c r="A311" s="357" t="s">
        <v>2284</v>
      </c>
      <c r="B311" s="356">
        <v>255</v>
      </c>
      <c r="C311" s="356">
        <v>991</v>
      </c>
      <c r="D311" s="355">
        <f t="shared" si="19"/>
        <v>25.7</v>
      </c>
    </row>
    <row r="312" spans="1:4">
      <c r="A312" s="357" t="s">
        <v>2283</v>
      </c>
      <c r="B312" s="356">
        <v>2198</v>
      </c>
      <c r="C312" s="356">
        <v>4492</v>
      </c>
      <c r="D312" s="355">
        <f t="shared" si="19"/>
        <v>48.9</v>
      </c>
    </row>
    <row r="313" spans="1:4">
      <c r="A313" s="357" t="s">
        <v>2282</v>
      </c>
      <c r="B313" s="356">
        <v>82</v>
      </c>
      <c r="C313" s="356">
        <v>422</v>
      </c>
      <c r="D313" s="355">
        <f t="shared" si="19"/>
        <v>19.399999999999999</v>
      </c>
    </row>
    <row r="314" spans="1:4">
      <c r="A314" s="357" t="s">
        <v>2281</v>
      </c>
      <c r="B314" s="356">
        <v>62</v>
      </c>
      <c r="C314" s="356">
        <v>419</v>
      </c>
      <c r="D314" s="355">
        <f t="shared" si="19"/>
        <v>14.8</v>
      </c>
    </row>
    <row r="315" spans="1:4">
      <c r="A315" s="357" t="s">
        <v>2280</v>
      </c>
      <c r="B315" s="356">
        <v>20</v>
      </c>
      <c r="C315" s="356">
        <v>3</v>
      </c>
      <c r="D315" s="355">
        <f t="shared" si="19"/>
        <v>666.7</v>
      </c>
    </row>
    <row r="316" spans="1:4">
      <c r="A316" s="357" t="s">
        <v>2279</v>
      </c>
      <c r="B316" s="356">
        <v>1612</v>
      </c>
      <c r="C316" s="356">
        <v>1736</v>
      </c>
      <c r="D316" s="355">
        <f t="shared" si="19"/>
        <v>92.9</v>
      </c>
    </row>
    <row r="317" spans="1:4">
      <c r="A317" s="357" t="s">
        <v>2278</v>
      </c>
      <c r="B317" s="356">
        <v>1612</v>
      </c>
      <c r="C317" s="356"/>
      <c r="D317" s="355"/>
    </row>
    <row r="318" spans="1:4">
      <c r="A318" s="357" t="s">
        <v>2277</v>
      </c>
      <c r="B318" s="356"/>
      <c r="C318" s="356">
        <v>1736</v>
      </c>
      <c r="D318" s="355">
        <f t="shared" ref="D318:D340" si="20">B318/C318*100</f>
        <v>0</v>
      </c>
    </row>
    <row r="319" spans="1:4">
      <c r="A319" s="357" t="s">
        <v>2276</v>
      </c>
      <c r="B319" s="356">
        <v>114</v>
      </c>
      <c r="C319" s="356">
        <v>155</v>
      </c>
      <c r="D319" s="355">
        <f t="shared" si="20"/>
        <v>73.5</v>
      </c>
    </row>
    <row r="320" spans="1:4">
      <c r="A320" s="357" t="s">
        <v>2275</v>
      </c>
      <c r="B320" s="356">
        <v>114</v>
      </c>
      <c r="C320" s="356">
        <v>155</v>
      </c>
      <c r="D320" s="355">
        <f t="shared" si="20"/>
        <v>73.5</v>
      </c>
    </row>
    <row r="321" spans="1:4">
      <c r="A321" s="357" t="s">
        <v>2274</v>
      </c>
      <c r="B321" s="356">
        <v>1593</v>
      </c>
      <c r="C321" s="356">
        <v>2037</v>
      </c>
      <c r="D321" s="355">
        <f t="shared" si="20"/>
        <v>78.2</v>
      </c>
    </row>
    <row r="322" spans="1:4">
      <c r="A322" s="357" t="s">
        <v>2273</v>
      </c>
      <c r="B322" s="356">
        <v>1593</v>
      </c>
      <c r="C322" s="356">
        <v>2037</v>
      </c>
      <c r="D322" s="355">
        <f t="shared" si="20"/>
        <v>78.2</v>
      </c>
    </row>
    <row r="323" spans="1:4" s="358" customFormat="1">
      <c r="A323" s="360" t="s">
        <v>77</v>
      </c>
      <c r="B323" s="359">
        <v>28645</v>
      </c>
      <c r="C323" s="359">
        <v>46459</v>
      </c>
      <c r="D323" s="352">
        <f t="shared" si="20"/>
        <v>61.7</v>
      </c>
    </row>
    <row r="324" spans="1:4">
      <c r="A324" s="357" t="s">
        <v>2272</v>
      </c>
      <c r="B324" s="356">
        <v>982</v>
      </c>
      <c r="C324" s="356">
        <v>1928</v>
      </c>
      <c r="D324" s="355">
        <f t="shared" si="20"/>
        <v>50.9</v>
      </c>
    </row>
    <row r="325" spans="1:4">
      <c r="A325" s="357" t="s">
        <v>2271</v>
      </c>
      <c r="B325" s="356">
        <v>387</v>
      </c>
      <c r="C325" s="356">
        <v>694</v>
      </c>
      <c r="D325" s="355">
        <f t="shared" si="20"/>
        <v>55.8</v>
      </c>
    </row>
    <row r="326" spans="1:4">
      <c r="A326" s="357" t="s">
        <v>2241</v>
      </c>
      <c r="B326" s="356">
        <v>462</v>
      </c>
      <c r="C326" s="356">
        <v>1162</v>
      </c>
      <c r="D326" s="355">
        <f t="shared" si="20"/>
        <v>39.799999999999997</v>
      </c>
    </row>
    <row r="327" spans="1:4" ht="27">
      <c r="A327" s="357" t="s">
        <v>2270</v>
      </c>
      <c r="B327" s="356">
        <v>133</v>
      </c>
      <c r="C327" s="356">
        <v>72</v>
      </c>
      <c r="D327" s="355">
        <f t="shared" si="20"/>
        <v>184.7</v>
      </c>
    </row>
    <row r="328" spans="1:4">
      <c r="A328" s="357" t="s">
        <v>2060</v>
      </c>
      <c r="B328" s="356">
        <v>5929</v>
      </c>
      <c r="C328" s="356">
        <v>7246</v>
      </c>
      <c r="D328" s="355">
        <f t="shared" si="20"/>
        <v>81.8</v>
      </c>
    </row>
    <row r="329" spans="1:4">
      <c r="A329" s="357" t="s">
        <v>2269</v>
      </c>
      <c r="B329" s="356">
        <v>3498</v>
      </c>
      <c r="C329" s="356">
        <v>4926</v>
      </c>
      <c r="D329" s="355">
        <f t="shared" si="20"/>
        <v>71</v>
      </c>
    </row>
    <row r="330" spans="1:4">
      <c r="A330" s="357" t="s">
        <v>2268</v>
      </c>
      <c r="B330" s="356">
        <v>1033</v>
      </c>
      <c r="C330" s="356">
        <v>1343</v>
      </c>
      <c r="D330" s="355">
        <f t="shared" si="20"/>
        <v>76.900000000000006</v>
      </c>
    </row>
    <row r="331" spans="1:4">
      <c r="A331" s="357" t="s">
        <v>2267</v>
      </c>
      <c r="B331" s="356">
        <v>20</v>
      </c>
      <c r="C331" s="356">
        <v>655</v>
      </c>
      <c r="D331" s="355">
        <f t="shared" si="20"/>
        <v>3.1</v>
      </c>
    </row>
    <row r="332" spans="1:4">
      <c r="A332" s="357" t="s">
        <v>2266</v>
      </c>
      <c r="B332" s="356">
        <v>1378</v>
      </c>
      <c r="C332" s="356">
        <v>322</v>
      </c>
      <c r="D332" s="355">
        <f t="shared" si="20"/>
        <v>428</v>
      </c>
    </row>
    <row r="333" spans="1:4">
      <c r="A333" s="357" t="s">
        <v>2061</v>
      </c>
      <c r="B333" s="356">
        <v>6821</v>
      </c>
      <c r="C333" s="356">
        <v>8379</v>
      </c>
      <c r="D333" s="355">
        <f t="shared" si="20"/>
        <v>81.400000000000006</v>
      </c>
    </row>
    <row r="334" spans="1:4">
      <c r="A334" s="357" t="s">
        <v>2265</v>
      </c>
      <c r="B334" s="356">
        <v>513</v>
      </c>
      <c r="C334" s="356">
        <v>608</v>
      </c>
      <c r="D334" s="355">
        <f t="shared" si="20"/>
        <v>84.4</v>
      </c>
    </row>
    <row r="335" spans="1:4">
      <c r="A335" s="357" t="s">
        <v>2264</v>
      </c>
      <c r="B335" s="356">
        <v>5871</v>
      </c>
      <c r="C335" s="356">
        <v>6431</v>
      </c>
      <c r="D335" s="355">
        <f t="shared" si="20"/>
        <v>91.3</v>
      </c>
    </row>
    <row r="336" spans="1:4">
      <c r="A336" s="357" t="s">
        <v>2263</v>
      </c>
      <c r="B336" s="356">
        <v>437</v>
      </c>
      <c r="C336" s="356">
        <v>1340</v>
      </c>
      <c r="D336" s="355">
        <f t="shared" si="20"/>
        <v>32.6</v>
      </c>
    </row>
    <row r="337" spans="1:4">
      <c r="A337" s="357" t="s">
        <v>2062</v>
      </c>
      <c r="B337" s="356">
        <v>2856</v>
      </c>
      <c r="C337" s="356">
        <v>4603</v>
      </c>
      <c r="D337" s="355">
        <f t="shared" si="20"/>
        <v>62</v>
      </c>
    </row>
    <row r="338" spans="1:4">
      <c r="A338" s="357" t="s">
        <v>2262</v>
      </c>
      <c r="B338" s="356">
        <v>969</v>
      </c>
      <c r="C338" s="356">
        <v>914</v>
      </c>
      <c r="D338" s="355">
        <f t="shared" si="20"/>
        <v>106</v>
      </c>
    </row>
    <row r="339" spans="1:4">
      <c r="A339" s="357" t="s">
        <v>2261</v>
      </c>
      <c r="B339" s="356">
        <v>256</v>
      </c>
      <c r="C339" s="356">
        <v>335</v>
      </c>
      <c r="D339" s="355">
        <f t="shared" si="20"/>
        <v>76.400000000000006</v>
      </c>
    </row>
    <row r="340" spans="1:4">
      <c r="A340" s="357" t="s">
        <v>2260</v>
      </c>
      <c r="B340" s="356">
        <v>672</v>
      </c>
      <c r="C340" s="356">
        <v>418</v>
      </c>
      <c r="D340" s="355">
        <f t="shared" si="20"/>
        <v>160.80000000000001</v>
      </c>
    </row>
    <row r="341" spans="1:4">
      <c r="A341" s="357" t="s">
        <v>2259</v>
      </c>
      <c r="B341" s="356">
        <v>53</v>
      </c>
      <c r="C341" s="356"/>
      <c r="D341" s="355"/>
    </row>
    <row r="342" spans="1:4">
      <c r="A342" s="357" t="s">
        <v>2258</v>
      </c>
      <c r="B342" s="356">
        <v>400</v>
      </c>
      <c r="C342" s="356">
        <v>1948</v>
      </c>
      <c r="D342" s="355">
        <f t="shared" ref="D342:D355" si="21">B342/C342*100</f>
        <v>20.5</v>
      </c>
    </row>
    <row r="343" spans="1:4">
      <c r="A343" s="357" t="s">
        <v>2257</v>
      </c>
      <c r="B343" s="356"/>
      <c r="C343" s="356">
        <v>50</v>
      </c>
      <c r="D343" s="355">
        <f t="shared" si="21"/>
        <v>0</v>
      </c>
    </row>
    <row r="344" spans="1:4">
      <c r="A344" s="357" t="s">
        <v>2256</v>
      </c>
      <c r="B344" s="356"/>
      <c r="C344" s="356">
        <v>371</v>
      </c>
      <c r="D344" s="355">
        <f t="shared" si="21"/>
        <v>0</v>
      </c>
    </row>
    <row r="345" spans="1:4">
      <c r="A345" s="357" t="s">
        <v>2255</v>
      </c>
      <c r="B345" s="356">
        <v>506</v>
      </c>
      <c r="C345" s="356">
        <v>567</v>
      </c>
      <c r="D345" s="355">
        <f t="shared" si="21"/>
        <v>89.2</v>
      </c>
    </row>
    <row r="346" spans="1:4">
      <c r="A346" s="357" t="s">
        <v>2063</v>
      </c>
      <c r="B346" s="356">
        <v>0</v>
      </c>
      <c r="C346" s="356">
        <v>21509</v>
      </c>
      <c r="D346" s="355">
        <f t="shared" si="21"/>
        <v>0</v>
      </c>
    </row>
    <row r="347" spans="1:4">
      <c r="A347" s="357" t="s">
        <v>2254</v>
      </c>
      <c r="B347" s="356"/>
      <c r="C347" s="356">
        <v>2006</v>
      </c>
      <c r="D347" s="355">
        <f t="shared" si="21"/>
        <v>0</v>
      </c>
    </row>
    <row r="348" spans="1:4">
      <c r="A348" s="357" t="s">
        <v>2253</v>
      </c>
      <c r="B348" s="356"/>
      <c r="C348" s="356">
        <v>966</v>
      </c>
      <c r="D348" s="355">
        <f t="shared" si="21"/>
        <v>0</v>
      </c>
    </row>
    <row r="349" spans="1:4">
      <c r="A349" s="357" t="s">
        <v>2252</v>
      </c>
      <c r="B349" s="356"/>
      <c r="C349" s="356">
        <v>12</v>
      </c>
      <c r="D349" s="355">
        <f t="shared" si="21"/>
        <v>0</v>
      </c>
    </row>
    <row r="350" spans="1:4">
      <c r="A350" s="357" t="s">
        <v>2251</v>
      </c>
      <c r="B350" s="356"/>
      <c r="C350" s="356">
        <v>15326</v>
      </c>
      <c r="D350" s="355">
        <f t="shared" si="21"/>
        <v>0</v>
      </c>
    </row>
    <row r="351" spans="1:4">
      <c r="A351" s="357" t="s">
        <v>2250</v>
      </c>
      <c r="B351" s="356"/>
      <c r="C351" s="356">
        <v>1418</v>
      </c>
      <c r="D351" s="355">
        <f t="shared" si="21"/>
        <v>0</v>
      </c>
    </row>
    <row r="352" spans="1:4">
      <c r="A352" s="357" t="s">
        <v>2249</v>
      </c>
      <c r="B352" s="356"/>
      <c r="C352" s="356">
        <v>1381</v>
      </c>
      <c r="D352" s="355">
        <f t="shared" si="21"/>
        <v>0</v>
      </c>
    </row>
    <row r="353" spans="1:4">
      <c r="A353" s="357" t="s">
        <v>2248</v>
      </c>
      <c r="B353" s="356"/>
      <c r="C353" s="356">
        <v>55</v>
      </c>
      <c r="D353" s="355">
        <f t="shared" si="21"/>
        <v>0</v>
      </c>
    </row>
    <row r="354" spans="1:4">
      <c r="A354" s="357" t="s">
        <v>2247</v>
      </c>
      <c r="B354" s="356"/>
      <c r="C354" s="356">
        <v>345</v>
      </c>
      <c r="D354" s="355">
        <f t="shared" si="21"/>
        <v>0</v>
      </c>
    </row>
    <row r="355" spans="1:4">
      <c r="A355" s="357" t="s">
        <v>2246</v>
      </c>
      <c r="B355" s="356">
        <v>1855</v>
      </c>
      <c r="C355" s="356">
        <v>2220</v>
      </c>
      <c r="D355" s="355">
        <f t="shared" si="21"/>
        <v>83.6</v>
      </c>
    </row>
    <row r="356" spans="1:4">
      <c r="A356" s="357" t="s">
        <v>2245</v>
      </c>
      <c r="B356" s="356">
        <v>204</v>
      </c>
      <c r="C356" s="356"/>
      <c r="D356" s="355"/>
    </row>
    <row r="357" spans="1:4">
      <c r="A357" s="357" t="s">
        <v>2244</v>
      </c>
      <c r="B357" s="356">
        <v>656</v>
      </c>
      <c r="C357" s="356">
        <v>486</v>
      </c>
      <c r="D357" s="355">
        <f>B357/C357*100</f>
        <v>135</v>
      </c>
    </row>
    <row r="358" spans="1:4">
      <c r="A358" s="357" t="s">
        <v>2243</v>
      </c>
      <c r="B358" s="356">
        <v>995</v>
      </c>
      <c r="C358" s="356">
        <v>1734</v>
      </c>
      <c r="D358" s="355">
        <f>B358/C358*100</f>
        <v>57.4</v>
      </c>
    </row>
    <row r="359" spans="1:4">
      <c r="A359" s="357" t="s">
        <v>2064</v>
      </c>
      <c r="B359" s="356">
        <v>909</v>
      </c>
      <c r="C359" s="356">
        <v>162</v>
      </c>
      <c r="D359" s="355">
        <f>B359/C359*100</f>
        <v>561.1</v>
      </c>
    </row>
    <row r="360" spans="1:4">
      <c r="A360" s="357" t="s">
        <v>2242</v>
      </c>
      <c r="B360" s="356"/>
      <c r="C360" s="356">
        <v>1</v>
      </c>
      <c r="D360" s="355">
        <f>B360/C360*100</f>
        <v>0</v>
      </c>
    </row>
    <row r="361" spans="1:4">
      <c r="A361" s="357" t="s">
        <v>2241</v>
      </c>
      <c r="B361" s="356">
        <v>52</v>
      </c>
      <c r="C361" s="356">
        <v>43</v>
      </c>
      <c r="D361" s="355">
        <f>B361/C361*100</f>
        <v>120.9</v>
      </c>
    </row>
    <row r="362" spans="1:4">
      <c r="A362" s="357" t="s">
        <v>2240</v>
      </c>
      <c r="B362" s="356">
        <v>7</v>
      </c>
      <c r="C362" s="356"/>
      <c r="D362" s="355"/>
    </row>
    <row r="363" spans="1:4">
      <c r="A363" s="357" t="s">
        <v>2239</v>
      </c>
      <c r="B363" s="356">
        <v>50</v>
      </c>
      <c r="C363" s="356">
        <v>17</v>
      </c>
      <c r="D363" s="355">
        <f>B363/C363*100</f>
        <v>294.10000000000002</v>
      </c>
    </row>
    <row r="364" spans="1:4">
      <c r="A364" s="357" t="s">
        <v>2238</v>
      </c>
      <c r="B364" s="356">
        <v>800</v>
      </c>
      <c r="C364" s="356">
        <v>44</v>
      </c>
      <c r="D364" s="355">
        <f>B364/C364*100</f>
        <v>1818.2</v>
      </c>
    </row>
    <row r="365" spans="1:4" ht="27">
      <c r="A365" s="357" t="s">
        <v>2237</v>
      </c>
      <c r="B365" s="356"/>
      <c r="C365" s="356">
        <v>57</v>
      </c>
      <c r="D365" s="355">
        <f>B365/C365*100</f>
        <v>0</v>
      </c>
    </row>
    <row r="366" spans="1:4">
      <c r="A366" s="357" t="s">
        <v>2236</v>
      </c>
      <c r="B366" s="356">
        <v>3350</v>
      </c>
      <c r="C366" s="356">
        <v>0</v>
      </c>
      <c r="D366" s="355"/>
    </row>
    <row r="367" spans="1:4">
      <c r="A367" s="357" t="s">
        <v>2235</v>
      </c>
      <c r="B367" s="356">
        <v>2150</v>
      </c>
      <c r="C367" s="356"/>
      <c r="D367" s="355"/>
    </row>
    <row r="368" spans="1:4">
      <c r="A368" s="357" t="s">
        <v>2234</v>
      </c>
      <c r="B368" s="356">
        <v>1200</v>
      </c>
      <c r="C368" s="356"/>
      <c r="D368" s="355"/>
    </row>
    <row r="369" spans="1:4">
      <c r="A369" s="357" t="s">
        <v>1248</v>
      </c>
      <c r="B369" s="356">
        <v>4936</v>
      </c>
      <c r="C369" s="356">
        <v>0</v>
      </c>
      <c r="D369" s="355"/>
    </row>
    <row r="370" spans="1:4" ht="27">
      <c r="A370" s="357" t="s">
        <v>2233</v>
      </c>
      <c r="B370" s="356">
        <v>4906</v>
      </c>
      <c r="C370" s="356"/>
      <c r="D370" s="355"/>
    </row>
    <row r="371" spans="1:4" ht="27">
      <c r="A371" s="357" t="s">
        <v>2232</v>
      </c>
      <c r="B371" s="356">
        <v>24</v>
      </c>
      <c r="C371" s="356"/>
      <c r="D371" s="355"/>
    </row>
    <row r="372" spans="1:4" ht="27">
      <c r="A372" s="357" t="s">
        <v>2231</v>
      </c>
      <c r="B372" s="356">
        <v>6</v>
      </c>
      <c r="C372" s="356"/>
      <c r="D372" s="355"/>
    </row>
    <row r="373" spans="1:4">
      <c r="A373" s="357" t="s">
        <v>2230</v>
      </c>
      <c r="B373" s="356">
        <v>1000</v>
      </c>
      <c r="C373" s="356">
        <v>321</v>
      </c>
      <c r="D373" s="355">
        <f>B373/C373*100</f>
        <v>311.5</v>
      </c>
    </row>
    <row r="374" spans="1:4">
      <c r="A374" s="357" t="s">
        <v>2229</v>
      </c>
      <c r="B374" s="356">
        <v>1000</v>
      </c>
      <c r="C374" s="356"/>
      <c r="D374" s="355"/>
    </row>
    <row r="375" spans="1:4">
      <c r="A375" s="357" t="s">
        <v>2228</v>
      </c>
      <c r="B375" s="356">
        <v>0</v>
      </c>
      <c r="C375" s="356">
        <v>321</v>
      </c>
      <c r="D375" s="355">
        <f>B375/C375*100</f>
        <v>0</v>
      </c>
    </row>
    <row r="376" spans="1:4">
      <c r="A376" s="357" t="s">
        <v>2227</v>
      </c>
      <c r="B376" s="356"/>
      <c r="C376" s="356">
        <v>321</v>
      </c>
      <c r="D376" s="355">
        <f>B376/C376*100</f>
        <v>0</v>
      </c>
    </row>
    <row r="377" spans="1:4">
      <c r="A377" s="357" t="s">
        <v>2226</v>
      </c>
      <c r="B377" s="356"/>
      <c r="C377" s="356"/>
      <c r="D377" s="355"/>
    </row>
    <row r="378" spans="1:4">
      <c r="A378" s="357" t="s">
        <v>2225</v>
      </c>
      <c r="B378" s="356">
        <v>7</v>
      </c>
      <c r="C378" s="356">
        <v>0</v>
      </c>
      <c r="D378" s="355"/>
    </row>
    <row r="379" spans="1:4">
      <c r="A379" s="357" t="s">
        <v>2224</v>
      </c>
      <c r="B379" s="356">
        <v>7</v>
      </c>
      <c r="C379" s="356"/>
      <c r="D379" s="355"/>
    </row>
    <row r="380" spans="1:4">
      <c r="A380" s="357" t="s">
        <v>2223</v>
      </c>
      <c r="B380" s="356">
        <v>0</v>
      </c>
      <c r="C380" s="356">
        <v>91</v>
      </c>
      <c r="D380" s="355">
        <f t="shared" ref="D380:D402" si="22">B380/C380*100</f>
        <v>0</v>
      </c>
    </row>
    <row r="381" spans="1:4" ht="27">
      <c r="A381" s="357" t="s">
        <v>2222</v>
      </c>
      <c r="B381" s="356"/>
      <c r="C381" s="356">
        <v>91</v>
      </c>
      <c r="D381" s="355">
        <f t="shared" si="22"/>
        <v>0</v>
      </c>
    </row>
    <row r="382" spans="1:4" s="358" customFormat="1">
      <c r="A382" s="360" t="s">
        <v>78</v>
      </c>
      <c r="B382" s="359">
        <v>5223</v>
      </c>
      <c r="C382" s="359">
        <v>36100</v>
      </c>
      <c r="D382" s="352">
        <f t="shared" si="22"/>
        <v>14.5</v>
      </c>
    </row>
    <row r="383" spans="1:4">
      <c r="A383" s="357" t="s">
        <v>2065</v>
      </c>
      <c r="B383" s="356">
        <v>2843</v>
      </c>
      <c r="C383" s="356">
        <v>30620</v>
      </c>
      <c r="D383" s="355">
        <f t="shared" si="22"/>
        <v>9.3000000000000007</v>
      </c>
    </row>
    <row r="384" spans="1:4">
      <c r="A384" s="357" t="s">
        <v>2124</v>
      </c>
      <c r="B384" s="356">
        <v>383</v>
      </c>
      <c r="C384" s="356">
        <v>96</v>
      </c>
      <c r="D384" s="355">
        <f t="shared" si="22"/>
        <v>399</v>
      </c>
    </row>
    <row r="385" spans="1:4">
      <c r="A385" s="357" t="s">
        <v>2123</v>
      </c>
      <c r="B385" s="356">
        <v>2460</v>
      </c>
      <c r="C385" s="356">
        <v>524</v>
      </c>
      <c r="D385" s="355">
        <f t="shared" si="22"/>
        <v>469.5</v>
      </c>
    </row>
    <row r="386" spans="1:4">
      <c r="A386" s="357" t="s">
        <v>2221</v>
      </c>
      <c r="B386" s="356"/>
      <c r="C386" s="356">
        <v>30000</v>
      </c>
      <c r="D386" s="355">
        <f t="shared" si="22"/>
        <v>0</v>
      </c>
    </row>
    <row r="387" spans="1:4">
      <c r="A387" s="357" t="s">
        <v>2066</v>
      </c>
      <c r="B387" s="356">
        <v>2380</v>
      </c>
      <c r="C387" s="356">
        <v>684</v>
      </c>
      <c r="D387" s="355">
        <f t="shared" si="22"/>
        <v>348</v>
      </c>
    </row>
    <row r="388" spans="1:4">
      <c r="A388" s="357" t="s">
        <v>2220</v>
      </c>
      <c r="B388" s="356">
        <v>2380</v>
      </c>
      <c r="C388" s="356">
        <v>684</v>
      </c>
      <c r="D388" s="355">
        <f t="shared" si="22"/>
        <v>348</v>
      </c>
    </row>
    <row r="389" spans="1:4">
      <c r="A389" s="357" t="s">
        <v>2067</v>
      </c>
      <c r="B389" s="356"/>
      <c r="C389" s="356">
        <v>4794</v>
      </c>
      <c r="D389" s="355">
        <f t="shared" si="22"/>
        <v>0</v>
      </c>
    </row>
    <row r="390" spans="1:4">
      <c r="A390" s="357" t="s">
        <v>2219</v>
      </c>
      <c r="B390" s="356"/>
      <c r="C390" s="356">
        <v>47</v>
      </c>
      <c r="D390" s="355">
        <f t="shared" si="22"/>
        <v>0</v>
      </c>
    </row>
    <row r="391" spans="1:4">
      <c r="A391" s="357" t="s">
        <v>2218</v>
      </c>
      <c r="B391" s="356"/>
      <c r="C391" s="356">
        <v>1210</v>
      </c>
      <c r="D391" s="355">
        <f t="shared" si="22"/>
        <v>0</v>
      </c>
    </row>
    <row r="392" spans="1:4">
      <c r="A392" s="357" t="s">
        <v>2217</v>
      </c>
      <c r="B392" s="356"/>
      <c r="C392" s="356">
        <v>300</v>
      </c>
      <c r="D392" s="355">
        <f t="shared" si="22"/>
        <v>0</v>
      </c>
    </row>
    <row r="393" spans="1:4">
      <c r="A393" s="357" t="s">
        <v>2216</v>
      </c>
      <c r="B393" s="356"/>
      <c r="C393" s="356">
        <v>2244</v>
      </c>
      <c r="D393" s="355">
        <f t="shared" si="22"/>
        <v>0</v>
      </c>
    </row>
    <row r="394" spans="1:4">
      <c r="A394" s="357" t="s">
        <v>2215</v>
      </c>
      <c r="B394" s="356"/>
      <c r="C394" s="356">
        <v>993</v>
      </c>
      <c r="D394" s="355">
        <f t="shared" si="22"/>
        <v>0</v>
      </c>
    </row>
    <row r="395" spans="1:4">
      <c r="A395" s="357" t="s">
        <v>2214</v>
      </c>
      <c r="B395" s="356"/>
      <c r="C395" s="356">
        <v>2</v>
      </c>
      <c r="D395" s="355">
        <f t="shared" si="22"/>
        <v>0</v>
      </c>
    </row>
    <row r="396" spans="1:4">
      <c r="A396" s="357" t="s">
        <v>2213</v>
      </c>
      <c r="B396" s="356"/>
      <c r="C396" s="356">
        <v>2</v>
      </c>
      <c r="D396" s="355">
        <f t="shared" si="22"/>
        <v>0</v>
      </c>
    </row>
    <row r="397" spans="1:4" s="358" customFormat="1">
      <c r="A397" s="360" t="s">
        <v>79</v>
      </c>
      <c r="B397" s="359">
        <v>170372</v>
      </c>
      <c r="C397" s="359">
        <v>328753</v>
      </c>
      <c r="D397" s="352">
        <f t="shared" si="22"/>
        <v>51.8</v>
      </c>
    </row>
    <row r="398" spans="1:4">
      <c r="A398" s="357" t="s">
        <v>2068</v>
      </c>
      <c r="B398" s="356">
        <v>14818</v>
      </c>
      <c r="C398" s="356">
        <v>7160</v>
      </c>
      <c r="D398" s="355">
        <f t="shared" si="22"/>
        <v>207</v>
      </c>
    </row>
    <row r="399" spans="1:4">
      <c r="A399" s="357" t="s">
        <v>2124</v>
      </c>
      <c r="B399" s="356">
        <v>2945</v>
      </c>
      <c r="C399" s="356">
        <v>2852</v>
      </c>
      <c r="D399" s="355">
        <f t="shared" si="22"/>
        <v>103.3</v>
      </c>
    </row>
    <row r="400" spans="1:4">
      <c r="A400" s="357" t="s">
        <v>2123</v>
      </c>
      <c r="B400" s="356">
        <v>620</v>
      </c>
      <c r="C400" s="356">
        <v>149</v>
      </c>
      <c r="D400" s="355">
        <f t="shared" si="22"/>
        <v>416.1</v>
      </c>
    </row>
    <row r="401" spans="1:4">
      <c r="A401" s="357" t="s">
        <v>2139</v>
      </c>
      <c r="B401" s="356">
        <v>551</v>
      </c>
      <c r="C401" s="356">
        <v>927</v>
      </c>
      <c r="D401" s="355">
        <f t="shared" si="22"/>
        <v>59.4</v>
      </c>
    </row>
    <row r="402" spans="1:4">
      <c r="A402" s="357" t="s">
        <v>2212</v>
      </c>
      <c r="B402" s="356">
        <v>2029</v>
      </c>
      <c r="C402" s="356">
        <v>2289</v>
      </c>
      <c r="D402" s="355">
        <f t="shared" si="22"/>
        <v>88.6</v>
      </c>
    </row>
    <row r="403" spans="1:4">
      <c r="A403" s="357" t="s">
        <v>2211</v>
      </c>
      <c r="B403" s="356">
        <v>619</v>
      </c>
      <c r="C403" s="356"/>
      <c r="D403" s="355"/>
    </row>
    <row r="404" spans="1:4">
      <c r="A404" s="357" t="s">
        <v>2210</v>
      </c>
      <c r="B404" s="356">
        <v>8054</v>
      </c>
      <c r="C404" s="356">
        <v>943</v>
      </c>
      <c r="D404" s="355">
        <f t="shared" ref="D404:D411" si="23">B404/C404*100</f>
        <v>854.1</v>
      </c>
    </row>
    <row r="405" spans="1:4">
      <c r="A405" s="357" t="s">
        <v>2209</v>
      </c>
      <c r="B405" s="356">
        <v>5257</v>
      </c>
      <c r="C405" s="356">
        <v>2788</v>
      </c>
      <c r="D405" s="355">
        <f t="shared" si="23"/>
        <v>188.6</v>
      </c>
    </row>
    <row r="406" spans="1:4">
      <c r="A406" s="357" t="s">
        <v>2208</v>
      </c>
      <c r="B406" s="356">
        <v>5257</v>
      </c>
      <c r="C406" s="356">
        <v>2788</v>
      </c>
      <c r="D406" s="355">
        <f t="shared" si="23"/>
        <v>188.6</v>
      </c>
    </row>
    <row r="407" spans="1:4">
      <c r="A407" s="357" t="s">
        <v>2069</v>
      </c>
      <c r="B407" s="356">
        <v>134000</v>
      </c>
      <c r="C407" s="356">
        <v>241628</v>
      </c>
      <c r="D407" s="355">
        <f t="shared" si="23"/>
        <v>55.5</v>
      </c>
    </row>
    <row r="408" spans="1:4">
      <c r="A408" s="357" t="s">
        <v>2207</v>
      </c>
      <c r="B408" s="356">
        <v>86000</v>
      </c>
      <c r="C408" s="356">
        <v>21340</v>
      </c>
      <c r="D408" s="355">
        <f t="shared" si="23"/>
        <v>403</v>
      </c>
    </row>
    <row r="409" spans="1:4">
      <c r="A409" s="357" t="s">
        <v>2206</v>
      </c>
      <c r="B409" s="356">
        <v>48000</v>
      </c>
      <c r="C409" s="356">
        <v>220288</v>
      </c>
      <c r="D409" s="355">
        <f t="shared" si="23"/>
        <v>21.8</v>
      </c>
    </row>
    <row r="410" spans="1:4">
      <c r="A410" s="357" t="s">
        <v>2205</v>
      </c>
      <c r="B410" s="356">
        <v>12197</v>
      </c>
      <c r="C410" s="356">
        <v>1113</v>
      </c>
      <c r="D410" s="355">
        <f t="shared" si="23"/>
        <v>1095.9000000000001</v>
      </c>
    </row>
    <row r="411" spans="1:4">
      <c r="A411" s="357" t="s">
        <v>2204</v>
      </c>
      <c r="B411" s="356">
        <v>12197</v>
      </c>
      <c r="C411" s="356">
        <v>1113</v>
      </c>
      <c r="D411" s="355">
        <f t="shared" si="23"/>
        <v>1095.9000000000001</v>
      </c>
    </row>
    <row r="412" spans="1:4">
      <c r="A412" s="357" t="s">
        <v>2203</v>
      </c>
      <c r="B412" s="356"/>
      <c r="C412" s="356">
        <v>0</v>
      </c>
      <c r="D412" s="355"/>
    </row>
    <row r="413" spans="1:4">
      <c r="A413" s="357" t="s">
        <v>2202</v>
      </c>
      <c r="B413" s="356">
        <v>4100</v>
      </c>
      <c r="C413" s="356">
        <v>76064</v>
      </c>
      <c r="D413" s="355">
        <f>B413/C413*100</f>
        <v>5.4</v>
      </c>
    </row>
    <row r="414" spans="1:4">
      <c r="A414" s="357" t="s">
        <v>2201</v>
      </c>
      <c r="B414" s="356">
        <v>4100</v>
      </c>
      <c r="C414" s="356">
        <v>76064</v>
      </c>
      <c r="D414" s="355">
        <f>B414/C414*100</f>
        <v>5.4</v>
      </c>
    </row>
    <row r="415" spans="1:4" s="358" customFormat="1">
      <c r="A415" s="360" t="s">
        <v>80</v>
      </c>
      <c r="B415" s="359">
        <v>13047</v>
      </c>
      <c r="C415" s="359">
        <v>24825</v>
      </c>
      <c r="D415" s="352">
        <f>B415/C415*100</f>
        <v>52.6</v>
      </c>
    </row>
    <row r="416" spans="1:4">
      <c r="A416" s="357" t="s">
        <v>2070</v>
      </c>
      <c r="B416" s="356">
        <v>2616</v>
      </c>
      <c r="C416" s="356">
        <v>11414</v>
      </c>
      <c r="D416" s="355">
        <f>B416/C416*100</f>
        <v>22.9</v>
      </c>
    </row>
    <row r="417" spans="1:4">
      <c r="A417" s="357" t="s">
        <v>2124</v>
      </c>
      <c r="B417" s="356">
        <v>955</v>
      </c>
      <c r="C417" s="356">
        <v>354</v>
      </c>
      <c r="D417" s="355">
        <f>B417/C417*100</f>
        <v>269.8</v>
      </c>
    </row>
    <row r="418" spans="1:4">
      <c r="A418" s="357" t="s">
        <v>2123</v>
      </c>
      <c r="B418" s="356">
        <v>435</v>
      </c>
      <c r="C418" s="356"/>
      <c r="D418" s="355"/>
    </row>
    <row r="419" spans="1:4">
      <c r="A419" s="357" t="s">
        <v>2139</v>
      </c>
      <c r="B419" s="356">
        <v>320</v>
      </c>
      <c r="C419" s="356">
        <v>242</v>
      </c>
      <c r="D419" s="355">
        <f>B419/C419*100</f>
        <v>132.19999999999999</v>
      </c>
    </row>
    <row r="420" spans="1:4">
      <c r="A420" s="357" t="s">
        <v>2135</v>
      </c>
      <c r="B420" s="356">
        <v>861</v>
      </c>
      <c r="C420" s="356">
        <v>859</v>
      </c>
      <c r="D420" s="355">
        <f>B420/C420*100</f>
        <v>100.2</v>
      </c>
    </row>
    <row r="421" spans="1:4">
      <c r="A421" s="357" t="s">
        <v>2200</v>
      </c>
      <c r="B421" s="356">
        <v>33</v>
      </c>
      <c r="C421" s="356"/>
      <c r="D421" s="355"/>
    </row>
    <row r="422" spans="1:4">
      <c r="A422" s="357" t="s">
        <v>2199</v>
      </c>
      <c r="B422" s="356"/>
      <c r="C422" s="356">
        <v>225</v>
      </c>
      <c r="D422" s="355">
        <f t="shared" ref="D422:D436" si="24">B422/C422*100</f>
        <v>0</v>
      </c>
    </row>
    <row r="423" spans="1:4">
      <c r="A423" s="357" t="s">
        <v>2198</v>
      </c>
      <c r="B423" s="356">
        <v>7</v>
      </c>
      <c r="C423" s="356">
        <v>38</v>
      </c>
      <c r="D423" s="355">
        <f t="shared" si="24"/>
        <v>18.399999999999999</v>
      </c>
    </row>
    <row r="424" spans="1:4">
      <c r="A424" s="357" t="s">
        <v>2197</v>
      </c>
      <c r="B424" s="356">
        <v>5</v>
      </c>
      <c r="C424" s="356">
        <v>7</v>
      </c>
      <c r="D424" s="355">
        <f t="shared" si="24"/>
        <v>71.400000000000006</v>
      </c>
    </row>
    <row r="425" spans="1:4">
      <c r="A425" s="357" t="s">
        <v>2196</v>
      </c>
      <c r="B425" s="356"/>
      <c r="C425" s="356">
        <v>153</v>
      </c>
      <c r="D425" s="355">
        <f t="shared" si="24"/>
        <v>0</v>
      </c>
    </row>
    <row r="426" spans="1:4">
      <c r="A426" s="357" t="s">
        <v>2195</v>
      </c>
      <c r="B426" s="356"/>
      <c r="C426" s="356">
        <v>786</v>
      </c>
      <c r="D426" s="355">
        <f t="shared" si="24"/>
        <v>0</v>
      </c>
    </row>
    <row r="427" spans="1:4">
      <c r="A427" s="357" t="s">
        <v>2194</v>
      </c>
      <c r="B427" s="356"/>
      <c r="C427" s="356">
        <v>8070</v>
      </c>
      <c r="D427" s="355">
        <f t="shared" si="24"/>
        <v>0</v>
      </c>
    </row>
    <row r="428" spans="1:4">
      <c r="A428" s="357" t="s">
        <v>2193</v>
      </c>
      <c r="B428" s="356"/>
      <c r="C428" s="356">
        <v>16</v>
      </c>
      <c r="D428" s="355">
        <f t="shared" si="24"/>
        <v>0</v>
      </c>
    </row>
    <row r="429" spans="1:4">
      <c r="A429" s="357" t="s">
        <v>2192</v>
      </c>
      <c r="B429" s="356"/>
      <c r="C429" s="356">
        <v>664</v>
      </c>
      <c r="D429" s="355">
        <f t="shared" si="24"/>
        <v>0</v>
      </c>
    </row>
    <row r="430" spans="1:4">
      <c r="A430" s="357" t="s">
        <v>2071</v>
      </c>
      <c r="B430" s="356">
        <v>1372</v>
      </c>
      <c r="C430" s="356">
        <v>4220</v>
      </c>
      <c r="D430" s="355">
        <f t="shared" si="24"/>
        <v>32.5</v>
      </c>
    </row>
    <row r="431" spans="1:4">
      <c r="A431" s="357" t="s">
        <v>2124</v>
      </c>
      <c r="B431" s="356">
        <v>89</v>
      </c>
      <c r="C431" s="356">
        <v>110</v>
      </c>
      <c r="D431" s="355">
        <f t="shared" si="24"/>
        <v>80.900000000000006</v>
      </c>
    </row>
    <row r="432" spans="1:4">
      <c r="A432" s="357" t="s">
        <v>2123</v>
      </c>
      <c r="B432" s="356">
        <v>10</v>
      </c>
      <c r="C432" s="356">
        <v>94</v>
      </c>
      <c r="D432" s="355">
        <f t="shared" si="24"/>
        <v>10.6</v>
      </c>
    </row>
    <row r="433" spans="1:4">
      <c r="A433" s="357" t="s">
        <v>2191</v>
      </c>
      <c r="B433" s="356">
        <v>1007</v>
      </c>
      <c r="C433" s="356">
        <v>1042</v>
      </c>
      <c r="D433" s="355">
        <f t="shared" si="24"/>
        <v>96.6</v>
      </c>
    </row>
    <row r="434" spans="1:4">
      <c r="A434" s="357" t="s">
        <v>2190</v>
      </c>
      <c r="B434" s="356">
        <v>61</v>
      </c>
      <c r="C434" s="356">
        <v>2101</v>
      </c>
      <c r="D434" s="355">
        <f t="shared" si="24"/>
        <v>2.9</v>
      </c>
    </row>
    <row r="435" spans="1:4">
      <c r="A435" s="357" t="s">
        <v>2189</v>
      </c>
      <c r="B435" s="356"/>
      <c r="C435" s="356">
        <v>8</v>
      </c>
      <c r="D435" s="355">
        <f t="shared" si="24"/>
        <v>0</v>
      </c>
    </row>
    <row r="436" spans="1:4">
      <c r="A436" s="357" t="s">
        <v>2188</v>
      </c>
      <c r="B436" s="356">
        <v>75</v>
      </c>
      <c r="C436" s="356">
        <v>135</v>
      </c>
      <c r="D436" s="355">
        <f t="shared" si="24"/>
        <v>55.6</v>
      </c>
    </row>
    <row r="437" spans="1:4">
      <c r="A437" s="357" t="s">
        <v>2187</v>
      </c>
      <c r="B437" s="356">
        <v>130</v>
      </c>
      <c r="C437" s="356"/>
      <c r="D437" s="355"/>
    </row>
    <row r="438" spans="1:4">
      <c r="A438" s="357" t="s">
        <v>2186</v>
      </c>
      <c r="B438" s="356"/>
      <c r="C438" s="356">
        <v>452</v>
      </c>
      <c r="D438" s="355">
        <f t="shared" ref="D438:D444" si="25">B438/C438*100</f>
        <v>0</v>
      </c>
    </row>
    <row r="439" spans="1:4">
      <c r="A439" s="357" t="s">
        <v>2185</v>
      </c>
      <c r="B439" s="356"/>
      <c r="C439" s="356">
        <v>30</v>
      </c>
      <c r="D439" s="355">
        <f t="shared" si="25"/>
        <v>0</v>
      </c>
    </row>
    <row r="440" spans="1:4">
      <c r="A440" s="357" t="s">
        <v>2184</v>
      </c>
      <c r="B440" s="356"/>
      <c r="C440" s="356">
        <v>70</v>
      </c>
      <c r="D440" s="355">
        <f t="shared" si="25"/>
        <v>0</v>
      </c>
    </row>
    <row r="441" spans="1:4">
      <c r="A441" s="357" t="s">
        <v>2183</v>
      </c>
      <c r="B441" s="356"/>
      <c r="C441" s="356">
        <v>178</v>
      </c>
      <c r="D441" s="355">
        <f t="shared" si="25"/>
        <v>0</v>
      </c>
    </row>
    <row r="442" spans="1:4">
      <c r="A442" s="357" t="s">
        <v>2072</v>
      </c>
      <c r="B442" s="356">
        <v>8456</v>
      </c>
      <c r="C442" s="356">
        <v>8280</v>
      </c>
      <c r="D442" s="355">
        <f t="shared" si="25"/>
        <v>102.1</v>
      </c>
    </row>
    <row r="443" spans="1:4">
      <c r="A443" s="357" t="s">
        <v>2182</v>
      </c>
      <c r="B443" s="356"/>
      <c r="C443" s="356">
        <v>446</v>
      </c>
      <c r="D443" s="355">
        <f t="shared" si="25"/>
        <v>0</v>
      </c>
    </row>
    <row r="444" spans="1:4">
      <c r="A444" s="357" t="s">
        <v>2123</v>
      </c>
      <c r="B444" s="356">
        <v>2348</v>
      </c>
      <c r="C444" s="356">
        <v>342</v>
      </c>
      <c r="D444" s="355">
        <f t="shared" si="25"/>
        <v>686.5</v>
      </c>
    </row>
    <row r="445" spans="1:4">
      <c r="A445" s="357" t="s">
        <v>2139</v>
      </c>
      <c r="B445" s="356">
        <v>863</v>
      </c>
      <c r="C445" s="356"/>
      <c r="D445" s="355"/>
    </row>
    <row r="446" spans="1:4">
      <c r="A446" s="357" t="s">
        <v>2181</v>
      </c>
      <c r="B446" s="356"/>
      <c r="C446" s="356">
        <v>781</v>
      </c>
      <c r="D446" s="355">
        <f>B446/C446*100</f>
        <v>0</v>
      </c>
    </row>
    <row r="447" spans="1:4">
      <c r="A447" s="357" t="s">
        <v>2180</v>
      </c>
      <c r="B447" s="356">
        <v>5000</v>
      </c>
      <c r="C447" s="356">
        <v>5090</v>
      </c>
      <c r="D447" s="355">
        <f>B447/C447*100</f>
        <v>98.2</v>
      </c>
    </row>
    <row r="448" spans="1:4">
      <c r="A448" s="357" t="s">
        <v>2179</v>
      </c>
      <c r="B448" s="356"/>
      <c r="C448" s="356">
        <v>588</v>
      </c>
      <c r="D448" s="355">
        <f>B448/C448*100</f>
        <v>0</v>
      </c>
    </row>
    <row r="449" spans="1:4">
      <c r="A449" s="357" t="s">
        <v>2178</v>
      </c>
      <c r="B449" s="356">
        <v>20</v>
      </c>
      <c r="C449" s="356"/>
      <c r="D449" s="355"/>
    </row>
    <row r="450" spans="1:4">
      <c r="A450" s="357" t="s">
        <v>2177</v>
      </c>
      <c r="B450" s="356">
        <v>225</v>
      </c>
      <c r="C450" s="356"/>
      <c r="D450" s="355"/>
    </row>
    <row r="451" spans="1:4">
      <c r="A451" s="357" t="s">
        <v>2176</v>
      </c>
      <c r="B451" s="356"/>
      <c r="C451" s="356">
        <v>520</v>
      </c>
      <c r="D451" s="355">
        <f t="shared" ref="D451:D468" si="26">B451/C451*100</f>
        <v>0</v>
      </c>
    </row>
    <row r="452" spans="1:4">
      <c r="A452" s="357" t="s">
        <v>2175</v>
      </c>
      <c r="B452" s="356"/>
      <c r="C452" s="356">
        <v>333</v>
      </c>
      <c r="D452" s="355">
        <f t="shared" si="26"/>
        <v>0</v>
      </c>
    </row>
    <row r="453" spans="1:4">
      <c r="A453" s="357" t="s">
        <v>2174</v>
      </c>
      <c r="B453" s="356"/>
      <c r="C453" s="356">
        <v>80</v>
      </c>
      <c r="D453" s="355">
        <f t="shared" si="26"/>
        <v>0</v>
      </c>
    </row>
    <row r="454" spans="1:4">
      <c r="A454" s="357" t="s">
        <v>2173</v>
      </c>
      <c r="B454" s="356"/>
      <c r="C454" s="356">
        <v>100</v>
      </c>
      <c r="D454" s="355">
        <f t="shared" si="26"/>
        <v>0</v>
      </c>
    </row>
    <row r="455" spans="1:4">
      <c r="A455" s="357" t="s">
        <v>2073</v>
      </c>
      <c r="B455" s="356"/>
      <c r="C455" s="356">
        <v>64</v>
      </c>
      <c r="D455" s="355">
        <f t="shared" si="26"/>
        <v>0</v>
      </c>
    </row>
    <row r="456" spans="1:4">
      <c r="A456" s="357" t="s">
        <v>2172</v>
      </c>
      <c r="B456" s="356"/>
      <c r="C456" s="356">
        <v>42</v>
      </c>
      <c r="D456" s="355">
        <f t="shared" si="26"/>
        <v>0</v>
      </c>
    </row>
    <row r="457" spans="1:4">
      <c r="A457" s="357" t="s">
        <v>2171</v>
      </c>
      <c r="B457" s="356"/>
      <c r="C457" s="356">
        <v>2</v>
      </c>
      <c r="D457" s="355">
        <f t="shared" si="26"/>
        <v>0</v>
      </c>
    </row>
    <row r="458" spans="1:4">
      <c r="A458" s="357" t="s">
        <v>2170</v>
      </c>
      <c r="B458" s="356"/>
      <c r="C458" s="356">
        <v>20</v>
      </c>
      <c r="D458" s="355">
        <f t="shared" si="26"/>
        <v>0</v>
      </c>
    </row>
    <row r="459" spans="1:4">
      <c r="A459" s="357" t="s">
        <v>2074</v>
      </c>
      <c r="B459" s="356">
        <v>183</v>
      </c>
      <c r="C459" s="356">
        <v>438</v>
      </c>
      <c r="D459" s="355">
        <f t="shared" si="26"/>
        <v>41.8</v>
      </c>
    </row>
    <row r="460" spans="1:4">
      <c r="A460" s="357" t="s">
        <v>2169</v>
      </c>
      <c r="B460" s="356">
        <v>183</v>
      </c>
      <c r="C460" s="356">
        <v>438</v>
      </c>
      <c r="D460" s="355">
        <f t="shared" si="26"/>
        <v>41.8</v>
      </c>
    </row>
    <row r="461" spans="1:4">
      <c r="A461" s="357" t="s">
        <v>2168</v>
      </c>
      <c r="B461" s="356">
        <v>350</v>
      </c>
      <c r="C461" s="356">
        <v>209</v>
      </c>
      <c r="D461" s="355">
        <f t="shared" si="26"/>
        <v>167.5</v>
      </c>
    </row>
    <row r="462" spans="1:4">
      <c r="A462" s="357" t="s">
        <v>2167</v>
      </c>
      <c r="B462" s="356">
        <v>350</v>
      </c>
      <c r="C462" s="356">
        <v>209</v>
      </c>
      <c r="D462" s="355">
        <f t="shared" si="26"/>
        <v>167.5</v>
      </c>
    </row>
    <row r="463" spans="1:4">
      <c r="A463" s="357" t="s">
        <v>2166</v>
      </c>
      <c r="B463" s="356">
        <v>70</v>
      </c>
      <c r="C463" s="356">
        <v>200</v>
      </c>
      <c r="D463" s="355">
        <f t="shared" si="26"/>
        <v>35</v>
      </c>
    </row>
    <row r="464" spans="1:4">
      <c r="A464" s="357" t="s">
        <v>2165</v>
      </c>
      <c r="B464" s="356">
        <v>70</v>
      </c>
      <c r="C464" s="356">
        <v>200</v>
      </c>
      <c r="D464" s="355">
        <f t="shared" si="26"/>
        <v>35</v>
      </c>
    </row>
    <row r="465" spans="1:4" s="358" customFormat="1">
      <c r="A465" s="360" t="s">
        <v>81</v>
      </c>
      <c r="B465" s="359">
        <v>4643</v>
      </c>
      <c r="C465" s="359">
        <v>22023</v>
      </c>
      <c r="D465" s="352">
        <f t="shared" si="26"/>
        <v>21.1</v>
      </c>
    </row>
    <row r="466" spans="1:4">
      <c r="A466" s="357" t="s">
        <v>2075</v>
      </c>
      <c r="B466" s="356">
        <v>2742</v>
      </c>
      <c r="C466" s="356">
        <v>20199</v>
      </c>
      <c r="D466" s="355">
        <f t="shared" si="26"/>
        <v>13.6</v>
      </c>
    </row>
    <row r="467" spans="1:4">
      <c r="A467" s="357" t="s">
        <v>2124</v>
      </c>
      <c r="B467" s="356">
        <v>1237</v>
      </c>
      <c r="C467" s="356">
        <v>1831</v>
      </c>
      <c r="D467" s="355">
        <f t="shared" si="26"/>
        <v>67.599999999999994</v>
      </c>
    </row>
    <row r="468" spans="1:4">
      <c r="A468" s="357" t="s">
        <v>2123</v>
      </c>
      <c r="B468" s="356">
        <v>261</v>
      </c>
      <c r="C468" s="356">
        <v>236</v>
      </c>
      <c r="D468" s="355">
        <f t="shared" si="26"/>
        <v>110.6</v>
      </c>
    </row>
    <row r="469" spans="1:4">
      <c r="A469" s="357" t="s">
        <v>2139</v>
      </c>
      <c r="B469" s="356">
        <v>716</v>
      </c>
      <c r="C469" s="356"/>
      <c r="D469" s="355"/>
    </row>
    <row r="470" spans="1:4">
      <c r="A470" s="357" t="s">
        <v>2164</v>
      </c>
      <c r="B470" s="356">
        <v>50</v>
      </c>
      <c r="C470" s="356">
        <v>4900</v>
      </c>
      <c r="D470" s="355">
        <f>B470/C470*100</f>
        <v>1</v>
      </c>
    </row>
    <row r="471" spans="1:4">
      <c r="A471" s="357" t="s">
        <v>2163</v>
      </c>
      <c r="B471" s="356">
        <v>33</v>
      </c>
      <c r="C471" s="356">
        <v>714</v>
      </c>
      <c r="D471" s="355">
        <f>B471/C471*100</f>
        <v>4.5999999999999996</v>
      </c>
    </row>
    <row r="472" spans="1:4">
      <c r="A472" s="357" t="s">
        <v>2162</v>
      </c>
      <c r="B472" s="356">
        <v>100</v>
      </c>
      <c r="C472" s="356"/>
      <c r="D472" s="355"/>
    </row>
    <row r="473" spans="1:4">
      <c r="A473" s="357" t="s">
        <v>2161</v>
      </c>
      <c r="B473" s="356">
        <v>170</v>
      </c>
      <c r="C473" s="356">
        <v>298</v>
      </c>
      <c r="D473" s="355">
        <f>B473/C473*100</f>
        <v>57</v>
      </c>
    </row>
    <row r="474" spans="1:4">
      <c r="A474" s="357" t="s">
        <v>2160</v>
      </c>
      <c r="B474" s="356">
        <v>175</v>
      </c>
      <c r="C474" s="356">
        <v>5517</v>
      </c>
      <c r="D474" s="355">
        <f>B474/C474*100</f>
        <v>3.2</v>
      </c>
    </row>
    <row r="475" spans="1:4">
      <c r="A475" s="357" t="s">
        <v>2159</v>
      </c>
      <c r="B475" s="356"/>
      <c r="C475" s="356">
        <v>6703</v>
      </c>
      <c r="D475" s="355">
        <f>B475/C475*100</f>
        <v>0</v>
      </c>
    </row>
    <row r="476" spans="1:4">
      <c r="A476" s="357" t="s">
        <v>2076</v>
      </c>
      <c r="B476" s="356">
        <v>80</v>
      </c>
      <c r="C476" s="356">
        <v>47</v>
      </c>
      <c r="D476" s="355">
        <f>B476/C476*100</f>
        <v>170.2</v>
      </c>
    </row>
    <row r="477" spans="1:4">
      <c r="A477" s="357" t="s">
        <v>2124</v>
      </c>
      <c r="B477" s="356">
        <v>80</v>
      </c>
      <c r="C477" s="356">
        <v>47</v>
      </c>
      <c r="D477" s="355">
        <f>B477/C477*100</f>
        <v>170.2</v>
      </c>
    </row>
    <row r="478" spans="1:4">
      <c r="A478" s="357" t="s">
        <v>2158</v>
      </c>
      <c r="B478" s="356">
        <v>21</v>
      </c>
      <c r="C478" s="356">
        <v>0</v>
      </c>
      <c r="D478" s="355"/>
    </row>
    <row r="479" spans="1:4">
      <c r="A479" s="357" t="s">
        <v>2124</v>
      </c>
      <c r="B479" s="356">
        <v>1</v>
      </c>
      <c r="C479" s="356"/>
      <c r="D479" s="355"/>
    </row>
    <row r="480" spans="1:4">
      <c r="A480" s="357" t="s">
        <v>2123</v>
      </c>
      <c r="B480" s="356">
        <v>20</v>
      </c>
      <c r="C480" s="356"/>
      <c r="D480" s="355"/>
    </row>
    <row r="481" spans="1:4">
      <c r="A481" s="357" t="s">
        <v>2157</v>
      </c>
      <c r="B481" s="356">
        <v>1800</v>
      </c>
      <c r="C481" s="356">
        <v>1777</v>
      </c>
      <c r="D481" s="355">
        <f t="shared" ref="D481:D487" si="27">B481/C481*100</f>
        <v>101.3</v>
      </c>
    </row>
    <row r="482" spans="1:4">
      <c r="A482" s="357" t="s">
        <v>2156</v>
      </c>
      <c r="B482" s="356">
        <v>1800</v>
      </c>
      <c r="C482" s="356">
        <v>1777</v>
      </c>
      <c r="D482" s="355">
        <f t="shared" si="27"/>
        <v>101.3</v>
      </c>
    </row>
    <row r="483" spans="1:4" s="358" customFormat="1">
      <c r="A483" s="360" t="s">
        <v>82</v>
      </c>
      <c r="B483" s="359">
        <v>84006</v>
      </c>
      <c r="C483" s="359">
        <v>64576</v>
      </c>
      <c r="D483" s="352">
        <f t="shared" si="27"/>
        <v>130.1</v>
      </c>
    </row>
    <row r="484" spans="1:4">
      <c r="A484" s="357" t="s">
        <v>2155</v>
      </c>
      <c r="B484" s="356"/>
      <c r="C484" s="356">
        <v>266</v>
      </c>
      <c r="D484" s="355">
        <f t="shared" si="27"/>
        <v>0</v>
      </c>
    </row>
    <row r="485" spans="1:4">
      <c r="A485" s="357" t="s">
        <v>2154</v>
      </c>
      <c r="B485" s="356"/>
      <c r="C485" s="356">
        <v>266</v>
      </c>
      <c r="D485" s="355">
        <f t="shared" si="27"/>
        <v>0</v>
      </c>
    </row>
    <row r="486" spans="1:4">
      <c r="A486" s="357" t="s">
        <v>2077</v>
      </c>
      <c r="B486" s="356">
        <v>315</v>
      </c>
      <c r="C486" s="356">
        <v>345</v>
      </c>
      <c r="D486" s="355">
        <f t="shared" si="27"/>
        <v>91.3</v>
      </c>
    </row>
    <row r="487" spans="1:4">
      <c r="A487" s="357" t="s">
        <v>2124</v>
      </c>
      <c r="B487" s="356">
        <v>285</v>
      </c>
      <c r="C487" s="356">
        <v>292</v>
      </c>
      <c r="D487" s="355">
        <f t="shared" si="27"/>
        <v>97.6</v>
      </c>
    </row>
    <row r="488" spans="1:4">
      <c r="A488" s="357" t="s">
        <v>2123</v>
      </c>
      <c r="B488" s="356">
        <v>30</v>
      </c>
      <c r="C488" s="356"/>
      <c r="D488" s="355"/>
    </row>
    <row r="489" spans="1:4">
      <c r="A489" s="357" t="s">
        <v>2149</v>
      </c>
      <c r="B489" s="356"/>
      <c r="C489" s="356">
        <v>4</v>
      </c>
      <c r="D489" s="355">
        <f t="shared" ref="D489:D514" si="28">B489/C489*100</f>
        <v>0</v>
      </c>
    </row>
    <row r="490" spans="1:4">
      <c r="A490" s="357" t="s">
        <v>2153</v>
      </c>
      <c r="B490" s="356"/>
      <c r="C490" s="356">
        <v>49</v>
      </c>
      <c r="D490" s="355">
        <f t="shared" si="28"/>
        <v>0</v>
      </c>
    </row>
    <row r="491" spans="1:4">
      <c r="A491" s="357" t="s">
        <v>2078</v>
      </c>
      <c r="B491" s="356">
        <v>91</v>
      </c>
      <c r="C491" s="356">
        <v>33</v>
      </c>
      <c r="D491" s="355">
        <f t="shared" si="28"/>
        <v>275.8</v>
      </c>
    </row>
    <row r="492" spans="1:4">
      <c r="A492" s="357" t="s">
        <v>2124</v>
      </c>
      <c r="B492" s="356">
        <v>91</v>
      </c>
      <c r="C492" s="356">
        <v>33</v>
      </c>
      <c r="D492" s="355">
        <f t="shared" si="28"/>
        <v>275.8</v>
      </c>
    </row>
    <row r="493" spans="1:4">
      <c r="A493" s="357" t="s">
        <v>2079</v>
      </c>
      <c r="B493" s="356">
        <v>83600</v>
      </c>
      <c r="C493" s="356">
        <v>63627</v>
      </c>
      <c r="D493" s="355">
        <f t="shared" si="28"/>
        <v>131.4</v>
      </c>
    </row>
    <row r="494" spans="1:4">
      <c r="A494" s="357" t="s">
        <v>2152</v>
      </c>
      <c r="B494" s="356">
        <v>83600</v>
      </c>
      <c r="C494" s="356">
        <v>63627</v>
      </c>
      <c r="D494" s="355">
        <f t="shared" si="28"/>
        <v>131.4</v>
      </c>
    </row>
    <row r="495" spans="1:4">
      <c r="A495" s="357" t="s">
        <v>799</v>
      </c>
      <c r="B495" s="356">
        <v>0</v>
      </c>
      <c r="C495" s="356">
        <v>305</v>
      </c>
      <c r="D495" s="355">
        <f t="shared" si="28"/>
        <v>0</v>
      </c>
    </row>
    <row r="496" spans="1:4">
      <c r="A496" s="357" t="s">
        <v>2151</v>
      </c>
      <c r="B496" s="356"/>
      <c r="C496" s="356">
        <v>305</v>
      </c>
      <c r="D496" s="355">
        <f t="shared" si="28"/>
        <v>0</v>
      </c>
    </row>
    <row r="497" spans="1:4" s="358" customFormat="1">
      <c r="A497" s="360" t="s">
        <v>83</v>
      </c>
      <c r="B497" s="359">
        <v>13447</v>
      </c>
      <c r="C497" s="359">
        <v>16633</v>
      </c>
      <c r="D497" s="352">
        <f t="shared" si="28"/>
        <v>80.8</v>
      </c>
    </row>
    <row r="498" spans="1:4">
      <c r="A498" s="357" t="s">
        <v>2080</v>
      </c>
      <c r="B498" s="356">
        <v>211</v>
      </c>
      <c r="C498" s="356">
        <v>1771</v>
      </c>
      <c r="D498" s="355">
        <f t="shared" si="28"/>
        <v>11.9</v>
      </c>
    </row>
    <row r="499" spans="1:4">
      <c r="A499" s="357" t="s">
        <v>2124</v>
      </c>
      <c r="B499" s="356">
        <v>196</v>
      </c>
      <c r="C499" s="356">
        <v>236</v>
      </c>
      <c r="D499" s="355">
        <f t="shared" si="28"/>
        <v>83.1</v>
      </c>
    </row>
    <row r="500" spans="1:4">
      <c r="A500" s="357" t="s">
        <v>2123</v>
      </c>
      <c r="B500" s="356">
        <v>15</v>
      </c>
      <c r="C500" s="356">
        <v>15</v>
      </c>
      <c r="D500" s="355">
        <f t="shared" si="28"/>
        <v>100</v>
      </c>
    </row>
    <row r="501" spans="1:4">
      <c r="A501" s="357" t="s">
        <v>2150</v>
      </c>
      <c r="B501" s="356"/>
      <c r="C501" s="356">
        <v>1520</v>
      </c>
      <c r="D501" s="355">
        <f t="shared" si="28"/>
        <v>0</v>
      </c>
    </row>
    <row r="502" spans="1:4">
      <c r="A502" s="357" t="s">
        <v>2081</v>
      </c>
      <c r="B502" s="356">
        <v>13236</v>
      </c>
      <c r="C502" s="356">
        <v>13522</v>
      </c>
      <c r="D502" s="355">
        <f t="shared" si="28"/>
        <v>97.9</v>
      </c>
    </row>
    <row r="503" spans="1:4">
      <c r="A503" s="357" t="s">
        <v>2124</v>
      </c>
      <c r="B503" s="356">
        <v>236</v>
      </c>
      <c r="C503" s="356">
        <v>10</v>
      </c>
      <c r="D503" s="355">
        <f t="shared" si="28"/>
        <v>2360</v>
      </c>
    </row>
    <row r="504" spans="1:4">
      <c r="A504" s="357" t="s">
        <v>2123</v>
      </c>
      <c r="B504" s="356">
        <v>9000</v>
      </c>
      <c r="C504" s="356">
        <v>9025</v>
      </c>
      <c r="D504" s="355">
        <f t="shared" si="28"/>
        <v>99.7</v>
      </c>
    </row>
    <row r="505" spans="1:4">
      <c r="A505" s="357" t="s">
        <v>2149</v>
      </c>
      <c r="B505" s="356"/>
      <c r="C505" s="356">
        <v>227</v>
      </c>
      <c r="D505" s="355">
        <f t="shared" si="28"/>
        <v>0</v>
      </c>
    </row>
    <row r="506" spans="1:4">
      <c r="A506" s="357" t="s">
        <v>2148</v>
      </c>
      <c r="B506" s="356">
        <v>4000</v>
      </c>
      <c r="C506" s="356">
        <v>21</v>
      </c>
      <c r="D506" s="355">
        <f t="shared" si="28"/>
        <v>19047.599999999999</v>
      </c>
    </row>
    <row r="507" spans="1:4">
      <c r="A507" s="357" t="s">
        <v>2147</v>
      </c>
      <c r="B507" s="356"/>
      <c r="C507" s="356">
        <v>4239</v>
      </c>
      <c r="D507" s="355">
        <f t="shared" si="28"/>
        <v>0</v>
      </c>
    </row>
    <row r="508" spans="1:4">
      <c r="A508" s="357" t="s">
        <v>2082</v>
      </c>
      <c r="B508" s="356"/>
      <c r="C508" s="356">
        <v>952</v>
      </c>
      <c r="D508" s="355">
        <f t="shared" si="28"/>
        <v>0</v>
      </c>
    </row>
    <row r="509" spans="1:4">
      <c r="A509" s="357" t="s">
        <v>2146</v>
      </c>
      <c r="B509" s="356"/>
      <c r="C509" s="356">
        <v>952</v>
      </c>
      <c r="D509" s="355">
        <f t="shared" si="28"/>
        <v>0</v>
      </c>
    </row>
    <row r="510" spans="1:4">
      <c r="A510" s="357" t="s">
        <v>2145</v>
      </c>
      <c r="B510" s="356"/>
      <c r="C510" s="356">
        <v>388</v>
      </c>
      <c r="D510" s="355">
        <f t="shared" si="28"/>
        <v>0</v>
      </c>
    </row>
    <row r="511" spans="1:4">
      <c r="A511" s="357" t="s">
        <v>2144</v>
      </c>
      <c r="B511" s="356"/>
      <c r="C511" s="356">
        <v>50</v>
      </c>
      <c r="D511" s="355">
        <f t="shared" si="28"/>
        <v>0</v>
      </c>
    </row>
    <row r="512" spans="1:4">
      <c r="A512" s="357" t="s">
        <v>2143</v>
      </c>
      <c r="B512" s="356"/>
      <c r="C512" s="356">
        <v>338</v>
      </c>
      <c r="D512" s="355">
        <f t="shared" si="28"/>
        <v>0</v>
      </c>
    </row>
    <row r="513" spans="1:4" s="358" customFormat="1">
      <c r="A513" s="360" t="s">
        <v>84</v>
      </c>
      <c r="B513" s="359">
        <v>250</v>
      </c>
      <c r="C513" s="359">
        <v>285</v>
      </c>
      <c r="D513" s="352">
        <f t="shared" si="28"/>
        <v>87.7</v>
      </c>
    </row>
    <row r="514" spans="1:4">
      <c r="A514" s="357" t="s">
        <v>2083</v>
      </c>
      <c r="B514" s="356">
        <v>200</v>
      </c>
      <c r="C514" s="356">
        <v>45</v>
      </c>
      <c r="D514" s="355">
        <f t="shared" si="28"/>
        <v>444.4</v>
      </c>
    </row>
    <row r="515" spans="1:4">
      <c r="A515" s="357" t="s">
        <v>2124</v>
      </c>
      <c r="B515" s="356">
        <v>150</v>
      </c>
      <c r="C515" s="356"/>
      <c r="D515" s="355"/>
    </row>
    <row r="516" spans="1:4">
      <c r="A516" s="357" t="s">
        <v>2142</v>
      </c>
      <c r="B516" s="356">
        <v>50</v>
      </c>
      <c r="C516" s="356">
        <v>45</v>
      </c>
      <c r="D516" s="355">
        <f>B516/C516*100</f>
        <v>111.1</v>
      </c>
    </row>
    <row r="517" spans="1:4">
      <c r="A517" s="357" t="s">
        <v>2141</v>
      </c>
      <c r="B517" s="356">
        <v>50</v>
      </c>
      <c r="C517" s="356">
        <v>240</v>
      </c>
      <c r="D517" s="355">
        <f>B517/C517*100</f>
        <v>20.8</v>
      </c>
    </row>
    <row r="518" spans="1:4">
      <c r="A518" s="357" t="s">
        <v>2140</v>
      </c>
      <c r="B518" s="356">
        <v>50</v>
      </c>
      <c r="C518" s="356">
        <v>240</v>
      </c>
      <c r="D518" s="355">
        <f>B518/C518*100</f>
        <v>20.8</v>
      </c>
    </row>
    <row r="519" spans="1:4" s="358" customFormat="1">
      <c r="A519" s="360" t="s">
        <v>85</v>
      </c>
      <c r="B519" s="359">
        <v>0</v>
      </c>
      <c r="C519" s="359">
        <v>0</v>
      </c>
      <c r="D519" s="352"/>
    </row>
    <row r="520" spans="1:4" s="358" customFormat="1">
      <c r="A520" s="360" t="s">
        <v>86</v>
      </c>
      <c r="B520" s="359">
        <v>8422</v>
      </c>
      <c r="C520" s="359">
        <v>21030</v>
      </c>
      <c r="D520" s="352">
        <f t="shared" ref="D520:D542" si="29">B520/C520*100</f>
        <v>40</v>
      </c>
    </row>
    <row r="521" spans="1:4">
      <c r="A521" s="357" t="s">
        <v>2084</v>
      </c>
      <c r="B521" s="356">
        <v>3121</v>
      </c>
      <c r="C521" s="356">
        <v>2872</v>
      </c>
      <c r="D521" s="355">
        <f t="shared" si="29"/>
        <v>108.7</v>
      </c>
    </row>
    <row r="522" spans="1:4">
      <c r="A522" s="357" t="s">
        <v>2124</v>
      </c>
      <c r="B522" s="356">
        <v>1177</v>
      </c>
      <c r="C522" s="356">
        <v>1617</v>
      </c>
      <c r="D522" s="355">
        <f t="shared" si="29"/>
        <v>72.8</v>
      </c>
    </row>
    <row r="523" spans="1:4">
      <c r="A523" s="357" t="s">
        <v>2123</v>
      </c>
      <c r="B523" s="356">
        <v>1286</v>
      </c>
      <c r="C523" s="356">
        <v>1070</v>
      </c>
      <c r="D523" s="355">
        <f t="shared" si="29"/>
        <v>120.2</v>
      </c>
    </row>
    <row r="524" spans="1:4">
      <c r="A524" s="357" t="s">
        <v>2135</v>
      </c>
      <c r="B524" s="356">
        <v>658</v>
      </c>
      <c r="C524" s="356">
        <v>185</v>
      </c>
      <c r="D524" s="355">
        <f t="shared" si="29"/>
        <v>355.7</v>
      </c>
    </row>
    <row r="525" spans="1:4">
      <c r="A525" s="357" t="s">
        <v>2085</v>
      </c>
      <c r="B525" s="356">
        <v>4633</v>
      </c>
      <c r="C525" s="356">
        <v>17258</v>
      </c>
      <c r="D525" s="355">
        <f t="shared" si="29"/>
        <v>26.8</v>
      </c>
    </row>
    <row r="526" spans="1:4">
      <c r="A526" s="357" t="s">
        <v>2124</v>
      </c>
      <c r="B526" s="356">
        <v>674</v>
      </c>
      <c r="C526" s="356">
        <v>1122</v>
      </c>
      <c r="D526" s="355">
        <f t="shared" si="29"/>
        <v>60.1</v>
      </c>
    </row>
    <row r="527" spans="1:4">
      <c r="A527" s="357" t="s">
        <v>2123</v>
      </c>
      <c r="B527" s="356">
        <v>3461</v>
      </c>
      <c r="C527" s="356">
        <v>354</v>
      </c>
      <c r="D527" s="355">
        <f t="shared" si="29"/>
        <v>977.7</v>
      </c>
    </row>
    <row r="528" spans="1:4">
      <c r="A528" s="357" t="s">
        <v>2139</v>
      </c>
      <c r="B528" s="356">
        <v>53</v>
      </c>
      <c r="C528" s="356">
        <v>4</v>
      </c>
      <c r="D528" s="355">
        <f t="shared" si="29"/>
        <v>1325</v>
      </c>
    </row>
    <row r="529" spans="1:4">
      <c r="A529" s="357" t="s">
        <v>2138</v>
      </c>
      <c r="B529" s="356"/>
      <c r="C529" s="356">
        <v>9</v>
      </c>
      <c r="D529" s="355">
        <f t="shared" si="29"/>
        <v>0</v>
      </c>
    </row>
    <row r="530" spans="1:4">
      <c r="A530" s="357" t="s">
        <v>2137</v>
      </c>
      <c r="B530" s="356">
        <v>252</v>
      </c>
      <c r="C530" s="356">
        <v>476</v>
      </c>
      <c r="D530" s="355">
        <f t="shared" si="29"/>
        <v>52.9</v>
      </c>
    </row>
    <row r="531" spans="1:4">
      <c r="A531" s="357" t="s">
        <v>2136</v>
      </c>
      <c r="B531" s="356"/>
      <c r="C531" s="356">
        <v>15101</v>
      </c>
      <c r="D531" s="355">
        <f t="shared" si="29"/>
        <v>0</v>
      </c>
    </row>
    <row r="532" spans="1:4">
      <c r="A532" s="357" t="s">
        <v>2135</v>
      </c>
      <c r="B532" s="356">
        <v>177</v>
      </c>
      <c r="C532" s="356">
        <v>187</v>
      </c>
      <c r="D532" s="355">
        <f t="shared" si="29"/>
        <v>94.7</v>
      </c>
    </row>
    <row r="533" spans="1:4">
      <c r="A533" s="357" t="s">
        <v>2134</v>
      </c>
      <c r="B533" s="356">
        <v>16</v>
      </c>
      <c r="C533" s="356">
        <v>5</v>
      </c>
      <c r="D533" s="355">
        <f t="shared" si="29"/>
        <v>320</v>
      </c>
    </row>
    <row r="534" spans="1:4">
      <c r="A534" s="357" t="s">
        <v>2086</v>
      </c>
      <c r="B534" s="356">
        <v>90</v>
      </c>
      <c r="C534" s="356">
        <v>293</v>
      </c>
      <c r="D534" s="355">
        <f t="shared" si="29"/>
        <v>30.7</v>
      </c>
    </row>
    <row r="535" spans="1:4">
      <c r="A535" s="357" t="s">
        <v>2124</v>
      </c>
      <c r="B535" s="356">
        <v>60</v>
      </c>
      <c r="C535" s="356">
        <v>61</v>
      </c>
      <c r="D535" s="355">
        <f t="shared" si="29"/>
        <v>98.4</v>
      </c>
    </row>
    <row r="536" spans="1:4">
      <c r="A536" s="357" t="s">
        <v>2123</v>
      </c>
      <c r="B536" s="356">
        <v>30</v>
      </c>
      <c r="C536" s="356">
        <v>2</v>
      </c>
      <c r="D536" s="355">
        <f t="shared" si="29"/>
        <v>1500</v>
      </c>
    </row>
    <row r="537" spans="1:4">
      <c r="A537" s="357" t="s">
        <v>2133</v>
      </c>
      <c r="B537" s="356"/>
      <c r="C537" s="356">
        <v>12</v>
      </c>
      <c r="D537" s="355">
        <f t="shared" si="29"/>
        <v>0</v>
      </c>
    </row>
    <row r="538" spans="1:4">
      <c r="A538" s="357" t="s">
        <v>2132</v>
      </c>
      <c r="B538" s="356"/>
      <c r="C538" s="356">
        <v>218</v>
      </c>
      <c r="D538" s="355">
        <f t="shared" si="29"/>
        <v>0</v>
      </c>
    </row>
    <row r="539" spans="1:4">
      <c r="A539" s="357" t="s">
        <v>2087</v>
      </c>
      <c r="B539" s="356">
        <v>578</v>
      </c>
      <c r="C539" s="356">
        <v>607</v>
      </c>
      <c r="D539" s="355">
        <f t="shared" si="29"/>
        <v>95.2</v>
      </c>
    </row>
    <row r="540" spans="1:4">
      <c r="A540" s="357" t="s">
        <v>2124</v>
      </c>
      <c r="B540" s="356">
        <v>206</v>
      </c>
      <c r="C540" s="356">
        <v>216</v>
      </c>
      <c r="D540" s="355">
        <f t="shared" si="29"/>
        <v>95.4</v>
      </c>
    </row>
    <row r="541" spans="1:4">
      <c r="A541" s="357" t="s">
        <v>2131</v>
      </c>
      <c r="B541" s="356">
        <v>39</v>
      </c>
      <c r="C541" s="356">
        <v>381</v>
      </c>
      <c r="D541" s="355">
        <f t="shared" si="29"/>
        <v>10.199999999999999</v>
      </c>
    </row>
    <row r="542" spans="1:4">
      <c r="A542" s="357" t="s">
        <v>2130</v>
      </c>
      <c r="B542" s="356">
        <v>298</v>
      </c>
      <c r="C542" s="356">
        <v>10</v>
      </c>
      <c r="D542" s="355">
        <f t="shared" si="29"/>
        <v>2980</v>
      </c>
    </row>
    <row r="543" spans="1:4">
      <c r="A543" s="357" t="s">
        <v>2129</v>
      </c>
      <c r="B543" s="356">
        <v>35</v>
      </c>
      <c r="C543" s="356"/>
      <c r="D543" s="355"/>
    </row>
    <row r="544" spans="1:4" s="358" customFormat="1">
      <c r="A544" s="360" t="s">
        <v>87</v>
      </c>
      <c r="B544" s="359">
        <v>17629</v>
      </c>
      <c r="C544" s="359">
        <v>25118</v>
      </c>
      <c r="D544" s="352">
        <f t="shared" ref="D544:D559" si="30">B544/C544*100</f>
        <v>70.2</v>
      </c>
    </row>
    <row r="545" spans="1:4">
      <c r="A545" s="357" t="s">
        <v>2088</v>
      </c>
      <c r="B545" s="356">
        <v>8000</v>
      </c>
      <c r="C545" s="356">
        <v>15472</v>
      </c>
      <c r="D545" s="355">
        <f t="shared" si="30"/>
        <v>51.7</v>
      </c>
    </row>
    <row r="546" spans="1:4">
      <c r="A546" s="357" t="s">
        <v>2128</v>
      </c>
      <c r="B546" s="356"/>
      <c r="C546" s="356">
        <v>9519</v>
      </c>
      <c r="D546" s="355">
        <f t="shared" si="30"/>
        <v>0</v>
      </c>
    </row>
    <row r="547" spans="1:4">
      <c r="A547" s="357" t="s">
        <v>2127</v>
      </c>
      <c r="B547" s="356">
        <v>8000</v>
      </c>
      <c r="C547" s="356">
        <v>5953</v>
      </c>
      <c r="D547" s="355">
        <f t="shared" si="30"/>
        <v>134.4</v>
      </c>
    </row>
    <row r="548" spans="1:4">
      <c r="A548" s="357" t="s">
        <v>2089</v>
      </c>
      <c r="B548" s="356">
        <v>9629</v>
      </c>
      <c r="C548" s="356">
        <v>9646</v>
      </c>
      <c r="D548" s="355">
        <f t="shared" si="30"/>
        <v>99.8</v>
      </c>
    </row>
    <row r="549" spans="1:4">
      <c r="A549" s="357" t="s">
        <v>2126</v>
      </c>
      <c r="B549" s="356">
        <v>7388</v>
      </c>
      <c r="C549" s="356">
        <v>7636</v>
      </c>
      <c r="D549" s="355">
        <f t="shared" si="30"/>
        <v>96.8</v>
      </c>
    </row>
    <row r="550" spans="1:4">
      <c r="A550" s="357" t="s">
        <v>2125</v>
      </c>
      <c r="B550" s="356">
        <v>2241</v>
      </c>
      <c r="C550" s="356">
        <v>2010</v>
      </c>
      <c r="D550" s="355">
        <f t="shared" si="30"/>
        <v>111.5</v>
      </c>
    </row>
    <row r="551" spans="1:4" s="358" customFormat="1">
      <c r="A551" s="360" t="s">
        <v>88</v>
      </c>
      <c r="B551" s="359">
        <v>1683</v>
      </c>
      <c r="C551" s="359">
        <v>3225</v>
      </c>
      <c r="D551" s="352">
        <f t="shared" si="30"/>
        <v>52.2</v>
      </c>
    </row>
    <row r="552" spans="1:4">
      <c r="A552" s="357" t="s">
        <v>2090</v>
      </c>
      <c r="B552" s="356">
        <v>1683</v>
      </c>
      <c r="C552" s="356">
        <v>1969</v>
      </c>
      <c r="D552" s="355">
        <f t="shared" si="30"/>
        <v>85.5</v>
      </c>
    </row>
    <row r="553" spans="1:4">
      <c r="A553" s="357" t="s">
        <v>2124</v>
      </c>
      <c r="B553" s="356">
        <v>20</v>
      </c>
      <c r="C553" s="356">
        <v>315</v>
      </c>
      <c r="D553" s="355">
        <f t="shared" si="30"/>
        <v>6.3</v>
      </c>
    </row>
    <row r="554" spans="1:4">
      <c r="A554" s="357" t="s">
        <v>2123</v>
      </c>
      <c r="B554" s="356">
        <v>1663</v>
      </c>
      <c r="C554" s="356">
        <v>792</v>
      </c>
      <c r="D554" s="355">
        <f t="shared" si="30"/>
        <v>210</v>
      </c>
    </row>
    <row r="555" spans="1:4">
      <c r="A555" s="357" t="s">
        <v>2122</v>
      </c>
      <c r="B555" s="356"/>
      <c r="C555" s="356">
        <v>12</v>
      </c>
      <c r="D555" s="355">
        <f t="shared" si="30"/>
        <v>0</v>
      </c>
    </row>
    <row r="556" spans="1:4">
      <c r="A556" s="357" t="s">
        <v>2121</v>
      </c>
      <c r="B556" s="356"/>
      <c r="C556" s="356">
        <v>850</v>
      </c>
      <c r="D556" s="355">
        <f t="shared" si="30"/>
        <v>0</v>
      </c>
    </row>
    <row r="557" spans="1:4">
      <c r="A557" s="357" t="s">
        <v>2091</v>
      </c>
      <c r="B557" s="356"/>
      <c r="C557" s="356">
        <v>1256</v>
      </c>
      <c r="D557" s="355">
        <f t="shared" si="30"/>
        <v>0</v>
      </c>
    </row>
    <row r="558" spans="1:4">
      <c r="A558" s="357" t="s">
        <v>2120</v>
      </c>
      <c r="B558" s="356"/>
      <c r="C558" s="356">
        <v>1224</v>
      </c>
      <c r="D558" s="355">
        <f t="shared" si="30"/>
        <v>0</v>
      </c>
    </row>
    <row r="559" spans="1:4">
      <c r="A559" s="357" t="s">
        <v>2119</v>
      </c>
      <c r="B559" s="356"/>
      <c r="C559" s="356">
        <v>32</v>
      </c>
      <c r="D559" s="355">
        <f t="shared" si="30"/>
        <v>0</v>
      </c>
    </row>
    <row r="560" spans="1:4" s="358" customFormat="1">
      <c r="A560" s="360" t="s">
        <v>89</v>
      </c>
      <c r="B560" s="359">
        <v>3000</v>
      </c>
      <c r="C560" s="359">
        <v>0</v>
      </c>
      <c r="D560" s="352"/>
    </row>
    <row r="561" spans="1:4">
      <c r="A561" s="357" t="s">
        <v>2118</v>
      </c>
      <c r="B561" s="356">
        <v>3000</v>
      </c>
      <c r="C561" s="356"/>
      <c r="D561" s="355"/>
    </row>
    <row r="562" spans="1:4" s="358" customFormat="1">
      <c r="A562" s="360" t="s">
        <v>90</v>
      </c>
      <c r="B562" s="359">
        <v>73565</v>
      </c>
      <c r="C562" s="359">
        <v>18333</v>
      </c>
      <c r="D562" s="352">
        <f>B562/C562*100</f>
        <v>401.3</v>
      </c>
    </row>
    <row r="563" spans="1:4">
      <c r="A563" s="357" t="s">
        <v>2092</v>
      </c>
      <c r="B563" s="356">
        <v>73565</v>
      </c>
      <c r="C563" s="356">
        <v>18333</v>
      </c>
      <c r="D563" s="355">
        <f>B563/C563*100</f>
        <v>401.3</v>
      </c>
    </row>
    <row r="564" spans="1:4">
      <c r="A564" s="357" t="s">
        <v>2117</v>
      </c>
      <c r="B564" s="356">
        <v>73565</v>
      </c>
      <c r="C564" s="356">
        <v>18333</v>
      </c>
      <c r="D564" s="355">
        <f>B564/C564*100</f>
        <v>401.3</v>
      </c>
    </row>
    <row r="565" spans="1:4">
      <c r="A565" s="357" t="s">
        <v>2116</v>
      </c>
      <c r="B565" s="356"/>
      <c r="C565" s="356" t="s">
        <v>2115</v>
      </c>
      <c r="D565" s="355"/>
    </row>
    <row r="566" spans="1:4" s="358" customFormat="1">
      <c r="A566" s="360" t="s">
        <v>91</v>
      </c>
      <c r="B566" s="359">
        <v>65000</v>
      </c>
      <c r="C566" s="359">
        <v>73164</v>
      </c>
      <c r="D566" s="352">
        <f t="shared" ref="D566:D571" si="31">B566/C566*100</f>
        <v>88.8</v>
      </c>
    </row>
    <row r="567" spans="1:4">
      <c r="A567" s="357" t="s">
        <v>2114</v>
      </c>
      <c r="B567" s="356">
        <v>65000</v>
      </c>
      <c r="C567" s="356">
        <v>73164</v>
      </c>
      <c r="D567" s="355">
        <f t="shared" si="31"/>
        <v>88.8</v>
      </c>
    </row>
    <row r="568" spans="1:4">
      <c r="A568" s="357" t="s">
        <v>2113</v>
      </c>
      <c r="B568" s="356">
        <v>65000</v>
      </c>
      <c r="C568" s="356">
        <v>26645</v>
      </c>
      <c r="D568" s="355">
        <f t="shared" si="31"/>
        <v>243.9</v>
      </c>
    </row>
    <row r="569" spans="1:4">
      <c r="A569" s="357" t="s">
        <v>2112</v>
      </c>
      <c r="B569" s="356"/>
      <c r="C569" s="356">
        <v>46519</v>
      </c>
      <c r="D569" s="355">
        <f t="shared" si="31"/>
        <v>0</v>
      </c>
    </row>
    <row r="570" spans="1:4" s="358" customFormat="1">
      <c r="A570" s="360" t="s">
        <v>2111</v>
      </c>
      <c r="B570" s="359">
        <v>0</v>
      </c>
      <c r="C570" s="359">
        <v>190</v>
      </c>
      <c r="D570" s="352">
        <f t="shared" si="31"/>
        <v>0</v>
      </c>
    </row>
    <row r="571" spans="1:4">
      <c r="A571" s="357" t="s">
        <v>2110</v>
      </c>
      <c r="B571" s="356"/>
      <c r="C571" s="356">
        <v>190</v>
      </c>
      <c r="D571" s="355">
        <f t="shared" si="31"/>
        <v>0</v>
      </c>
    </row>
    <row r="572" spans="1:4">
      <c r="A572" s="357"/>
      <c r="B572" s="356"/>
      <c r="C572" s="356"/>
      <c r="D572" s="355"/>
    </row>
    <row r="573" spans="1:4" s="351" customFormat="1">
      <c r="A573" s="354" t="s">
        <v>25</v>
      </c>
      <c r="B573" s="353">
        <v>710055</v>
      </c>
      <c r="C573" s="353">
        <v>895877</v>
      </c>
      <c r="D573" s="352">
        <f>B573/C573*100</f>
        <v>79.3</v>
      </c>
    </row>
    <row r="574" spans="1:4" s="358" customFormat="1">
      <c r="A574" s="360" t="s">
        <v>26</v>
      </c>
      <c r="B574" s="359"/>
      <c r="C574" s="359">
        <v>170915</v>
      </c>
      <c r="D574" s="352">
        <f>B574/C574*100</f>
        <v>0</v>
      </c>
    </row>
    <row r="575" spans="1:4" s="358" customFormat="1">
      <c r="A575" s="360" t="s">
        <v>27</v>
      </c>
      <c r="B575" s="359">
        <f>SUM(B576,B580:B588)</f>
        <v>10305</v>
      </c>
      <c r="C575" s="359">
        <f>SUM(C576,C580:C588)</f>
        <v>57472</v>
      </c>
      <c r="D575" s="352">
        <f>B575/C575*100</f>
        <v>17.899999999999999</v>
      </c>
    </row>
    <row r="576" spans="1:4">
      <c r="A576" s="357" t="s">
        <v>2109</v>
      </c>
      <c r="B576" s="356">
        <f>SUM(B577:B579)</f>
        <v>7305</v>
      </c>
      <c r="C576" s="356">
        <f>SUM(C577:C579)</f>
        <v>26645</v>
      </c>
      <c r="D576" s="355">
        <f>B576/C576*100</f>
        <v>27.4</v>
      </c>
    </row>
    <row r="577" spans="1:4">
      <c r="A577" s="357" t="s">
        <v>2108</v>
      </c>
      <c r="B577" s="356"/>
      <c r="C577" s="356"/>
      <c r="D577" s="355"/>
    </row>
    <row r="578" spans="1:4">
      <c r="A578" s="357" t="s">
        <v>2107</v>
      </c>
      <c r="B578" s="356">
        <v>7305</v>
      </c>
      <c r="C578" s="356">
        <v>14328</v>
      </c>
      <c r="D578" s="355">
        <f>B578/C578*100</f>
        <v>51</v>
      </c>
    </row>
    <row r="579" spans="1:4">
      <c r="A579" s="357" t="s">
        <v>2106</v>
      </c>
      <c r="B579" s="356"/>
      <c r="C579" s="356">
        <v>12317</v>
      </c>
      <c r="D579" s="355">
        <f>B579/C579*100</f>
        <v>0</v>
      </c>
    </row>
    <row r="580" spans="1:4">
      <c r="A580" s="357" t="s">
        <v>2105</v>
      </c>
      <c r="B580" s="356">
        <v>3000</v>
      </c>
      <c r="C580" s="356">
        <v>4939</v>
      </c>
      <c r="D580" s="355">
        <f>B580/C580*100</f>
        <v>60.7</v>
      </c>
    </row>
    <row r="581" spans="1:4">
      <c r="A581" s="357" t="s">
        <v>2104</v>
      </c>
      <c r="B581" s="356"/>
      <c r="C581" s="356"/>
      <c r="D581" s="355"/>
    </row>
    <row r="582" spans="1:4">
      <c r="A582" s="357" t="s">
        <v>2103</v>
      </c>
      <c r="B582" s="356"/>
      <c r="C582" s="356"/>
      <c r="D582" s="355"/>
    </row>
    <row r="583" spans="1:4">
      <c r="A583" s="357" t="s">
        <v>2102</v>
      </c>
      <c r="B583" s="356"/>
      <c r="C583" s="356">
        <v>-8889</v>
      </c>
      <c r="D583" s="355">
        <f>B583/C583*100</f>
        <v>0</v>
      </c>
    </row>
    <row r="584" spans="1:4">
      <c r="A584" s="357" t="s">
        <v>2101</v>
      </c>
      <c r="B584" s="356"/>
      <c r="C584" s="356"/>
      <c r="D584" s="355"/>
    </row>
    <row r="585" spans="1:4">
      <c r="A585" s="357" t="s">
        <v>2100</v>
      </c>
      <c r="B585" s="356">
        <v>0</v>
      </c>
      <c r="C585" s="356"/>
      <c r="D585" s="355"/>
    </row>
    <row r="586" spans="1:4">
      <c r="A586" s="357" t="s">
        <v>2099</v>
      </c>
      <c r="B586" s="356">
        <v>0</v>
      </c>
      <c r="C586" s="356" t="s">
        <v>2098</v>
      </c>
      <c r="D586" s="355"/>
    </row>
    <row r="587" spans="1:4">
      <c r="A587" s="357" t="s">
        <v>2097</v>
      </c>
      <c r="B587" s="356">
        <v>0</v>
      </c>
      <c r="C587" s="356">
        <v>17694</v>
      </c>
      <c r="D587" s="355">
        <f>B587/C587*100</f>
        <v>0</v>
      </c>
    </row>
    <row r="588" spans="1:4">
      <c r="A588" s="357" t="s">
        <v>2096</v>
      </c>
      <c r="B588" s="356">
        <v>0</v>
      </c>
      <c r="C588" s="356">
        <v>17083</v>
      </c>
      <c r="D588" s="355">
        <f>B588/C588*100</f>
        <v>0</v>
      </c>
    </row>
    <row r="589" spans="1:4" s="351" customFormat="1">
      <c r="A589" s="354" t="s">
        <v>2095</v>
      </c>
      <c r="B589" s="353">
        <f>SUM(B573:B575)</f>
        <v>720360</v>
      </c>
      <c r="C589" s="353">
        <f>SUM(C573:C575)</f>
        <v>1124264</v>
      </c>
      <c r="D589" s="352">
        <f>B589/C589*100</f>
        <v>64.099999999999994</v>
      </c>
    </row>
  </sheetData>
  <mergeCells count="1">
    <mergeCell ref="A2:D2"/>
  </mergeCells>
  <phoneticPr fontId="38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  <headerFooter>
    <oddFooter>&amp;C附表1-4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selection activeCell="E16" sqref="E16"/>
    </sheetView>
  </sheetViews>
  <sheetFormatPr defaultColWidth="9" defaultRowHeight="11.25"/>
  <cols>
    <col min="1" max="1" width="37.625" style="24" customWidth="1"/>
    <col min="2" max="4" width="11.125" style="24" customWidth="1"/>
    <col min="5" max="5" width="11.625" style="24" bestFit="1" customWidth="1"/>
    <col min="6" max="246" width="9" style="24"/>
    <col min="247" max="247" width="20.125" style="24" customWidth="1"/>
    <col min="248" max="248" width="9.625" style="24" customWidth="1"/>
    <col min="249" max="249" width="8.625" style="24" customWidth="1"/>
    <col min="250" max="250" width="8.875" style="24" customWidth="1"/>
    <col min="251" max="253" width="7.625" style="24" customWidth="1"/>
    <col min="254" max="254" width="8.125" style="24" customWidth="1"/>
    <col min="255" max="255" width="7.625" style="24" customWidth="1"/>
    <col min="256" max="256" width="9" style="24" customWidth="1"/>
    <col min="257" max="502" width="9" style="24"/>
    <col min="503" max="503" width="20.125" style="24" customWidth="1"/>
    <col min="504" max="504" width="9.625" style="24" customWidth="1"/>
    <col min="505" max="505" width="8.625" style="24" customWidth="1"/>
    <col min="506" max="506" width="8.875" style="24" customWidth="1"/>
    <col min="507" max="509" width="7.625" style="24" customWidth="1"/>
    <col min="510" max="510" width="8.125" style="24" customWidth="1"/>
    <col min="511" max="511" width="7.625" style="24" customWidth="1"/>
    <col min="512" max="512" width="9" style="24" customWidth="1"/>
    <col min="513" max="758" width="9" style="24"/>
    <col min="759" max="759" width="20.125" style="24" customWidth="1"/>
    <col min="760" max="760" width="9.625" style="24" customWidth="1"/>
    <col min="761" max="761" width="8.625" style="24" customWidth="1"/>
    <col min="762" max="762" width="8.875" style="24" customWidth="1"/>
    <col min="763" max="765" width="7.625" style="24" customWidth="1"/>
    <col min="766" max="766" width="8.125" style="24" customWidth="1"/>
    <col min="767" max="767" width="7.625" style="24" customWidth="1"/>
    <col min="768" max="768" width="9" style="24" customWidth="1"/>
    <col min="769" max="1014" width="9" style="24"/>
    <col min="1015" max="1015" width="20.125" style="24" customWidth="1"/>
    <col min="1016" max="1016" width="9.625" style="24" customWidth="1"/>
    <col min="1017" max="1017" width="8.625" style="24" customWidth="1"/>
    <col min="1018" max="1018" width="8.875" style="24" customWidth="1"/>
    <col min="1019" max="1021" width="7.625" style="24" customWidth="1"/>
    <col min="1022" max="1022" width="8.125" style="24" customWidth="1"/>
    <col min="1023" max="1023" width="7.625" style="24" customWidth="1"/>
    <col min="1024" max="1024" width="9" style="24" customWidth="1"/>
    <col min="1025" max="1270" width="9" style="24"/>
    <col min="1271" max="1271" width="20.125" style="24" customWidth="1"/>
    <col min="1272" max="1272" width="9.625" style="24" customWidth="1"/>
    <col min="1273" max="1273" width="8.625" style="24" customWidth="1"/>
    <col min="1274" max="1274" width="8.875" style="24" customWidth="1"/>
    <col min="1275" max="1277" width="7.625" style="24" customWidth="1"/>
    <col min="1278" max="1278" width="8.125" style="24" customWidth="1"/>
    <col min="1279" max="1279" width="7.625" style="24" customWidth="1"/>
    <col min="1280" max="1280" width="9" style="24" customWidth="1"/>
    <col min="1281" max="1526" width="9" style="24"/>
    <col min="1527" max="1527" width="20.125" style="24" customWidth="1"/>
    <col min="1528" max="1528" width="9.625" style="24" customWidth="1"/>
    <col min="1529" max="1529" width="8.625" style="24" customWidth="1"/>
    <col min="1530" max="1530" width="8.875" style="24" customWidth="1"/>
    <col min="1531" max="1533" width="7.625" style="24" customWidth="1"/>
    <col min="1534" max="1534" width="8.125" style="24" customWidth="1"/>
    <col min="1535" max="1535" width="7.625" style="24" customWidth="1"/>
    <col min="1536" max="1536" width="9" style="24" customWidth="1"/>
    <col min="1537" max="1782" width="9" style="24"/>
    <col min="1783" max="1783" width="20.125" style="24" customWidth="1"/>
    <col min="1784" max="1784" width="9.625" style="24" customWidth="1"/>
    <col min="1785" max="1785" width="8.625" style="24" customWidth="1"/>
    <col min="1786" max="1786" width="8.875" style="24" customWidth="1"/>
    <col min="1787" max="1789" width="7.625" style="24" customWidth="1"/>
    <col min="1790" max="1790" width="8.125" style="24" customWidth="1"/>
    <col min="1791" max="1791" width="7.625" style="24" customWidth="1"/>
    <col min="1792" max="1792" width="9" style="24" customWidth="1"/>
    <col min="1793" max="2038" width="9" style="24"/>
    <col min="2039" max="2039" width="20.125" style="24" customWidth="1"/>
    <col min="2040" max="2040" width="9.625" style="24" customWidth="1"/>
    <col min="2041" max="2041" width="8.625" style="24" customWidth="1"/>
    <col min="2042" max="2042" width="8.875" style="24" customWidth="1"/>
    <col min="2043" max="2045" width="7.625" style="24" customWidth="1"/>
    <col min="2046" max="2046" width="8.125" style="24" customWidth="1"/>
    <col min="2047" max="2047" width="7.625" style="24" customWidth="1"/>
    <col min="2048" max="2048" width="9" style="24" customWidth="1"/>
    <col min="2049" max="2294" width="9" style="24"/>
    <col min="2295" max="2295" width="20.125" style="24" customWidth="1"/>
    <col min="2296" max="2296" width="9.625" style="24" customWidth="1"/>
    <col min="2297" max="2297" width="8.625" style="24" customWidth="1"/>
    <col min="2298" max="2298" width="8.875" style="24" customWidth="1"/>
    <col min="2299" max="2301" width="7.625" style="24" customWidth="1"/>
    <col min="2302" max="2302" width="8.125" style="24" customWidth="1"/>
    <col min="2303" max="2303" width="7.625" style="24" customWidth="1"/>
    <col min="2304" max="2304" width="9" style="24" customWidth="1"/>
    <col min="2305" max="2550" width="9" style="24"/>
    <col min="2551" max="2551" width="20.125" style="24" customWidth="1"/>
    <col min="2552" max="2552" width="9.625" style="24" customWidth="1"/>
    <col min="2553" max="2553" width="8.625" style="24" customWidth="1"/>
    <col min="2554" max="2554" width="8.875" style="24" customWidth="1"/>
    <col min="2555" max="2557" width="7.625" style="24" customWidth="1"/>
    <col min="2558" max="2558" width="8.125" style="24" customWidth="1"/>
    <col min="2559" max="2559" width="7.625" style="24" customWidth="1"/>
    <col min="2560" max="2560" width="9" style="24" customWidth="1"/>
    <col min="2561" max="2806" width="9" style="24"/>
    <col min="2807" max="2807" width="20.125" style="24" customWidth="1"/>
    <col min="2808" max="2808" width="9.625" style="24" customWidth="1"/>
    <col min="2809" max="2809" width="8.625" style="24" customWidth="1"/>
    <col min="2810" max="2810" width="8.875" style="24" customWidth="1"/>
    <col min="2811" max="2813" width="7.625" style="24" customWidth="1"/>
    <col min="2814" max="2814" width="8.125" style="24" customWidth="1"/>
    <col min="2815" max="2815" width="7.625" style="24" customWidth="1"/>
    <col min="2816" max="2816" width="9" style="24" customWidth="1"/>
    <col min="2817" max="3062" width="9" style="24"/>
    <col min="3063" max="3063" width="20.125" style="24" customWidth="1"/>
    <col min="3064" max="3064" width="9.625" style="24" customWidth="1"/>
    <col min="3065" max="3065" width="8.625" style="24" customWidth="1"/>
    <col min="3066" max="3066" width="8.875" style="24" customWidth="1"/>
    <col min="3067" max="3069" width="7.625" style="24" customWidth="1"/>
    <col min="3070" max="3070" width="8.125" style="24" customWidth="1"/>
    <col min="3071" max="3071" width="7.625" style="24" customWidth="1"/>
    <col min="3072" max="3072" width="9" style="24" customWidth="1"/>
    <col min="3073" max="3318" width="9" style="24"/>
    <col min="3319" max="3319" width="20.125" style="24" customWidth="1"/>
    <col min="3320" max="3320" width="9.625" style="24" customWidth="1"/>
    <col min="3321" max="3321" width="8.625" style="24" customWidth="1"/>
    <col min="3322" max="3322" width="8.875" style="24" customWidth="1"/>
    <col min="3323" max="3325" width="7.625" style="24" customWidth="1"/>
    <col min="3326" max="3326" width="8.125" style="24" customWidth="1"/>
    <col min="3327" max="3327" width="7.625" style="24" customWidth="1"/>
    <col min="3328" max="3328" width="9" style="24" customWidth="1"/>
    <col min="3329" max="3574" width="9" style="24"/>
    <col min="3575" max="3575" width="20.125" style="24" customWidth="1"/>
    <col min="3576" max="3576" width="9.625" style="24" customWidth="1"/>
    <col min="3577" max="3577" width="8.625" style="24" customWidth="1"/>
    <col min="3578" max="3578" width="8.875" style="24" customWidth="1"/>
    <col min="3579" max="3581" width="7.625" style="24" customWidth="1"/>
    <col min="3582" max="3582" width="8.125" style="24" customWidth="1"/>
    <col min="3583" max="3583" width="7.625" style="24" customWidth="1"/>
    <col min="3584" max="3584" width="9" style="24" customWidth="1"/>
    <col min="3585" max="3830" width="9" style="24"/>
    <col min="3831" max="3831" width="20.125" style="24" customWidth="1"/>
    <col min="3832" max="3832" width="9.625" style="24" customWidth="1"/>
    <col min="3833" max="3833" width="8.625" style="24" customWidth="1"/>
    <col min="3834" max="3834" width="8.875" style="24" customWidth="1"/>
    <col min="3835" max="3837" width="7.625" style="24" customWidth="1"/>
    <col min="3838" max="3838" width="8.125" style="24" customWidth="1"/>
    <col min="3839" max="3839" width="7.625" style="24" customWidth="1"/>
    <col min="3840" max="3840" width="9" style="24" customWidth="1"/>
    <col min="3841" max="4086" width="9" style="24"/>
    <col min="4087" max="4087" width="20.125" style="24" customWidth="1"/>
    <col min="4088" max="4088" width="9.625" style="24" customWidth="1"/>
    <col min="4089" max="4089" width="8.625" style="24" customWidth="1"/>
    <col min="4090" max="4090" width="8.875" style="24" customWidth="1"/>
    <col min="4091" max="4093" width="7.625" style="24" customWidth="1"/>
    <col min="4094" max="4094" width="8.125" style="24" customWidth="1"/>
    <col min="4095" max="4095" width="7.625" style="24" customWidth="1"/>
    <col min="4096" max="4096" width="9" style="24" customWidth="1"/>
    <col min="4097" max="4342" width="9" style="24"/>
    <col min="4343" max="4343" width="20.125" style="24" customWidth="1"/>
    <col min="4344" max="4344" width="9.625" style="24" customWidth="1"/>
    <col min="4345" max="4345" width="8.625" style="24" customWidth="1"/>
    <col min="4346" max="4346" width="8.875" style="24" customWidth="1"/>
    <col min="4347" max="4349" width="7.625" style="24" customWidth="1"/>
    <col min="4350" max="4350" width="8.125" style="24" customWidth="1"/>
    <col min="4351" max="4351" width="7.625" style="24" customWidth="1"/>
    <col min="4352" max="4352" width="9" style="24" customWidth="1"/>
    <col min="4353" max="4598" width="9" style="24"/>
    <col min="4599" max="4599" width="20.125" style="24" customWidth="1"/>
    <col min="4600" max="4600" width="9.625" style="24" customWidth="1"/>
    <col min="4601" max="4601" width="8.625" style="24" customWidth="1"/>
    <col min="4602" max="4602" width="8.875" style="24" customWidth="1"/>
    <col min="4603" max="4605" width="7.625" style="24" customWidth="1"/>
    <col min="4606" max="4606" width="8.125" style="24" customWidth="1"/>
    <col min="4607" max="4607" width="7.625" style="24" customWidth="1"/>
    <col min="4608" max="4608" width="9" style="24" customWidth="1"/>
    <col min="4609" max="4854" width="9" style="24"/>
    <col min="4855" max="4855" width="20.125" style="24" customWidth="1"/>
    <col min="4856" max="4856" width="9.625" style="24" customWidth="1"/>
    <col min="4857" max="4857" width="8.625" style="24" customWidth="1"/>
    <col min="4858" max="4858" width="8.875" style="24" customWidth="1"/>
    <col min="4859" max="4861" width="7.625" style="24" customWidth="1"/>
    <col min="4862" max="4862" width="8.125" style="24" customWidth="1"/>
    <col min="4863" max="4863" width="7.625" style="24" customWidth="1"/>
    <col min="4864" max="4864" width="9" style="24" customWidth="1"/>
    <col min="4865" max="5110" width="9" style="24"/>
    <col min="5111" max="5111" width="20.125" style="24" customWidth="1"/>
    <col min="5112" max="5112" width="9.625" style="24" customWidth="1"/>
    <col min="5113" max="5113" width="8.625" style="24" customWidth="1"/>
    <col min="5114" max="5114" width="8.875" style="24" customWidth="1"/>
    <col min="5115" max="5117" width="7.625" style="24" customWidth="1"/>
    <col min="5118" max="5118" width="8.125" style="24" customWidth="1"/>
    <col min="5119" max="5119" width="7.625" style="24" customWidth="1"/>
    <col min="5120" max="5120" width="9" style="24" customWidth="1"/>
    <col min="5121" max="5366" width="9" style="24"/>
    <col min="5367" max="5367" width="20.125" style="24" customWidth="1"/>
    <col min="5368" max="5368" width="9.625" style="24" customWidth="1"/>
    <col min="5369" max="5369" width="8.625" style="24" customWidth="1"/>
    <col min="5370" max="5370" width="8.875" style="24" customWidth="1"/>
    <col min="5371" max="5373" width="7.625" style="24" customWidth="1"/>
    <col min="5374" max="5374" width="8.125" style="24" customWidth="1"/>
    <col min="5375" max="5375" width="7.625" style="24" customWidth="1"/>
    <col min="5376" max="5376" width="9" style="24" customWidth="1"/>
    <col min="5377" max="5622" width="9" style="24"/>
    <col min="5623" max="5623" width="20.125" style="24" customWidth="1"/>
    <col min="5624" max="5624" width="9.625" style="24" customWidth="1"/>
    <col min="5625" max="5625" width="8.625" style="24" customWidth="1"/>
    <col min="5626" max="5626" width="8.875" style="24" customWidth="1"/>
    <col min="5627" max="5629" width="7.625" style="24" customWidth="1"/>
    <col min="5630" max="5630" width="8.125" style="24" customWidth="1"/>
    <col min="5631" max="5631" width="7.625" style="24" customWidth="1"/>
    <col min="5632" max="5632" width="9" style="24" customWidth="1"/>
    <col min="5633" max="5878" width="9" style="24"/>
    <col min="5879" max="5879" width="20.125" style="24" customWidth="1"/>
    <col min="5880" max="5880" width="9.625" style="24" customWidth="1"/>
    <col min="5881" max="5881" width="8.625" style="24" customWidth="1"/>
    <col min="5882" max="5882" width="8.875" style="24" customWidth="1"/>
    <col min="5883" max="5885" width="7.625" style="24" customWidth="1"/>
    <col min="5886" max="5886" width="8.125" style="24" customWidth="1"/>
    <col min="5887" max="5887" width="7.625" style="24" customWidth="1"/>
    <col min="5888" max="5888" width="9" style="24" customWidth="1"/>
    <col min="5889" max="6134" width="9" style="24"/>
    <col min="6135" max="6135" width="20.125" style="24" customWidth="1"/>
    <col min="6136" max="6136" width="9.625" style="24" customWidth="1"/>
    <col min="6137" max="6137" width="8.625" style="24" customWidth="1"/>
    <col min="6138" max="6138" width="8.875" style="24" customWidth="1"/>
    <col min="6139" max="6141" width="7.625" style="24" customWidth="1"/>
    <col min="6142" max="6142" width="8.125" style="24" customWidth="1"/>
    <col min="6143" max="6143" width="7.625" style="24" customWidth="1"/>
    <col min="6144" max="6144" width="9" style="24" customWidth="1"/>
    <col min="6145" max="6390" width="9" style="24"/>
    <col min="6391" max="6391" width="20.125" style="24" customWidth="1"/>
    <col min="6392" max="6392" width="9.625" style="24" customWidth="1"/>
    <col min="6393" max="6393" width="8.625" style="24" customWidth="1"/>
    <col min="6394" max="6394" width="8.875" style="24" customWidth="1"/>
    <col min="6395" max="6397" width="7.625" style="24" customWidth="1"/>
    <col min="6398" max="6398" width="8.125" style="24" customWidth="1"/>
    <col min="6399" max="6399" width="7.625" style="24" customWidth="1"/>
    <col min="6400" max="6400" width="9" style="24" customWidth="1"/>
    <col min="6401" max="6646" width="9" style="24"/>
    <col min="6647" max="6647" width="20.125" style="24" customWidth="1"/>
    <col min="6648" max="6648" width="9.625" style="24" customWidth="1"/>
    <col min="6649" max="6649" width="8.625" style="24" customWidth="1"/>
    <col min="6650" max="6650" width="8.875" style="24" customWidth="1"/>
    <col min="6651" max="6653" width="7.625" style="24" customWidth="1"/>
    <col min="6654" max="6654" width="8.125" style="24" customWidth="1"/>
    <col min="6655" max="6655" width="7.625" style="24" customWidth="1"/>
    <col min="6656" max="6656" width="9" style="24" customWidth="1"/>
    <col min="6657" max="6902" width="9" style="24"/>
    <col min="6903" max="6903" width="20.125" style="24" customWidth="1"/>
    <col min="6904" max="6904" width="9.625" style="24" customWidth="1"/>
    <col min="6905" max="6905" width="8.625" style="24" customWidth="1"/>
    <col min="6906" max="6906" width="8.875" style="24" customWidth="1"/>
    <col min="6907" max="6909" width="7.625" style="24" customWidth="1"/>
    <col min="6910" max="6910" width="8.125" style="24" customWidth="1"/>
    <col min="6911" max="6911" width="7.625" style="24" customWidth="1"/>
    <col min="6912" max="6912" width="9" style="24" customWidth="1"/>
    <col min="6913" max="7158" width="9" style="24"/>
    <col min="7159" max="7159" width="20.125" style="24" customWidth="1"/>
    <col min="7160" max="7160" width="9.625" style="24" customWidth="1"/>
    <col min="7161" max="7161" width="8.625" style="24" customWidth="1"/>
    <col min="7162" max="7162" width="8.875" style="24" customWidth="1"/>
    <col min="7163" max="7165" width="7.625" style="24" customWidth="1"/>
    <col min="7166" max="7166" width="8.125" style="24" customWidth="1"/>
    <col min="7167" max="7167" width="7.625" style="24" customWidth="1"/>
    <col min="7168" max="7168" width="9" style="24" customWidth="1"/>
    <col min="7169" max="7414" width="9" style="24"/>
    <col min="7415" max="7415" width="20.125" style="24" customWidth="1"/>
    <col min="7416" max="7416" width="9.625" style="24" customWidth="1"/>
    <col min="7417" max="7417" width="8.625" style="24" customWidth="1"/>
    <col min="7418" max="7418" width="8.875" style="24" customWidth="1"/>
    <col min="7419" max="7421" width="7.625" style="24" customWidth="1"/>
    <col min="7422" max="7422" width="8.125" style="24" customWidth="1"/>
    <col min="7423" max="7423" width="7.625" style="24" customWidth="1"/>
    <col min="7424" max="7424" width="9" style="24" customWidth="1"/>
    <col min="7425" max="7670" width="9" style="24"/>
    <col min="7671" max="7671" width="20.125" style="24" customWidth="1"/>
    <col min="7672" max="7672" width="9.625" style="24" customWidth="1"/>
    <col min="7673" max="7673" width="8.625" style="24" customWidth="1"/>
    <col min="7674" max="7674" width="8.875" style="24" customWidth="1"/>
    <col min="7675" max="7677" width="7.625" style="24" customWidth="1"/>
    <col min="7678" max="7678" width="8.125" style="24" customWidth="1"/>
    <col min="7679" max="7679" width="7.625" style="24" customWidth="1"/>
    <col min="7680" max="7680" width="9" style="24" customWidth="1"/>
    <col min="7681" max="7926" width="9" style="24"/>
    <col min="7927" max="7927" width="20.125" style="24" customWidth="1"/>
    <col min="7928" max="7928" width="9.625" style="24" customWidth="1"/>
    <col min="7929" max="7929" width="8.625" style="24" customWidth="1"/>
    <col min="7930" max="7930" width="8.875" style="24" customWidth="1"/>
    <col min="7931" max="7933" width="7.625" style="24" customWidth="1"/>
    <col min="7934" max="7934" width="8.125" style="24" customWidth="1"/>
    <col min="7935" max="7935" width="7.625" style="24" customWidth="1"/>
    <col min="7936" max="7936" width="9" style="24" customWidth="1"/>
    <col min="7937" max="8182" width="9" style="24"/>
    <col min="8183" max="8183" width="20.125" style="24" customWidth="1"/>
    <col min="8184" max="8184" width="9.625" style="24" customWidth="1"/>
    <col min="8185" max="8185" width="8.625" style="24" customWidth="1"/>
    <col min="8186" max="8186" width="8.875" style="24" customWidth="1"/>
    <col min="8187" max="8189" width="7.625" style="24" customWidth="1"/>
    <col min="8190" max="8190" width="8.125" style="24" customWidth="1"/>
    <col min="8191" max="8191" width="7.625" style="24" customWidth="1"/>
    <col min="8192" max="8192" width="9" style="24" customWidth="1"/>
    <col min="8193" max="8438" width="9" style="24"/>
    <col min="8439" max="8439" width="20.125" style="24" customWidth="1"/>
    <col min="8440" max="8440" width="9.625" style="24" customWidth="1"/>
    <col min="8441" max="8441" width="8.625" style="24" customWidth="1"/>
    <col min="8442" max="8442" width="8.875" style="24" customWidth="1"/>
    <col min="8443" max="8445" width="7.625" style="24" customWidth="1"/>
    <col min="8446" max="8446" width="8.125" style="24" customWidth="1"/>
    <col min="8447" max="8447" width="7.625" style="24" customWidth="1"/>
    <col min="8448" max="8448" width="9" style="24" customWidth="1"/>
    <col min="8449" max="8694" width="9" style="24"/>
    <col min="8695" max="8695" width="20.125" style="24" customWidth="1"/>
    <col min="8696" max="8696" width="9.625" style="24" customWidth="1"/>
    <col min="8697" max="8697" width="8.625" style="24" customWidth="1"/>
    <col min="8698" max="8698" width="8.875" style="24" customWidth="1"/>
    <col min="8699" max="8701" width="7.625" style="24" customWidth="1"/>
    <col min="8702" max="8702" width="8.125" style="24" customWidth="1"/>
    <col min="8703" max="8703" width="7.625" style="24" customWidth="1"/>
    <col min="8704" max="8704" width="9" style="24" customWidth="1"/>
    <col min="8705" max="8950" width="9" style="24"/>
    <col min="8951" max="8951" width="20.125" style="24" customWidth="1"/>
    <col min="8952" max="8952" width="9.625" style="24" customWidth="1"/>
    <col min="8953" max="8953" width="8.625" style="24" customWidth="1"/>
    <col min="8954" max="8954" width="8.875" style="24" customWidth="1"/>
    <col min="8955" max="8957" width="7.625" style="24" customWidth="1"/>
    <col min="8958" max="8958" width="8.125" style="24" customWidth="1"/>
    <col min="8959" max="8959" width="7.625" style="24" customWidth="1"/>
    <col min="8960" max="8960" width="9" style="24" customWidth="1"/>
    <col min="8961" max="9206" width="9" style="24"/>
    <col min="9207" max="9207" width="20.125" style="24" customWidth="1"/>
    <col min="9208" max="9208" width="9.625" style="24" customWidth="1"/>
    <col min="9209" max="9209" width="8.625" style="24" customWidth="1"/>
    <col min="9210" max="9210" width="8.875" style="24" customWidth="1"/>
    <col min="9211" max="9213" width="7.625" style="24" customWidth="1"/>
    <col min="9214" max="9214" width="8.125" style="24" customWidth="1"/>
    <col min="9215" max="9215" width="7.625" style="24" customWidth="1"/>
    <col min="9216" max="9216" width="9" style="24" customWidth="1"/>
    <col min="9217" max="9462" width="9" style="24"/>
    <col min="9463" max="9463" width="20.125" style="24" customWidth="1"/>
    <col min="9464" max="9464" width="9.625" style="24" customWidth="1"/>
    <col min="9465" max="9465" width="8.625" style="24" customWidth="1"/>
    <col min="9466" max="9466" width="8.875" style="24" customWidth="1"/>
    <col min="9467" max="9469" width="7.625" style="24" customWidth="1"/>
    <col min="9470" max="9470" width="8.125" style="24" customWidth="1"/>
    <col min="9471" max="9471" width="7.625" style="24" customWidth="1"/>
    <col min="9472" max="9472" width="9" style="24" customWidth="1"/>
    <col min="9473" max="9718" width="9" style="24"/>
    <col min="9719" max="9719" width="20.125" style="24" customWidth="1"/>
    <col min="9720" max="9720" width="9.625" style="24" customWidth="1"/>
    <col min="9721" max="9721" width="8.625" style="24" customWidth="1"/>
    <col min="9722" max="9722" width="8.875" style="24" customWidth="1"/>
    <col min="9723" max="9725" width="7.625" style="24" customWidth="1"/>
    <col min="9726" max="9726" width="8.125" style="24" customWidth="1"/>
    <col min="9727" max="9727" width="7.625" style="24" customWidth="1"/>
    <col min="9728" max="9728" width="9" style="24" customWidth="1"/>
    <col min="9729" max="9974" width="9" style="24"/>
    <col min="9975" max="9975" width="20.125" style="24" customWidth="1"/>
    <col min="9976" max="9976" width="9.625" style="24" customWidth="1"/>
    <col min="9977" max="9977" width="8.625" style="24" customWidth="1"/>
    <col min="9978" max="9978" width="8.875" style="24" customWidth="1"/>
    <col min="9979" max="9981" width="7.625" style="24" customWidth="1"/>
    <col min="9982" max="9982" width="8.125" style="24" customWidth="1"/>
    <col min="9983" max="9983" width="7.625" style="24" customWidth="1"/>
    <col min="9984" max="9984" width="9" style="24" customWidth="1"/>
    <col min="9985" max="10230" width="9" style="24"/>
    <col min="10231" max="10231" width="20.125" style="24" customWidth="1"/>
    <col min="10232" max="10232" width="9.625" style="24" customWidth="1"/>
    <col min="10233" max="10233" width="8.625" style="24" customWidth="1"/>
    <col min="10234" max="10234" width="8.875" style="24" customWidth="1"/>
    <col min="10235" max="10237" width="7.625" style="24" customWidth="1"/>
    <col min="10238" max="10238" width="8.125" style="24" customWidth="1"/>
    <col min="10239" max="10239" width="7.625" style="24" customWidth="1"/>
    <col min="10240" max="10240" width="9" style="24" customWidth="1"/>
    <col min="10241" max="10486" width="9" style="24"/>
    <col min="10487" max="10487" width="20.125" style="24" customWidth="1"/>
    <col min="10488" max="10488" width="9.625" style="24" customWidth="1"/>
    <col min="10489" max="10489" width="8.625" style="24" customWidth="1"/>
    <col min="10490" max="10490" width="8.875" style="24" customWidth="1"/>
    <col min="10491" max="10493" width="7.625" style="24" customWidth="1"/>
    <col min="10494" max="10494" width="8.125" style="24" customWidth="1"/>
    <col min="10495" max="10495" width="7.625" style="24" customWidth="1"/>
    <col min="10496" max="10496" width="9" style="24" customWidth="1"/>
    <col min="10497" max="10742" width="9" style="24"/>
    <col min="10743" max="10743" width="20.125" style="24" customWidth="1"/>
    <col min="10744" max="10744" width="9.625" style="24" customWidth="1"/>
    <col min="10745" max="10745" width="8.625" style="24" customWidth="1"/>
    <col min="10746" max="10746" width="8.875" style="24" customWidth="1"/>
    <col min="10747" max="10749" width="7.625" style="24" customWidth="1"/>
    <col min="10750" max="10750" width="8.125" style="24" customWidth="1"/>
    <col min="10751" max="10751" width="7.625" style="24" customWidth="1"/>
    <col min="10752" max="10752" width="9" style="24" customWidth="1"/>
    <col min="10753" max="10998" width="9" style="24"/>
    <col min="10999" max="10999" width="20.125" style="24" customWidth="1"/>
    <col min="11000" max="11000" width="9.625" style="24" customWidth="1"/>
    <col min="11001" max="11001" width="8.625" style="24" customWidth="1"/>
    <col min="11002" max="11002" width="8.875" style="24" customWidth="1"/>
    <col min="11003" max="11005" width="7.625" style="24" customWidth="1"/>
    <col min="11006" max="11006" width="8.125" style="24" customWidth="1"/>
    <col min="11007" max="11007" width="7.625" style="24" customWidth="1"/>
    <col min="11008" max="11008" width="9" style="24" customWidth="1"/>
    <col min="11009" max="11254" width="9" style="24"/>
    <col min="11255" max="11255" width="20.125" style="24" customWidth="1"/>
    <col min="11256" max="11256" width="9.625" style="24" customWidth="1"/>
    <col min="11257" max="11257" width="8.625" style="24" customWidth="1"/>
    <col min="11258" max="11258" width="8.875" style="24" customWidth="1"/>
    <col min="11259" max="11261" width="7.625" style="24" customWidth="1"/>
    <col min="11262" max="11262" width="8.125" style="24" customWidth="1"/>
    <col min="11263" max="11263" width="7.625" style="24" customWidth="1"/>
    <col min="11264" max="11264" width="9" style="24" customWidth="1"/>
    <col min="11265" max="11510" width="9" style="24"/>
    <col min="11511" max="11511" width="20.125" style="24" customWidth="1"/>
    <col min="11512" max="11512" width="9.625" style="24" customWidth="1"/>
    <col min="11513" max="11513" width="8.625" style="24" customWidth="1"/>
    <col min="11514" max="11514" width="8.875" style="24" customWidth="1"/>
    <col min="11515" max="11517" width="7.625" style="24" customWidth="1"/>
    <col min="11518" max="11518" width="8.125" style="24" customWidth="1"/>
    <col min="11519" max="11519" width="7.625" style="24" customWidth="1"/>
    <col min="11520" max="11520" width="9" style="24" customWidth="1"/>
    <col min="11521" max="11766" width="9" style="24"/>
    <col min="11767" max="11767" width="20.125" style="24" customWidth="1"/>
    <col min="11768" max="11768" width="9.625" style="24" customWidth="1"/>
    <col min="11769" max="11769" width="8.625" style="24" customWidth="1"/>
    <col min="11770" max="11770" width="8.875" style="24" customWidth="1"/>
    <col min="11771" max="11773" width="7.625" style="24" customWidth="1"/>
    <col min="11774" max="11774" width="8.125" style="24" customWidth="1"/>
    <col min="11775" max="11775" width="7.625" style="24" customWidth="1"/>
    <col min="11776" max="11776" width="9" style="24" customWidth="1"/>
    <col min="11777" max="12022" width="9" style="24"/>
    <col min="12023" max="12023" width="20.125" style="24" customWidth="1"/>
    <col min="12024" max="12024" width="9.625" style="24" customWidth="1"/>
    <col min="12025" max="12025" width="8.625" style="24" customWidth="1"/>
    <col min="12026" max="12026" width="8.875" style="24" customWidth="1"/>
    <col min="12027" max="12029" width="7.625" style="24" customWidth="1"/>
    <col min="12030" max="12030" width="8.125" style="24" customWidth="1"/>
    <col min="12031" max="12031" width="7.625" style="24" customWidth="1"/>
    <col min="12032" max="12032" width="9" style="24" customWidth="1"/>
    <col min="12033" max="12278" width="9" style="24"/>
    <col min="12279" max="12279" width="20.125" style="24" customWidth="1"/>
    <col min="12280" max="12280" width="9.625" style="24" customWidth="1"/>
    <col min="12281" max="12281" width="8.625" style="24" customWidth="1"/>
    <col min="12282" max="12282" width="8.875" style="24" customWidth="1"/>
    <col min="12283" max="12285" width="7.625" style="24" customWidth="1"/>
    <col min="12286" max="12286" width="8.125" style="24" customWidth="1"/>
    <col min="12287" max="12287" width="7.625" style="24" customWidth="1"/>
    <col min="12288" max="12288" width="9" style="24" customWidth="1"/>
    <col min="12289" max="12534" width="9" style="24"/>
    <col min="12535" max="12535" width="20.125" style="24" customWidth="1"/>
    <col min="12536" max="12536" width="9.625" style="24" customWidth="1"/>
    <col min="12537" max="12537" width="8.625" style="24" customWidth="1"/>
    <col min="12538" max="12538" width="8.875" style="24" customWidth="1"/>
    <col min="12539" max="12541" width="7.625" style="24" customWidth="1"/>
    <col min="12542" max="12542" width="8.125" style="24" customWidth="1"/>
    <col min="12543" max="12543" width="7.625" style="24" customWidth="1"/>
    <col min="12544" max="12544" width="9" style="24" customWidth="1"/>
    <col min="12545" max="12790" width="9" style="24"/>
    <col min="12791" max="12791" width="20.125" style="24" customWidth="1"/>
    <col min="12792" max="12792" width="9.625" style="24" customWidth="1"/>
    <col min="12793" max="12793" width="8.625" style="24" customWidth="1"/>
    <col min="12794" max="12794" width="8.875" style="24" customWidth="1"/>
    <col min="12795" max="12797" width="7.625" style="24" customWidth="1"/>
    <col min="12798" max="12798" width="8.125" style="24" customWidth="1"/>
    <col min="12799" max="12799" width="7.625" style="24" customWidth="1"/>
    <col min="12800" max="12800" width="9" style="24" customWidth="1"/>
    <col min="12801" max="13046" width="9" style="24"/>
    <col min="13047" max="13047" width="20.125" style="24" customWidth="1"/>
    <col min="13048" max="13048" width="9.625" style="24" customWidth="1"/>
    <col min="13049" max="13049" width="8.625" style="24" customWidth="1"/>
    <col min="13050" max="13050" width="8.875" style="24" customWidth="1"/>
    <col min="13051" max="13053" width="7.625" style="24" customWidth="1"/>
    <col min="13054" max="13054" width="8.125" style="24" customWidth="1"/>
    <col min="13055" max="13055" width="7.625" style="24" customWidth="1"/>
    <col min="13056" max="13056" width="9" style="24" customWidth="1"/>
    <col min="13057" max="13302" width="9" style="24"/>
    <col min="13303" max="13303" width="20.125" style="24" customWidth="1"/>
    <col min="13304" max="13304" width="9.625" style="24" customWidth="1"/>
    <col min="13305" max="13305" width="8.625" style="24" customWidth="1"/>
    <col min="13306" max="13306" width="8.875" style="24" customWidth="1"/>
    <col min="13307" max="13309" width="7.625" style="24" customWidth="1"/>
    <col min="13310" max="13310" width="8.125" style="24" customWidth="1"/>
    <col min="13311" max="13311" width="7.625" style="24" customWidth="1"/>
    <col min="13312" max="13312" width="9" style="24" customWidth="1"/>
    <col min="13313" max="13558" width="9" style="24"/>
    <col min="13559" max="13559" width="20.125" style="24" customWidth="1"/>
    <col min="13560" max="13560" width="9.625" style="24" customWidth="1"/>
    <col min="13561" max="13561" width="8.625" style="24" customWidth="1"/>
    <col min="13562" max="13562" width="8.875" style="24" customWidth="1"/>
    <col min="13563" max="13565" width="7.625" style="24" customWidth="1"/>
    <col min="13566" max="13566" width="8.125" style="24" customWidth="1"/>
    <col min="13567" max="13567" width="7.625" style="24" customWidth="1"/>
    <col min="13568" max="13568" width="9" style="24" customWidth="1"/>
    <col min="13569" max="13814" width="9" style="24"/>
    <col min="13815" max="13815" width="20.125" style="24" customWidth="1"/>
    <col min="13816" max="13816" width="9.625" style="24" customWidth="1"/>
    <col min="13817" max="13817" width="8.625" style="24" customWidth="1"/>
    <col min="13818" max="13818" width="8.875" style="24" customWidth="1"/>
    <col min="13819" max="13821" width="7.625" style="24" customWidth="1"/>
    <col min="13822" max="13822" width="8.125" style="24" customWidth="1"/>
    <col min="13823" max="13823" width="7.625" style="24" customWidth="1"/>
    <col min="13824" max="13824" width="9" style="24" customWidth="1"/>
    <col min="13825" max="14070" width="9" style="24"/>
    <col min="14071" max="14071" width="20.125" style="24" customWidth="1"/>
    <col min="14072" max="14072" width="9.625" style="24" customWidth="1"/>
    <col min="14073" max="14073" width="8.625" style="24" customWidth="1"/>
    <col min="14074" max="14074" width="8.875" style="24" customWidth="1"/>
    <col min="14075" max="14077" width="7.625" style="24" customWidth="1"/>
    <col min="14078" max="14078" width="8.125" style="24" customWidth="1"/>
    <col min="14079" max="14079" width="7.625" style="24" customWidth="1"/>
    <col min="14080" max="14080" width="9" style="24" customWidth="1"/>
    <col min="14081" max="14326" width="9" style="24"/>
    <col min="14327" max="14327" width="20.125" style="24" customWidth="1"/>
    <col min="14328" max="14328" width="9.625" style="24" customWidth="1"/>
    <col min="14329" max="14329" width="8.625" style="24" customWidth="1"/>
    <col min="14330" max="14330" width="8.875" style="24" customWidth="1"/>
    <col min="14331" max="14333" width="7.625" style="24" customWidth="1"/>
    <col min="14334" max="14334" width="8.125" style="24" customWidth="1"/>
    <col min="14335" max="14335" width="7.625" style="24" customWidth="1"/>
    <col min="14336" max="14336" width="9" style="24" customWidth="1"/>
    <col min="14337" max="14582" width="9" style="24"/>
    <col min="14583" max="14583" width="20.125" style="24" customWidth="1"/>
    <col min="14584" max="14584" width="9.625" style="24" customWidth="1"/>
    <col min="14585" max="14585" width="8.625" style="24" customWidth="1"/>
    <col min="14586" max="14586" width="8.875" style="24" customWidth="1"/>
    <col min="14587" max="14589" width="7.625" style="24" customWidth="1"/>
    <col min="14590" max="14590" width="8.125" style="24" customWidth="1"/>
    <col min="14591" max="14591" width="7.625" style="24" customWidth="1"/>
    <col min="14592" max="14592" width="9" style="24" customWidth="1"/>
    <col min="14593" max="14838" width="9" style="24"/>
    <col min="14839" max="14839" width="20.125" style="24" customWidth="1"/>
    <col min="14840" max="14840" width="9.625" style="24" customWidth="1"/>
    <col min="14841" max="14841" width="8.625" style="24" customWidth="1"/>
    <col min="14842" max="14842" width="8.875" style="24" customWidth="1"/>
    <col min="14843" max="14845" width="7.625" style="24" customWidth="1"/>
    <col min="14846" max="14846" width="8.125" style="24" customWidth="1"/>
    <col min="14847" max="14847" width="7.625" style="24" customWidth="1"/>
    <col min="14848" max="14848" width="9" style="24" customWidth="1"/>
    <col min="14849" max="15094" width="9" style="24"/>
    <col min="15095" max="15095" width="20.125" style="24" customWidth="1"/>
    <col min="15096" max="15096" width="9.625" style="24" customWidth="1"/>
    <col min="15097" max="15097" width="8.625" style="24" customWidth="1"/>
    <col min="15098" max="15098" width="8.875" style="24" customWidth="1"/>
    <col min="15099" max="15101" width="7.625" style="24" customWidth="1"/>
    <col min="15102" max="15102" width="8.125" style="24" customWidth="1"/>
    <col min="15103" max="15103" width="7.625" style="24" customWidth="1"/>
    <col min="15104" max="15104" width="9" style="24" customWidth="1"/>
    <col min="15105" max="15350" width="9" style="24"/>
    <col min="15351" max="15351" width="20.125" style="24" customWidth="1"/>
    <col min="15352" max="15352" width="9.625" style="24" customWidth="1"/>
    <col min="15353" max="15353" width="8.625" style="24" customWidth="1"/>
    <col min="15354" max="15354" width="8.875" style="24" customWidth="1"/>
    <col min="15355" max="15357" width="7.625" style="24" customWidth="1"/>
    <col min="15358" max="15358" width="8.125" style="24" customWidth="1"/>
    <col min="15359" max="15359" width="7.625" style="24" customWidth="1"/>
    <col min="15360" max="15360" width="9" style="24" customWidth="1"/>
    <col min="15361" max="15606" width="9" style="24"/>
    <col min="15607" max="15607" width="20.125" style="24" customWidth="1"/>
    <col min="15608" max="15608" width="9.625" style="24" customWidth="1"/>
    <col min="15609" max="15609" width="8.625" style="24" customWidth="1"/>
    <col min="15610" max="15610" width="8.875" style="24" customWidth="1"/>
    <col min="15611" max="15613" width="7.625" style="24" customWidth="1"/>
    <col min="15614" max="15614" width="8.125" style="24" customWidth="1"/>
    <col min="15615" max="15615" width="7.625" style="24" customWidth="1"/>
    <col min="15616" max="15616" width="9" style="24" customWidth="1"/>
    <col min="15617" max="15862" width="9" style="24"/>
    <col min="15863" max="15863" width="20.125" style="24" customWidth="1"/>
    <col min="15864" max="15864" width="9.625" style="24" customWidth="1"/>
    <col min="15865" max="15865" width="8.625" style="24" customWidth="1"/>
    <col min="15866" max="15866" width="8.875" style="24" customWidth="1"/>
    <col min="15867" max="15869" width="7.625" style="24" customWidth="1"/>
    <col min="15870" max="15870" width="8.125" style="24" customWidth="1"/>
    <col min="15871" max="15871" width="7.625" style="24" customWidth="1"/>
    <col min="15872" max="15872" width="9" style="24" customWidth="1"/>
    <col min="15873" max="16118" width="9" style="24"/>
    <col min="16119" max="16119" width="20.125" style="24" customWidth="1"/>
    <col min="16120" max="16120" width="9.625" style="24" customWidth="1"/>
    <col min="16121" max="16121" width="8.625" style="24" customWidth="1"/>
    <col min="16122" max="16122" width="8.875" style="24" customWidth="1"/>
    <col min="16123" max="16125" width="7.625" style="24" customWidth="1"/>
    <col min="16126" max="16126" width="8.125" style="24" customWidth="1"/>
    <col min="16127" max="16127" width="7.625" style="24" customWidth="1"/>
    <col min="16128" max="16128" width="9" style="24" customWidth="1"/>
    <col min="16129" max="16384" width="9" style="24"/>
  </cols>
  <sheetData>
    <row r="1" spans="1:8" ht="23.1" customHeight="1">
      <c r="A1" s="121" t="s">
        <v>375</v>
      </c>
    </row>
    <row r="2" spans="1:8" ht="32.450000000000003" customHeight="1">
      <c r="A2" s="372" t="s">
        <v>481</v>
      </c>
      <c r="B2" s="372"/>
      <c r="C2" s="372"/>
      <c r="D2" s="372"/>
    </row>
    <row r="3" spans="1:8" ht="23.45" customHeight="1">
      <c r="D3" s="8" t="s">
        <v>56</v>
      </c>
    </row>
    <row r="4" spans="1:8" ht="48.6" customHeight="1">
      <c r="A4" s="64" t="s">
        <v>393</v>
      </c>
      <c r="B4" s="109" t="s">
        <v>53</v>
      </c>
      <c r="C4" s="110" t="s">
        <v>54</v>
      </c>
      <c r="D4" s="110" t="s">
        <v>55</v>
      </c>
    </row>
    <row r="5" spans="1:8" ht="28.7" customHeight="1">
      <c r="A5" s="65" t="s">
        <v>358</v>
      </c>
      <c r="B5" s="330">
        <v>130944.65</v>
      </c>
      <c r="C5" s="322">
        <v>112300</v>
      </c>
      <c r="D5" s="323">
        <f>B5/C5*100</f>
        <v>116.6</v>
      </c>
      <c r="E5" s="25"/>
      <c r="F5" s="25"/>
      <c r="G5" s="25"/>
    </row>
    <row r="6" spans="1:8" ht="28.7" customHeight="1">
      <c r="A6" s="65" t="s">
        <v>360</v>
      </c>
      <c r="B6" s="330">
        <v>201540</v>
      </c>
      <c r="C6" s="322">
        <v>39888</v>
      </c>
      <c r="D6" s="323">
        <f t="shared" ref="D6:D13" si="0">B6/C6*100</f>
        <v>505.3</v>
      </c>
      <c r="E6" s="25"/>
      <c r="F6" s="25"/>
      <c r="G6" s="25"/>
    </row>
    <row r="7" spans="1:8" ht="28.7" customHeight="1">
      <c r="A7" s="65" t="s">
        <v>356</v>
      </c>
      <c r="B7" s="330">
        <v>60785.23</v>
      </c>
      <c r="C7" s="322">
        <v>84169</v>
      </c>
      <c r="D7" s="323">
        <f t="shared" si="0"/>
        <v>72.2</v>
      </c>
      <c r="E7" s="25"/>
      <c r="F7" s="25"/>
      <c r="G7" s="25"/>
    </row>
    <row r="8" spans="1:8" ht="28.7" customHeight="1">
      <c r="A8" s="65" t="s">
        <v>361</v>
      </c>
      <c r="B8" s="330">
        <v>206658</v>
      </c>
      <c r="C8" s="322">
        <v>11193</v>
      </c>
      <c r="D8" s="323">
        <f t="shared" si="0"/>
        <v>1846.3</v>
      </c>
      <c r="E8" s="25"/>
      <c r="F8" s="25"/>
      <c r="G8" s="25"/>
      <c r="H8" s="25"/>
    </row>
    <row r="9" spans="1:8" ht="28.7" customHeight="1">
      <c r="A9" s="65" t="s">
        <v>363</v>
      </c>
      <c r="B9" s="330">
        <v>28702</v>
      </c>
      <c r="C9" s="322">
        <v>493325</v>
      </c>
      <c r="D9" s="323">
        <f t="shared" si="0"/>
        <v>5.8</v>
      </c>
      <c r="E9" s="25"/>
      <c r="F9" s="25"/>
      <c r="G9" s="25"/>
      <c r="H9" s="25"/>
    </row>
    <row r="10" spans="1:8" ht="28.7" customHeight="1">
      <c r="A10" s="65" t="s">
        <v>357</v>
      </c>
      <c r="B10" s="330">
        <v>16419.080000000002</v>
      </c>
      <c r="C10" s="322">
        <v>96001</v>
      </c>
      <c r="D10" s="323">
        <f t="shared" si="0"/>
        <v>17.100000000000001</v>
      </c>
      <c r="E10" s="25"/>
      <c r="F10" s="25"/>
      <c r="G10" s="25"/>
      <c r="H10" s="25"/>
    </row>
    <row r="11" spans="1:8" ht="28.7" customHeight="1">
      <c r="A11" s="65" t="s">
        <v>367</v>
      </c>
      <c r="B11" s="330">
        <v>65006</v>
      </c>
      <c r="C11" s="322">
        <v>73168</v>
      </c>
      <c r="D11" s="323">
        <f t="shared" si="0"/>
        <v>88.8</v>
      </c>
      <c r="E11" s="25"/>
      <c r="F11" s="25"/>
      <c r="G11" s="25"/>
      <c r="H11" s="25"/>
    </row>
    <row r="12" spans="1:8" ht="28.7" customHeight="1">
      <c r="A12" s="65" t="s">
        <v>366</v>
      </c>
      <c r="B12" s="25">
        <v>0</v>
      </c>
      <c r="C12" s="322">
        <v>-14167</v>
      </c>
      <c r="D12" s="323">
        <f t="shared" si="0"/>
        <v>0</v>
      </c>
      <c r="E12" s="25"/>
      <c r="F12" s="25"/>
      <c r="G12" s="25"/>
      <c r="H12" s="25"/>
    </row>
    <row r="13" spans="1:8" ht="25.9" customHeight="1">
      <c r="A13" s="66" t="s">
        <v>182</v>
      </c>
      <c r="B13" s="326">
        <f>SUM(B5:B12)</f>
        <v>710055</v>
      </c>
      <c r="C13" s="326">
        <f>SUM(C5:C12)</f>
        <v>895877</v>
      </c>
      <c r="D13" s="327">
        <f t="shared" si="0"/>
        <v>79.3</v>
      </c>
    </row>
  </sheetData>
  <mergeCells count="1">
    <mergeCell ref="A2:D2"/>
  </mergeCells>
  <phoneticPr fontId="38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&amp;C附表1-5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1"/>
  <sheetViews>
    <sheetView tabSelected="1" workbookViewId="0">
      <selection activeCell="F12" sqref="F12"/>
    </sheetView>
  </sheetViews>
  <sheetFormatPr defaultColWidth="9" defaultRowHeight="11.25"/>
  <cols>
    <col min="1" max="1" width="27.5" style="26" customWidth="1"/>
    <col min="2" max="2" width="18.625" style="26" customWidth="1"/>
    <col min="3" max="3" width="21.125" style="26" customWidth="1"/>
    <col min="4" max="4" width="25.875" style="26" customWidth="1"/>
    <col min="5" max="16384" width="9" style="26"/>
  </cols>
  <sheetData>
    <row r="1" spans="1:7" ht="18.600000000000001" customHeight="1">
      <c r="A1" s="122" t="s">
        <v>376</v>
      </c>
    </row>
    <row r="2" spans="1:7" ht="20.25">
      <c r="A2" s="373" t="s">
        <v>480</v>
      </c>
      <c r="B2" s="373"/>
      <c r="C2" s="373"/>
      <c r="D2" s="373"/>
    </row>
    <row r="3" spans="1:7" ht="21" customHeight="1">
      <c r="A3" s="27"/>
      <c r="D3" s="123" t="s">
        <v>377</v>
      </c>
    </row>
    <row r="4" spans="1:7" ht="13.5">
      <c r="A4" s="28" t="s">
        <v>110</v>
      </c>
      <c r="B4" s="109" t="s">
        <v>53</v>
      </c>
      <c r="C4" s="110" t="s">
        <v>54</v>
      </c>
      <c r="D4" s="110" t="s">
        <v>55</v>
      </c>
    </row>
    <row r="5" spans="1:7" ht="16.350000000000001" customHeight="1">
      <c r="A5" s="29" t="s">
        <v>359</v>
      </c>
      <c r="B5" s="322">
        <v>128657</v>
      </c>
      <c r="C5" s="324">
        <v>96833</v>
      </c>
      <c r="D5" s="325">
        <f>B5/C5*100</f>
        <v>132.9</v>
      </c>
    </row>
    <row r="6" spans="1:7" ht="16.350000000000001" customHeight="1">
      <c r="A6" s="29" t="s">
        <v>112</v>
      </c>
      <c r="B6" s="324">
        <v>30154</v>
      </c>
      <c r="C6" s="324">
        <v>22402</v>
      </c>
      <c r="D6" s="325">
        <f t="shared" ref="D6:D12" si="0">B6/C6*100</f>
        <v>134.6</v>
      </c>
    </row>
    <row r="7" spans="1:7" ht="16.350000000000001" customHeight="1">
      <c r="A7" s="29" t="s">
        <v>113</v>
      </c>
      <c r="B7" s="324">
        <v>31908</v>
      </c>
      <c r="C7" s="324">
        <v>28446</v>
      </c>
      <c r="D7" s="325">
        <f t="shared" si="0"/>
        <v>112.2</v>
      </c>
    </row>
    <row r="8" spans="1:7" ht="16.350000000000001" customHeight="1">
      <c r="A8" s="29" t="s">
        <v>114</v>
      </c>
      <c r="B8" s="324">
        <v>15729</v>
      </c>
      <c r="C8" s="324">
        <v>12602</v>
      </c>
      <c r="D8" s="325">
        <f t="shared" si="0"/>
        <v>124.8</v>
      </c>
    </row>
    <row r="9" spans="1:7" ht="16.350000000000001" customHeight="1">
      <c r="A9" s="29" t="s">
        <v>127</v>
      </c>
      <c r="B9" s="324">
        <v>19961</v>
      </c>
      <c r="C9" s="324">
        <v>16181</v>
      </c>
      <c r="D9" s="325">
        <f t="shared" si="0"/>
        <v>123.4</v>
      </c>
      <c r="G9" s="63"/>
    </row>
    <row r="10" spans="1:7" ht="16.350000000000001" customHeight="1">
      <c r="A10" s="29" t="s">
        <v>128</v>
      </c>
      <c r="B10" s="324">
        <v>2457</v>
      </c>
      <c r="C10" s="324">
        <v>1050</v>
      </c>
      <c r="D10" s="325">
        <f t="shared" si="0"/>
        <v>234</v>
      </c>
    </row>
    <row r="11" spans="1:7" ht="16.350000000000001" customHeight="1">
      <c r="A11" s="29" t="s">
        <v>115</v>
      </c>
      <c r="B11" s="324">
        <v>10246</v>
      </c>
      <c r="C11" s="324">
        <v>7555</v>
      </c>
      <c r="D11" s="325">
        <f t="shared" si="0"/>
        <v>135.6</v>
      </c>
    </row>
    <row r="12" spans="1:7" ht="16.350000000000001" customHeight="1">
      <c r="A12" s="29" t="s">
        <v>116</v>
      </c>
      <c r="B12" s="324">
        <v>18202</v>
      </c>
      <c r="C12" s="324">
        <v>8597</v>
      </c>
      <c r="D12" s="325">
        <f t="shared" si="0"/>
        <v>211.7</v>
      </c>
    </row>
    <row r="13" spans="1:7" ht="16.350000000000001" customHeight="1">
      <c r="A13" s="29" t="s">
        <v>355</v>
      </c>
      <c r="B13" s="322">
        <v>198506</v>
      </c>
      <c r="C13" s="324">
        <v>14121</v>
      </c>
      <c r="D13" s="325">
        <f>B13/C13*100</f>
        <v>1405.8</v>
      </c>
    </row>
    <row r="14" spans="1:7" ht="16.350000000000001" customHeight="1">
      <c r="A14" s="29" t="s">
        <v>129</v>
      </c>
      <c r="B14" s="324">
        <v>52146</v>
      </c>
      <c r="C14" s="324">
        <v>2985</v>
      </c>
      <c r="D14" s="325">
        <f>B14/C14*100</f>
        <v>1746.9</v>
      </c>
    </row>
    <row r="15" spans="1:7" ht="16.350000000000001" customHeight="1">
      <c r="A15" s="29" t="s">
        <v>130</v>
      </c>
      <c r="B15" s="324">
        <v>6451</v>
      </c>
      <c r="C15" s="324">
        <v>451</v>
      </c>
      <c r="D15" s="325">
        <f>B15/C15*100</f>
        <v>1430.4</v>
      </c>
    </row>
    <row r="16" spans="1:7" ht="16.350000000000001" customHeight="1">
      <c r="A16" s="29" t="s">
        <v>131</v>
      </c>
      <c r="B16" s="324">
        <v>598</v>
      </c>
      <c r="C16" s="324">
        <v>51</v>
      </c>
      <c r="D16" s="325">
        <f>B16/C16*100</f>
        <v>1172.5</v>
      </c>
    </row>
    <row r="17" spans="1:4" ht="16.350000000000001" customHeight="1">
      <c r="A17" s="29" t="s">
        <v>132</v>
      </c>
      <c r="B17" s="324"/>
      <c r="C17" s="324">
        <v>22</v>
      </c>
      <c r="D17" s="325">
        <f t="shared" ref="D17:D80" si="1">B17/C17*100</f>
        <v>0</v>
      </c>
    </row>
    <row r="18" spans="1:4" ht="16.350000000000001" customHeight="1">
      <c r="A18" s="29" t="s">
        <v>133</v>
      </c>
      <c r="B18" s="324">
        <v>1975</v>
      </c>
      <c r="C18" s="324">
        <v>154</v>
      </c>
      <c r="D18" s="325">
        <f t="shared" si="1"/>
        <v>1282.5</v>
      </c>
    </row>
    <row r="19" spans="1:4" ht="16.350000000000001" customHeight="1">
      <c r="A19" s="29" t="s">
        <v>134</v>
      </c>
      <c r="B19" s="324">
        <v>13715</v>
      </c>
      <c r="C19" s="324">
        <v>890</v>
      </c>
      <c r="D19" s="325">
        <f t="shared" si="1"/>
        <v>1541</v>
      </c>
    </row>
    <row r="20" spans="1:4" ht="16.350000000000001" customHeight="1">
      <c r="A20" s="29" t="s">
        <v>135</v>
      </c>
      <c r="B20" s="324">
        <v>3468</v>
      </c>
      <c r="C20" s="324">
        <v>486</v>
      </c>
      <c r="D20" s="325">
        <f t="shared" si="1"/>
        <v>713.6</v>
      </c>
    </row>
    <row r="21" spans="1:4" ht="16.350000000000001" customHeight="1">
      <c r="A21" s="29" t="s">
        <v>136</v>
      </c>
      <c r="B21" s="324"/>
      <c r="C21" s="324"/>
      <c r="D21" s="325" t="e">
        <f t="shared" si="1"/>
        <v>#DIV/0!</v>
      </c>
    </row>
    <row r="22" spans="1:4" ht="16.350000000000001" customHeight="1">
      <c r="A22" s="29" t="s">
        <v>117</v>
      </c>
      <c r="B22" s="324">
        <v>2679</v>
      </c>
      <c r="C22" s="324">
        <v>251</v>
      </c>
      <c r="D22" s="325">
        <f t="shared" si="1"/>
        <v>1067.3</v>
      </c>
    </row>
    <row r="23" spans="1:4" ht="16.350000000000001" customHeight="1">
      <c r="A23" s="29" t="s">
        <v>137</v>
      </c>
      <c r="B23" s="324">
        <v>17146</v>
      </c>
      <c r="C23" s="324">
        <v>967</v>
      </c>
      <c r="D23" s="325">
        <f t="shared" si="1"/>
        <v>1773.1</v>
      </c>
    </row>
    <row r="24" spans="1:4" ht="16.350000000000001" customHeight="1">
      <c r="A24" s="29" t="s">
        <v>138</v>
      </c>
      <c r="B24" s="324">
        <v>167</v>
      </c>
      <c r="C24" s="324">
        <v>55</v>
      </c>
      <c r="D24" s="325">
        <f t="shared" si="1"/>
        <v>303.60000000000002</v>
      </c>
    </row>
    <row r="25" spans="1:4" ht="16.350000000000001" customHeight="1">
      <c r="A25" s="29" t="s">
        <v>139</v>
      </c>
      <c r="B25" s="324">
        <v>64105</v>
      </c>
      <c r="C25" s="324">
        <v>3765</v>
      </c>
      <c r="D25" s="325">
        <f t="shared" si="1"/>
        <v>1702.7</v>
      </c>
    </row>
    <row r="26" spans="1:4" ht="16.350000000000001" customHeight="1">
      <c r="A26" s="29" t="s">
        <v>140</v>
      </c>
      <c r="B26" s="324">
        <v>1402</v>
      </c>
      <c r="C26" s="324">
        <v>89</v>
      </c>
      <c r="D26" s="325">
        <f t="shared" si="1"/>
        <v>1575.3</v>
      </c>
    </row>
    <row r="27" spans="1:4" ht="16.350000000000001" customHeight="1">
      <c r="A27" s="29" t="s">
        <v>141</v>
      </c>
      <c r="B27" s="324">
        <v>1534</v>
      </c>
      <c r="C27" s="324">
        <v>63</v>
      </c>
      <c r="D27" s="325">
        <f t="shared" si="1"/>
        <v>2434.9</v>
      </c>
    </row>
    <row r="28" spans="1:4" ht="16.350000000000001" customHeight="1">
      <c r="A28" s="29" t="s">
        <v>142</v>
      </c>
      <c r="B28" s="324">
        <v>2860</v>
      </c>
      <c r="C28" s="324">
        <v>323</v>
      </c>
      <c r="D28" s="325">
        <f t="shared" si="1"/>
        <v>885.4</v>
      </c>
    </row>
    <row r="29" spans="1:4" ht="16.350000000000001" customHeight="1">
      <c r="A29" s="29" t="s">
        <v>143</v>
      </c>
      <c r="B29" s="324">
        <v>429</v>
      </c>
      <c r="C29" s="324">
        <v>391</v>
      </c>
      <c r="D29" s="325">
        <f t="shared" si="1"/>
        <v>109.7</v>
      </c>
    </row>
    <row r="30" spans="1:4" ht="16.350000000000001" customHeight="1">
      <c r="A30" s="29" t="s">
        <v>144</v>
      </c>
      <c r="B30" s="324">
        <v>6792</v>
      </c>
      <c r="C30" s="324">
        <v>452</v>
      </c>
      <c r="D30" s="325">
        <f t="shared" si="1"/>
        <v>1502.7</v>
      </c>
    </row>
    <row r="31" spans="1:4" ht="16.350000000000001" customHeight="1">
      <c r="A31" s="29" t="s">
        <v>145</v>
      </c>
      <c r="B31" s="324"/>
      <c r="C31" s="324">
        <v>36</v>
      </c>
      <c r="D31" s="325">
        <f t="shared" si="1"/>
        <v>0</v>
      </c>
    </row>
    <row r="32" spans="1:4" ht="16.350000000000001" customHeight="1">
      <c r="A32" s="29" t="s">
        <v>146</v>
      </c>
      <c r="B32" s="324"/>
      <c r="C32" s="324"/>
      <c r="D32" s="325" t="e">
        <f t="shared" si="1"/>
        <v>#DIV/0!</v>
      </c>
    </row>
    <row r="33" spans="1:4" ht="16.350000000000001" customHeight="1">
      <c r="A33" s="29" t="s">
        <v>147</v>
      </c>
      <c r="B33" s="324">
        <v>9516</v>
      </c>
      <c r="C33" s="324">
        <v>795</v>
      </c>
      <c r="D33" s="325">
        <f t="shared" si="1"/>
        <v>1197</v>
      </c>
    </row>
    <row r="34" spans="1:4" ht="16.350000000000001" customHeight="1">
      <c r="A34" s="29" t="s">
        <v>148</v>
      </c>
      <c r="B34" s="324">
        <v>2046</v>
      </c>
      <c r="C34" s="324">
        <v>109</v>
      </c>
      <c r="D34" s="325">
        <f t="shared" si="1"/>
        <v>1877.1</v>
      </c>
    </row>
    <row r="35" spans="1:4" ht="16.350000000000001" customHeight="1">
      <c r="A35" s="29" t="s">
        <v>149</v>
      </c>
      <c r="B35" s="324"/>
      <c r="C35" s="324">
        <v>54</v>
      </c>
      <c r="D35" s="325">
        <f t="shared" si="1"/>
        <v>0</v>
      </c>
    </row>
    <row r="36" spans="1:4" ht="16.350000000000001" customHeight="1">
      <c r="A36" s="29" t="s">
        <v>150</v>
      </c>
      <c r="B36" s="324"/>
      <c r="C36" s="324">
        <v>41</v>
      </c>
      <c r="D36" s="325">
        <f t="shared" si="1"/>
        <v>0</v>
      </c>
    </row>
    <row r="37" spans="1:4" ht="16.350000000000001" customHeight="1">
      <c r="A37" s="29" t="s">
        <v>118</v>
      </c>
      <c r="B37" s="324">
        <v>578</v>
      </c>
      <c r="C37" s="324">
        <v>823</v>
      </c>
      <c r="D37" s="325">
        <f t="shared" si="1"/>
        <v>70.2</v>
      </c>
    </row>
    <row r="38" spans="1:4" ht="16.350000000000001" customHeight="1">
      <c r="A38" s="29" t="s">
        <v>151</v>
      </c>
      <c r="B38" s="324">
        <v>1473</v>
      </c>
      <c r="C38" s="324">
        <v>165</v>
      </c>
      <c r="D38" s="325">
        <f t="shared" si="1"/>
        <v>892.7</v>
      </c>
    </row>
    <row r="39" spans="1:4" ht="16.350000000000001" customHeight="1">
      <c r="A39" s="29" t="s">
        <v>152</v>
      </c>
      <c r="B39" s="324"/>
      <c r="C39" s="324"/>
      <c r="D39" s="325" t="e">
        <f t="shared" si="1"/>
        <v>#DIV/0!</v>
      </c>
    </row>
    <row r="40" spans="1:4" ht="16.350000000000001" customHeight="1">
      <c r="A40" s="29" t="s">
        <v>119</v>
      </c>
      <c r="B40" s="324">
        <v>9426</v>
      </c>
      <c r="C40" s="324">
        <v>703</v>
      </c>
      <c r="D40" s="325">
        <f t="shared" si="1"/>
        <v>1340.8</v>
      </c>
    </row>
    <row r="41" spans="1:4" ht="16.350000000000001" customHeight="1">
      <c r="A41" s="29" t="s">
        <v>356</v>
      </c>
      <c r="B41" s="322">
        <v>48441</v>
      </c>
      <c r="C41" s="324">
        <v>10996</v>
      </c>
      <c r="D41" s="325">
        <f t="shared" si="1"/>
        <v>440.5</v>
      </c>
    </row>
    <row r="42" spans="1:4" ht="16.350000000000001" customHeight="1">
      <c r="A42" s="29" t="s">
        <v>120</v>
      </c>
      <c r="B42" s="324"/>
      <c r="C42" s="324"/>
      <c r="D42" s="325" t="e">
        <f t="shared" si="1"/>
        <v>#DIV/0!</v>
      </c>
    </row>
    <row r="43" spans="1:4" ht="16.350000000000001" customHeight="1">
      <c r="A43" s="29" t="s">
        <v>121</v>
      </c>
      <c r="B43" s="324"/>
      <c r="C43" s="324"/>
      <c r="D43" s="325" t="e">
        <f t="shared" si="1"/>
        <v>#DIV/0!</v>
      </c>
    </row>
    <row r="44" spans="1:4" ht="16.350000000000001" customHeight="1">
      <c r="A44" s="29" t="s">
        <v>153</v>
      </c>
      <c r="B44" s="324"/>
      <c r="C44" s="324">
        <v>1</v>
      </c>
      <c r="D44" s="325">
        <f t="shared" si="1"/>
        <v>0</v>
      </c>
    </row>
    <row r="45" spans="1:4" ht="16.350000000000001" customHeight="1">
      <c r="A45" s="29" t="s">
        <v>154</v>
      </c>
      <c r="B45" s="324"/>
      <c r="C45" s="324">
        <v>69</v>
      </c>
      <c r="D45" s="325">
        <f t="shared" si="1"/>
        <v>0</v>
      </c>
    </row>
    <row r="46" spans="1:4" ht="16.350000000000001" customHeight="1">
      <c r="A46" s="29" t="s">
        <v>122</v>
      </c>
      <c r="B46" s="324">
        <v>2647</v>
      </c>
      <c r="C46" s="324">
        <v>555</v>
      </c>
      <c r="D46" s="325">
        <f t="shared" si="1"/>
        <v>476.9</v>
      </c>
    </row>
    <row r="47" spans="1:4" ht="16.350000000000001" customHeight="1">
      <c r="A47" s="29" t="s">
        <v>155</v>
      </c>
      <c r="B47" s="324"/>
      <c r="C47" s="324"/>
      <c r="D47" s="325" t="e">
        <f t="shared" si="1"/>
        <v>#DIV/0!</v>
      </c>
    </row>
    <row r="48" spans="1:4" ht="16.350000000000001" customHeight="1">
      <c r="A48" s="29" t="s">
        <v>156</v>
      </c>
      <c r="B48" s="324"/>
      <c r="C48" s="324">
        <v>28</v>
      </c>
      <c r="D48" s="325">
        <f t="shared" si="1"/>
        <v>0</v>
      </c>
    </row>
    <row r="49" spans="1:4" ht="16.350000000000001" customHeight="1">
      <c r="A49" s="29" t="s">
        <v>123</v>
      </c>
      <c r="B49" s="324">
        <v>292</v>
      </c>
      <c r="C49" s="324">
        <v>122</v>
      </c>
      <c r="D49" s="325">
        <f t="shared" si="1"/>
        <v>239.3</v>
      </c>
    </row>
    <row r="50" spans="1:4" ht="16.350000000000001" customHeight="1">
      <c r="A50" s="29" t="s">
        <v>157</v>
      </c>
      <c r="B50" s="324"/>
      <c r="C50" s="324">
        <v>91</v>
      </c>
      <c r="D50" s="325">
        <f t="shared" si="1"/>
        <v>0</v>
      </c>
    </row>
    <row r="51" spans="1:4" ht="16.350000000000001" customHeight="1">
      <c r="A51" s="29" t="s">
        <v>158</v>
      </c>
      <c r="B51" s="324"/>
      <c r="C51" s="324">
        <v>1</v>
      </c>
      <c r="D51" s="325">
        <f t="shared" si="1"/>
        <v>0</v>
      </c>
    </row>
    <row r="52" spans="1:4" ht="16.350000000000001" customHeight="1">
      <c r="A52" s="29" t="s">
        <v>124</v>
      </c>
      <c r="B52" s="324">
        <v>39460</v>
      </c>
      <c r="C52" s="324">
        <v>7827</v>
      </c>
      <c r="D52" s="325">
        <f t="shared" si="1"/>
        <v>504.2</v>
      </c>
    </row>
    <row r="53" spans="1:4" ht="16.350000000000001" customHeight="1">
      <c r="A53" s="29" t="s">
        <v>125</v>
      </c>
      <c r="B53" s="324">
        <v>6042</v>
      </c>
      <c r="C53" s="324">
        <v>2010</v>
      </c>
      <c r="D53" s="325">
        <f t="shared" si="1"/>
        <v>300.60000000000002</v>
      </c>
    </row>
    <row r="54" spans="1:4" ht="16.350000000000001" customHeight="1">
      <c r="A54" s="29" t="s">
        <v>159</v>
      </c>
      <c r="B54" s="324"/>
      <c r="C54" s="324"/>
      <c r="D54" s="325" t="e">
        <f t="shared" si="1"/>
        <v>#DIV/0!</v>
      </c>
    </row>
    <row r="55" spans="1:4" ht="16.350000000000001" customHeight="1">
      <c r="A55" s="29" t="s">
        <v>126</v>
      </c>
      <c r="B55" s="324"/>
      <c r="C55" s="324">
        <v>292</v>
      </c>
      <c r="D55" s="325">
        <f t="shared" si="1"/>
        <v>0</v>
      </c>
    </row>
    <row r="56" spans="1:4" ht="16.350000000000001" customHeight="1">
      <c r="A56" s="29" t="s">
        <v>362</v>
      </c>
      <c r="B56" s="322">
        <v>28702</v>
      </c>
      <c r="C56" s="324">
        <v>1363</v>
      </c>
      <c r="D56" s="325">
        <f t="shared" si="1"/>
        <v>2105.8000000000002</v>
      </c>
    </row>
    <row r="57" spans="1:4" ht="16.350000000000001" customHeight="1">
      <c r="A57" s="29" t="s">
        <v>160</v>
      </c>
      <c r="B57" s="324"/>
      <c r="C57" s="324"/>
      <c r="D57" s="325" t="e">
        <f t="shared" si="1"/>
        <v>#DIV/0!</v>
      </c>
    </row>
    <row r="58" spans="1:4" ht="16.350000000000001" customHeight="1">
      <c r="A58" s="29" t="s">
        <v>161</v>
      </c>
      <c r="B58" s="324">
        <v>24615</v>
      </c>
      <c r="C58" s="324">
        <v>910</v>
      </c>
      <c r="D58" s="325">
        <f t="shared" si="1"/>
        <v>2704.9</v>
      </c>
    </row>
    <row r="59" spans="1:4" ht="16.350000000000001" customHeight="1">
      <c r="A59" s="29" t="s">
        <v>162</v>
      </c>
      <c r="B59" s="324">
        <v>4087</v>
      </c>
      <c r="C59" s="324">
        <v>379</v>
      </c>
      <c r="D59" s="325">
        <f t="shared" si="1"/>
        <v>1078.4000000000001</v>
      </c>
    </row>
    <row r="60" spans="1:4" ht="16.350000000000001" customHeight="1">
      <c r="A60" s="29" t="s">
        <v>163</v>
      </c>
      <c r="B60" s="324"/>
      <c r="C60" s="324"/>
      <c r="D60" s="325" t="e">
        <f t="shared" si="1"/>
        <v>#DIV/0!</v>
      </c>
    </row>
    <row r="61" spans="1:4" ht="16.350000000000001" customHeight="1">
      <c r="A61" s="29" t="s">
        <v>164</v>
      </c>
      <c r="B61" s="324"/>
      <c r="C61" s="324"/>
      <c r="D61" s="325" t="e">
        <f t="shared" si="1"/>
        <v>#DIV/0!</v>
      </c>
    </row>
    <row r="62" spans="1:4" ht="16.350000000000001" customHeight="1">
      <c r="A62" s="29" t="s">
        <v>165</v>
      </c>
      <c r="B62" s="324"/>
      <c r="C62" s="324">
        <v>9</v>
      </c>
      <c r="D62" s="325">
        <f t="shared" si="1"/>
        <v>0</v>
      </c>
    </row>
    <row r="63" spans="1:4" ht="16.350000000000001" customHeight="1">
      <c r="A63" s="29" t="s">
        <v>166</v>
      </c>
      <c r="B63" s="324"/>
      <c r="C63" s="324"/>
      <c r="D63" s="325" t="e">
        <f t="shared" si="1"/>
        <v>#DIV/0!</v>
      </c>
    </row>
    <row r="64" spans="1:4" ht="16.350000000000001" customHeight="1">
      <c r="A64" s="29" t="s">
        <v>167</v>
      </c>
      <c r="B64" s="324"/>
      <c r="C64" s="324"/>
      <c r="D64" s="325" t="e">
        <f t="shared" si="1"/>
        <v>#DIV/0!</v>
      </c>
    </row>
    <row r="65" spans="1:4" ht="16.350000000000001" customHeight="1">
      <c r="A65" s="29" t="s">
        <v>168</v>
      </c>
      <c r="B65" s="324"/>
      <c r="C65" s="324"/>
      <c r="D65" s="325" t="e">
        <f t="shared" si="1"/>
        <v>#DIV/0!</v>
      </c>
    </row>
    <row r="66" spans="1:4" ht="16.350000000000001" customHeight="1">
      <c r="A66" s="29" t="s">
        <v>169</v>
      </c>
      <c r="B66" s="324"/>
      <c r="C66" s="324"/>
      <c r="D66" s="325" t="e">
        <f t="shared" si="1"/>
        <v>#DIV/0!</v>
      </c>
    </row>
    <row r="67" spans="1:4" ht="16.350000000000001" customHeight="1">
      <c r="A67" s="29" t="s">
        <v>170</v>
      </c>
      <c r="B67" s="324"/>
      <c r="C67" s="324"/>
      <c r="D67" s="325" t="e">
        <f t="shared" si="1"/>
        <v>#DIV/0!</v>
      </c>
    </row>
    <row r="68" spans="1:4" ht="16.350000000000001" customHeight="1">
      <c r="A68" s="29" t="s">
        <v>171</v>
      </c>
      <c r="B68" s="324"/>
      <c r="C68" s="324">
        <v>2</v>
      </c>
      <c r="D68" s="325">
        <f t="shared" si="1"/>
        <v>0</v>
      </c>
    </row>
    <row r="69" spans="1:4" ht="16.350000000000001" customHeight="1">
      <c r="A69" s="29" t="s">
        <v>172</v>
      </c>
      <c r="B69" s="324"/>
      <c r="C69" s="324"/>
      <c r="D69" s="325" t="e">
        <f t="shared" si="1"/>
        <v>#DIV/0!</v>
      </c>
    </row>
    <row r="70" spans="1:4" ht="16.350000000000001" customHeight="1">
      <c r="A70" s="29" t="s">
        <v>173</v>
      </c>
      <c r="B70" s="324"/>
      <c r="C70" s="324">
        <v>63</v>
      </c>
      <c r="D70" s="325">
        <f t="shared" si="1"/>
        <v>0</v>
      </c>
    </row>
    <row r="71" spans="1:4" ht="16.350000000000001" customHeight="1">
      <c r="A71" s="29" t="s">
        <v>364</v>
      </c>
      <c r="B71" s="322">
        <v>16419</v>
      </c>
      <c r="C71" s="324">
        <v>12</v>
      </c>
      <c r="D71" s="325">
        <f t="shared" si="1"/>
        <v>136825</v>
      </c>
    </row>
    <row r="72" spans="1:4" ht="16.350000000000001" customHeight="1">
      <c r="A72" s="29" t="s">
        <v>174</v>
      </c>
      <c r="B72" s="322">
        <v>16419</v>
      </c>
      <c r="C72" s="324">
        <v>12</v>
      </c>
      <c r="D72" s="325">
        <f t="shared" si="1"/>
        <v>136825</v>
      </c>
    </row>
    <row r="73" spans="1:4" ht="16.350000000000001" customHeight="1">
      <c r="A73" s="29" t="s">
        <v>175</v>
      </c>
      <c r="B73" s="324"/>
      <c r="C73" s="324"/>
      <c r="D73" s="325" t="e">
        <f t="shared" si="1"/>
        <v>#DIV/0!</v>
      </c>
    </row>
    <row r="74" spans="1:4" ht="16.350000000000001" customHeight="1">
      <c r="A74" s="29" t="s">
        <v>176</v>
      </c>
      <c r="B74" s="324"/>
      <c r="C74" s="324"/>
      <c r="D74" s="325" t="e">
        <f t="shared" si="1"/>
        <v>#DIV/0!</v>
      </c>
    </row>
    <row r="75" spans="1:4" ht="16.350000000000001" customHeight="1">
      <c r="A75" s="29" t="s">
        <v>177</v>
      </c>
      <c r="B75" s="324"/>
      <c r="C75" s="324"/>
      <c r="D75" s="325" t="e">
        <f t="shared" si="1"/>
        <v>#DIV/0!</v>
      </c>
    </row>
    <row r="76" spans="1:4" ht="16.350000000000001" customHeight="1">
      <c r="A76" s="29" t="s">
        <v>365</v>
      </c>
      <c r="B76" s="322">
        <v>65006</v>
      </c>
      <c r="C76" s="324">
        <v>0</v>
      </c>
      <c r="D76" s="325" t="e">
        <f t="shared" si="1"/>
        <v>#DIV/0!</v>
      </c>
    </row>
    <row r="77" spans="1:4" ht="16.350000000000001" customHeight="1">
      <c r="A77" s="29" t="s">
        <v>178</v>
      </c>
      <c r="B77" s="322">
        <v>65006</v>
      </c>
      <c r="C77" s="324"/>
      <c r="D77" s="325" t="e">
        <f t="shared" si="1"/>
        <v>#DIV/0!</v>
      </c>
    </row>
    <row r="78" spans="1:4" ht="16.350000000000001" customHeight="1">
      <c r="A78" s="29" t="s">
        <v>179</v>
      </c>
      <c r="B78" s="324"/>
      <c r="C78" s="324"/>
      <c r="D78" s="325" t="e">
        <f t="shared" si="1"/>
        <v>#DIV/0!</v>
      </c>
    </row>
    <row r="79" spans="1:4" ht="17.45" customHeight="1">
      <c r="A79" s="29" t="s">
        <v>368</v>
      </c>
      <c r="B79" s="322">
        <v>0</v>
      </c>
      <c r="C79" s="324">
        <v>0</v>
      </c>
      <c r="D79" s="325" t="e">
        <f t="shared" si="1"/>
        <v>#DIV/0!</v>
      </c>
    </row>
    <row r="80" spans="1:4" ht="16.350000000000001" customHeight="1">
      <c r="A80" s="29" t="s">
        <v>180</v>
      </c>
      <c r="B80" s="324"/>
      <c r="C80" s="324"/>
      <c r="D80" s="325" t="e">
        <f t="shared" si="1"/>
        <v>#DIV/0!</v>
      </c>
    </row>
    <row r="81" spans="1:4" ht="16.350000000000001" customHeight="1">
      <c r="A81" s="30" t="s">
        <v>181</v>
      </c>
      <c r="B81" s="328">
        <f>SUM(B5,B13,B41,B56,B71,B76)</f>
        <v>485731</v>
      </c>
      <c r="C81" s="329">
        <v>123325</v>
      </c>
      <c r="D81" s="325">
        <f t="shared" ref="D81" si="2">B81/C81*100</f>
        <v>393.9</v>
      </c>
    </row>
  </sheetData>
  <mergeCells count="1">
    <mergeCell ref="A2:D2"/>
  </mergeCells>
  <phoneticPr fontId="38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8" fitToHeight="0" orientation="portrait" r:id="rId1"/>
  <headerFooter>
    <oddFooter>&amp;C附表1-6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9"/>
  <sheetViews>
    <sheetView workbookViewId="0">
      <selection activeCell="A9" sqref="A9"/>
    </sheetView>
  </sheetViews>
  <sheetFormatPr defaultRowHeight="14.25"/>
  <cols>
    <col min="1" max="1" width="41" customWidth="1"/>
    <col min="2" max="2" width="12.375" customWidth="1"/>
    <col min="3" max="4" width="9.625" bestFit="1" customWidth="1"/>
    <col min="5" max="5" width="12" bestFit="1" customWidth="1"/>
    <col min="6" max="9" width="9.625" bestFit="1" customWidth="1"/>
    <col min="10" max="10" width="13" bestFit="1" customWidth="1"/>
    <col min="11" max="17" width="9.625" bestFit="1" customWidth="1"/>
  </cols>
  <sheetData>
    <row r="1" spans="1:17">
      <c r="A1" s="16" t="s">
        <v>378</v>
      </c>
    </row>
    <row r="2" spans="1:17" ht="29.1" customHeight="1">
      <c r="A2" s="374" t="s">
        <v>1980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7">
      <c r="A3" s="107"/>
      <c r="B3" s="47"/>
      <c r="C3" s="47"/>
      <c r="D3" s="47"/>
      <c r="E3" s="47"/>
      <c r="F3" s="47"/>
      <c r="G3" s="47"/>
      <c r="H3" s="47"/>
      <c r="J3" s="53" t="s">
        <v>186</v>
      </c>
    </row>
    <row r="4" spans="1:17" ht="19.7" customHeight="1">
      <c r="A4" s="120" t="s">
        <v>110</v>
      </c>
      <c r="B4" s="71" t="s">
        <v>204</v>
      </c>
      <c r="C4" s="71" t="s">
        <v>485</v>
      </c>
      <c r="D4" s="71" t="s">
        <v>486</v>
      </c>
      <c r="E4" s="71" t="s">
        <v>487</v>
      </c>
      <c r="F4" s="71" t="s">
        <v>488</v>
      </c>
      <c r="G4" s="71" t="s">
        <v>489</v>
      </c>
      <c r="H4" s="71" t="s">
        <v>490</v>
      </c>
      <c r="I4" s="71" t="s">
        <v>491</v>
      </c>
      <c r="J4" s="127" t="s">
        <v>492</v>
      </c>
      <c r="K4" s="127" t="s">
        <v>493</v>
      </c>
      <c r="L4" s="127" t="s">
        <v>494</v>
      </c>
      <c r="M4" s="127" t="s">
        <v>495</v>
      </c>
      <c r="N4" s="127" t="s">
        <v>496</v>
      </c>
      <c r="O4" s="127" t="s">
        <v>497</v>
      </c>
      <c r="P4" s="127" t="s">
        <v>498</v>
      </c>
      <c r="Q4" s="127" t="s">
        <v>499</v>
      </c>
    </row>
    <row r="5" spans="1:17" ht="16.7" customHeight="1">
      <c r="A5" s="111" t="s">
        <v>371</v>
      </c>
      <c r="B5" s="106"/>
      <c r="C5" s="106"/>
      <c r="D5" s="106"/>
      <c r="E5" s="106"/>
      <c r="F5" s="106"/>
      <c r="G5" s="106"/>
      <c r="H5" s="106"/>
      <c r="I5" s="106"/>
      <c r="J5" s="96"/>
      <c r="K5" s="336"/>
      <c r="L5" s="336"/>
      <c r="M5" s="336"/>
      <c r="N5" s="336"/>
      <c r="O5" s="336"/>
      <c r="P5" s="336"/>
      <c r="Q5" s="336"/>
    </row>
    <row r="6" spans="1:17" ht="16.7" customHeight="1">
      <c r="A6" s="111" t="s">
        <v>372</v>
      </c>
      <c r="B6" s="337">
        <f>SUM(C6:Q6)</f>
        <v>9618.65</v>
      </c>
      <c r="C6" s="338">
        <v>743.82</v>
      </c>
      <c r="D6" s="338">
        <v>583.24</v>
      </c>
      <c r="E6" s="338">
        <v>1017.22</v>
      </c>
      <c r="F6" s="338">
        <v>819.73</v>
      </c>
      <c r="G6" s="338">
        <v>587.53</v>
      </c>
      <c r="H6" s="338">
        <v>897.93</v>
      </c>
      <c r="I6" s="338">
        <v>701.04</v>
      </c>
      <c r="J6" s="338">
        <v>766.46</v>
      </c>
      <c r="K6" s="338">
        <v>697.46</v>
      </c>
      <c r="L6" s="338">
        <v>498.98</v>
      </c>
      <c r="M6" s="338">
        <v>604.74</v>
      </c>
      <c r="N6" s="338">
        <v>288.82</v>
      </c>
      <c r="O6" s="338">
        <v>630.02</v>
      </c>
      <c r="P6" s="338">
        <v>429.2</v>
      </c>
      <c r="Q6" s="338">
        <v>352.46</v>
      </c>
    </row>
    <row r="7" spans="1:17" ht="16.7" customHeight="1">
      <c r="A7" s="111" t="s">
        <v>373</v>
      </c>
      <c r="B7" s="339">
        <f>SUM(C7:Q7)</f>
        <v>2726.04</v>
      </c>
      <c r="C7" s="340">
        <v>352.68</v>
      </c>
      <c r="D7" s="340">
        <v>238.81</v>
      </c>
      <c r="E7" s="340">
        <v>310.25</v>
      </c>
      <c r="F7" s="340">
        <v>249.54</v>
      </c>
      <c r="G7" s="340">
        <v>186</v>
      </c>
      <c r="H7" s="340">
        <v>225.91</v>
      </c>
      <c r="I7" s="340">
        <v>183.48</v>
      </c>
      <c r="J7" s="340">
        <v>170.63</v>
      </c>
      <c r="K7" s="340">
        <v>136.51</v>
      </c>
      <c r="L7" s="340">
        <v>118.8</v>
      </c>
      <c r="M7" s="340">
        <v>76.09</v>
      </c>
      <c r="N7" s="340">
        <v>128.27000000000001</v>
      </c>
      <c r="O7" s="340">
        <v>115.93</v>
      </c>
      <c r="P7" s="340">
        <v>119.8</v>
      </c>
      <c r="Q7" s="340">
        <v>113.34</v>
      </c>
    </row>
    <row r="9" spans="1:17">
      <c r="A9" s="16" t="s">
        <v>1981</v>
      </c>
    </row>
  </sheetData>
  <mergeCells count="1">
    <mergeCell ref="A2:J2"/>
  </mergeCells>
  <phoneticPr fontId="38" type="noConversion"/>
  <pageMargins left="0.70866141732283472" right="0.70866141732283472" top="0.74803149606299213" bottom="0.74803149606299213" header="0.31496062992125984" footer="0.31496062992125984"/>
  <pageSetup paperSize="9" scale="78" fitToHeight="0" orientation="landscape" r:id="rId1"/>
  <headerFooter>
    <oddFooter>&amp;C附表1-7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7"/>
  <sheetViews>
    <sheetView workbookViewId="0">
      <selection activeCell="F14" sqref="F14"/>
    </sheetView>
  </sheetViews>
  <sheetFormatPr defaultColWidth="8.625" defaultRowHeight="14.25"/>
  <cols>
    <col min="1" max="1" width="43.125" style="31" customWidth="1"/>
    <col min="2" max="2" width="13" style="31" customWidth="1"/>
    <col min="3" max="3" width="13.5" style="31" customWidth="1"/>
    <col min="4" max="4" width="16" style="31" customWidth="1"/>
    <col min="5" max="16384" width="8.625" style="31"/>
  </cols>
  <sheetData>
    <row r="1" spans="1:6" ht="22.35" customHeight="1">
      <c r="A1" s="33" t="s">
        <v>380</v>
      </c>
      <c r="B1" s="32"/>
      <c r="C1" s="32"/>
      <c r="D1" s="32"/>
    </row>
    <row r="2" spans="1:6" ht="20.25">
      <c r="A2" s="375" t="s">
        <v>484</v>
      </c>
      <c r="B2" s="375"/>
      <c r="C2" s="375"/>
      <c r="D2" s="375"/>
    </row>
    <row r="3" spans="1:6">
      <c r="A3" s="376" t="s">
        <v>109</v>
      </c>
      <c r="B3" s="376"/>
      <c r="C3" s="376"/>
      <c r="D3" s="376"/>
    </row>
    <row r="4" spans="1:6" ht="41.25" customHeight="1">
      <c r="A4" s="67" t="s">
        <v>110</v>
      </c>
      <c r="B4" s="109" t="s">
        <v>53</v>
      </c>
      <c r="C4" s="110" t="s">
        <v>185</v>
      </c>
      <c r="D4" s="110" t="s">
        <v>55</v>
      </c>
    </row>
    <row r="5" spans="1:6" ht="24.6" customHeight="1">
      <c r="A5" s="68" t="s">
        <v>111</v>
      </c>
      <c r="B5" s="169">
        <f>SUM(B6:B8)</f>
        <v>1295.27</v>
      </c>
      <c r="C5" s="168">
        <f>SUM(C6:C8)</f>
        <v>2268.21</v>
      </c>
      <c r="D5" s="170">
        <f>B5/C5*100</f>
        <v>57.11</v>
      </c>
    </row>
    <row r="6" spans="1:6" ht="32.450000000000003" customHeight="1">
      <c r="A6" s="69" t="s">
        <v>183</v>
      </c>
      <c r="B6" s="169">
        <v>180</v>
      </c>
      <c r="C6" s="168">
        <v>160</v>
      </c>
      <c r="D6" s="170">
        <f t="shared" ref="D6:D10" si="0">B6/C6*100</f>
        <v>112.5</v>
      </c>
    </row>
    <row r="7" spans="1:6" ht="32.450000000000003" customHeight="1">
      <c r="A7" s="69" t="s">
        <v>184</v>
      </c>
      <c r="B7" s="169">
        <v>484.62</v>
      </c>
      <c r="C7" s="168">
        <v>1103.9100000000001</v>
      </c>
      <c r="D7" s="170">
        <f t="shared" si="0"/>
        <v>43.9</v>
      </c>
    </row>
    <row r="8" spans="1:6" ht="32.450000000000003" customHeight="1">
      <c r="A8" s="69" t="s">
        <v>468</v>
      </c>
      <c r="B8" s="168">
        <f>SUM(B9:B10)</f>
        <v>630.65</v>
      </c>
      <c r="C8" s="168">
        <v>1004.3</v>
      </c>
      <c r="D8" s="170">
        <f t="shared" si="0"/>
        <v>62.79</v>
      </c>
    </row>
    <row r="9" spans="1:6" ht="32.450000000000003" customHeight="1">
      <c r="A9" s="331" t="s">
        <v>1957</v>
      </c>
      <c r="B9" s="332">
        <v>630.65</v>
      </c>
      <c r="C9" s="335">
        <v>568</v>
      </c>
      <c r="D9" s="170">
        <f>B9/C9*100</f>
        <v>111.03</v>
      </c>
      <c r="F9" s="62"/>
    </row>
    <row r="10" spans="1:6" ht="32.450000000000003" customHeight="1">
      <c r="A10" s="331" t="s">
        <v>1958</v>
      </c>
      <c r="B10" s="332">
        <v>0</v>
      </c>
      <c r="C10" s="335">
        <v>436.3</v>
      </c>
      <c r="D10" s="170">
        <f t="shared" si="0"/>
        <v>0</v>
      </c>
    </row>
    <row r="11" spans="1:6" ht="24.75" customHeight="1"/>
    <row r="12" spans="1:6" ht="24" customHeight="1">
      <c r="A12" s="128" t="s">
        <v>394</v>
      </c>
    </row>
    <row r="13" spans="1:6" ht="91.35" customHeight="1">
      <c r="A13" s="377" t="s">
        <v>467</v>
      </c>
      <c r="B13" s="377"/>
      <c r="C13" s="377"/>
      <c r="D13" s="377"/>
    </row>
    <row r="14" spans="1:6" ht="81.599999999999994" customHeight="1">
      <c r="A14" s="377" t="s">
        <v>1976</v>
      </c>
      <c r="B14" s="377"/>
      <c r="C14" s="377"/>
      <c r="D14" s="377"/>
    </row>
    <row r="15" spans="1:6">
      <c r="A15" s="129"/>
      <c r="B15" s="129"/>
      <c r="C15" s="129"/>
      <c r="D15" s="129"/>
    </row>
    <row r="16" spans="1:6">
      <c r="A16" s="130"/>
      <c r="B16" s="130"/>
      <c r="C16" s="130"/>
      <c r="D16" s="130"/>
    </row>
    <row r="17" spans="1:4">
      <c r="A17" s="130"/>
      <c r="B17" s="130"/>
      <c r="C17" s="130"/>
      <c r="D17" s="130"/>
    </row>
  </sheetData>
  <mergeCells count="4">
    <mergeCell ref="A2:D2"/>
    <mergeCell ref="A3:D3"/>
    <mergeCell ref="A13:D13"/>
    <mergeCell ref="A14:D14"/>
  </mergeCells>
  <phoneticPr fontId="38" type="noConversion"/>
  <pageMargins left="0.70866141732283472" right="0.70866141732283472" top="0.74803149606299213" bottom="0.74803149606299213" header="0.31496062992125984" footer="0.31496062992125984"/>
  <pageSetup paperSize="9" scale="95" fitToHeight="0" orientation="portrait" r:id="rId1"/>
  <headerFooter>
    <oddFooter>&amp;C附表1-8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dimension ref="A1:F27"/>
  <sheetViews>
    <sheetView workbookViewId="0">
      <selection activeCell="C31" sqref="C31"/>
    </sheetView>
  </sheetViews>
  <sheetFormatPr defaultRowHeight="14.25"/>
  <cols>
    <col min="1" max="1" width="41.625" bestFit="1" customWidth="1"/>
    <col min="2" max="3" width="11.5" customWidth="1"/>
    <col min="4" max="4" width="15.625" customWidth="1"/>
  </cols>
  <sheetData>
    <row r="1" spans="1:6" ht="22.15" customHeight="1">
      <c r="A1" s="16" t="s">
        <v>379</v>
      </c>
    </row>
    <row r="2" spans="1:6" ht="27" customHeight="1">
      <c r="A2" s="378" t="s">
        <v>513</v>
      </c>
      <c r="B2" s="378"/>
      <c r="C2" s="378"/>
      <c r="D2" s="378"/>
    </row>
    <row r="3" spans="1:6">
      <c r="A3" s="34"/>
      <c r="B3" s="35"/>
      <c r="C3" s="35"/>
      <c r="D3" s="36" t="s">
        <v>186</v>
      </c>
    </row>
    <row r="4" spans="1:6" ht="27">
      <c r="A4" s="71" t="s">
        <v>242</v>
      </c>
      <c r="B4" s="109" t="s">
        <v>53</v>
      </c>
      <c r="C4" s="110" t="s">
        <v>54</v>
      </c>
      <c r="D4" s="110" t="s">
        <v>55</v>
      </c>
    </row>
    <row r="5" spans="1:6" ht="17.45" customHeight="1">
      <c r="A5" s="143" t="s">
        <v>395</v>
      </c>
      <c r="B5" s="171"/>
      <c r="C5" s="225"/>
      <c r="D5" s="173"/>
    </row>
    <row r="6" spans="1:6" ht="17.45" customHeight="1">
      <c r="A6" s="143" t="s">
        <v>396</v>
      </c>
      <c r="B6" s="171"/>
      <c r="C6" s="225"/>
      <c r="D6" s="173"/>
    </row>
    <row r="7" spans="1:6" ht="17.45" customHeight="1">
      <c r="A7" s="143" t="s">
        <v>397</v>
      </c>
      <c r="B7" s="171">
        <v>600</v>
      </c>
      <c r="C7" s="225">
        <v>622</v>
      </c>
      <c r="D7" s="173">
        <f>B7/C7*100</f>
        <v>96.5</v>
      </c>
    </row>
    <row r="8" spans="1:6" ht="17.45" customHeight="1">
      <c r="A8" s="143" t="s">
        <v>398</v>
      </c>
      <c r="B8" s="199"/>
      <c r="C8" s="226">
        <v>6436</v>
      </c>
      <c r="D8" s="173"/>
      <c r="F8" s="59"/>
    </row>
    <row r="9" spans="1:6" ht="17.45" customHeight="1">
      <c r="A9" s="143" t="s">
        <v>399</v>
      </c>
      <c r="B9" s="171"/>
      <c r="C9" s="225">
        <v>55</v>
      </c>
      <c r="D9" s="173"/>
    </row>
    <row r="10" spans="1:6" ht="17.45" customHeight="1">
      <c r="A10" s="143" t="s">
        <v>400</v>
      </c>
      <c r="B10" s="171">
        <v>290000</v>
      </c>
      <c r="C10" s="225">
        <v>143871</v>
      </c>
      <c r="D10" s="173">
        <f>B10/C10*100</f>
        <v>201.6</v>
      </c>
    </row>
    <row r="11" spans="1:6" ht="17.45" customHeight="1">
      <c r="A11" s="143" t="s">
        <v>401</v>
      </c>
      <c r="B11" s="171"/>
      <c r="C11" s="225"/>
      <c r="D11" s="173"/>
    </row>
    <row r="12" spans="1:6" ht="17.45" customHeight="1">
      <c r="A12" s="143" t="s">
        <v>402</v>
      </c>
      <c r="B12" s="171">
        <v>1200</v>
      </c>
      <c r="C12" s="225">
        <v>1122</v>
      </c>
      <c r="D12" s="173">
        <f t="shared" ref="D12:D13" si="0">B12/C12*100</f>
        <v>107</v>
      </c>
    </row>
    <row r="13" spans="1:6" ht="17.45" customHeight="1">
      <c r="A13" s="143" t="s">
        <v>403</v>
      </c>
      <c r="B13" s="171">
        <v>10000</v>
      </c>
      <c r="C13" s="225">
        <v>5645</v>
      </c>
      <c r="D13" s="173">
        <f t="shared" si="0"/>
        <v>177.1</v>
      </c>
    </row>
    <row r="14" spans="1:6" ht="17.45" customHeight="1">
      <c r="A14" s="143" t="s">
        <v>404</v>
      </c>
      <c r="B14" s="171"/>
      <c r="C14" s="225"/>
      <c r="D14" s="173"/>
    </row>
    <row r="15" spans="1:6" ht="17.45" customHeight="1">
      <c r="A15" s="143" t="s">
        <v>405</v>
      </c>
      <c r="B15" s="171"/>
      <c r="C15" s="225"/>
      <c r="D15" s="173"/>
    </row>
    <row r="16" spans="1:6" ht="17.45" customHeight="1">
      <c r="A16" s="143" t="s">
        <v>406</v>
      </c>
      <c r="B16" s="171">
        <v>800</v>
      </c>
      <c r="C16" s="225">
        <v>990</v>
      </c>
      <c r="D16" s="173">
        <f>B16/C16*100</f>
        <v>80.8</v>
      </c>
    </row>
    <row r="17" spans="1:4" ht="17.45" customHeight="1">
      <c r="A17" s="143" t="s">
        <v>407</v>
      </c>
      <c r="B17" s="171"/>
      <c r="C17" s="225"/>
      <c r="D17" s="173"/>
    </row>
    <row r="18" spans="1:4" ht="17.45" customHeight="1">
      <c r="A18" s="143" t="s">
        <v>408</v>
      </c>
      <c r="B18" s="171"/>
      <c r="C18" s="225">
        <v>683</v>
      </c>
      <c r="D18" s="173"/>
    </row>
    <row r="19" spans="1:4" ht="17.45" customHeight="1">
      <c r="A19" s="71" t="s">
        <v>187</v>
      </c>
      <c r="B19" s="172">
        <f>SUM(B5:B18)</f>
        <v>302600</v>
      </c>
      <c r="C19" s="172">
        <f>SUM(C5:C18)</f>
        <v>159424</v>
      </c>
      <c r="D19" s="176">
        <f>B19/C19*100</f>
        <v>189.8</v>
      </c>
    </row>
    <row r="20" spans="1:4" ht="17.45" customHeight="1">
      <c r="A20" s="72" t="s">
        <v>188</v>
      </c>
      <c r="B20" s="171"/>
      <c r="C20" s="172">
        <v>1042604</v>
      </c>
      <c r="D20" s="173"/>
    </row>
    <row r="21" spans="1:4" ht="17.45" customHeight="1">
      <c r="A21" s="72" t="s">
        <v>189</v>
      </c>
      <c r="B21" s="171"/>
      <c r="C21" s="172">
        <f>SUM(C22:C26)</f>
        <v>70989</v>
      </c>
      <c r="D21" s="173"/>
    </row>
    <row r="22" spans="1:4" ht="17.45" customHeight="1">
      <c r="A22" s="73" t="s">
        <v>341</v>
      </c>
      <c r="B22" s="171"/>
      <c r="C22" s="171">
        <v>5181</v>
      </c>
      <c r="D22" s="173"/>
    </row>
    <row r="23" spans="1:4" ht="17.45" customHeight="1">
      <c r="A23" s="73" t="s">
        <v>346</v>
      </c>
      <c r="B23" s="171"/>
      <c r="C23" s="171"/>
      <c r="D23" s="173"/>
    </row>
    <row r="24" spans="1:4" ht="17.45" customHeight="1">
      <c r="A24" s="73" t="s">
        <v>190</v>
      </c>
      <c r="B24" s="171"/>
      <c r="C24" s="171">
        <v>30140</v>
      </c>
      <c r="D24" s="173"/>
    </row>
    <row r="25" spans="1:4" ht="17.45" customHeight="1">
      <c r="A25" s="70" t="s">
        <v>191</v>
      </c>
      <c r="B25" s="171"/>
      <c r="C25" s="171">
        <v>35668</v>
      </c>
      <c r="D25" s="173"/>
    </row>
    <row r="26" spans="1:4" ht="17.45" customHeight="1">
      <c r="A26" s="70" t="s">
        <v>339</v>
      </c>
      <c r="B26" s="171"/>
      <c r="D26" s="173"/>
    </row>
    <row r="27" spans="1:4" ht="17.45" customHeight="1">
      <c r="A27" s="71" t="s">
        <v>24</v>
      </c>
      <c r="B27" s="172">
        <v>302600</v>
      </c>
      <c r="C27" s="172">
        <f>SUM(C19:C21)</f>
        <v>1273017</v>
      </c>
      <c r="D27" s="176">
        <f>B27/C27*100</f>
        <v>23.8</v>
      </c>
    </row>
  </sheetData>
  <mergeCells count="1">
    <mergeCell ref="A2:D2"/>
  </mergeCells>
  <phoneticPr fontId="38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&amp;C附表1-9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dimension ref="A1:F24"/>
  <sheetViews>
    <sheetView workbookViewId="0">
      <selection activeCell="B8" sqref="B8"/>
    </sheetView>
  </sheetViews>
  <sheetFormatPr defaultRowHeight="14.25"/>
  <cols>
    <col min="1" max="1" width="34.5" customWidth="1"/>
    <col min="2" max="3" width="14" customWidth="1"/>
    <col min="4" max="4" width="14.25" customWidth="1"/>
  </cols>
  <sheetData>
    <row r="1" spans="1:6">
      <c r="A1" s="16" t="s">
        <v>381</v>
      </c>
    </row>
    <row r="2" spans="1:6" ht="20.25">
      <c r="A2" s="378" t="s">
        <v>515</v>
      </c>
      <c r="B2" s="378"/>
      <c r="C2" s="378"/>
      <c r="D2" s="378"/>
    </row>
    <row r="3" spans="1:6">
      <c r="A3" s="45"/>
      <c r="B3" s="46"/>
      <c r="C3" s="46"/>
      <c r="D3" s="124" t="s">
        <v>186</v>
      </c>
    </row>
    <row r="4" spans="1:6" ht="30.6" customHeight="1">
      <c r="A4" s="126" t="s">
        <v>242</v>
      </c>
      <c r="B4" s="126" t="s">
        <v>329</v>
      </c>
      <c r="C4" s="126" t="s">
        <v>330</v>
      </c>
      <c r="D4" s="126" t="s">
        <v>331</v>
      </c>
    </row>
    <row r="5" spans="1:6" ht="19.899999999999999" customHeight="1">
      <c r="A5" s="70" t="s">
        <v>192</v>
      </c>
      <c r="B5" s="70"/>
      <c r="C5" s="70">
        <v>0</v>
      </c>
      <c r="D5" s="227"/>
    </row>
    <row r="6" spans="1:6" ht="19.899999999999999" customHeight="1">
      <c r="A6" s="70" t="s">
        <v>193</v>
      </c>
      <c r="B6" s="70"/>
      <c r="C6" s="70">
        <v>307</v>
      </c>
      <c r="D6" s="227"/>
    </row>
    <row r="7" spans="1:6" ht="19.899999999999999" customHeight="1">
      <c r="A7" s="70" t="s">
        <v>194</v>
      </c>
      <c r="B7" s="70"/>
      <c r="C7" s="70">
        <v>0</v>
      </c>
      <c r="D7" s="227"/>
    </row>
    <row r="8" spans="1:6" ht="19.899999999999999" customHeight="1">
      <c r="A8" s="70" t="s">
        <v>195</v>
      </c>
      <c r="B8" s="70">
        <v>301400</v>
      </c>
      <c r="C8" s="70">
        <v>104908</v>
      </c>
      <c r="D8" s="227">
        <f>B8/C8*100</f>
        <v>287.3</v>
      </c>
    </row>
    <row r="9" spans="1:6" ht="19.899999999999999" customHeight="1">
      <c r="A9" s="70" t="s">
        <v>196</v>
      </c>
      <c r="B9" s="70"/>
      <c r="C9" s="70">
        <v>675</v>
      </c>
      <c r="D9" s="227"/>
      <c r="F9" s="59"/>
    </row>
    <row r="10" spans="1:6" ht="19.899999999999999" customHeight="1">
      <c r="A10" s="70" t="s">
        <v>197</v>
      </c>
      <c r="B10" s="70"/>
      <c r="C10" s="70">
        <v>0</v>
      </c>
      <c r="D10" s="227"/>
    </row>
    <row r="11" spans="1:6" ht="19.899999999999999" customHeight="1">
      <c r="A11" s="70" t="s">
        <v>198</v>
      </c>
      <c r="B11" s="70"/>
      <c r="C11" s="70">
        <v>59</v>
      </c>
      <c r="D11" s="227"/>
    </row>
    <row r="12" spans="1:6" ht="19.899999999999999" customHeight="1">
      <c r="A12" s="70" t="s">
        <v>199</v>
      </c>
      <c r="B12" s="70"/>
      <c r="C12" s="70">
        <v>200</v>
      </c>
      <c r="D12" s="227"/>
    </row>
    <row r="13" spans="1:6" ht="19.899999999999999" customHeight="1">
      <c r="A13" s="70" t="s">
        <v>200</v>
      </c>
      <c r="B13">
        <v>1200</v>
      </c>
      <c r="C13" s="70">
        <v>1964</v>
      </c>
      <c r="D13" s="227" t="s">
        <v>516</v>
      </c>
    </row>
    <row r="14" spans="1:6" ht="19.899999999999999" customHeight="1">
      <c r="A14" s="70" t="s">
        <v>201</v>
      </c>
      <c r="B14" s="70"/>
      <c r="C14" s="70">
        <v>52212</v>
      </c>
      <c r="D14" s="227"/>
    </row>
    <row r="15" spans="1:6" ht="19.899999999999999" customHeight="1">
      <c r="A15" s="70" t="s">
        <v>202</v>
      </c>
      <c r="B15" s="70"/>
      <c r="C15" s="70">
        <v>1150</v>
      </c>
      <c r="D15" s="227"/>
    </row>
    <row r="16" spans="1:6" ht="19.899999999999999" customHeight="1">
      <c r="A16" s="71" t="s">
        <v>203</v>
      </c>
      <c r="B16" s="72">
        <f>SUM(B5:B15)</f>
        <v>302600</v>
      </c>
      <c r="C16" s="72">
        <f>SUM(C5:C15)</f>
        <v>161475</v>
      </c>
      <c r="D16" s="228">
        <f>B16/C16*100</f>
        <v>187.4</v>
      </c>
    </row>
    <row r="17" spans="1:4" ht="19.899999999999999" customHeight="1">
      <c r="A17" s="72" t="s">
        <v>93</v>
      </c>
      <c r="B17" s="70"/>
      <c r="C17" s="72">
        <v>1046004</v>
      </c>
      <c r="D17" s="227"/>
    </row>
    <row r="18" spans="1:4" ht="19.899999999999999" customHeight="1">
      <c r="A18" s="72" t="s">
        <v>27</v>
      </c>
      <c r="B18" s="70"/>
      <c r="C18" s="72">
        <f>SUM(C19:C23)</f>
        <v>65538</v>
      </c>
      <c r="D18" s="227"/>
    </row>
    <row r="19" spans="1:4" ht="19.899999999999999" customHeight="1">
      <c r="A19" s="99" t="s">
        <v>343</v>
      </c>
      <c r="B19" s="70"/>
      <c r="C19" s="70"/>
      <c r="D19" s="227"/>
    </row>
    <row r="20" spans="1:4" ht="19.899999999999999" customHeight="1">
      <c r="A20" s="99" t="s">
        <v>345</v>
      </c>
      <c r="B20" s="70"/>
      <c r="C20" s="70">
        <v>305</v>
      </c>
      <c r="D20" s="227"/>
    </row>
    <row r="21" spans="1:4" ht="19.899999999999999" customHeight="1">
      <c r="A21" s="99" t="s">
        <v>335</v>
      </c>
      <c r="B21" s="70"/>
      <c r="C21" s="70">
        <v>49999</v>
      </c>
      <c r="D21" s="227"/>
    </row>
    <row r="22" spans="1:4" ht="19.899999999999999" customHeight="1">
      <c r="A22" s="99" t="s">
        <v>333</v>
      </c>
      <c r="B22" s="70"/>
      <c r="D22" s="227"/>
    </row>
    <row r="23" spans="1:4" ht="19.899999999999999" customHeight="1">
      <c r="A23" s="99" t="s">
        <v>337</v>
      </c>
      <c r="B23" s="70"/>
      <c r="C23" s="70">
        <v>15234</v>
      </c>
      <c r="D23" s="227"/>
    </row>
    <row r="24" spans="1:4" ht="19.899999999999999" customHeight="1">
      <c r="A24" s="71" t="s">
        <v>25</v>
      </c>
      <c r="B24" s="72">
        <f>SUM(B16:B18)</f>
        <v>302600</v>
      </c>
      <c r="C24" s="72">
        <f>SUM(C16:C18)</f>
        <v>1273017</v>
      </c>
      <c r="D24" s="228">
        <f>B24/C24*100</f>
        <v>23.8</v>
      </c>
    </row>
  </sheetData>
  <mergeCells count="1">
    <mergeCell ref="A2:D2"/>
  </mergeCells>
  <phoneticPr fontId="38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&amp;C附表1-10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8"/>
  <sheetViews>
    <sheetView workbookViewId="0">
      <selection activeCell="C31" sqref="C31"/>
    </sheetView>
  </sheetViews>
  <sheetFormatPr defaultRowHeight="14.25"/>
  <cols>
    <col min="1" max="1" width="41.625" bestFit="1" customWidth="1"/>
    <col min="2" max="2" width="14.125" customWidth="1"/>
    <col min="3" max="3" width="15.375" customWidth="1"/>
    <col min="4" max="4" width="14.875" customWidth="1"/>
  </cols>
  <sheetData>
    <row r="1" spans="1:4">
      <c r="A1" s="16" t="s">
        <v>382</v>
      </c>
    </row>
    <row r="2" spans="1:4" ht="20.25">
      <c r="A2" s="379" t="s">
        <v>500</v>
      </c>
      <c r="B2" s="379"/>
      <c r="C2" s="379"/>
      <c r="D2" s="379"/>
    </row>
    <row r="3" spans="1:4">
      <c r="A3" s="51"/>
      <c r="B3" s="52"/>
      <c r="C3" s="52"/>
      <c r="D3" s="104" t="s">
        <v>186</v>
      </c>
    </row>
    <row r="4" spans="1:4" ht="34.5" customHeight="1">
      <c r="A4" s="125" t="s">
        <v>242</v>
      </c>
      <c r="B4" s="125" t="s">
        <v>329</v>
      </c>
      <c r="C4" s="125" t="s">
        <v>330</v>
      </c>
      <c r="D4" s="126" t="s">
        <v>331</v>
      </c>
    </row>
    <row r="5" spans="1:4" ht="16.149999999999999" customHeight="1">
      <c r="A5" s="143" t="s">
        <v>395</v>
      </c>
      <c r="B5" s="171"/>
      <c r="C5" s="171"/>
      <c r="D5" s="173"/>
    </row>
    <row r="6" spans="1:4" ht="16.149999999999999" customHeight="1">
      <c r="A6" s="143" t="s">
        <v>396</v>
      </c>
      <c r="B6" s="171"/>
      <c r="C6" s="171"/>
      <c r="D6" s="173"/>
    </row>
    <row r="7" spans="1:4" ht="16.149999999999999" customHeight="1">
      <c r="A7" s="143" t="s">
        <v>397</v>
      </c>
      <c r="B7" s="171">
        <v>600</v>
      </c>
      <c r="C7" s="171">
        <v>622</v>
      </c>
      <c r="D7" s="173">
        <f>B7/C7*100</f>
        <v>96.5</v>
      </c>
    </row>
    <row r="8" spans="1:4" ht="16.149999999999999" customHeight="1">
      <c r="A8" s="143" t="s">
        <v>398</v>
      </c>
      <c r="B8" s="136"/>
      <c r="C8" s="136">
        <v>6436</v>
      </c>
      <c r="D8" s="173"/>
    </row>
    <row r="9" spans="1:4" ht="16.149999999999999" customHeight="1">
      <c r="A9" s="143" t="s">
        <v>399</v>
      </c>
      <c r="B9" s="171"/>
      <c r="C9" s="171">
        <v>55</v>
      </c>
      <c r="D9" s="173"/>
    </row>
    <row r="10" spans="1:4" ht="16.149999999999999" customHeight="1">
      <c r="A10" s="143" t="s">
        <v>400</v>
      </c>
      <c r="B10" s="171">
        <v>290000</v>
      </c>
      <c r="C10" s="171">
        <v>143871</v>
      </c>
      <c r="D10" s="173">
        <f t="shared" ref="D10:D20" si="0">B10/C10*100</f>
        <v>201.6</v>
      </c>
    </row>
    <row r="11" spans="1:4" ht="16.149999999999999" customHeight="1">
      <c r="A11" s="143" t="s">
        <v>401</v>
      </c>
      <c r="B11" s="171"/>
      <c r="C11" s="171"/>
      <c r="D11" s="173"/>
    </row>
    <row r="12" spans="1:4" ht="16.149999999999999" customHeight="1">
      <c r="A12" s="143" t="s">
        <v>402</v>
      </c>
      <c r="B12" s="171">
        <v>1200</v>
      </c>
      <c r="C12" s="171">
        <v>1122</v>
      </c>
      <c r="D12" s="173">
        <f t="shared" si="0"/>
        <v>107</v>
      </c>
    </row>
    <row r="13" spans="1:4" ht="16.149999999999999" customHeight="1">
      <c r="A13" s="143" t="s">
        <v>403</v>
      </c>
      <c r="B13" s="171">
        <v>10000</v>
      </c>
      <c r="C13" s="171">
        <v>5645</v>
      </c>
      <c r="D13" s="173">
        <f t="shared" si="0"/>
        <v>177.1</v>
      </c>
    </row>
    <row r="14" spans="1:4" ht="16.149999999999999" customHeight="1">
      <c r="A14" s="143" t="s">
        <v>404</v>
      </c>
      <c r="B14" s="171"/>
      <c r="C14" s="171"/>
      <c r="D14" s="173"/>
    </row>
    <row r="15" spans="1:4" ht="16.149999999999999" customHeight="1">
      <c r="A15" s="143" t="s">
        <v>405</v>
      </c>
      <c r="B15" s="171"/>
      <c r="C15" s="171"/>
      <c r="D15" s="173"/>
    </row>
    <row r="16" spans="1:4" ht="16.149999999999999" customHeight="1">
      <c r="A16" s="143" t="s">
        <v>406</v>
      </c>
      <c r="B16" s="171">
        <v>800</v>
      </c>
      <c r="C16" s="171">
        <v>990</v>
      </c>
      <c r="D16" s="173">
        <f t="shared" si="0"/>
        <v>80.8</v>
      </c>
    </row>
    <row r="17" spans="1:4" ht="16.149999999999999" customHeight="1">
      <c r="A17" s="143" t="s">
        <v>407</v>
      </c>
      <c r="B17" s="171"/>
      <c r="C17" s="171"/>
      <c r="D17" s="173"/>
    </row>
    <row r="18" spans="1:4" ht="16.149999999999999" customHeight="1">
      <c r="A18" s="143" t="s">
        <v>408</v>
      </c>
      <c r="B18" s="171"/>
      <c r="C18" s="171">
        <v>683</v>
      </c>
      <c r="D18" s="173"/>
    </row>
    <row r="19" spans="1:4" ht="16.149999999999999" customHeight="1">
      <c r="A19" s="144"/>
      <c r="B19" s="171"/>
      <c r="C19" s="171"/>
      <c r="D19" s="173"/>
    </row>
    <row r="20" spans="1:4" ht="16.149999999999999" customHeight="1">
      <c r="A20" s="71" t="s">
        <v>349</v>
      </c>
      <c r="B20" s="172">
        <f>SUM(B5:B18)</f>
        <v>302600</v>
      </c>
      <c r="C20" s="172">
        <v>159424</v>
      </c>
      <c r="D20" s="176">
        <f t="shared" si="0"/>
        <v>189.8</v>
      </c>
    </row>
    <row r="21" spans="1:4" ht="16.149999999999999" customHeight="1">
      <c r="A21" s="72" t="s">
        <v>350</v>
      </c>
      <c r="B21" s="171"/>
      <c r="C21" s="172">
        <v>1042604</v>
      </c>
      <c r="D21" s="173"/>
    </row>
    <row r="22" spans="1:4" ht="16.149999999999999" customHeight="1">
      <c r="A22" s="72" t="s">
        <v>351</v>
      </c>
      <c r="B22" s="171"/>
      <c r="C22" s="172">
        <v>69973</v>
      </c>
      <c r="D22" s="173"/>
    </row>
    <row r="23" spans="1:4" ht="16.149999999999999" customHeight="1">
      <c r="A23" s="73" t="s">
        <v>352</v>
      </c>
      <c r="B23" s="171"/>
      <c r="C23" s="171">
        <v>5181</v>
      </c>
      <c r="D23" s="173"/>
    </row>
    <row r="24" spans="1:4" ht="16.149999999999999" customHeight="1">
      <c r="A24" s="73" t="s">
        <v>353</v>
      </c>
      <c r="B24" s="171"/>
      <c r="C24" s="171"/>
      <c r="D24" s="173"/>
    </row>
    <row r="25" spans="1:4" ht="16.149999999999999" customHeight="1">
      <c r="A25" s="73" t="s">
        <v>347</v>
      </c>
      <c r="B25" s="171"/>
      <c r="C25" s="171">
        <v>29124</v>
      </c>
      <c r="D25" s="173"/>
    </row>
    <row r="26" spans="1:4" ht="16.149999999999999" customHeight="1">
      <c r="A26" s="70" t="s">
        <v>348</v>
      </c>
      <c r="B26" s="171"/>
      <c r="C26" s="171">
        <v>35668</v>
      </c>
      <c r="D26" s="173"/>
    </row>
    <row r="27" spans="1:4" ht="16.149999999999999" customHeight="1">
      <c r="A27" s="70" t="s">
        <v>338</v>
      </c>
      <c r="B27" s="171"/>
      <c r="D27" s="173"/>
    </row>
    <row r="28" spans="1:4" ht="16.149999999999999" customHeight="1">
      <c r="A28" s="71" t="s">
        <v>354</v>
      </c>
      <c r="B28" s="172">
        <v>302600</v>
      </c>
      <c r="C28" s="172">
        <v>1272001</v>
      </c>
      <c r="D28" s="176">
        <f t="shared" ref="D28" si="1">B28/C28*100</f>
        <v>23.8</v>
      </c>
    </row>
  </sheetData>
  <mergeCells count="1">
    <mergeCell ref="A2:D2"/>
  </mergeCells>
  <phoneticPr fontId="38" type="noConversion"/>
  <pageMargins left="0.70866141732283472" right="0.70866141732283472" top="0.74803149606299213" bottom="0.74803149606299213" header="0.31496062992125984" footer="0.31496062992125984"/>
  <pageSetup paperSize="9" scale="95" fitToHeight="0" orientation="portrait" r:id="rId1"/>
  <headerFooter>
    <oddFooter>&amp;C附表1-11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8"/>
  <sheetViews>
    <sheetView workbookViewId="0">
      <selection activeCell="A51" sqref="A51"/>
    </sheetView>
  </sheetViews>
  <sheetFormatPr defaultRowHeight="14.25"/>
  <cols>
    <col min="1" max="1" width="31" customWidth="1"/>
    <col min="2" max="3" width="17.625" customWidth="1"/>
    <col min="4" max="4" width="14.625" customWidth="1"/>
  </cols>
  <sheetData>
    <row r="1" spans="1:4" ht="19.149999999999999" customHeight="1">
      <c r="A1" s="16" t="s">
        <v>383</v>
      </c>
    </row>
    <row r="2" spans="1:4" ht="23.45" customHeight="1">
      <c r="A2" s="379" t="s">
        <v>502</v>
      </c>
      <c r="B2" s="379"/>
      <c r="C2" s="379"/>
      <c r="D2" s="379"/>
    </row>
    <row r="3" spans="1:4" ht="17.45" customHeight="1">
      <c r="A3" s="45"/>
      <c r="B3" s="52"/>
      <c r="C3" s="52"/>
      <c r="D3" s="104" t="s">
        <v>186</v>
      </c>
    </row>
    <row r="4" spans="1:4" ht="28.5">
      <c r="A4" s="71" t="s">
        <v>242</v>
      </c>
      <c r="B4" s="125" t="s">
        <v>329</v>
      </c>
      <c r="C4" s="125" t="s">
        <v>330</v>
      </c>
      <c r="D4" s="126" t="s">
        <v>331</v>
      </c>
    </row>
    <row r="5" spans="1:4" ht="22.7" customHeight="1">
      <c r="A5" s="70" t="s">
        <v>192</v>
      </c>
      <c r="B5" s="171"/>
      <c r="C5" s="171" t="s">
        <v>517</v>
      </c>
      <c r="D5" s="227"/>
    </row>
    <row r="6" spans="1:4" ht="22.7" customHeight="1">
      <c r="A6" s="70" t="s">
        <v>193</v>
      </c>
      <c r="B6" s="171"/>
      <c r="C6" s="245">
        <f>SUM(C7:C8)</f>
        <v>307</v>
      </c>
      <c r="D6" s="227"/>
    </row>
    <row r="7" spans="1:4" ht="22.7" customHeight="1">
      <c r="A7" s="241" t="s">
        <v>539</v>
      </c>
      <c r="B7" s="244">
        <v>0</v>
      </c>
      <c r="C7" s="244">
        <v>289</v>
      </c>
      <c r="D7" s="242"/>
    </row>
    <row r="8" spans="1:4" ht="22.7" customHeight="1">
      <c r="A8" s="241" t="s">
        <v>540</v>
      </c>
      <c r="B8" s="244">
        <v>0</v>
      </c>
      <c r="C8" s="244">
        <v>18</v>
      </c>
      <c r="D8" s="242"/>
    </row>
    <row r="9" spans="1:4" ht="22.7" customHeight="1">
      <c r="A9" s="70" t="s">
        <v>194</v>
      </c>
      <c r="B9" s="171"/>
      <c r="C9" s="171" t="s">
        <v>517</v>
      </c>
      <c r="D9" s="227"/>
    </row>
    <row r="10" spans="1:4" ht="22.7" customHeight="1">
      <c r="A10" s="70" t="s">
        <v>195</v>
      </c>
      <c r="B10" s="171">
        <f>SUM(B11:B16)</f>
        <v>301400</v>
      </c>
      <c r="C10" s="171">
        <f>SUM(C11:C15)</f>
        <v>100592</v>
      </c>
      <c r="D10" s="227">
        <f>B10/C10*100</f>
        <v>299.60000000000002</v>
      </c>
    </row>
    <row r="11" spans="1:4" ht="22.7" customHeight="1">
      <c r="A11" s="240" t="s">
        <v>533</v>
      </c>
      <c r="B11" s="246">
        <v>290000</v>
      </c>
      <c r="C11" s="246">
        <v>92697</v>
      </c>
      <c r="D11" s="227">
        <f t="shared" ref="D11:D15" si="0">B11/C11*100</f>
        <v>312.8</v>
      </c>
    </row>
    <row r="12" spans="1:4" ht="22.7" customHeight="1">
      <c r="A12" s="240" t="s">
        <v>537</v>
      </c>
      <c r="B12" s="246">
        <v>600</v>
      </c>
      <c r="C12" s="246">
        <v>493</v>
      </c>
      <c r="D12" s="227">
        <f t="shared" si="0"/>
        <v>121.7</v>
      </c>
    </row>
    <row r="13" spans="1:4" ht="22.7" customHeight="1">
      <c r="A13" s="240" t="s">
        <v>534</v>
      </c>
      <c r="B13" s="246">
        <v>0</v>
      </c>
      <c r="C13" s="246">
        <v>6436</v>
      </c>
      <c r="D13" s="227">
        <f t="shared" si="0"/>
        <v>0</v>
      </c>
    </row>
    <row r="14" spans="1:4" ht="22.7" customHeight="1">
      <c r="A14" s="240" t="s">
        <v>535</v>
      </c>
      <c r="B14" s="246">
        <v>0</v>
      </c>
      <c r="C14" s="246">
        <v>0</v>
      </c>
      <c r="D14" s="227"/>
    </row>
    <row r="15" spans="1:4" ht="22.7" customHeight="1">
      <c r="A15" s="240" t="s">
        <v>536</v>
      </c>
      <c r="B15" s="246">
        <v>10000</v>
      </c>
      <c r="C15" s="246">
        <v>966</v>
      </c>
      <c r="D15" s="227">
        <f t="shared" si="0"/>
        <v>1035.2</v>
      </c>
    </row>
    <row r="16" spans="1:4" ht="22.7" customHeight="1">
      <c r="A16" s="240" t="s">
        <v>538</v>
      </c>
      <c r="B16" s="247">
        <v>800</v>
      </c>
      <c r="C16" s="247">
        <v>0</v>
      </c>
      <c r="D16" s="227"/>
    </row>
    <row r="17" spans="1:4" ht="22.7" customHeight="1">
      <c r="A17" s="70" t="s">
        <v>196</v>
      </c>
      <c r="B17" s="171"/>
      <c r="C17" s="245">
        <f>SUM(C18:C19)</f>
        <v>675</v>
      </c>
      <c r="D17" s="227"/>
    </row>
    <row r="18" spans="1:4" ht="22.7" customHeight="1">
      <c r="A18" s="241" t="s">
        <v>541</v>
      </c>
      <c r="B18" s="244">
        <v>0</v>
      </c>
      <c r="C18" s="244">
        <v>47</v>
      </c>
      <c r="D18" s="242"/>
    </row>
    <row r="19" spans="1:4" ht="22.7" customHeight="1">
      <c r="A19" s="241" t="s">
        <v>542</v>
      </c>
      <c r="B19" s="244">
        <v>0</v>
      </c>
      <c r="C19" s="244">
        <v>628</v>
      </c>
      <c r="D19" s="242"/>
    </row>
    <row r="20" spans="1:4" ht="22.7" customHeight="1">
      <c r="A20" s="70" t="s">
        <v>197</v>
      </c>
      <c r="B20" s="171"/>
      <c r="C20" s="171" t="s">
        <v>517</v>
      </c>
      <c r="D20" s="227"/>
    </row>
    <row r="21" spans="1:4" ht="22.7" customHeight="1">
      <c r="A21" s="70" t="s">
        <v>198</v>
      </c>
      <c r="B21" s="171"/>
      <c r="C21" s="244">
        <v>59</v>
      </c>
      <c r="D21" s="227"/>
    </row>
    <row r="22" spans="1:4" ht="22.7" customHeight="1">
      <c r="A22" s="241" t="s">
        <v>543</v>
      </c>
      <c r="B22" s="244">
        <v>0</v>
      </c>
      <c r="C22" s="244">
        <v>59</v>
      </c>
      <c r="D22" s="242"/>
    </row>
    <row r="23" spans="1:4" ht="22.7" customHeight="1">
      <c r="A23" s="70" t="s">
        <v>199</v>
      </c>
      <c r="B23" s="171"/>
      <c r="C23" s="244">
        <v>200</v>
      </c>
      <c r="D23" s="227"/>
    </row>
    <row r="24" spans="1:4" ht="22.7" customHeight="1">
      <c r="A24" s="241" t="s">
        <v>544</v>
      </c>
      <c r="B24" s="244">
        <v>0</v>
      </c>
      <c r="C24" s="244">
        <v>200</v>
      </c>
      <c r="D24" s="242"/>
    </row>
    <row r="25" spans="1:4">
      <c r="A25" s="70" t="s">
        <v>200</v>
      </c>
      <c r="B25" s="245">
        <f>SUM(B26)</f>
        <v>1200</v>
      </c>
      <c r="C25" s="245">
        <f>SUM(C26:C27)</f>
        <v>1525</v>
      </c>
      <c r="D25" s="227"/>
    </row>
    <row r="26" spans="1:4" ht="24">
      <c r="A26" s="243" t="s">
        <v>545</v>
      </c>
      <c r="B26" s="244">
        <v>1200</v>
      </c>
      <c r="C26" s="244">
        <v>1470</v>
      </c>
      <c r="D26" s="242">
        <f t="shared" ref="D26" si="1">C26/B26*100</f>
        <v>122.5</v>
      </c>
    </row>
    <row r="27" spans="1:4">
      <c r="A27" s="241" t="s">
        <v>546</v>
      </c>
      <c r="B27" s="244">
        <v>0</v>
      </c>
      <c r="C27" s="244">
        <v>55</v>
      </c>
      <c r="D27" s="242"/>
    </row>
    <row r="28" spans="1:4">
      <c r="A28" s="70" t="s">
        <v>201</v>
      </c>
      <c r="B28" s="171"/>
      <c r="C28" s="171">
        <v>52212</v>
      </c>
      <c r="D28" s="227"/>
    </row>
    <row r="29" spans="1:4">
      <c r="A29" s="70" t="s">
        <v>202</v>
      </c>
      <c r="B29" s="171"/>
      <c r="C29" s="171">
        <v>1150</v>
      </c>
      <c r="D29" s="227"/>
    </row>
    <row r="30" spans="1:4">
      <c r="A30" s="71" t="s">
        <v>203</v>
      </c>
      <c r="B30" s="248">
        <f>SUM(B10,B25)</f>
        <v>302600</v>
      </c>
      <c r="C30" s="248">
        <f>SUM(C6,C10,C17,C21,C23,C25,C28:C29)</f>
        <v>156720</v>
      </c>
      <c r="D30" s="228">
        <f>B30/C30*100</f>
        <v>193.1</v>
      </c>
    </row>
    <row r="31" spans="1:4">
      <c r="A31" s="72" t="s">
        <v>93</v>
      </c>
      <c r="B31" s="70"/>
      <c r="C31" s="72">
        <v>1046004</v>
      </c>
      <c r="D31" s="227"/>
    </row>
    <row r="32" spans="1:4">
      <c r="A32" s="72" t="s">
        <v>27</v>
      </c>
      <c r="B32" s="70"/>
      <c r="C32" s="70">
        <f>SUM(C33:C37)</f>
        <v>69277</v>
      </c>
      <c r="D32" s="227"/>
    </row>
    <row r="33" spans="1:4">
      <c r="A33" s="99" t="s">
        <v>342</v>
      </c>
      <c r="B33" s="70"/>
      <c r="C33" s="70">
        <v>7340</v>
      </c>
      <c r="D33" s="227"/>
    </row>
    <row r="34" spans="1:4">
      <c r="A34" s="99" t="s">
        <v>344</v>
      </c>
      <c r="B34" s="70"/>
      <c r="C34" s="70">
        <v>305</v>
      </c>
      <c r="D34" s="227"/>
    </row>
    <row r="35" spans="1:4">
      <c r="A35" s="99" t="s">
        <v>334</v>
      </c>
      <c r="B35" s="70"/>
      <c r="C35" s="70">
        <v>49999</v>
      </c>
      <c r="D35" s="227"/>
    </row>
    <row r="36" spans="1:4">
      <c r="A36" s="99" t="s">
        <v>332</v>
      </c>
      <c r="B36" s="70"/>
      <c r="D36" s="227"/>
    </row>
    <row r="37" spans="1:4">
      <c r="A37" s="99" t="s">
        <v>336</v>
      </c>
      <c r="B37" s="101"/>
      <c r="C37" s="70">
        <v>11633</v>
      </c>
      <c r="D37" s="229"/>
    </row>
    <row r="38" spans="1:4">
      <c r="A38" s="71" t="s">
        <v>25</v>
      </c>
      <c r="B38" s="132">
        <f>SUM(B30:B32)</f>
        <v>302600</v>
      </c>
      <c r="C38" s="132">
        <f>SUM(C30:C32)</f>
        <v>1272001</v>
      </c>
      <c r="D38" s="228">
        <f>B38/C38*100</f>
        <v>23.8</v>
      </c>
    </row>
  </sheetData>
  <mergeCells count="1">
    <mergeCell ref="A2:D2"/>
  </mergeCells>
  <phoneticPr fontId="38" type="noConversion"/>
  <pageMargins left="0.70866141732283472" right="0.70866141732283472" top="0.74803149606299213" bottom="0.74803149606299213" header="0.31496062992125984" footer="0.31496062992125984"/>
  <pageSetup paperSize="9" scale="87" fitToHeight="0" orientation="portrait" r:id="rId1"/>
  <headerFooter>
    <oddFooter>&amp;C附表1-12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dimension ref="A1:Q18"/>
  <sheetViews>
    <sheetView workbookViewId="0">
      <selection activeCell="K20" sqref="K20"/>
    </sheetView>
  </sheetViews>
  <sheetFormatPr defaultRowHeight="14.25"/>
  <cols>
    <col min="1" max="1" width="23" customWidth="1"/>
    <col min="2" max="6" width="9.875" customWidth="1"/>
    <col min="7" max="9" width="7.5" customWidth="1"/>
    <col min="10" max="10" width="8.625" customWidth="1"/>
  </cols>
  <sheetData>
    <row r="1" spans="1:17" ht="18.600000000000001" customHeight="1">
      <c r="A1" s="16" t="s">
        <v>384</v>
      </c>
    </row>
    <row r="2" spans="1:17" ht="20.25">
      <c r="A2" s="379" t="s">
        <v>501</v>
      </c>
      <c r="B2" s="379"/>
      <c r="C2" s="379"/>
      <c r="D2" s="379"/>
      <c r="E2" s="379"/>
      <c r="F2" s="379"/>
      <c r="G2" s="379"/>
      <c r="H2" s="379"/>
      <c r="I2" s="379"/>
      <c r="J2" s="379"/>
    </row>
    <row r="3" spans="1:17">
      <c r="A3" s="47"/>
      <c r="B3" s="47"/>
      <c r="C3" s="47"/>
      <c r="D3" s="47"/>
      <c r="E3" s="47"/>
      <c r="F3" s="47"/>
      <c r="G3" s="47"/>
      <c r="H3" s="47"/>
      <c r="J3" s="48" t="s">
        <v>186</v>
      </c>
    </row>
    <row r="4" spans="1:17" ht="23.45" customHeight="1">
      <c r="A4" s="125" t="s">
        <v>110</v>
      </c>
      <c r="B4" s="71" t="s">
        <v>204</v>
      </c>
      <c r="C4" s="239" t="s">
        <v>518</v>
      </c>
      <c r="D4" s="239" t="s">
        <v>519</v>
      </c>
      <c r="E4" s="239" t="s">
        <v>520</v>
      </c>
      <c r="F4" s="239" t="s">
        <v>521</v>
      </c>
      <c r="G4" s="239" t="s">
        <v>522</v>
      </c>
      <c r="H4" s="239" t="s">
        <v>523</v>
      </c>
      <c r="I4" s="239" t="s">
        <v>524</v>
      </c>
      <c r="J4" s="239" t="s">
        <v>525</v>
      </c>
      <c r="K4" s="239" t="s">
        <v>526</v>
      </c>
      <c r="L4" s="239" t="s">
        <v>527</v>
      </c>
      <c r="M4" s="239" t="s">
        <v>528</v>
      </c>
      <c r="N4" s="239" t="s">
        <v>529</v>
      </c>
      <c r="O4" s="239" t="s">
        <v>530</v>
      </c>
      <c r="P4" s="239" t="s">
        <v>531</v>
      </c>
      <c r="Q4" s="239" t="s">
        <v>532</v>
      </c>
    </row>
    <row r="5" spans="1:17" ht="25.35" customHeight="1">
      <c r="A5" s="70" t="s">
        <v>192</v>
      </c>
      <c r="B5" s="70"/>
      <c r="C5" s="70"/>
      <c r="D5" s="70"/>
      <c r="E5" s="70"/>
      <c r="F5" s="70"/>
      <c r="G5" s="70"/>
      <c r="H5" s="70"/>
      <c r="I5" s="70"/>
      <c r="J5" s="101"/>
      <c r="K5" s="101"/>
      <c r="L5" s="101"/>
      <c r="M5" s="101"/>
      <c r="N5" s="101"/>
      <c r="O5" s="101"/>
      <c r="P5" s="101"/>
      <c r="Q5" s="101"/>
    </row>
    <row r="6" spans="1:17" ht="25.35" customHeight="1">
      <c r="A6" s="70" t="s">
        <v>193</v>
      </c>
      <c r="B6" s="70"/>
      <c r="C6" s="70"/>
      <c r="D6" s="70"/>
      <c r="E6" s="70"/>
      <c r="F6" s="70"/>
      <c r="G6" s="70"/>
      <c r="H6" s="70"/>
      <c r="I6" s="70"/>
      <c r="J6" s="101"/>
      <c r="K6" s="101"/>
      <c r="L6" s="101"/>
      <c r="M6" s="101"/>
      <c r="N6" s="101"/>
      <c r="O6" s="101"/>
      <c r="P6" s="101"/>
      <c r="Q6" s="101"/>
    </row>
    <row r="7" spans="1:17" ht="25.35" customHeight="1">
      <c r="A7" s="70" t="s">
        <v>194</v>
      </c>
      <c r="B7" s="70"/>
      <c r="C7" s="70"/>
      <c r="D7" s="70"/>
      <c r="E7" s="70"/>
      <c r="F7" s="70"/>
      <c r="G7" s="70"/>
      <c r="H7" s="70"/>
      <c r="I7" s="70"/>
      <c r="J7" s="101"/>
      <c r="K7" s="101"/>
      <c r="L7" s="101"/>
      <c r="M7" s="101"/>
      <c r="N7" s="101"/>
      <c r="O7" s="101"/>
      <c r="P7" s="101"/>
      <c r="Q7" s="101"/>
    </row>
    <row r="8" spans="1:17" ht="25.35" customHeight="1">
      <c r="A8" s="70" t="s">
        <v>195</v>
      </c>
      <c r="B8" s="70"/>
      <c r="C8" s="70"/>
      <c r="D8" s="70"/>
      <c r="E8" s="70"/>
      <c r="F8" s="70"/>
      <c r="G8" s="70"/>
      <c r="H8" s="70"/>
      <c r="I8" s="70"/>
      <c r="J8" s="101"/>
      <c r="K8" s="101"/>
      <c r="L8" s="101"/>
      <c r="M8" s="101"/>
      <c r="N8" s="101"/>
      <c r="O8" s="101"/>
      <c r="P8" s="101"/>
      <c r="Q8" s="101"/>
    </row>
    <row r="9" spans="1:17" ht="25.35" customHeight="1">
      <c r="A9" s="70" t="s">
        <v>196</v>
      </c>
      <c r="B9" s="70"/>
      <c r="C9" s="70"/>
      <c r="D9" s="70"/>
      <c r="E9" s="70"/>
      <c r="F9" s="70"/>
      <c r="G9" s="61"/>
      <c r="H9" s="70"/>
      <c r="I9" s="70"/>
      <c r="J9" s="101"/>
      <c r="K9" s="101"/>
      <c r="L9" s="101"/>
      <c r="M9" s="101"/>
      <c r="N9" s="101"/>
      <c r="O9" s="101"/>
      <c r="P9" s="101"/>
      <c r="Q9" s="101"/>
    </row>
    <row r="10" spans="1:17" ht="25.35" customHeight="1">
      <c r="A10" s="70" t="s">
        <v>197</v>
      </c>
      <c r="B10" s="70"/>
      <c r="C10" s="70"/>
      <c r="D10" s="70"/>
      <c r="E10" s="70"/>
      <c r="F10" s="70"/>
      <c r="G10" s="70"/>
      <c r="H10" s="70"/>
      <c r="I10" s="70"/>
      <c r="J10" s="101"/>
      <c r="K10" s="101"/>
      <c r="L10" s="101"/>
      <c r="M10" s="101"/>
      <c r="N10" s="101"/>
      <c r="O10" s="101"/>
      <c r="P10" s="101"/>
      <c r="Q10" s="101"/>
    </row>
    <row r="11" spans="1:17" ht="25.35" customHeight="1">
      <c r="A11" s="70" t="s">
        <v>198</v>
      </c>
      <c r="B11" s="70"/>
      <c r="C11" s="70"/>
      <c r="D11" s="70"/>
      <c r="E11" s="70"/>
      <c r="F11" s="70"/>
      <c r="G11" s="70"/>
      <c r="H11" s="70"/>
      <c r="I11" s="70"/>
      <c r="J11" s="101"/>
      <c r="K11" s="101"/>
      <c r="L11" s="101"/>
      <c r="M11" s="101"/>
      <c r="N11" s="101"/>
      <c r="O11" s="101"/>
      <c r="P11" s="101"/>
      <c r="Q11" s="101"/>
    </row>
    <row r="12" spans="1:17" ht="25.35" customHeight="1">
      <c r="A12" s="70" t="s">
        <v>199</v>
      </c>
      <c r="B12" s="70"/>
      <c r="C12" s="70"/>
      <c r="D12" s="70"/>
      <c r="E12" s="70"/>
      <c r="F12" s="70"/>
      <c r="G12" s="70"/>
      <c r="H12" s="70"/>
      <c r="I12" s="70"/>
      <c r="J12" s="101"/>
      <c r="K12" s="101"/>
      <c r="L12" s="101"/>
      <c r="M12" s="101"/>
      <c r="N12" s="101"/>
      <c r="O12" s="101"/>
      <c r="P12" s="101"/>
      <c r="Q12" s="101"/>
    </row>
    <row r="13" spans="1:17" ht="25.35" customHeight="1">
      <c r="A13" s="70" t="s">
        <v>200</v>
      </c>
      <c r="B13" s="70"/>
      <c r="C13" s="70"/>
      <c r="D13" s="70"/>
      <c r="E13" s="70"/>
      <c r="F13" s="70"/>
      <c r="G13" s="70"/>
      <c r="H13" s="70"/>
      <c r="I13" s="70"/>
      <c r="J13" s="101"/>
      <c r="K13" s="101"/>
      <c r="L13" s="101"/>
      <c r="M13" s="101"/>
      <c r="N13" s="101"/>
      <c r="O13" s="101"/>
      <c r="P13" s="101"/>
      <c r="Q13" s="101"/>
    </row>
    <row r="14" spans="1:17" ht="25.35" customHeight="1">
      <c r="A14" s="70" t="s">
        <v>201</v>
      </c>
      <c r="B14" s="70"/>
      <c r="C14" s="70"/>
      <c r="D14" s="70"/>
      <c r="E14" s="70"/>
      <c r="F14" s="70"/>
      <c r="G14" s="70"/>
      <c r="H14" s="70"/>
      <c r="I14" s="70"/>
      <c r="J14" s="101"/>
      <c r="K14" s="101"/>
      <c r="L14" s="101"/>
      <c r="M14" s="101"/>
      <c r="N14" s="101"/>
      <c r="O14" s="101"/>
      <c r="P14" s="101"/>
      <c r="Q14" s="101"/>
    </row>
    <row r="15" spans="1:17" ht="25.35" customHeight="1">
      <c r="A15" s="70" t="s">
        <v>202</v>
      </c>
      <c r="B15" s="70"/>
      <c r="C15" s="70"/>
      <c r="D15" s="70"/>
      <c r="E15" s="70"/>
      <c r="F15" s="70"/>
      <c r="G15" s="70"/>
      <c r="H15" s="70"/>
      <c r="I15" s="70"/>
      <c r="J15" s="101"/>
      <c r="K15" s="101"/>
      <c r="L15" s="101"/>
      <c r="M15" s="101"/>
      <c r="N15" s="101"/>
      <c r="O15" s="101"/>
      <c r="P15" s="101"/>
      <c r="Q15" s="101"/>
    </row>
    <row r="16" spans="1:17" s="131" customFormat="1" ht="25.35" customHeight="1">
      <c r="A16" s="71" t="s">
        <v>203</v>
      </c>
      <c r="B16" s="72"/>
      <c r="C16" s="72"/>
      <c r="D16" s="72"/>
      <c r="E16" s="72"/>
      <c r="F16" s="72"/>
      <c r="G16" s="72"/>
      <c r="H16" s="72"/>
      <c r="I16" s="72"/>
      <c r="J16" s="132"/>
      <c r="K16" s="132"/>
      <c r="L16" s="132"/>
      <c r="M16" s="132"/>
      <c r="N16" s="132"/>
      <c r="O16" s="132"/>
      <c r="P16" s="132"/>
      <c r="Q16" s="132"/>
    </row>
    <row r="18" spans="1:1">
      <c r="A18" s="16" t="s">
        <v>1982</v>
      </c>
    </row>
  </sheetData>
  <mergeCells count="1">
    <mergeCell ref="A2:J2"/>
  </mergeCells>
  <phoneticPr fontId="38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Footer>&amp;C附表1-13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selection activeCell="I20" sqref="I20"/>
    </sheetView>
  </sheetViews>
  <sheetFormatPr defaultRowHeight="14.25"/>
  <cols>
    <col min="1" max="1" width="39" customWidth="1"/>
    <col min="2" max="3" width="12.375" customWidth="1"/>
    <col min="4" max="4" width="13.75" customWidth="1"/>
  </cols>
  <sheetData>
    <row r="1" spans="1:4" ht="18.600000000000001" customHeight="1">
      <c r="A1" s="16" t="s">
        <v>385</v>
      </c>
    </row>
    <row r="2" spans="1:4" ht="27" customHeight="1">
      <c r="A2" s="380" t="s">
        <v>503</v>
      </c>
      <c r="B2" s="380"/>
      <c r="C2" s="380"/>
      <c r="D2" s="380"/>
    </row>
    <row r="3" spans="1:4">
      <c r="A3" s="49"/>
      <c r="B3" s="50"/>
      <c r="C3" s="50"/>
      <c r="D3" s="124" t="s">
        <v>186</v>
      </c>
    </row>
    <row r="4" spans="1:4" ht="32.450000000000003" customHeight="1">
      <c r="A4" s="145" t="s">
        <v>110</v>
      </c>
      <c r="B4" s="145" t="s">
        <v>329</v>
      </c>
      <c r="C4" s="145" t="s">
        <v>330</v>
      </c>
      <c r="D4" s="145" t="s">
        <v>331</v>
      </c>
    </row>
    <row r="5" spans="1:4" ht="30.6" customHeight="1">
      <c r="A5" s="70" t="s">
        <v>205</v>
      </c>
      <c r="B5" s="171">
        <v>232</v>
      </c>
      <c r="C5" s="171">
        <v>195</v>
      </c>
      <c r="D5" s="177">
        <f>B5/C5*100</f>
        <v>119</v>
      </c>
    </row>
    <row r="6" spans="1:4" ht="30.6" customHeight="1">
      <c r="A6" s="70" t="s">
        <v>206</v>
      </c>
      <c r="B6" s="171"/>
      <c r="C6" s="171"/>
      <c r="D6" s="177"/>
    </row>
    <row r="7" spans="1:4" ht="30.6" customHeight="1">
      <c r="A7" s="70" t="s">
        <v>207</v>
      </c>
      <c r="B7" s="171"/>
      <c r="C7" s="171"/>
      <c r="D7" s="177"/>
    </row>
    <row r="8" spans="1:4" ht="30.6" customHeight="1">
      <c r="A8" s="70" t="s">
        <v>208</v>
      </c>
      <c r="B8" s="171"/>
      <c r="C8" s="171"/>
      <c r="D8" s="177"/>
    </row>
    <row r="9" spans="1:4" ht="30.6" customHeight="1">
      <c r="A9" s="70" t="s">
        <v>470</v>
      </c>
      <c r="B9" s="171"/>
      <c r="C9" s="171"/>
      <c r="D9" s="177"/>
    </row>
    <row r="10" spans="1:4" ht="30.6" customHeight="1">
      <c r="A10" s="71" t="s">
        <v>209</v>
      </c>
      <c r="B10" s="172">
        <f>SUM(B5:B9)</f>
        <v>232</v>
      </c>
      <c r="C10" s="172">
        <f>SUM(C5:C9)</f>
        <v>195</v>
      </c>
      <c r="D10" s="178">
        <f t="shared" ref="D10:D13" si="0">B10/C10*100</f>
        <v>119</v>
      </c>
    </row>
    <row r="11" spans="1:4" ht="30.6" customHeight="1">
      <c r="A11" s="102" t="s">
        <v>469</v>
      </c>
      <c r="B11" s="174"/>
      <c r="C11" s="174"/>
      <c r="D11" s="177"/>
    </row>
    <row r="12" spans="1:4" ht="30.6" customHeight="1">
      <c r="A12" s="102" t="s">
        <v>321</v>
      </c>
      <c r="B12" s="174">
        <v>104.29</v>
      </c>
      <c r="C12" s="174"/>
      <c r="D12" s="177"/>
    </row>
    <row r="13" spans="1:4" ht="30.6" customHeight="1">
      <c r="A13" s="103" t="s">
        <v>28</v>
      </c>
      <c r="B13" s="175">
        <f>SUM(B10:B12)</f>
        <v>336.29</v>
      </c>
      <c r="C13" s="175">
        <f>SUM(C10:C12)</f>
        <v>195</v>
      </c>
      <c r="D13" s="179">
        <f t="shared" si="0"/>
        <v>172.5</v>
      </c>
    </row>
  </sheetData>
  <mergeCells count="1">
    <mergeCell ref="A2:D2"/>
  </mergeCells>
  <phoneticPr fontId="38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&amp;C附表1-14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selection activeCell="B10" sqref="B10:D10"/>
    </sheetView>
  </sheetViews>
  <sheetFormatPr defaultRowHeight="14.25"/>
  <cols>
    <col min="1" max="1" width="33.875" bestFit="1" customWidth="1"/>
    <col min="2" max="3" width="12.625" customWidth="1"/>
    <col min="4" max="4" width="16.5" customWidth="1"/>
  </cols>
  <sheetData>
    <row r="1" spans="1:4" ht="23.45" customHeight="1">
      <c r="A1" s="16" t="s">
        <v>386</v>
      </c>
    </row>
    <row r="2" spans="1:4" ht="20.25">
      <c r="A2" s="380" t="s">
        <v>504</v>
      </c>
      <c r="B2" s="380"/>
      <c r="C2" s="380"/>
      <c r="D2" s="380"/>
    </row>
    <row r="3" spans="1:4">
      <c r="A3" s="51"/>
      <c r="B3" s="52"/>
      <c r="C3" s="52"/>
      <c r="D3" s="52" t="s">
        <v>186</v>
      </c>
    </row>
    <row r="4" spans="1:4" ht="39" customHeight="1">
      <c r="A4" s="126" t="s">
        <v>110</v>
      </c>
      <c r="B4" s="126" t="s">
        <v>329</v>
      </c>
      <c r="C4" s="126" t="s">
        <v>330</v>
      </c>
      <c r="D4" s="126" t="s">
        <v>331</v>
      </c>
    </row>
    <row r="5" spans="1:4" ht="31.15" customHeight="1">
      <c r="A5" s="70" t="s">
        <v>210</v>
      </c>
      <c r="B5" s="171"/>
      <c r="C5" s="171"/>
      <c r="D5" s="173"/>
    </row>
    <row r="6" spans="1:4" ht="31.15" customHeight="1">
      <c r="A6" s="70" t="s">
        <v>211</v>
      </c>
      <c r="B6" s="171"/>
      <c r="C6" s="171"/>
      <c r="D6" s="173"/>
    </row>
    <row r="7" spans="1:4" ht="31.15" customHeight="1">
      <c r="A7" s="70" t="s">
        <v>212</v>
      </c>
      <c r="B7" s="171"/>
      <c r="C7" s="171"/>
      <c r="D7" s="173"/>
    </row>
    <row r="8" spans="1:4" ht="31.15" customHeight="1">
      <c r="A8" s="70" t="s">
        <v>213</v>
      </c>
      <c r="B8" s="171"/>
      <c r="C8" s="171"/>
      <c r="D8" s="173"/>
    </row>
    <row r="9" spans="1:4" ht="31.15" customHeight="1">
      <c r="A9" s="70" t="s">
        <v>304</v>
      </c>
      <c r="B9" s="171">
        <v>336.29</v>
      </c>
      <c r="C9" s="171">
        <v>91</v>
      </c>
      <c r="D9" s="173">
        <f>B9/C9*100</f>
        <v>369.5</v>
      </c>
    </row>
    <row r="10" spans="1:4" ht="31.15" customHeight="1">
      <c r="A10" s="71" t="s">
        <v>25</v>
      </c>
      <c r="B10" s="172">
        <f>SUM(B5:B9)</f>
        <v>336.29</v>
      </c>
      <c r="C10" s="172">
        <f>SUM(C5:C9)</f>
        <v>91</v>
      </c>
      <c r="D10" s="176">
        <f>B10/C10*100</f>
        <v>369.5</v>
      </c>
    </row>
    <row r="11" spans="1:4" ht="31.15" customHeight="1">
      <c r="A11" s="70" t="s">
        <v>316</v>
      </c>
      <c r="B11" s="171"/>
      <c r="C11" s="171">
        <v>104</v>
      </c>
      <c r="D11" s="176"/>
    </row>
    <row r="12" spans="1:4" ht="31.15" customHeight="1">
      <c r="A12" s="70" t="s">
        <v>214</v>
      </c>
      <c r="B12" s="171"/>
      <c r="C12" s="171"/>
      <c r="D12" s="176"/>
    </row>
    <row r="13" spans="1:4" ht="31.15" customHeight="1">
      <c r="A13" s="71" t="s">
        <v>328</v>
      </c>
      <c r="B13" s="172">
        <f>SUM(B10:B12)</f>
        <v>336.29</v>
      </c>
      <c r="C13" s="172">
        <f t="shared" ref="C13" si="0">SUM(C10:C12)</f>
        <v>195</v>
      </c>
      <c r="D13" s="176">
        <f t="shared" ref="D13" si="1">B13/C13*100</f>
        <v>172.5</v>
      </c>
    </row>
  </sheetData>
  <mergeCells count="1">
    <mergeCell ref="A2:D2"/>
  </mergeCells>
  <phoneticPr fontId="38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&amp;C附表1-15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2"/>
  <sheetViews>
    <sheetView topLeftCell="A16" workbookViewId="0">
      <selection activeCell="D22" sqref="D22"/>
    </sheetView>
  </sheetViews>
  <sheetFormatPr defaultRowHeight="14.25"/>
  <cols>
    <col min="1" max="1" width="38.5" customWidth="1"/>
    <col min="2" max="3" width="13" customWidth="1"/>
    <col min="4" max="4" width="13.5" customWidth="1"/>
  </cols>
  <sheetData>
    <row r="1" spans="1:4">
      <c r="A1" s="16" t="s">
        <v>387</v>
      </c>
    </row>
    <row r="2" spans="1:4" ht="20.25">
      <c r="A2" s="380" t="s">
        <v>505</v>
      </c>
      <c r="B2" s="380"/>
      <c r="C2" s="380"/>
      <c r="D2" s="380"/>
    </row>
    <row r="3" spans="1:4" ht="24.6" customHeight="1">
      <c r="A3" s="51"/>
      <c r="B3" s="52"/>
      <c r="C3" s="52"/>
      <c r="D3" s="124" t="s">
        <v>186</v>
      </c>
    </row>
    <row r="4" spans="1:4" ht="40.15" customHeight="1">
      <c r="A4" s="145" t="s">
        <v>110</v>
      </c>
      <c r="B4" s="145" t="s">
        <v>329</v>
      </c>
      <c r="C4" s="145" t="s">
        <v>330</v>
      </c>
      <c r="D4" s="145" t="s">
        <v>331</v>
      </c>
    </row>
    <row r="5" spans="1:4" ht="23.45" customHeight="1">
      <c r="A5" s="70" t="s">
        <v>205</v>
      </c>
      <c r="B5" s="171">
        <v>232</v>
      </c>
      <c r="C5" s="171">
        <v>195</v>
      </c>
      <c r="D5" s="177">
        <f>B5/C5*100</f>
        <v>119</v>
      </c>
    </row>
    <row r="6" spans="1:4" ht="23.45" customHeight="1">
      <c r="A6" s="100" t="s">
        <v>369</v>
      </c>
      <c r="B6" s="171"/>
      <c r="C6" s="171"/>
      <c r="D6" s="177"/>
    </row>
    <row r="7" spans="1:4" ht="23.45" customHeight="1">
      <c r="A7" s="99" t="s">
        <v>315</v>
      </c>
      <c r="B7" s="171"/>
      <c r="C7" s="171"/>
      <c r="D7" s="177"/>
    </row>
    <row r="8" spans="1:4" ht="23.45" customHeight="1">
      <c r="A8" s="99" t="s">
        <v>315</v>
      </c>
      <c r="B8" s="171"/>
      <c r="C8" s="171"/>
      <c r="D8" s="177"/>
    </row>
    <row r="9" spans="1:4" ht="23.45" customHeight="1">
      <c r="A9" s="99" t="s">
        <v>315</v>
      </c>
      <c r="B9" s="171"/>
      <c r="C9" s="171"/>
      <c r="D9" s="177"/>
    </row>
    <row r="10" spans="1:4" ht="23.45" customHeight="1">
      <c r="A10" s="99" t="s">
        <v>315</v>
      </c>
      <c r="B10" s="171"/>
      <c r="C10" s="171"/>
      <c r="D10" s="177"/>
    </row>
    <row r="11" spans="1:4" ht="23.45" customHeight="1">
      <c r="A11" s="70" t="s">
        <v>206</v>
      </c>
      <c r="B11" s="171"/>
      <c r="C11" s="171"/>
      <c r="D11" s="177"/>
    </row>
    <row r="12" spans="1:4" ht="23.45" customHeight="1">
      <c r="A12" s="100" t="s">
        <v>323</v>
      </c>
      <c r="B12" s="171"/>
      <c r="C12" s="171"/>
      <c r="D12" s="177"/>
    </row>
    <row r="13" spans="1:4" ht="23.45" customHeight="1">
      <c r="A13" s="99" t="s">
        <v>324</v>
      </c>
      <c r="B13" s="171"/>
      <c r="C13" s="171"/>
      <c r="D13" s="177"/>
    </row>
    <row r="14" spans="1:4" ht="23.45" customHeight="1">
      <c r="A14" s="99" t="s">
        <v>325</v>
      </c>
      <c r="B14" s="171"/>
      <c r="C14" s="171"/>
      <c r="D14" s="177"/>
    </row>
    <row r="15" spans="1:4" ht="23.45" customHeight="1">
      <c r="A15" s="99" t="s">
        <v>326</v>
      </c>
      <c r="B15" s="171"/>
      <c r="C15" s="171"/>
      <c r="D15" s="177"/>
    </row>
    <row r="16" spans="1:4" ht="23.45" customHeight="1">
      <c r="A16" s="70" t="s">
        <v>207</v>
      </c>
      <c r="B16" s="171"/>
      <c r="C16" s="171"/>
      <c r="D16" s="177"/>
    </row>
    <row r="17" spans="1:4" ht="23.45" customHeight="1">
      <c r="A17" s="70" t="s">
        <v>208</v>
      </c>
      <c r="B17" s="171"/>
      <c r="C17" s="171"/>
      <c r="D17" s="177"/>
    </row>
    <row r="18" spans="1:4" ht="23.45" customHeight="1">
      <c r="A18" s="70" t="s">
        <v>318</v>
      </c>
      <c r="B18" s="171"/>
      <c r="C18" s="171"/>
      <c r="D18" s="177"/>
    </row>
    <row r="19" spans="1:4" ht="23.45" customHeight="1">
      <c r="A19" s="71" t="s">
        <v>209</v>
      </c>
      <c r="B19" s="172">
        <v>232</v>
      </c>
      <c r="C19" s="172">
        <v>195</v>
      </c>
      <c r="D19" s="178">
        <f>B19/C19*100</f>
        <v>119</v>
      </c>
    </row>
    <row r="20" spans="1:4" ht="23.45" customHeight="1">
      <c r="A20" s="70" t="s">
        <v>320</v>
      </c>
      <c r="B20" s="171"/>
      <c r="C20" s="171"/>
      <c r="D20" s="177"/>
    </row>
    <row r="21" spans="1:4" ht="23.45" customHeight="1">
      <c r="A21" s="70" t="s">
        <v>322</v>
      </c>
      <c r="B21" s="171">
        <v>104.29</v>
      </c>
      <c r="C21" s="171"/>
      <c r="D21" s="177"/>
    </row>
    <row r="22" spans="1:4" ht="23.45" customHeight="1">
      <c r="A22" s="71" t="s">
        <v>327</v>
      </c>
      <c r="B22" s="172">
        <f>SUM(B19:B21)</f>
        <v>336.29</v>
      </c>
      <c r="C22" s="172">
        <f t="shared" ref="C22" si="0">SUM(C19:C21)</f>
        <v>195</v>
      </c>
      <c r="D22" s="178">
        <f>B22/C22*100</f>
        <v>172.5</v>
      </c>
    </row>
  </sheetData>
  <mergeCells count="1">
    <mergeCell ref="A2:D2"/>
  </mergeCells>
  <phoneticPr fontId="38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Footer>&amp;C附表1-16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workbookViewId="0">
      <selection activeCell="E32" sqref="E32"/>
    </sheetView>
  </sheetViews>
  <sheetFormatPr defaultRowHeight="14.25"/>
  <cols>
    <col min="1" max="1" width="43.375" customWidth="1"/>
    <col min="2" max="3" width="10.375" customWidth="1"/>
    <col min="4" max="4" width="13.375" customWidth="1"/>
    <col min="5" max="5" width="25.5" customWidth="1"/>
  </cols>
  <sheetData>
    <row r="1" spans="1:4">
      <c r="A1" s="16" t="s">
        <v>388</v>
      </c>
    </row>
    <row r="2" spans="1:4" ht="26.45" customHeight="1">
      <c r="A2" s="380" t="s">
        <v>506</v>
      </c>
      <c r="B2" s="379"/>
      <c r="C2" s="379"/>
      <c r="D2" s="379"/>
    </row>
    <row r="3" spans="1:4">
      <c r="A3" s="51"/>
      <c r="B3" s="52"/>
      <c r="C3" s="52"/>
      <c r="D3" s="124" t="s">
        <v>186</v>
      </c>
    </row>
    <row r="4" spans="1:4" ht="34.15" customHeight="1">
      <c r="A4" s="145" t="s">
        <v>110</v>
      </c>
      <c r="B4" s="145" t="s">
        <v>329</v>
      </c>
      <c r="C4" s="145" t="s">
        <v>330</v>
      </c>
      <c r="D4" s="145" t="s">
        <v>331</v>
      </c>
    </row>
    <row r="5" spans="1:4" ht="18.600000000000001" customHeight="1">
      <c r="A5" s="95" t="s">
        <v>300</v>
      </c>
      <c r="B5" s="172"/>
      <c r="C5" s="172"/>
      <c r="D5" s="172"/>
    </row>
    <row r="6" spans="1:4" ht="18.600000000000001" customHeight="1">
      <c r="A6" s="95" t="s">
        <v>308</v>
      </c>
      <c r="B6" s="171"/>
      <c r="C6" s="171"/>
      <c r="D6" s="171"/>
    </row>
    <row r="7" spans="1:4" ht="18.600000000000001" customHeight="1">
      <c r="A7" s="97" t="s">
        <v>307</v>
      </c>
      <c r="B7" s="171"/>
      <c r="C7" s="171"/>
      <c r="D7" s="171"/>
    </row>
    <row r="8" spans="1:4" ht="18.600000000000001" customHeight="1">
      <c r="A8" s="97" t="s">
        <v>306</v>
      </c>
      <c r="B8" s="171"/>
      <c r="C8" s="171"/>
      <c r="D8" s="171"/>
    </row>
    <row r="9" spans="1:4" ht="18.600000000000001" customHeight="1">
      <c r="A9" s="97" t="s">
        <v>305</v>
      </c>
      <c r="B9" s="171"/>
      <c r="C9" s="171"/>
      <c r="D9" s="171"/>
    </row>
    <row r="10" spans="1:4" ht="18.600000000000001" customHeight="1">
      <c r="A10" s="97" t="s">
        <v>288</v>
      </c>
      <c r="B10" s="171"/>
      <c r="C10" s="171"/>
      <c r="D10" s="171"/>
    </row>
    <row r="11" spans="1:4" ht="18.600000000000001" customHeight="1">
      <c r="A11" s="97" t="s">
        <v>289</v>
      </c>
      <c r="B11" s="171"/>
      <c r="C11" s="171"/>
      <c r="D11" s="171"/>
    </row>
    <row r="12" spans="1:4" ht="18.600000000000001" customHeight="1">
      <c r="A12" s="97" t="s">
        <v>290</v>
      </c>
      <c r="B12" s="171"/>
      <c r="C12" s="171"/>
      <c r="D12" s="171"/>
    </row>
    <row r="13" spans="1:4" ht="18.600000000000001" customHeight="1">
      <c r="A13" s="97" t="s">
        <v>291</v>
      </c>
      <c r="B13" s="171"/>
      <c r="C13" s="171"/>
      <c r="D13" s="171"/>
    </row>
    <row r="14" spans="1:4" ht="18.600000000000001" customHeight="1">
      <c r="A14" s="97" t="s">
        <v>292</v>
      </c>
      <c r="B14" s="171"/>
      <c r="C14" s="171"/>
      <c r="D14" s="171"/>
    </row>
    <row r="15" spans="1:4" ht="18.600000000000001" customHeight="1">
      <c r="A15" s="95" t="s">
        <v>301</v>
      </c>
      <c r="B15" s="180"/>
      <c r="C15" s="180"/>
      <c r="D15" s="180"/>
    </row>
    <row r="16" spans="1:4" ht="18.600000000000001" customHeight="1">
      <c r="A16" s="98" t="s">
        <v>309</v>
      </c>
      <c r="B16" s="181"/>
      <c r="C16" s="181"/>
      <c r="D16" s="181"/>
    </row>
    <row r="17" spans="1:4" ht="18.600000000000001" customHeight="1">
      <c r="A17" s="97" t="s">
        <v>293</v>
      </c>
      <c r="B17" s="181"/>
      <c r="C17" s="181"/>
      <c r="D17" s="181"/>
    </row>
    <row r="18" spans="1:4" ht="18.600000000000001" customHeight="1">
      <c r="A18" s="97" t="s">
        <v>294</v>
      </c>
      <c r="B18" s="181"/>
      <c r="C18" s="181"/>
      <c r="D18" s="181"/>
    </row>
    <row r="19" spans="1:4" ht="18.600000000000001" customHeight="1">
      <c r="A19" s="97" t="s">
        <v>295</v>
      </c>
      <c r="B19" s="181"/>
      <c r="C19" s="181"/>
      <c r="D19" s="181"/>
    </row>
    <row r="20" spans="1:4" ht="18.600000000000001" customHeight="1">
      <c r="A20" s="97" t="s">
        <v>296</v>
      </c>
      <c r="B20" s="181"/>
      <c r="C20" s="181"/>
      <c r="D20" s="181"/>
    </row>
    <row r="21" spans="1:4" ht="18.600000000000001" customHeight="1">
      <c r="A21" s="97" t="s">
        <v>297</v>
      </c>
      <c r="B21" s="181"/>
      <c r="C21" s="181"/>
      <c r="D21" s="181"/>
    </row>
    <row r="22" spans="1:4" ht="18.600000000000001" customHeight="1">
      <c r="A22" s="97" t="s">
        <v>298</v>
      </c>
      <c r="B22" s="181"/>
      <c r="C22" s="181"/>
      <c r="D22" s="181"/>
    </row>
    <row r="23" spans="1:4" ht="18.600000000000001" customHeight="1">
      <c r="A23" s="97" t="s">
        <v>299</v>
      </c>
      <c r="B23" s="181"/>
      <c r="C23" s="181"/>
      <c r="D23" s="181"/>
    </row>
    <row r="24" spans="1:4" ht="18.600000000000001" customHeight="1">
      <c r="A24" s="95" t="s">
        <v>302</v>
      </c>
      <c r="B24" s="180"/>
      <c r="C24" s="180"/>
      <c r="D24" s="180"/>
    </row>
    <row r="25" spans="1:4" ht="18.600000000000001" customHeight="1">
      <c r="A25" s="95" t="s">
        <v>310</v>
      </c>
      <c r="B25" s="181"/>
      <c r="C25" s="181"/>
      <c r="D25" s="181"/>
    </row>
    <row r="26" spans="1:4" ht="18.600000000000001" customHeight="1">
      <c r="A26" s="95" t="s">
        <v>303</v>
      </c>
      <c r="B26" s="180"/>
      <c r="C26" s="180"/>
      <c r="D26" s="180"/>
    </row>
    <row r="27" spans="1:4" ht="18.600000000000001" customHeight="1">
      <c r="A27" s="95" t="s">
        <v>311</v>
      </c>
      <c r="B27" s="181"/>
      <c r="C27" s="181"/>
      <c r="D27" s="181"/>
    </row>
    <row r="28" spans="1:4" ht="18.600000000000001" customHeight="1">
      <c r="A28" s="95" t="s">
        <v>312</v>
      </c>
      <c r="B28" s="181"/>
      <c r="C28" s="181"/>
      <c r="D28" s="181"/>
    </row>
    <row r="29" spans="1:4" ht="18.600000000000001" customHeight="1">
      <c r="A29" s="95" t="s">
        <v>313</v>
      </c>
      <c r="B29" s="181"/>
      <c r="C29" s="181"/>
      <c r="D29" s="181"/>
    </row>
    <row r="30" spans="1:4" ht="18.600000000000001" customHeight="1">
      <c r="A30" s="95" t="s">
        <v>304</v>
      </c>
      <c r="B30" s="171">
        <v>336.29</v>
      </c>
      <c r="C30" s="171">
        <v>91</v>
      </c>
      <c r="D30" s="173">
        <f>B30/C30*100</f>
        <v>369.5</v>
      </c>
    </row>
    <row r="31" spans="1:4" ht="18.600000000000001" customHeight="1">
      <c r="A31" s="95" t="s">
        <v>314</v>
      </c>
      <c r="B31" s="171">
        <v>336.29</v>
      </c>
      <c r="C31" s="171">
        <v>91</v>
      </c>
      <c r="D31" s="173">
        <f t="shared" ref="D31:D35" si="0">B31/C31*100</f>
        <v>369.5</v>
      </c>
    </row>
    <row r="32" spans="1:4" ht="18.600000000000001" customHeight="1">
      <c r="A32" s="71" t="s">
        <v>317</v>
      </c>
      <c r="B32" s="180">
        <v>336.29</v>
      </c>
      <c r="C32" s="180">
        <v>91</v>
      </c>
      <c r="D32" s="176">
        <f t="shared" si="0"/>
        <v>369.5</v>
      </c>
    </row>
    <row r="33" spans="1:4" ht="18.600000000000001" customHeight="1">
      <c r="A33" s="73" t="s">
        <v>319</v>
      </c>
      <c r="B33" s="181"/>
      <c r="C33" s="171">
        <v>104</v>
      </c>
      <c r="D33" s="173"/>
    </row>
    <row r="34" spans="1:4" ht="18.600000000000001" customHeight="1">
      <c r="A34" s="70" t="s">
        <v>214</v>
      </c>
      <c r="B34" s="181"/>
      <c r="C34" s="181"/>
      <c r="D34" s="173"/>
    </row>
    <row r="35" spans="1:4" ht="18.600000000000001" customHeight="1">
      <c r="A35" s="71" t="s">
        <v>215</v>
      </c>
      <c r="B35" s="180">
        <f>SUM(B32:B34)</f>
        <v>336.29</v>
      </c>
      <c r="C35" s="180">
        <f t="shared" ref="C35" si="1">SUM(C32:C34)</f>
        <v>195</v>
      </c>
      <c r="D35" s="176">
        <f t="shared" si="0"/>
        <v>172.5</v>
      </c>
    </row>
  </sheetData>
  <mergeCells count="1">
    <mergeCell ref="A2:D2"/>
  </mergeCells>
  <phoneticPr fontId="38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Footer>&amp;C附表1-17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7"/>
  <sheetViews>
    <sheetView workbookViewId="0">
      <selection activeCell="E12" sqref="E12"/>
    </sheetView>
  </sheetViews>
  <sheetFormatPr defaultColWidth="8.125" defaultRowHeight="14.25"/>
  <cols>
    <col min="1" max="1" width="35.125" style="43" customWidth="1"/>
    <col min="2" max="2" width="16.5" style="43" customWidth="1"/>
    <col min="3" max="3" width="16.375" style="43" customWidth="1"/>
    <col min="4" max="4" width="13.75" style="37" customWidth="1"/>
    <col min="5" max="5" width="10.5" style="43" customWidth="1"/>
    <col min="6" max="6" width="9.125" style="43" customWidth="1"/>
    <col min="7" max="13" width="8.125" style="43"/>
    <col min="14" max="14" width="11.5" style="43" bestFit="1" customWidth="1"/>
    <col min="15" max="16384" width="8.125" style="43"/>
  </cols>
  <sheetData>
    <row r="1" spans="1:6">
      <c r="A1" s="43" t="s">
        <v>389</v>
      </c>
    </row>
    <row r="2" spans="1:6" ht="22.5">
      <c r="A2" s="381" t="s">
        <v>508</v>
      </c>
      <c r="B2" s="381"/>
      <c r="C2" s="381"/>
      <c r="D2" s="381"/>
    </row>
    <row r="3" spans="1:6">
      <c r="A3" s="42"/>
      <c r="B3" s="41"/>
      <c r="D3" s="44" t="s">
        <v>186</v>
      </c>
    </row>
    <row r="4" spans="1:6" s="38" customFormat="1" ht="33.6" customHeight="1">
      <c r="A4" s="90" t="s">
        <v>110</v>
      </c>
      <c r="B4" s="91" t="s">
        <v>329</v>
      </c>
      <c r="C4" s="91" t="s">
        <v>330</v>
      </c>
      <c r="D4" s="39" t="s">
        <v>331</v>
      </c>
    </row>
    <row r="5" spans="1:6" ht="22.35" customHeight="1">
      <c r="A5" s="75" t="s">
        <v>216</v>
      </c>
      <c r="B5" s="184"/>
      <c r="C5" s="171">
        <v>23393</v>
      </c>
      <c r="D5" s="182"/>
    </row>
    <row r="6" spans="1:6" ht="22.35" customHeight="1">
      <c r="A6" s="75" t="s">
        <v>220</v>
      </c>
      <c r="B6" s="171">
        <v>10289</v>
      </c>
      <c r="C6" s="171">
        <v>10910</v>
      </c>
      <c r="D6" s="182">
        <f>B6/C6*100</f>
        <v>94.3</v>
      </c>
    </row>
    <row r="7" spans="1:6" ht="30" customHeight="1">
      <c r="A7" s="75" t="s">
        <v>221</v>
      </c>
      <c r="B7" s="171">
        <v>28709</v>
      </c>
      <c r="C7" s="171">
        <v>49285</v>
      </c>
      <c r="D7" s="182">
        <f t="shared" ref="D7:D16" si="0">B7/C7*100</f>
        <v>58.3</v>
      </c>
    </row>
    <row r="8" spans="1:6" ht="22.35" customHeight="1">
      <c r="A8" s="75" t="s">
        <v>222</v>
      </c>
      <c r="B8" s="171">
        <v>13639</v>
      </c>
      <c r="C8" s="171">
        <v>13762</v>
      </c>
      <c r="D8" s="182">
        <f t="shared" si="0"/>
        <v>99.1</v>
      </c>
    </row>
    <row r="9" spans="1:6" ht="22.35" customHeight="1">
      <c r="A9" s="75" t="s">
        <v>223</v>
      </c>
      <c r="B9" s="171">
        <v>24127</v>
      </c>
      <c r="C9" s="171">
        <v>20966</v>
      </c>
      <c r="D9" s="182">
        <f t="shared" si="0"/>
        <v>115.1</v>
      </c>
      <c r="F9" s="60"/>
    </row>
    <row r="10" spans="1:6" ht="33.75" customHeight="1">
      <c r="A10" s="80" t="s">
        <v>286</v>
      </c>
      <c r="B10" s="171">
        <v>24127</v>
      </c>
      <c r="C10" s="171">
        <v>20966</v>
      </c>
      <c r="D10" s="182">
        <f t="shared" ref="D10" si="1">B10/C10*100</f>
        <v>115.1</v>
      </c>
    </row>
    <row r="11" spans="1:6" ht="27" customHeight="1">
      <c r="A11" s="82" t="s">
        <v>224</v>
      </c>
      <c r="B11" s="171"/>
      <c r="C11" s="171"/>
      <c r="D11" s="182"/>
    </row>
    <row r="12" spans="1:6" ht="36" customHeight="1">
      <c r="A12" s="80" t="s">
        <v>287</v>
      </c>
      <c r="B12" s="171"/>
      <c r="C12" s="171"/>
      <c r="D12" s="182"/>
    </row>
    <row r="13" spans="1:6" ht="22.35" customHeight="1">
      <c r="A13" s="75" t="s">
        <v>225</v>
      </c>
      <c r="B13" s="161">
        <v>468</v>
      </c>
      <c r="C13" s="171">
        <v>530</v>
      </c>
      <c r="D13" s="182">
        <f t="shared" si="0"/>
        <v>88.3</v>
      </c>
    </row>
    <row r="14" spans="1:6" ht="22.35" customHeight="1">
      <c r="A14" s="75" t="s">
        <v>226</v>
      </c>
      <c r="B14" s="161">
        <v>971</v>
      </c>
      <c r="C14" s="171">
        <v>1023</v>
      </c>
      <c r="D14" s="182">
        <f t="shared" si="0"/>
        <v>94.9</v>
      </c>
    </row>
    <row r="15" spans="1:6" ht="22.35" customHeight="1">
      <c r="A15" s="75" t="s">
        <v>227</v>
      </c>
      <c r="B15" s="161">
        <v>510</v>
      </c>
      <c r="C15" s="171">
        <v>501</v>
      </c>
      <c r="D15" s="182">
        <f t="shared" si="0"/>
        <v>101.8</v>
      </c>
    </row>
    <row r="16" spans="1:6" ht="22.35" customHeight="1">
      <c r="A16" s="92" t="s">
        <v>228</v>
      </c>
      <c r="B16" s="172">
        <f>SUM(B5:B9,B13:B15)</f>
        <v>78713</v>
      </c>
      <c r="C16" s="172">
        <f>SUM(C5:C9,C13:C15)</f>
        <v>120370</v>
      </c>
      <c r="D16" s="183">
        <f t="shared" si="0"/>
        <v>65.400000000000006</v>
      </c>
    </row>
    <row r="17" spans="1:4">
      <c r="A17" s="58"/>
      <c r="B17" s="58"/>
      <c r="C17" s="58"/>
      <c r="D17" s="43"/>
    </row>
  </sheetData>
  <protectedRanges>
    <protectedRange password="CF6E" sqref="B14" name="区域1_3_3_2_4"/>
    <protectedRange password="CF6E" sqref="B13" name="区域1_3_3_2_5"/>
    <protectedRange password="CF6E" sqref="B15" name="区域1_3_3_2_6"/>
  </protectedRanges>
  <mergeCells count="1">
    <mergeCell ref="A2:D2"/>
  </mergeCells>
  <phoneticPr fontId="38" type="noConversion"/>
  <conditionalFormatting sqref="D5:D16">
    <cfRule type="cellIs" dxfId="5" priority="2" stopIfTrue="1" operator="lessThan">
      <formula>0</formula>
    </cfRule>
  </conditionalFormatting>
  <conditionalFormatting sqref="A5:A6">
    <cfRule type="expression" dxfId="4" priority="1" stopIfTrue="1">
      <formula>"len($A:$A)=3"</formula>
    </cfRule>
  </conditionalFormatting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Footer>&amp;C附表1-18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6"/>
  <sheetViews>
    <sheetView workbookViewId="0">
      <selection activeCell="F15" sqref="F15"/>
    </sheetView>
  </sheetViews>
  <sheetFormatPr defaultColWidth="8.125" defaultRowHeight="14.25"/>
  <cols>
    <col min="1" max="1" width="37.125" style="43" customWidth="1"/>
    <col min="2" max="3" width="11" style="43" bestFit="1" customWidth="1"/>
    <col min="4" max="4" width="13.625" style="37" bestFit="1" customWidth="1"/>
    <col min="5" max="5" width="10.5" style="43" customWidth="1"/>
    <col min="6" max="6" width="9.125" style="43" customWidth="1"/>
    <col min="7" max="13" width="8.125" style="43"/>
    <col min="14" max="14" width="11.5" style="43" bestFit="1" customWidth="1"/>
    <col min="15" max="16384" width="8.125" style="43"/>
  </cols>
  <sheetData>
    <row r="1" spans="1:6" ht="19.899999999999999" customHeight="1">
      <c r="A1" s="43" t="s">
        <v>390</v>
      </c>
    </row>
    <row r="2" spans="1:6" ht="22.5">
      <c r="A2" s="381" t="s">
        <v>507</v>
      </c>
      <c r="B2" s="381"/>
      <c r="C2" s="381"/>
      <c r="D2" s="381"/>
    </row>
    <row r="3" spans="1:6">
      <c r="A3" s="42"/>
      <c r="B3" s="41"/>
      <c r="D3" s="44" t="s">
        <v>186</v>
      </c>
    </row>
    <row r="4" spans="1:6" s="38" customFormat="1" ht="34.9" customHeight="1">
      <c r="A4" s="40" t="s">
        <v>110</v>
      </c>
      <c r="B4" s="91" t="s">
        <v>329</v>
      </c>
      <c r="C4" s="91" t="s">
        <v>330</v>
      </c>
      <c r="D4" s="39" t="s">
        <v>331</v>
      </c>
    </row>
    <row r="5" spans="1:6" s="58" customFormat="1" ht="29.1" customHeight="1">
      <c r="A5" s="75" t="s">
        <v>230</v>
      </c>
      <c r="B5" s="171"/>
      <c r="C5" s="171">
        <v>20292</v>
      </c>
      <c r="D5" s="182"/>
    </row>
    <row r="6" spans="1:6" s="58" customFormat="1" ht="29.1" customHeight="1">
      <c r="A6" s="75" t="s">
        <v>231</v>
      </c>
      <c r="B6" s="171">
        <v>7990</v>
      </c>
      <c r="C6" s="171">
        <v>8557</v>
      </c>
      <c r="D6" s="182">
        <f>B6/C6*100</f>
        <v>93.4</v>
      </c>
    </row>
    <row r="7" spans="1:6" s="58" customFormat="1" ht="29.1" customHeight="1">
      <c r="A7" s="75" t="s">
        <v>232</v>
      </c>
      <c r="B7" s="171">
        <v>28132</v>
      </c>
      <c r="C7" s="171">
        <v>29320</v>
      </c>
      <c r="D7" s="182">
        <f t="shared" ref="D7:D16" si="0">B7/C7*100</f>
        <v>95.9</v>
      </c>
    </row>
    <row r="8" spans="1:6" s="58" customFormat="1" ht="29.1" customHeight="1">
      <c r="A8" s="75" t="s">
        <v>233</v>
      </c>
      <c r="B8" s="171">
        <v>12055</v>
      </c>
      <c r="C8" s="171">
        <v>11955</v>
      </c>
      <c r="D8" s="182">
        <f t="shared" si="0"/>
        <v>100.8</v>
      </c>
    </row>
    <row r="9" spans="1:6" s="58" customFormat="1" ht="29.1" customHeight="1">
      <c r="A9" s="75" t="s">
        <v>234</v>
      </c>
      <c r="B9" s="171">
        <v>21588</v>
      </c>
      <c r="C9" s="171">
        <v>18935</v>
      </c>
      <c r="D9" s="182">
        <f t="shared" si="0"/>
        <v>114</v>
      </c>
      <c r="F9" s="93"/>
    </row>
    <row r="10" spans="1:6" s="58" customFormat="1" ht="29.1" customHeight="1">
      <c r="A10" s="80" t="s">
        <v>235</v>
      </c>
      <c r="B10" s="171"/>
      <c r="C10" s="171"/>
      <c r="D10" s="182"/>
    </row>
    <row r="11" spans="1:6" s="58" customFormat="1" ht="29.1" customHeight="1">
      <c r="A11" s="82" t="s">
        <v>236</v>
      </c>
      <c r="B11" s="171"/>
      <c r="C11" s="171"/>
      <c r="D11" s="182"/>
    </row>
    <row r="12" spans="1:6" s="58" customFormat="1" ht="29.1" customHeight="1">
      <c r="A12" s="80" t="s">
        <v>237</v>
      </c>
      <c r="B12" s="171"/>
      <c r="C12" s="171"/>
      <c r="D12" s="182"/>
    </row>
    <row r="13" spans="1:6" s="94" customFormat="1" ht="29.1" customHeight="1">
      <c r="A13" s="75" t="s">
        <v>238</v>
      </c>
      <c r="B13" s="171">
        <v>310</v>
      </c>
      <c r="C13" s="171">
        <v>660</v>
      </c>
      <c r="D13" s="182">
        <f t="shared" si="0"/>
        <v>47</v>
      </c>
    </row>
    <row r="14" spans="1:6" s="58" customFormat="1" ht="29.1" customHeight="1">
      <c r="A14" s="75" t="s">
        <v>239</v>
      </c>
      <c r="B14" s="171">
        <v>376</v>
      </c>
      <c r="C14" s="171">
        <v>340</v>
      </c>
      <c r="D14" s="182">
        <f t="shared" si="0"/>
        <v>110.6</v>
      </c>
    </row>
    <row r="15" spans="1:6" s="58" customFormat="1" ht="29.1" customHeight="1">
      <c r="A15" s="75" t="s">
        <v>240</v>
      </c>
      <c r="B15" s="171">
        <v>500</v>
      </c>
      <c r="C15" s="171">
        <v>470</v>
      </c>
      <c r="D15" s="182">
        <f t="shared" si="0"/>
        <v>106.4</v>
      </c>
    </row>
    <row r="16" spans="1:6" s="94" customFormat="1" ht="29.1" customHeight="1">
      <c r="A16" s="146" t="s">
        <v>181</v>
      </c>
      <c r="B16" s="172">
        <f>SUM(B5:B9,B13:B15)</f>
        <v>70951</v>
      </c>
      <c r="C16" s="172">
        <f>SUM(C5:C9,C13:C15)</f>
        <v>90529</v>
      </c>
      <c r="D16" s="183">
        <f t="shared" si="0"/>
        <v>78.400000000000006</v>
      </c>
    </row>
  </sheetData>
  <mergeCells count="1">
    <mergeCell ref="A2:D2"/>
  </mergeCells>
  <phoneticPr fontId="38" type="noConversion"/>
  <conditionalFormatting sqref="D5:D16">
    <cfRule type="cellIs" dxfId="3" priority="4" stopIfTrue="1" operator="lessThan">
      <formula>0</formula>
    </cfRule>
  </conditionalFormatting>
  <conditionalFormatting sqref="A5:A6">
    <cfRule type="expression" dxfId="2" priority="1" stopIfTrue="1">
      <formula>"len($A:$A)=3"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Footer>&amp;C附表1-19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65"/>
  <sheetViews>
    <sheetView topLeftCell="A52" workbookViewId="0">
      <selection activeCell="D60" sqref="D60"/>
    </sheetView>
  </sheetViews>
  <sheetFormatPr defaultColWidth="9" defaultRowHeight="14.25"/>
  <cols>
    <col min="1" max="1" width="37.375" style="55" customWidth="1"/>
    <col min="2" max="2" width="21.625" style="56" customWidth="1"/>
    <col min="3" max="3" width="21.125" style="55" customWidth="1"/>
    <col min="4" max="4" width="13.875" style="55" customWidth="1"/>
    <col min="5" max="16384" width="9" style="55"/>
  </cols>
  <sheetData>
    <row r="1" spans="1:4" ht="19.350000000000001" customHeight="1">
      <c r="A1" s="55" t="s">
        <v>391</v>
      </c>
    </row>
    <row r="2" spans="1:4" ht="26.45" customHeight="1">
      <c r="A2" s="382" t="s">
        <v>509</v>
      </c>
      <c r="B2" s="382"/>
      <c r="C2" s="382"/>
      <c r="D2" s="382"/>
    </row>
    <row r="3" spans="1:4" ht="17.45" customHeight="1">
      <c r="A3" s="57"/>
      <c r="B3" s="41"/>
      <c r="C3" s="43"/>
      <c r="D3" s="44" t="s">
        <v>186</v>
      </c>
    </row>
    <row r="4" spans="1:4" ht="37.5" customHeight="1">
      <c r="A4" s="88" t="s">
        <v>241</v>
      </c>
      <c r="B4" s="91" t="s">
        <v>329</v>
      </c>
      <c r="C4" s="91" t="s">
        <v>330</v>
      </c>
      <c r="D4" s="39" t="s">
        <v>331</v>
      </c>
    </row>
    <row r="5" spans="1:4" ht="20.45" customHeight="1">
      <c r="A5" s="89" t="s">
        <v>216</v>
      </c>
      <c r="B5" s="189"/>
      <c r="C5" s="189">
        <f>SUM(C6:C10)</f>
        <v>23393</v>
      </c>
      <c r="D5" s="185"/>
    </row>
    <row r="6" spans="1:4" ht="20.45" customHeight="1">
      <c r="A6" s="76" t="s">
        <v>276</v>
      </c>
      <c r="B6" s="190"/>
      <c r="C6" s="196">
        <v>-18</v>
      </c>
      <c r="D6" s="185"/>
    </row>
    <row r="7" spans="1:4" ht="20.45" customHeight="1">
      <c r="A7" s="76" t="s">
        <v>277</v>
      </c>
      <c r="B7" s="190"/>
      <c r="C7" s="191">
        <v>0</v>
      </c>
      <c r="D7" s="185"/>
    </row>
    <row r="8" spans="1:4" ht="20.45" customHeight="1">
      <c r="A8" s="76" t="s">
        <v>278</v>
      </c>
      <c r="B8" s="190"/>
      <c r="C8" s="191">
        <v>43</v>
      </c>
      <c r="D8" s="185"/>
    </row>
    <row r="9" spans="1:4" ht="20.45" customHeight="1">
      <c r="A9" s="76" t="s">
        <v>279</v>
      </c>
      <c r="B9" s="190"/>
      <c r="C9" s="191">
        <v>23368</v>
      </c>
      <c r="D9" s="185"/>
    </row>
    <row r="10" spans="1:4" ht="20.45" customHeight="1">
      <c r="A10" s="76" t="s">
        <v>281</v>
      </c>
      <c r="B10" s="190"/>
      <c r="C10" s="191"/>
      <c r="D10" s="185"/>
    </row>
    <row r="11" spans="1:4" ht="20.45" customHeight="1">
      <c r="A11" s="89" t="s">
        <v>220</v>
      </c>
      <c r="B11" s="189">
        <v>10289</v>
      </c>
      <c r="C11" s="189">
        <f>SUM(C12:C16)</f>
        <v>10910</v>
      </c>
      <c r="D11" s="186">
        <f>B11/C11*100</f>
        <v>94.3</v>
      </c>
    </row>
    <row r="12" spans="1:4" ht="20.45" customHeight="1">
      <c r="A12" s="76" t="s">
        <v>276</v>
      </c>
      <c r="B12" s="192"/>
      <c r="C12" s="191">
        <v>1567</v>
      </c>
      <c r="D12" s="187"/>
    </row>
    <row r="13" spans="1:4" ht="20.45" customHeight="1">
      <c r="A13" s="76" t="s">
        <v>277</v>
      </c>
      <c r="B13" s="192"/>
      <c r="C13" s="191">
        <v>9111</v>
      </c>
      <c r="D13" s="187"/>
    </row>
    <row r="14" spans="1:4" ht="20.45" customHeight="1">
      <c r="A14" s="76" t="s">
        <v>278</v>
      </c>
      <c r="B14" s="192"/>
      <c r="C14" s="191">
        <v>143</v>
      </c>
      <c r="D14" s="187"/>
    </row>
    <row r="15" spans="1:4" ht="20.45" customHeight="1">
      <c r="A15" s="76" t="s">
        <v>279</v>
      </c>
      <c r="B15" s="192"/>
      <c r="C15" s="191">
        <v>89</v>
      </c>
      <c r="D15" s="187"/>
    </row>
    <row r="16" spans="1:4" ht="20.45" customHeight="1">
      <c r="A16" s="76" t="s">
        <v>281</v>
      </c>
      <c r="B16" s="192"/>
      <c r="C16" s="191"/>
      <c r="D16" s="187"/>
    </row>
    <row r="17" spans="1:4" ht="20.45" customHeight="1">
      <c r="A17" s="89" t="s">
        <v>221</v>
      </c>
      <c r="B17" s="189">
        <v>28709</v>
      </c>
      <c r="C17" s="189">
        <f>SUM(C18:C22)</f>
        <v>49285</v>
      </c>
      <c r="D17" s="186">
        <f>B17/C17*100</f>
        <v>58.3</v>
      </c>
    </row>
    <row r="18" spans="1:4" ht="20.45" customHeight="1">
      <c r="A18" s="74" t="s">
        <v>229</v>
      </c>
      <c r="B18" s="192"/>
      <c r="C18" s="191">
        <v>32265</v>
      </c>
      <c r="D18" s="187"/>
    </row>
    <row r="19" spans="1:4" ht="20.45" customHeight="1">
      <c r="A19" s="74" t="s">
        <v>218</v>
      </c>
      <c r="B19" s="192"/>
      <c r="C19" s="191">
        <v>16473</v>
      </c>
      <c r="D19" s="187"/>
    </row>
    <row r="20" spans="1:4" ht="20.45" customHeight="1">
      <c r="A20" s="74" t="s">
        <v>217</v>
      </c>
      <c r="B20" s="192"/>
      <c r="C20" s="191">
        <v>480</v>
      </c>
      <c r="D20" s="187"/>
    </row>
    <row r="21" spans="1:4" ht="20.45" customHeight="1">
      <c r="A21" s="74" t="s">
        <v>219</v>
      </c>
      <c r="B21" s="192"/>
      <c r="C21" s="191">
        <v>67</v>
      </c>
      <c r="D21" s="187"/>
    </row>
    <row r="22" spans="1:4" ht="20.45" customHeight="1">
      <c r="A22" s="74" t="s">
        <v>280</v>
      </c>
      <c r="B22" s="192"/>
      <c r="C22" s="191"/>
      <c r="D22" s="187"/>
    </row>
    <row r="23" spans="1:4" ht="20.45" customHeight="1">
      <c r="A23" s="89" t="s">
        <v>222</v>
      </c>
      <c r="B23" s="189">
        <v>13639</v>
      </c>
      <c r="C23" s="189">
        <f>SUM(C24:C28)</f>
        <v>13762</v>
      </c>
      <c r="D23" s="186">
        <f>B23/C23*100</f>
        <v>99.1</v>
      </c>
    </row>
    <row r="24" spans="1:4" ht="20.45" customHeight="1">
      <c r="A24" s="74" t="s">
        <v>229</v>
      </c>
      <c r="B24" s="192"/>
      <c r="C24" s="191">
        <v>13362</v>
      </c>
      <c r="D24" s="187"/>
    </row>
    <row r="25" spans="1:4" ht="20.45" customHeight="1">
      <c r="A25" s="74" t="s">
        <v>218</v>
      </c>
      <c r="B25" s="192"/>
      <c r="C25" s="191">
        <v>55</v>
      </c>
      <c r="D25" s="187"/>
    </row>
    <row r="26" spans="1:4" ht="20.45" customHeight="1">
      <c r="A26" s="74" t="s">
        <v>217</v>
      </c>
      <c r="B26" s="192"/>
      <c r="C26" s="191">
        <v>260</v>
      </c>
      <c r="D26" s="187"/>
    </row>
    <row r="27" spans="1:4" ht="20.45" customHeight="1">
      <c r="A27" s="74" t="s">
        <v>219</v>
      </c>
      <c r="B27" s="192"/>
      <c r="C27" s="191">
        <v>85</v>
      </c>
      <c r="D27" s="187"/>
    </row>
    <row r="28" spans="1:4" ht="20.45" customHeight="1">
      <c r="A28" s="74" t="s">
        <v>280</v>
      </c>
      <c r="B28" s="192"/>
      <c r="C28" s="191"/>
      <c r="D28" s="187"/>
    </row>
    <row r="29" spans="1:4" ht="20.45" customHeight="1">
      <c r="A29" s="89" t="s">
        <v>223</v>
      </c>
      <c r="B29" s="189">
        <v>24127</v>
      </c>
      <c r="C29" s="189">
        <f>SUM(C30,C36,C42,)</f>
        <v>20966</v>
      </c>
      <c r="D29" s="186">
        <f>B29/C29*100</f>
        <v>115.1</v>
      </c>
    </row>
    <row r="30" spans="1:4" ht="20.45" customHeight="1">
      <c r="A30" s="80" t="s">
        <v>282</v>
      </c>
      <c r="B30" s="192"/>
      <c r="C30" s="191">
        <f>SUM(C31:C35)</f>
        <v>20966</v>
      </c>
      <c r="D30" s="187"/>
    </row>
    <row r="31" spans="1:4" ht="20.45" customHeight="1">
      <c r="A31" s="76" t="s">
        <v>276</v>
      </c>
      <c r="B31" s="192"/>
      <c r="C31" s="191">
        <v>4410</v>
      </c>
      <c r="D31" s="187"/>
    </row>
    <row r="32" spans="1:4" ht="20.45" customHeight="1">
      <c r="A32" s="76" t="s">
        <v>277</v>
      </c>
      <c r="B32" s="192"/>
      <c r="C32" s="191">
        <v>16360</v>
      </c>
      <c r="D32" s="187"/>
    </row>
    <row r="33" spans="1:4" ht="20.45" customHeight="1">
      <c r="A33" s="76" t="s">
        <v>278</v>
      </c>
      <c r="B33" s="192"/>
      <c r="C33" s="191">
        <v>196</v>
      </c>
      <c r="D33" s="187"/>
    </row>
    <row r="34" spans="1:4" ht="20.45" customHeight="1">
      <c r="A34" s="76" t="s">
        <v>279</v>
      </c>
      <c r="B34" s="192"/>
      <c r="C34" s="191"/>
      <c r="D34" s="187"/>
    </row>
    <row r="35" spans="1:4" ht="20.45" customHeight="1">
      <c r="A35" s="76" t="s">
        <v>281</v>
      </c>
      <c r="B35" s="192"/>
      <c r="C35" s="191"/>
      <c r="D35" s="187"/>
    </row>
    <row r="36" spans="1:4" ht="20.45" customHeight="1">
      <c r="A36" s="82" t="s">
        <v>224</v>
      </c>
      <c r="B36" s="192"/>
      <c r="C36" s="191"/>
      <c r="D36" s="187"/>
    </row>
    <row r="37" spans="1:4" ht="20.45" customHeight="1">
      <c r="A37" s="76" t="s">
        <v>276</v>
      </c>
      <c r="B37" s="192"/>
      <c r="C37" s="191"/>
      <c r="D37" s="187"/>
    </row>
    <row r="38" spans="1:4" ht="20.45" customHeight="1">
      <c r="A38" s="76" t="s">
        <v>277</v>
      </c>
      <c r="B38" s="192"/>
      <c r="C38" s="191"/>
      <c r="D38" s="187"/>
    </row>
    <row r="39" spans="1:4" ht="20.45" customHeight="1">
      <c r="A39" s="76" t="s">
        <v>278</v>
      </c>
      <c r="B39" s="192"/>
      <c r="C39" s="191"/>
      <c r="D39" s="187"/>
    </row>
    <row r="40" spans="1:4" ht="20.45" customHeight="1">
      <c r="A40" s="76" t="s">
        <v>279</v>
      </c>
      <c r="B40" s="192"/>
      <c r="C40" s="191"/>
      <c r="D40" s="187"/>
    </row>
    <row r="41" spans="1:4" ht="20.45" customHeight="1">
      <c r="A41" s="76" t="s">
        <v>281</v>
      </c>
      <c r="B41" s="192"/>
      <c r="C41" s="191"/>
      <c r="D41" s="187"/>
    </row>
    <row r="42" spans="1:4" ht="20.45" customHeight="1">
      <c r="A42" s="80" t="s">
        <v>283</v>
      </c>
      <c r="B42" s="192"/>
      <c r="C42" s="191"/>
      <c r="D42" s="187"/>
    </row>
    <row r="43" spans="1:4" ht="20.45" customHeight="1">
      <c r="A43" s="80" t="s">
        <v>229</v>
      </c>
      <c r="B43" s="192"/>
      <c r="C43" s="191"/>
      <c r="D43" s="187"/>
    </row>
    <row r="44" spans="1:4" ht="20.45" customHeight="1">
      <c r="A44" s="80" t="s">
        <v>218</v>
      </c>
      <c r="B44" s="192"/>
      <c r="C44" s="191"/>
      <c r="D44" s="187"/>
    </row>
    <row r="45" spans="1:4" ht="20.45" customHeight="1">
      <c r="A45" s="80" t="s">
        <v>217</v>
      </c>
      <c r="B45" s="192"/>
      <c r="C45" s="191"/>
      <c r="D45" s="187"/>
    </row>
    <row r="46" spans="1:4" ht="20.45" customHeight="1">
      <c r="A46" s="84" t="s">
        <v>219</v>
      </c>
      <c r="B46" s="192"/>
      <c r="C46" s="191"/>
      <c r="D46" s="187"/>
    </row>
    <row r="47" spans="1:4" ht="20.45" customHeight="1">
      <c r="A47" s="84" t="s">
        <v>280</v>
      </c>
      <c r="B47" s="192"/>
      <c r="C47" s="191"/>
      <c r="D47" s="187"/>
    </row>
    <row r="48" spans="1:4" ht="20.45" customHeight="1">
      <c r="A48" s="89" t="s">
        <v>225</v>
      </c>
      <c r="B48" s="189">
        <v>468</v>
      </c>
      <c r="C48" s="189">
        <f>SUM(C49:C53)</f>
        <v>530</v>
      </c>
      <c r="D48" s="186">
        <f>B48/C48*100</f>
        <v>88.3</v>
      </c>
    </row>
    <row r="49" spans="1:4" ht="20.45" customHeight="1">
      <c r="A49" s="76" t="s">
        <v>276</v>
      </c>
      <c r="B49" s="192"/>
      <c r="C49" s="191">
        <v>517</v>
      </c>
      <c r="D49" s="187"/>
    </row>
    <row r="50" spans="1:4" ht="20.45" customHeight="1">
      <c r="A50" s="76" t="s">
        <v>277</v>
      </c>
      <c r="B50" s="192"/>
      <c r="C50" s="193"/>
      <c r="D50" s="187"/>
    </row>
    <row r="51" spans="1:4" ht="20.45" customHeight="1">
      <c r="A51" s="76" t="s">
        <v>278</v>
      </c>
      <c r="B51" s="192"/>
      <c r="C51" s="191">
        <v>13</v>
      </c>
      <c r="D51" s="187"/>
    </row>
    <row r="52" spans="1:4" ht="20.45" customHeight="1">
      <c r="A52" s="76" t="s">
        <v>279</v>
      </c>
      <c r="B52" s="192"/>
      <c r="C52" s="191"/>
      <c r="D52" s="187"/>
    </row>
    <row r="53" spans="1:4" ht="20.45" customHeight="1">
      <c r="A53" s="76" t="s">
        <v>281</v>
      </c>
      <c r="B53" s="192"/>
      <c r="C53" s="191"/>
      <c r="D53" s="187"/>
    </row>
    <row r="54" spans="1:4" ht="20.45" customHeight="1">
      <c r="A54" s="89" t="s">
        <v>226</v>
      </c>
      <c r="B54" s="189">
        <v>971</v>
      </c>
      <c r="C54" s="189">
        <f>SUM(C55:C59)</f>
        <v>1023</v>
      </c>
      <c r="D54" s="186">
        <f>B54/C54*100</f>
        <v>94.9</v>
      </c>
    </row>
    <row r="55" spans="1:4" ht="20.45" customHeight="1">
      <c r="A55" s="76" t="s">
        <v>276</v>
      </c>
      <c r="B55" s="192"/>
      <c r="C55" s="191">
        <v>970</v>
      </c>
      <c r="D55" s="187"/>
    </row>
    <row r="56" spans="1:4" ht="20.45" customHeight="1">
      <c r="A56" s="76" t="s">
        <v>277</v>
      </c>
      <c r="B56" s="192"/>
      <c r="C56" s="193"/>
      <c r="D56" s="187"/>
    </row>
    <row r="57" spans="1:4" ht="20.45" customHeight="1">
      <c r="A57" s="76" t="s">
        <v>278</v>
      </c>
      <c r="B57" s="192"/>
      <c r="C57" s="191">
        <v>49</v>
      </c>
      <c r="D57" s="187"/>
    </row>
    <row r="58" spans="1:4" ht="20.45" customHeight="1">
      <c r="A58" s="76" t="s">
        <v>279</v>
      </c>
      <c r="B58" s="192"/>
      <c r="C58" s="191">
        <v>4</v>
      </c>
      <c r="D58" s="187"/>
    </row>
    <row r="59" spans="1:4" ht="20.45" customHeight="1">
      <c r="A59" s="76" t="s">
        <v>281</v>
      </c>
      <c r="B59" s="192"/>
      <c r="C59" s="191"/>
      <c r="D59" s="187"/>
    </row>
    <row r="60" spans="1:4" ht="20.45" customHeight="1">
      <c r="A60" s="89" t="s">
        <v>227</v>
      </c>
      <c r="B60" s="189">
        <v>510</v>
      </c>
      <c r="C60" s="189">
        <f>SUM(C61:C65)</f>
        <v>501</v>
      </c>
      <c r="D60" s="186">
        <f>B60/C60*100</f>
        <v>101.8</v>
      </c>
    </row>
    <row r="61" spans="1:4" ht="20.45" customHeight="1">
      <c r="A61" s="76" t="s">
        <v>276</v>
      </c>
      <c r="B61" s="192"/>
      <c r="C61" s="191">
        <v>476</v>
      </c>
      <c r="D61" s="187"/>
    </row>
    <row r="62" spans="1:4" ht="20.45" customHeight="1">
      <c r="A62" s="76" t="s">
        <v>277</v>
      </c>
      <c r="B62" s="192"/>
      <c r="C62" s="193"/>
      <c r="D62" s="187"/>
    </row>
    <row r="63" spans="1:4" ht="20.45" customHeight="1">
      <c r="A63" s="76" t="s">
        <v>278</v>
      </c>
      <c r="B63" s="192"/>
      <c r="C63" s="191">
        <v>25</v>
      </c>
      <c r="D63" s="187"/>
    </row>
    <row r="64" spans="1:4" ht="20.45" customHeight="1">
      <c r="A64" s="76" t="s">
        <v>279</v>
      </c>
      <c r="B64" s="192"/>
      <c r="C64" s="191"/>
      <c r="D64" s="187"/>
    </row>
    <row r="65" spans="1:4" ht="20.45" customHeight="1">
      <c r="A65" s="76" t="s">
        <v>281</v>
      </c>
      <c r="B65" s="194"/>
      <c r="C65" s="195"/>
      <c r="D65" s="188"/>
    </row>
  </sheetData>
  <protectedRanges>
    <protectedRange password="CF6E" sqref="B48" name="区域1_3_3_2_5"/>
    <protectedRange password="CF6E" sqref="B54" name="区域1_3_3_2_4"/>
    <protectedRange password="CF6E" sqref="B60" name="区域1_3_3_2_6"/>
  </protectedRanges>
  <mergeCells count="1">
    <mergeCell ref="A2:D2"/>
  </mergeCells>
  <phoneticPr fontId="38" type="noConversion"/>
  <conditionalFormatting sqref="A5:A16 A31:A35 A37:A41 A49:A53 A55:A59 A61:A65">
    <cfRule type="expression" dxfId="1" priority="6" stopIfTrue="1">
      <formula>"len($A:$A)=3"</formula>
    </cfRule>
  </conditionalFormatting>
  <pageMargins left="0.70866141732283472" right="0.70866141732283472" top="0.74803149606299213" bottom="0.74803149606299213" header="0.31496062992125984" footer="0.31496062992125984"/>
  <pageSetup paperSize="9" scale="87" fitToHeight="0" orientation="portrait" r:id="rId1"/>
  <headerFooter>
    <oddFooter>&amp;C附表1-20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51"/>
  <sheetViews>
    <sheetView topLeftCell="A34" workbookViewId="0">
      <selection activeCell="D47" sqref="D47"/>
    </sheetView>
  </sheetViews>
  <sheetFormatPr defaultColWidth="9" defaultRowHeight="14.25"/>
  <cols>
    <col min="1" max="1" width="50.625" style="55" customWidth="1"/>
    <col min="2" max="2" width="13.5" style="56" customWidth="1"/>
    <col min="3" max="4" width="13.5" style="55" customWidth="1"/>
    <col min="5" max="16384" width="9" style="55"/>
  </cols>
  <sheetData>
    <row r="1" spans="1:4" ht="19.350000000000001" customHeight="1">
      <c r="A1" s="55" t="s">
        <v>392</v>
      </c>
    </row>
    <row r="2" spans="1:4" ht="26.45" customHeight="1">
      <c r="A2" s="382" t="s">
        <v>510</v>
      </c>
      <c r="B2" s="382"/>
      <c r="C2" s="382"/>
      <c r="D2" s="382"/>
    </row>
    <row r="3" spans="1:4" ht="17.45" customHeight="1">
      <c r="A3" s="57"/>
      <c r="B3" s="41"/>
      <c r="C3" s="43"/>
      <c r="D3" s="44" t="s">
        <v>186</v>
      </c>
    </row>
    <row r="4" spans="1:4" ht="32.25" customHeight="1">
      <c r="A4" s="88" t="s">
        <v>241</v>
      </c>
      <c r="B4" s="91" t="s">
        <v>329</v>
      </c>
      <c r="C4" s="91" t="s">
        <v>330</v>
      </c>
      <c r="D4" s="39" t="s">
        <v>331</v>
      </c>
    </row>
    <row r="5" spans="1:4" ht="22.9" customHeight="1">
      <c r="A5" s="89" t="s">
        <v>230</v>
      </c>
      <c r="B5" s="190"/>
      <c r="C5" s="189">
        <f>SUM(C6:C9)</f>
        <v>20292</v>
      </c>
      <c r="D5" s="185"/>
    </row>
    <row r="6" spans="1:4" ht="22.9" customHeight="1">
      <c r="A6" s="76" t="s">
        <v>264</v>
      </c>
      <c r="B6" s="190"/>
      <c r="C6" s="190">
        <v>19499</v>
      </c>
      <c r="D6" s="185"/>
    </row>
    <row r="7" spans="1:4" ht="22.9" customHeight="1">
      <c r="A7" s="76" t="s">
        <v>265</v>
      </c>
      <c r="B7" s="190"/>
      <c r="C7" s="190"/>
      <c r="D7" s="185"/>
    </row>
    <row r="8" spans="1:4" ht="22.9" customHeight="1">
      <c r="A8" s="76" t="s">
        <v>266</v>
      </c>
      <c r="B8" s="190"/>
      <c r="C8" s="190"/>
      <c r="D8" s="185"/>
    </row>
    <row r="9" spans="1:4" ht="22.9" customHeight="1">
      <c r="A9" s="76" t="s">
        <v>243</v>
      </c>
      <c r="B9" s="190"/>
      <c r="C9" s="190">
        <v>793</v>
      </c>
      <c r="D9" s="185"/>
    </row>
    <row r="10" spans="1:4" ht="22.9" customHeight="1">
      <c r="A10" s="89" t="s">
        <v>231</v>
      </c>
      <c r="B10" s="189">
        <v>7990</v>
      </c>
      <c r="C10" s="189">
        <f>SUM(C11:C14)</f>
        <v>8557</v>
      </c>
      <c r="D10" s="186">
        <f>B10/C10*100</f>
        <v>93.4</v>
      </c>
    </row>
    <row r="11" spans="1:4" ht="22.9" customHeight="1">
      <c r="A11" s="77" t="s">
        <v>267</v>
      </c>
      <c r="B11" s="192"/>
      <c r="C11" s="191">
        <v>8556</v>
      </c>
      <c r="D11" s="187"/>
    </row>
    <row r="12" spans="1:4" ht="22.9" customHeight="1">
      <c r="A12" s="77" t="s">
        <v>268</v>
      </c>
      <c r="B12" s="192"/>
      <c r="C12" s="191"/>
      <c r="D12" s="187"/>
    </row>
    <row r="13" spans="1:4" ht="22.9" customHeight="1">
      <c r="A13" s="77" t="s">
        <v>269</v>
      </c>
      <c r="B13" s="192"/>
      <c r="C13" s="191"/>
      <c r="D13" s="187"/>
    </row>
    <row r="14" spans="1:4" ht="22.9" customHeight="1">
      <c r="A14" s="77" t="s">
        <v>270</v>
      </c>
      <c r="B14" s="192"/>
      <c r="C14" s="191">
        <v>1</v>
      </c>
      <c r="D14" s="187"/>
    </row>
    <row r="15" spans="1:4" ht="22.9" customHeight="1">
      <c r="A15" s="89" t="s">
        <v>232</v>
      </c>
      <c r="B15" s="189">
        <v>28132</v>
      </c>
      <c r="C15" s="189">
        <f>SUM(C16:C17)</f>
        <v>29320</v>
      </c>
      <c r="D15" s="186">
        <f>B15/C15*100</f>
        <v>95.9</v>
      </c>
    </row>
    <row r="16" spans="1:4" ht="22.9" customHeight="1">
      <c r="A16" s="78" t="s">
        <v>271</v>
      </c>
      <c r="B16" s="192"/>
      <c r="C16" s="191">
        <v>29120</v>
      </c>
      <c r="D16" s="187"/>
    </row>
    <row r="17" spans="1:4" ht="22.9" customHeight="1">
      <c r="A17" s="78" t="s">
        <v>272</v>
      </c>
      <c r="B17" s="192"/>
      <c r="C17" s="191">
        <v>200</v>
      </c>
      <c r="D17" s="187"/>
    </row>
    <row r="18" spans="1:4" ht="22.9" customHeight="1">
      <c r="A18" s="89" t="s">
        <v>233</v>
      </c>
      <c r="B18" s="189">
        <v>12055</v>
      </c>
      <c r="C18" s="189">
        <f>SUM(C19:C21)</f>
        <v>11955</v>
      </c>
      <c r="D18" s="186">
        <f>B18/C18*100</f>
        <v>100.8</v>
      </c>
    </row>
    <row r="19" spans="1:4" ht="22.9" customHeight="1">
      <c r="A19" s="79" t="s">
        <v>273</v>
      </c>
      <c r="B19" s="192"/>
      <c r="C19" s="191">
        <v>11465</v>
      </c>
      <c r="D19" s="187"/>
    </row>
    <row r="20" spans="1:4" ht="22.9" customHeight="1">
      <c r="A20" s="79" t="s">
        <v>274</v>
      </c>
      <c r="B20" s="192"/>
      <c r="C20" s="191"/>
      <c r="D20" s="187"/>
    </row>
    <row r="21" spans="1:4" ht="22.9" customHeight="1">
      <c r="A21" s="79" t="s">
        <v>275</v>
      </c>
      <c r="B21" s="192"/>
      <c r="C21" s="191">
        <v>490</v>
      </c>
      <c r="D21" s="187"/>
    </row>
    <row r="22" spans="1:4" ht="22.9" customHeight="1">
      <c r="A22" s="89" t="s">
        <v>234</v>
      </c>
      <c r="B22" s="189">
        <v>21588</v>
      </c>
      <c r="C22" s="189">
        <f>SUM(C23,C27,C31)</f>
        <v>18935</v>
      </c>
      <c r="D22" s="186">
        <f>B22/C22*100</f>
        <v>114</v>
      </c>
    </row>
    <row r="23" spans="1:4" ht="22.9" customHeight="1">
      <c r="A23" s="80" t="s">
        <v>235</v>
      </c>
      <c r="B23" s="171">
        <v>21588</v>
      </c>
      <c r="C23" s="190">
        <f>SUM(C24:C26)</f>
        <v>18935</v>
      </c>
      <c r="D23" s="187">
        <f>B23/C23*100</f>
        <v>114</v>
      </c>
    </row>
    <row r="24" spans="1:4" ht="22.9" customHeight="1">
      <c r="A24" s="81" t="s">
        <v>244</v>
      </c>
      <c r="B24" s="192"/>
      <c r="C24" s="191">
        <v>18835</v>
      </c>
      <c r="D24" s="187"/>
    </row>
    <row r="25" spans="1:4" ht="22.9" customHeight="1">
      <c r="A25" s="81" t="s">
        <v>245</v>
      </c>
      <c r="B25" s="192"/>
      <c r="C25" s="191"/>
      <c r="D25" s="187"/>
    </row>
    <row r="26" spans="1:4" ht="22.9" customHeight="1">
      <c r="A26" s="81" t="s">
        <v>246</v>
      </c>
      <c r="B26" s="192"/>
      <c r="C26" s="191">
        <v>100</v>
      </c>
      <c r="D26" s="187"/>
    </row>
    <row r="27" spans="1:4" ht="22.9" customHeight="1">
      <c r="A27" s="82" t="s">
        <v>236</v>
      </c>
      <c r="B27" s="192"/>
      <c r="C27" s="191"/>
      <c r="D27" s="187"/>
    </row>
    <row r="28" spans="1:4" ht="22.9" customHeight="1">
      <c r="A28" s="83" t="s">
        <v>247</v>
      </c>
      <c r="B28" s="192"/>
      <c r="C28" s="191"/>
      <c r="D28" s="187"/>
    </row>
    <row r="29" spans="1:4" ht="22.9" customHeight="1">
      <c r="A29" s="83" t="s">
        <v>248</v>
      </c>
      <c r="B29" s="192"/>
      <c r="C29" s="191"/>
      <c r="D29" s="187"/>
    </row>
    <row r="30" spans="1:4" ht="22.9" customHeight="1">
      <c r="A30" s="83" t="s">
        <v>249</v>
      </c>
      <c r="B30" s="192"/>
      <c r="C30" s="191"/>
      <c r="D30" s="187"/>
    </row>
    <row r="31" spans="1:4" ht="22.9" customHeight="1">
      <c r="A31" s="80" t="s">
        <v>237</v>
      </c>
      <c r="B31" s="192"/>
      <c r="C31" s="191"/>
      <c r="D31" s="187"/>
    </row>
    <row r="32" spans="1:4" ht="22.9" customHeight="1">
      <c r="A32" s="84" t="s">
        <v>250</v>
      </c>
      <c r="B32" s="192"/>
      <c r="C32" s="191"/>
      <c r="D32" s="187"/>
    </row>
    <row r="33" spans="1:4" ht="22.9" customHeight="1">
      <c r="A33" s="84" t="s">
        <v>248</v>
      </c>
      <c r="B33" s="192"/>
      <c r="C33" s="191"/>
      <c r="D33" s="187"/>
    </row>
    <row r="34" spans="1:4" ht="22.9" customHeight="1">
      <c r="A34" s="84" t="s">
        <v>251</v>
      </c>
      <c r="B34" s="192"/>
      <c r="C34" s="191"/>
      <c r="D34" s="187"/>
    </row>
    <row r="35" spans="1:4" ht="22.9" customHeight="1">
      <c r="A35" s="89" t="s">
        <v>238</v>
      </c>
      <c r="B35" s="189">
        <v>310</v>
      </c>
      <c r="C35" s="189">
        <f>SUM(C36:C40)</f>
        <v>660</v>
      </c>
      <c r="D35" s="186">
        <f>B35/C35*100</f>
        <v>47</v>
      </c>
    </row>
    <row r="36" spans="1:4" ht="22.9" customHeight="1">
      <c r="A36" s="85" t="s">
        <v>252</v>
      </c>
      <c r="B36" s="192"/>
      <c r="C36" s="134"/>
      <c r="D36" s="187"/>
    </row>
    <row r="37" spans="1:4" ht="22.9" customHeight="1">
      <c r="A37" s="85" t="s">
        <v>253</v>
      </c>
      <c r="B37" s="192"/>
      <c r="C37" s="191">
        <v>129</v>
      </c>
      <c r="D37" s="187"/>
    </row>
    <row r="38" spans="1:4" ht="22.9" customHeight="1">
      <c r="A38" s="85" t="s">
        <v>254</v>
      </c>
      <c r="B38" s="192"/>
      <c r="C38" s="191"/>
      <c r="D38" s="187"/>
    </row>
    <row r="39" spans="1:4" ht="22.9" customHeight="1">
      <c r="A39" s="85" t="s">
        <v>255</v>
      </c>
      <c r="B39" s="192"/>
      <c r="C39" s="191"/>
      <c r="D39" s="187"/>
    </row>
    <row r="40" spans="1:4" ht="22.9" customHeight="1">
      <c r="A40" s="85" t="s">
        <v>256</v>
      </c>
      <c r="B40" s="192"/>
      <c r="C40" s="191">
        <v>531</v>
      </c>
      <c r="D40" s="187"/>
    </row>
    <row r="41" spans="1:4" ht="22.9" customHeight="1">
      <c r="A41" s="89" t="s">
        <v>239</v>
      </c>
      <c r="B41" s="189">
        <v>376</v>
      </c>
      <c r="C41" s="189">
        <f>SUM(C42:C46)</f>
        <v>340</v>
      </c>
      <c r="D41" s="186">
        <f>B41/C41*100</f>
        <v>110.6</v>
      </c>
    </row>
    <row r="42" spans="1:4" ht="22.9" customHeight="1">
      <c r="A42" s="86" t="s">
        <v>285</v>
      </c>
      <c r="B42" s="192"/>
      <c r="C42" s="191"/>
      <c r="D42" s="187"/>
    </row>
    <row r="43" spans="1:4" ht="22.9" customHeight="1">
      <c r="A43" s="86" t="s">
        <v>257</v>
      </c>
      <c r="B43" s="192"/>
      <c r="C43" s="191">
        <v>251</v>
      </c>
      <c r="D43" s="187"/>
    </row>
    <row r="44" spans="1:4" ht="22.9" customHeight="1">
      <c r="A44" s="86" t="s">
        <v>284</v>
      </c>
      <c r="B44" s="192"/>
      <c r="C44" s="191"/>
      <c r="D44" s="187"/>
    </row>
    <row r="45" spans="1:4" ht="22.9" customHeight="1">
      <c r="A45" s="86" t="s">
        <v>258</v>
      </c>
      <c r="B45" s="192"/>
      <c r="C45" s="191"/>
      <c r="D45" s="187"/>
    </row>
    <row r="46" spans="1:4" ht="22.9" customHeight="1">
      <c r="A46" s="86" t="s">
        <v>259</v>
      </c>
      <c r="B46" s="192"/>
      <c r="C46" s="191">
        <v>89</v>
      </c>
      <c r="D46" s="187"/>
    </row>
    <row r="47" spans="1:4" ht="22.9" customHeight="1">
      <c r="A47" s="89" t="s">
        <v>240</v>
      </c>
      <c r="B47" s="189">
        <v>500</v>
      </c>
      <c r="C47" s="189">
        <f>SUM(C48:C52)</f>
        <v>470</v>
      </c>
      <c r="D47" s="186">
        <f>B47/C47*100</f>
        <v>106.4</v>
      </c>
    </row>
    <row r="48" spans="1:4" ht="22.9" customHeight="1">
      <c r="A48" s="87" t="s">
        <v>260</v>
      </c>
      <c r="B48" s="192"/>
      <c r="C48" s="191">
        <v>470</v>
      </c>
      <c r="D48" s="187"/>
    </row>
    <row r="49" spans="1:4" ht="22.9" customHeight="1">
      <c r="A49" s="87" t="s">
        <v>261</v>
      </c>
      <c r="B49" s="192"/>
      <c r="C49" s="191"/>
      <c r="D49" s="187"/>
    </row>
    <row r="50" spans="1:4" ht="22.9" customHeight="1">
      <c r="A50" s="87" t="s">
        <v>262</v>
      </c>
      <c r="B50" s="192"/>
      <c r="C50" s="191"/>
      <c r="D50" s="187"/>
    </row>
    <row r="51" spans="1:4" ht="22.9" customHeight="1">
      <c r="A51" s="87" t="s">
        <v>263</v>
      </c>
      <c r="B51" s="192"/>
      <c r="C51" s="191"/>
      <c r="D51" s="187"/>
    </row>
  </sheetData>
  <mergeCells count="1">
    <mergeCell ref="A2:D2"/>
  </mergeCells>
  <phoneticPr fontId="38" type="noConversion"/>
  <conditionalFormatting sqref="A5:A14">
    <cfRule type="expression" dxfId="0" priority="1" stopIfTrue="1">
      <formula>"len($A:$A)=3"</formula>
    </cfRule>
  </conditionalFormatting>
  <pageMargins left="0.70866141732283472" right="0.70866141732283472" top="0.74803149606299213" bottom="0.74803149606299213" header="0.31496062992125984" footer="0.31496062992125984"/>
  <pageSetup paperSize="9" scale="89" fitToHeight="0" orientation="portrait" r:id="rId1"/>
  <headerFooter>
    <oddFooter>&amp;C附表1-21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3"/>
  <sheetViews>
    <sheetView zoomScale="115" zoomScaleNormal="115" workbookViewId="0">
      <selection activeCell="A2" sqref="A2:E2"/>
    </sheetView>
  </sheetViews>
  <sheetFormatPr defaultRowHeight="14.25"/>
  <cols>
    <col min="1" max="1" width="44.125" customWidth="1"/>
    <col min="2" max="2" width="21.125" customWidth="1"/>
    <col min="3" max="5" width="15.75" customWidth="1"/>
    <col min="7" max="7" width="42.5" bestFit="1" customWidth="1"/>
  </cols>
  <sheetData>
    <row r="1" spans="1:5" ht="24.75" customHeight="1">
      <c r="A1" s="16" t="s">
        <v>477</v>
      </c>
    </row>
    <row r="2" spans="1:5" ht="37.5" customHeight="1">
      <c r="A2" s="383" t="s">
        <v>511</v>
      </c>
      <c r="B2" s="383"/>
      <c r="C2" s="383"/>
      <c r="D2" s="383"/>
      <c r="E2" s="383"/>
    </row>
    <row r="3" spans="1:5" ht="24.75" customHeight="1">
      <c r="A3" s="138"/>
      <c r="B3" s="138"/>
      <c r="C3" s="138"/>
      <c r="D3" s="139" t="s">
        <v>446</v>
      </c>
    </row>
    <row r="4" spans="1:5" ht="21.75" customHeight="1">
      <c r="A4" s="384" t="s">
        <v>444</v>
      </c>
      <c r="B4" s="385" t="s">
        <v>445</v>
      </c>
      <c r="C4" s="386" t="s">
        <v>447</v>
      </c>
      <c r="D4" s="386"/>
    </row>
    <row r="5" spans="1:5" ht="21" customHeight="1">
      <c r="A5" s="384"/>
      <c r="B5" s="385"/>
      <c r="C5" s="137" t="s">
        <v>448</v>
      </c>
      <c r="D5" s="137" t="s">
        <v>443</v>
      </c>
    </row>
    <row r="6" spans="1:5" ht="24.95" customHeight="1">
      <c r="A6" s="17" t="s">
        <v>22</v>
      </c>
      <c r="B6" s="210">
        <v>44872</v>
      </c>
      <c r="C6" s="210">
        <v>44872</v>
      </c>
      <c r="D6" s="237"/>
    </row>
    <row r="7" spans="1:5" ht="24.95" customHeight="1">
      <c r="A7" s="17" t="s">
        <v>449</v>
      </c>
      <c r="B7" s="210">
        <v>39405</v>
      </c>
      <c r="C7" s="210">
        <v>39405</v>
      </c>
      <c r="D7" s="237"/>
    </row>
    <row r="8" spans="1:5" ht="24.95" customHeight="1">
      <c r="A8" s="17" t="s">
        <v>450</v>
      </c>
      <c r="B8" s="210">
        <v>79474</v>
      </c>
      <c r="C8" s="210">
        <v>79474</v>
      </c>
      <c r="D8" s="237"/>
    </row>
    <row r="9" spans="1:5" ht="24.95" customHeight="1">
      <c r="A9" s="17" t="s">
        <v>451</v>
      </c>
      <c r="B9" s="210">
        <v>648</v>
      </c>
      <c r="C9" s="210">
        <v>648</v>
      </c>
      <c r="D9" s="237"/>
    </row>
    <row r="10" spans="1:5" ht="24.95" customHeight="1">
      <c r="A10" s="17" t="s">
        <v>452</v>
      </c>
      <c r="B10" s="210">
        <v>10385</v>
      </c>
      <c r="C10" s="210">
        <v>10385</v>
      </c>
      <c r="D10" s="237"/>
    </row>
    <row r="11" spans="1:5" ht="24.95" customHeight="1">
      <c r="A11" s="17" t="s">
        <v>453</v>
      </c>
      <c r="B11" s="210">
        <v>45869</v>
      </c>
      <c r="C11" s="210">
        <v>45869</v>
      </c>
      <c r="D11" s="237"/>
    </row>
    <row r="12" spans="1:5" ht="24.95" customHeight="1">
      <c r="A12" s="17" t="s">
        <v>454</v>
      </c>
      <c r="B12" s="210">
        <v>28645</v>
      </c>
      <c r="C12" s="210">
        <v>28645</v>
      </c>
      <c r="D12" s="237"/>
    </row>
    <row r="13" spans="1:5" ht="24.95" customHeight="1">
      <c r="A13" s="17" t="s">
        <v>455</v>
      </c>
      <c r="B13" s="210">
        <v>5223</v>
      </c>
      <c r="C13" s="210">
        <v>5223</v>
      </c>
      <c r="D13" s="237"/>
    </row>
    <row r="14" spans="1:5" ht="24.95" customHeight="1">
      <c r="A14" s="17" t="s">
        <v>456</v>
      </c>
      <c r="B14" s="210">
        <f>C14+D14</f>
        <v>472972</v>
      </c>
      <c r="C14" s="210">
        <v>170372</v>
      </c>
      <c r="D14" s="174">
        <v>302600</v>
      </c>
    </row>
    <row r="15" spans="1:5" ht="24.95" customHeight="1">
      <c r="A15" s="17" t="s">
        <v>457</v>
      </c>
      <c r="B15" s="210">
        <v>13047</v>
      </c>
      <c r="C15" s="210">
        <v>13047</v>
      </c>
      <c r="D15" s="237"/>
    </row>
    <row r="16" spans="1:5" ht="24.95" customHeight="1">
      <c r="A16" s="17" t="s">
        <v>458</v>
      </c>
      <c r="B16" s="210">
        <v>4643</v>
      </c>
      <c r="C16" s="210">
        <v>4643</v>
      </c>
      <c r="D16" s="237"/>
    </row>
    <row r="17" spans="1:4" ht="24.95" customHeight="1">
      <c r="A17" s="17" t="s">
        <v>459</v>
      </c>
      <c r="B17" s="210">
        <v>84006</v>
      </c>
      <c r="C17" s="210">
        <v>84006</v>
      </c>
      <c r="D17" s="237"/>
    </row>
    <row r="18" spans="1:4" ht="24.95" customHeight="1">
      <c r="A18" s="17" t="s">
        <v>460</v>
      </c>
      <c r="B18" s="210">
        <v>13447</v>
      </c>
      <c r="C18" s="210">
        <v>13447</v>
      </c>
      <c r="D18" s="237"/>
    </row>
    <row r="19" spans="1:4" ht="24.95" customHeight="1">
      <c r="A19" s="17" t="s">
        <v>461</v>
      </c>
      <c r="B19" s="210">
        <v>250</v>
      </c>
      <c r="C19" s="210">
        <v>250</v>
      </c>
      <c r="D19" s="237"/>
    </row>
    <row r="20" spans="1:4" ht="24.95" customHeight="1">
      <c r="A20" s="17" t="s">
        <v>462</v>
      </c>
      <c r="B20" s="238">
        <v>0</v>
      </c>
      <c r="C20" s="238">
        <v>0</v>
      </c>
      <c r="D20" s="237"/>
    </row>
    <row r="21" spans="1:4" ht="24.95" customHeight="1">
      <c r="A21" s="17" t="s">
        <v>463</v>
      </c>
      <c r="B21" s="210">
        <v>8422</v>
      </c>
      <c r="C21" s="210">
        <v>8422</v>
      </c>
      <c r="D21" s="237"/>
    </row>
    <row r="22" spans="1:4" ht="24.95" customHeight="1">
      <c r="A22" s="17" t="s">
        <v>464</v>
      </c>
      <c r="B22" s="210">
        <v>17629</v>
      </c>
      <c r="C22" s="210">
        <v>17629</v>
      </c>
      <c r="D22" s="237"/>
    </row>
    <row r="23" spans="1:4" ht="24.95" customHeight="1">
      <c r="A23" s="17" t="s">
        <v>465</v>
      </c>
      <c r="B23" s="210">
        <v>1683</v>
      </c>
      <c r="C23" s="210">
        <v>1683</v>
      </c>
      <c r="D23" s="237"/>
    </row>
  </sheetData>
  <mergeCells count="4">
    <mergeCell ref="A2:E2"/>
    <mergeCell ref="A4:A5"/>
    <mergeCell ref="B4:B5"/>
    <mergeCell ref="C4:D4"/>
  </mergeCells>
  <phoneticPr fontId="38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7" orientation="portrait" r:id="rId1"/>
  <headerFooter>
    <oddFooter>&amp;C附表1-22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2" sqref="A2:C2"/>
    </sheetView>
  </sheetViews>
  <sheetFormatPr defaultColWidth="8.75" defaultRowHeight="14.25"/>
  <cols>
    <col min="1" max="1" width="10.25" style="135" customWidth="1"/>
    <col min="2" max="2" width="30.875" style="135" customWidth="1"/>
    <col min="3" max="3" width="32.625" style="135" customWidth="1"/>
    <col min="4" max="16384" width="8.75" style="135"/>
  </cols>
  <sheetData>
    <row r="1" spans="1:3" ht="27.6" customHeight="1">
      <c r="A1" s="149" t="s">
        <v>478</v>
      </c>
    </row>
    <row r="2" spans="1:3" ht="29.45" customHeight="1">
      <c r="A2" s="388" t="s">
        <v>1959</v>
      </c>
      <c r="B2" s="388"/>
      <c r="C2" s="388"/>
    </row>
    <row r="3" spans="1:3" ht="25.9" customHeight="1">
      <c r="B3" s="147"/>
      <c r="C3" s="148" t="s">
        <v>471</v>
      </c>
    </row>
    <row r="4" spans="1:3" ht="34.9" customHeight="1">
      <c r="A4" s="389" t="s">
        <v>472</v>
      </c>
      <c r="B4" s="390"/>
      <c r="C4" s="391"/>
    </row>
    <row r="5" spans="1:3" ht="33" customHeight="1">
      <c r="A5" s="387" t="s">
        <v>1968</v>
      </c>
      <c r="B5" s="387"/>
      <c r="C5" s="334">
        <v>248335</v>
      </c>
    </row>
    <row r="6" spans="1:3" ht="33" customHeight="1">
      <c r="A6" s="387" t="s">
        <v>1969</v>
      </c>
      <c r="B6" s="387"/>
      <c r="C6" s="334">
        <v>183015</v>
      </c>
    </row>
    <row r="7" spans="1:3" ht="33" customHeight="1">
      <c r="A7" s="387" t="s">
        <v>1970</v>
      </c>
      <c r="B7" s="387"/>
      <c r="C7" s="334">
        <v>0</v>
      </c>
    </row>
    <row r="8" spans="1:3" ht="33" customHeight="1">
      <c r="A8" s="387" t="s">
        <v>1971</v>
      </c>
      <c r="B8" s="387"/>
      <c r="C8" s="334">
        <v>431350</v>
      </c>
    </row>
    <row r="9" spans="1:3" ht="34.15" customHeight="1">
      <c r="A9" s="389" t="s">
        <v>473</v>
      </c>
      <c r="B9" s="390"/>
      <c r="C9" s="391"/>
    </row>
    <row r="10" spans="1:3" ht="33" customHeight="1">
      <c r="A10" s="387" t="s">
        <v>1972</v>
      </c>
      <c r="B10" s="387"/>
      <c r="C10" s="334">
        <v>461350</v>
      </c>
    </row>
    <row r="11" spans="1:3" ht="33" customHeight="1">
      <c r="A11" s="387" t="s">
        <v>1973</v>
      </c>
      <c r="B11" s="387"/>
      <c r="C11" s="334">
        <v>310300</v>
      </c>
    </row>
    <row r="12" spans="1:3" ht="33" customHeight="1">
      <c r="A12" s="387" t="s">
        <v>1974</v>
      </c>
      <c r="B12" s="387"/>
      <c r="C12" s="334">
        <v>771650</v>
      </c>
    </row>
  </sheetData>
  <mergeCells count="10">
    <mergeCell ref="A10:B10"/>
    <mergeCell ref="A11:B11"/>
    <mergeCell ref="A12:B12"/>
    <mergeCell ref="A2:C2"/>
    <mergeCell ref="A4:C4"/>
    <mergeCell ref="A9:C9"/>
    <mergeCell ref="A5:B5"/>
    <mergeCell ref="A6:B6"/>
    <mergeCell ref="A7:B7"/>
    <mergeCell ref="A8:B8"/>
  </mergeCells>
  <phoneticPr fontId="38" type="noConversion"/>
  <pageMargins left="0.7" right="0.7" top="0.75" bottom="0.75" header="0.3" footer="0.3"/>
  <pageSetup paperSize="9" orientation="portrait" r:id="rId1"/>
  <headerFooter>
    <oddFooter>&amp;C附表1-23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B15" sqref="B15"/>
    </sheetView>
  </sheetViews>
  <sheetFormatPr defaultColWidth="8.75" defaultRowHeight="14.25"/>
  <cols>
    <col min="1" max="1" width="10.25" style="135" customWidth="1"/>
    <col min="2" max="2" width="30.875" style="135" customWidth="1"/>
    <col min="3" max="3" width="32.625" style="135" customWidth="1"/>
    <col min="4" max="16384" width="8.75" style="135"/>
  </cols>
  <sheetData>
    <row r="1" spans="1:3" ht="27.6" customHeight="1">
      <c r="A1" s="149" t="s">
        <v>476</v>
      </c>
    </row>
    <row r="2" spans="1:3" ht="29.45" customHeight="1">
      <c r="A2" s="388" t="s">
        <v>1960</v>
      </c>
      <c r="B2" s="388"/>
      <c r="C2" s="388"/>
    </row>
    <row r="3" spans="1:3" ht="25.9" customHeight="1">
      <c r="B3" s="147"/>
      <c r="C3" s="148" t="s">
        <v>471</v>
      </c>
    </row>
    <row r="4" spans="1:3" ht="34.9" customHeight="1">
      <c r="A4" s="389" t="s">
        <v>472</v>
      </c>
      <c r="B4" s="390"/>
      <c r="C4" s="391"/>
    </row>
    <row r="5" spans="1:3" ht="33" customHeight="1">
      <c r="A5" s="387" t="s">
        <v>1961</v>
      </c>
      <c r="B5" s="387"/>
      <c r="C5" s="150">
        <v>2944916.57</v>
      </c>
    </row>
    <row r="6" spans="1:3" ht="33" customHeight="1">
      <c r="A6" s="387" t="s">
        <v>1962</v>
      </c>
      <c r="B6" s="387"/>
      <c r="C6" s="150">
        <v>1042604</v>
      </c>
    </row>
    <row r="7" spans="1:3" ht="33" customHeight="1">
      <c r="A7" s="387" t="s">
        <v>1963</v>
      </c>
      <c r="B7" s="387"/>
      <c r="C7" s="150">
        <v>1050092.45</v>
      </c>
    </row>
    <row r="8" spans="1:3" ht="33" customHeight="1">
      <c r="A8" s="387" t="s">
        <v>1964</v>
      </c>
      <c r="B8" s="387"/>
      <c r="C8" s="150">
        <v>2937428.12</v>
      </c>
    </row>
    <row r="9" spans="1:3" ht="34.15" customHeight="1">
      <c r="A9" s="389" t="s">
        <v>473</v>
      </c>
      <c r="B9" s="390"/>
      <c r="C9" s="391"/>
    </row>
    <row r="10" spans="1:3" ht="33" customHeight="1">
      <c r="A10" s="387" t="s">
        <v>1965</v>
      </c>
      <c r="B10" s="387"/>
      <c r="C10" s="333">
        <v>3108110</v>
      </c>
    </row>
    <row r="11" spans="1:3" ht="33" customHeight="1">
      <c r="A11" s="387" t="s">
        <v>1966</v>
      </c>
      <c r="B11" s="387"/>
      <c r="C11" s="333">
        <v>-210000</v>
      </c>
    </row>
    <row r="12" spans="1:3" ht="33" customHeight="1">
      <c r="A12" s="387" t="s">
        <v>1967</v>
      </c>
      <c r="B12" s="387"/>
      <c r="C12" s="333">
        <v>2898110</v>
      </c>
    </row>
  </sheetData>
  <mergeCells count="10">
    <mergeCell ref="A9:C9"/>
    <mergeCell ref="A10:B10"/>
    <mergeCell ref="A11:B11"/>
    <mergeCell ref="A12:B12"/>
    <mergeCell ref="A2:C2"/>
    <mergeCell ref="A4:C4"/>
    <mergeCell ref="A5:B5"/>
    <mergeCell ref="A6:B6"/>
    <mergeCell ref="A7:B7"/>
    <mergeCell ref="A8:B8"/>
  </mergeCells>
  <phoneticPr fontId="38" type="noConversion"/>
  <pageMargins left="0.7" right="0.7" top="0.75" bottom="0.75" header="0.3" footer="0.3"/>
  <pageSetup paperSize="9" orientation="portrait" r:id="rId1"/>
  <headerFooter>
    <oddFooter>&amp;C附表1-24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>
  <dimension ref="A2:F45"/>
  <sheetViews>
    <sheetView workbookViewId="0">
      <selection activeCell="B6" sqref="B6:E45"/>
    </sheetView>
  </sheetViews>
  <sheetFormatPr defaultRowHeight="14.25"/>
  <cols>
    <col min="1" max="1" width="27.25" style="249" customWidth="1"/>
    <col min="2" max="2" width="12.375" style="249" customWidth="1"/>
    <col min="3" max="3" width="11.375" style="249" customWidth="1"/>
    <col min="4" max="4" width="12.5" style="249" customWidth="1"/>
    <col min="5" max="5" width="11.375" style="249" customWidth="1"/>
    <col min="6" max="6" width="14.375" style="249" hidden="1" customWidth="1"/>
    <col min="7" max="7" width="20.625" style="249" customWidth="1"/>
    <col min="8" max="16384" width="9" style="249"/>
  </cols>
  <sheetData>
    <row r="2" spans="1:6">
      <c r="A2" s="249" t="s">
        <v>566</v>
      </c>
    </row>
    <row r="3" spans="1:6" ht="20.25">
      <c r="A3" s="392" t="s">
        <v>565</v>
      </c>
      <c r="B3" s="392"/>
      <c r="C3" s="392"/>
      <c r="D3" s="392"/>
      <c r="E3" s="392"/>
    </row>
    <row r="4" spans="1:6">
      <c r="E4" s="249" t="s">
        <v>109</v>
      </c>
    </row>
    <row r="5" spans="1:6" ht="30" customHeight="1">
      <c r="A5" s="239" t="s">
        <v>564</v>
      </c>
      <c r="B5" s="239" t="s">
        <v>563</v>
      </c>
      <c r="C5" s="239" t="s">
        <v>409</v>
      </c>
      <c r="D5" s="255" t="s">
        <v>562</v>
      </c>
      <c r="E5" s="255" t="s">
        <v>561</v>
      </c>
      <c r="F5" s="254" t="s">
        <v>560</v>
      </c>
    </row>
    <row r="6" spans="1:6">
      <c r="A6" s="252" t="s">
        <v>21</v>
      </c>
      <c r="B6" s="317">
        <f>SUM(B7:B22)</f>
        <v>162050</v>
      </c>
      <c r="C6" s="317">
        <f>SUM(C7:C22)</f>
        <v>181432</v>
      </c>
      <c r="D6" s="318">
        <f>C6/B6*100</f>
        <v>111.96</v>
      </c>
      <c r="E6" s="318">
        <f>C6/F6*100</f>
        <v>123.61</v>
      </c>
      <c r="F6" s="250">
        <f>SUM(F7:F22)</f>
        <v>146781</v>
      </c>
    </row>
    <row r="7" spans="1:6">
      <c r="A7" s="252" t="s">
        <v>29</v>
      </c>
      <c r="B7" s="317">
        <f>6300+37300</f>
        <v>43600</v>
      </c>
      <c r="C7" s="317">
        <v>48489</v>
      </c>
      <c r="D7" s="318">
        <f>C7/B7*100</f>
        <v>111.21</v>
      </c>
      <c r="E7" s="318">
        <f>C7/F7*100</f>
        <v>370.97</v>
      </c>
      <c r="F7" s="250">
        <f>3210+9861</f>
        <v>13071</v>
      </c>
    </row>
    <row r="8" spans="1:6">
      <c r="A8" s="252" t="s">
        <v>30</v>
      </c>
      <c r="B8" s="317">
        <v>33300</v>
      </c>
      <c r="C8" s="317">
        <v>33275</v>
      </c>
      <c r="D8" s="318">
        <f>C8/B8*100</f>
        <v>99.92</v>
      </c>
      <c r="E8" s="318">
        <f>C8/F8*100</f>
        <v>53.12</v>
      </c>
      <c r="F8" s="250">
        <v>62638</v>
      </c>
    </row>
    <row r="9" spans="1:6">
      <c r="A9" s="252" t="s">
        <v>31</v>
      </c>
      <c r="B9" s="317">
        <v>28020</v>
      </c>
      <c r="C9" s="317">
        <v>30661</v>
      </c>
      <c r="D9" s="318">
        <f>C9/B9*100</f>
        <v>109.43</v>
      </c>
      <c r="E9" s="318">
        <f>C9/F9*100</f>
        <v>140.85</v>
      </c>
      <c r="F9" s="250">
        <v>21768</v>
      </c>
    </row>
    <row r="10" spans="1:6" hidden="1">
      <c r="A10" s="252" t="s">
        <v>32</v>
      </c>
      <c r="B10" s="317"/>
      <c r="C10" s="317"/>
      <c r="D10" s="318"/>
      <c r="E10" s="318"/>
      <c r="F10" s="250"/>
    </row>
    <row r="11" spans="1:6">
      <c r="A11" s="252" t="s">
        <v>33</v>
      </c>
      <c r="B11" s="317">
        <v>10500</v>
      </c>
      <c r="C11" s="317">
        <v>14189</v>
      </c>
      <c r="D11" s="318">
        <f t="shared" ref="D11:D20" si="0">C11/B11*100</f>
        <v>135.13</v>
      </c>
      <c r="E11" s="318">
        <f t="shared" ref="E11:E20" si="1">C11/F11*100</f>
        <v>171.05</v>
      </c>
      <c r="F11" s="250">
        <v>8295</v>
      </c>
    </row>
    <row r="12" spans="1:6">
      <c r="A12" s="252" t="s">
        <v>34</v>
      </c>
      <c r="B12" s="317">
        <v>70</v>
      </c>
      <c r="C12" s="317">
        <v>53</v>
      </c>
      <c r="D12" s="318">
        <f t="shared" si="0"/>
        <v>75.709999999999994</v>
      </c>
      <c r="E12" s="318">
        <f t="shared" si="1"/>
        <v>79.099999999999994</v>
      </c>
      <c r="F12" s="250">
        <v>67</v>
      </c>
    </row>
    <row r="13" spans="1:6">
      <c r="A13" s="252" t="s">
        <v>35</v>
      </c>
      <c r="B13" s="317">
        <v>8920</v>
      </c>
      <c r="C13" s="317">
        <v>9012</v>
      </c>
      <c r="D13" s="318">
        <f t="shared" si="0"/>
        <v>101.03</v>
      </c>
      <c r="E13" s="318">
        <f t="shared" si="1"/>
        <v>140.11000000000001</v>
      </c>
      <c r="F13" s="250">
        <v>6432</v>
      </c>
    </row>
    <row r="14" spans="1:6">
      <c r="A14" s="252" t="s">
        <v>36</v>
      </c>
      <c r="B14" s="317">
        <v>2115</v>
      </c>
      <c r="C14" s="317">
        <v>2276</v>
      </c>
      <c r="D14" s="318">
        <f t="shared" si="0"/>
        <v>107.61</v>
      </c>
      <c r="E14" s="318">
        <f t="shared" si="1"/>
        <v>121.58</v>
      </c>
      <c r="F14" s="250">
        <v>1872</v>
      </c>
    </row>
    <row r="15" spans="1:6">
      <c r="A15" s="252" t="s">
        <v>37</v>
      </c>
      <c r="B15" s="317">
        <v>3500</v>
      </c>
      <c r="C15" s="317">
        <v>4301</v>
      </c>
      <c r="D15" s="318">
        <f t="shared" si="0"/>
        <v>122.89</v>
      </c>
      <c r="E15" s="318">
        <f t="shared" si="1"/>
        <v>187.33</v>
      </c>
      <c r="F15" s="250">
        <v>2296</v>
      </c>
    </row>
    <row r="16" spans="1:6">
      <c r="A16" s="252" t="s">
        <v>38</v>
      </c>
      <c r="B16" s="317">
        <v>5070</v>
      </c>
      <c r="C16" s="317">
        <v>5720</v>
      </c>
      <c r="D16" s="318">
        <f t="shared" si="0"/>
        <v>112.82</v>
      </c>
      <c r="E16" s="318">
        <f t="shared" si="1"/>
        <v>125.6</v>
      </c>
      <c r="F16" s="250">
        <v>4554</v>
      </c>
    </row>
    <row r="17" spans="1:6">
      <c r="A17" s="252" t="s">
        <v>39</v>
      </c>
      <c r="B17" s="317">
        <v>19500</v>
      </c>
      <c r="C17" s="317">
        <v>25162</v>
      </c>
      <c r="D17" s="318">
        <f t="shared" si="0"/>
        <v>129.04</v>
      </c>
      <c r="E17" s="318">
        <f t="shared" si="1"/>
        <v>155.33000000000001</v>
      </c>
      <c r="F17" s="250">
        <v>16199</v>
      </c>
    </row>
    <row r="18" spans="1:6">
      <c r="A18" s="252" t="s">
        <v>40</v>
      </c>
      <c r="B18" s="317">
        <v>1555</v>
      </c>
      <c r="C18" s="317">
        <v>1619</v>
      </c>
      <c r="D18" s="318">
        <f t="shared" si="0"/>
        <v>104.12</v>
      </c>
      <c r="E18" s="318">
        <f t="shared" si="1"/>
        <v>114.74</v>
      </c>
      <c r="F18" s="250">
        <v>1411</v>
      </c>
    </row>
    <row r="19" spans="1:6">
      <c r="A19" s="252" t="s">
        <v>41</v>
      </c>
      <c r="B19" s="317">
        <v>100</v>
      </c>
      <c r="C19" s="317">
        <v>87</v>
      </c>
      <c r="D19" s="318">
        <f t="shared" si="0"/>
        <v>87</v>
      </c>
      <c r="E19" s="318">
        <f t="shared" si="1"/>
        <v>212.2</v>
      </c>
      <c r="F19" s="250">
        <v>41</v>
      </c>
    </row>
    <row r="20" spans="1:6">
      <c r="A20" s="252" t="s">
        <v>42</v>
      </c>
      <c r="B20" s="317">
        <v>5800</v>
      </c>
      <c r="C20" s="317">
        <v>6588</v>
      </c>
      <c r="D20" s="318">
        <f t="shared" si="0"/>
        <v>113.59</v>
      </c>
      <c r="E20" s="318">
        <f t="shared" si="1"/>
        <v>80.959999999999994</v>
      </c>
      <c r="F20" s="250">
        <v>8137</v>
      </c>
    </row>
    <row r="21" spans="1:6" hidden="1">
      <c r="A21" s="252" t="s">
        <v>43</v>
      </c>
      <c r="B21" s="317"/>
      <c r="C21" s="317"/>
      <c r="D21" s="318"/>
      <c r="E21" s="318"/>
      <c r="F21" s="250"/>
    </row>
    <row r="22" spans="1:6" hidden="1">
      <c r="A22" s="252" t="s">
        <v>44</v>
      </c>
      <c r="B22" s="317"/>
      <c r="C22" s="317"/>
      <c r="D22" s="318"/>
      <c r="E22" s="318"/>
      <c r="F22" s="250"/>
    </row>
    <row r="23" spans="1:6">
      <c r="A23" s="252" t="s">
        <v>23</v>
      </c>
      <c r="B23" s="317">
        <f>SUM(B24:B31)</f>
        <v>68550</v>
      </c>
      <c r="C23" s="317">
        <f>SUM(C24:C31)</f>
        <v>83130</v>
      </c>
      <c r="D23" s="318">
        <f t="shared" ref="D23:D28" si="2">C23/B23*100</f>
        <v>121.27</v>
      </c>
      <c r="E23" s="318">
        <f t="shared" ref="E23:E28" si="3">C23/F23*100</f>
        <v>170.91</v>
      </c>
      <c r="F23" s="250">
        <f>SUM(F24:F31)</f>
        <v>48640</v>
      </c>
    </row>
    <row r="24" spans="1:6">
      <c r="A24" s="252" t="s">
        <v>45</v>
      </c>
      <c r="B24" s="317">
        <v>23450</v>
      </c>
      <c r="C24" s="317">
        <v>24080</v>
      </c>
      <c r="D24" s="318">
        <f t="shared" si="2"/>
        <v>102.69</v>
      </c>
      <c r="E24" s="318">
        <f t="shared" si="3"/>
        <v>101.96</v>
      </c>
      <c r="F24" s="250">
        <v>23618</v>
      </c>
    </row>
    <row r="25" spans="1:6">
      <c r="A25" s="252" t="s">
        <v>46</v>
      </c>
      <c r="B25" s="317">
        <v>5400</v>
      </c>
      <c r="C25" s="317">
        <v>7727</v>
      </c>
      <c r="D25" s="318">
        <f t="shared" si="2"/>
        <v>143.09</v>
      </c>
      <c r="E25" s="318">
        <f t="shared" si="3"/>
        <v>136.81</v>
      </c>
      <c r="F25" s="250">
        <v>5648</v>
      </c>
    </row>
    <row r="26" spans="1:6">
      <c r="A26" s="252" t="s">
        <v>47</v>
      </c>
      <c r="B26" s="317">
        <v>34610</v>
      </c>
      <c r="C26" s="317">
        <v>35025</v>
      </c>
      <c r="D26" s="318">
        <f t="shared" si="2"/>
        <v>101.2</v>
      </c>
      <c r="E26" s="318">
        <f t="shared" si="3"/>
        <v>860.99</v>
      </c>
      <c r="F26" s="250">
        <v>4068</v>
      </c>
    </row>
    <row r="27" spans="1:6">
      <c r="A27" s="252" t="s">
        <v>48</v>
      </c>
      <c r="B27" s="317">
        <v>1000</v>
      </c>
      <c r="C27" s="317">
        <v>1000</v>
      </c>
      <c r="D27" s="318">
        <f t="shared" si="2"/>
        <v>100</v>
      </c>
      <c r="E27" s="318">
        <f t="shared" si="3"/>
        <v>456.62</v>
      </c>
      <c r="F27" s="250">
        <v>219</v>
      </c>
    </row>
    <row r="28" spans="1:6">
      <c r="A28" s="253" t="s">
        <v>49</v>
      </c>
      <c r="B28" s="317">
        <v>3200</v>
      </c>
      <c r="C28" s="317">
        <v>13986</v>
      </c>
      <c r="D28" s="318">
        <f t="shared" si="2"/>
        <v>437.06</v>
      </c>
      <c r="E28" s="318">
        <f t="shared" si="3"/>
        <v>98.24</v>
      </c>
      <c r="F28" s="250">
        <v>14236</v>
      </c>
    </row>
    <row r="29" spans="1:6" hidden="1">
      <c r="A29" s="252" t="s">
        <v>50</v>
      </c>
      <c r="B29" s="317"/>
      <c r="C29" s="317"/>
      <c r="D29" s="318"/>
      <c r="E29" s="318"/>
      <c r="F29" s="250"/>
    </row>
    <row r="30" spans="1:6">
      <c r="A30" s="252" t="s">
        <v>51</v>
      </c>
      <c r="B30" s="317">
        <v>888</v>
      </c>
      <c r="C30" s="317">
        <v>888</v>
      </c>
      <c r="D30" s="318">
        <f>C30/B30*100</f>
        <v>100</v>
      </c>
      <c r="E30" s="318"/>
      <c r="F30" s="250">
        <v>0</v>
      </c>
    </row>
    <row r="31" spans="1:6">
      <c r="A31" s="252" t="s">
        <v>52</v>
      </c>
      <c r="B31" s="317">
        <v>2</v>
      </c>
      <c r="C31" s="317">
        <v>424</v>
      </c>
      <c r="D31" s="318">
        <f>C31/B31*100</f>
        <v>21200</v>
      </c>
      <c r="E31" s="318">
        <f>C31/F31*100</f>
        <v>49.82</v>
      </c>
      <c r="F31" s="250">
        <v>851</v>
      </c>
    </row>
    <row r="32" spans="1:6">
      <c r="A32" s="252" t="s">
        <v>559</v>
      </c>
      <c r="B32" s="317">
        <f>B6+B23</f>
        <v>230600</v>
      </c>
      <c r="C32" s="317">
        <f>C6+C23</f>
        <v>264562</v>
      </c>
      <c r="D32" s="318">
        <f>C32/B32*100</f>
        <v>114.73</v>
      </c>
      <c r="E32" s="318">
        <f>C32/F32*100</f>
        <v>135.38</v>
      </c>
      <c r="F32" s="250">
        <f>F6+F23</f>
        <v>195421</v>
      </c>
    </row>
    <row r="33" spans="1:6">
      <c r="A33" s="252" t="s">
        <v>558</v>
      </c>
      <c r="B33" s="317"/>
      <c r="C33" s="317"/>
      <c r="D33" s="318"/>
      <c r="E33" s="318"/>
      <c r="F33" s="250"/>
    </row>
    <row r="34" spans="1:6">
      <c r="A34" s="252" t="s">
        <v>557</v>
      </c>
      <c r="B34" s="317"/>
      <c r="C34" s="317">
        <f>SUM(C39:C44)+C35</f>
        <v>955397</v>
      </c>
      <c r="D34" s="318"/>
      <c r="E34" s="318">
        <f>C34/F34*100</f>
        <v>101.42</v>
      </c>
      <c r="F34" s="250">
        <f>SUM(F39:F44)+F35</f>
        <v>942053</v>
      </c>
    </row>
    <row r="35" spans="1:6">
      <c r="A35" s="252" t="s">
        <v>556</v>
      </c>
      <c r="B35" s="317"/>
      <c r="C35" s="317">
        <f>SUM(C36:C38)</f>
        <v>355077</v>
      </c>
      <c r="D35" s="318"/>
      <c r="E35" s="318">
        <f>C35/F35*100</f>
        <v>84.64</v>
      </c>
      <c r="F35" s="250">
        <f>SUM(F36:F38)</f>
        <v>419520</v>
      </c>
    </row>
    <row r="36" spans="1:6">
      <c r="A36" s="252" t="s">
        <v>555</v>
      </c>
      <c r="B36" s="317"/>
      <c r="C36" s="317">
        <v>18049</v>
      </c>
      <c r="D36" s="318"/>
      <c r="E36" s="318">
        <f>C36/F36*100</f>
        <v>1145.24</v>
      </c>
      <c r="F36" s="250">
        <v>1576</v>
      </c>
    </row>
    <row r="37" spans="1:6">
      <c r="A37" s="252" t="s">
        <v>554</v>
      </c>
      <c r="B37" s="317"/>
      <c r="C37" s="317">
        <v>235554</v>
      </c>
      <c r="D37" s="318"/>
      <c r="E37" s="318">
        <f>C37/F37*100</f>
        <v>72.69</v>
      </c>
      <c r="F37" s="250">
        <v>324072</v>
      </c>
    </row>
    <row r="38" spans="1:6">
      <c r="A38" s="252" t="s">
        <v>553</v>
      </c>
      <c r="B38" s="317"/>
      <c r="C38" s="317">
        <v>101474</v>
      </c>
      <c r="D38" s="318"/>
      <c r="E38" s="318">
        <f>C38/F38*100</f>
        <v>108.1</v>
      </c>
      <c r="F38" s="250">
        <v>93872</v>
      </c>
    </row>
    <row r="39" spans="1:6">
      <c r="A39" s="252" t="s">
        <v>552</v>
      </c>
      <c r="B39" s="317"/>
      <c r="C39" s="317"/>
      <c r="D39" s="318"/>
      <c r="E39" s="318"/>
      <c r="F39" s="250"/>
    </row>
    <row r="40" spans="1:6">
      <c r="A40" s="252" t="s">
        <v>551</v>
      </c>
      <c r="B40" s="317"/>
      <c r="C40" s="317">
        <v>66083</v>
      </c>
      <c r="D40" s="318"/>
      <c r="E40" s="318">
        <f>C40/F40*100</f>
        <v>41.14</v>
      </c>
      <c r="F40" s="250">
        <v>160647</v>
      </c>
    </row>
    <row r="41" spans="1:6">
      <c r="A41" s="252" t="s">
        <v>550</v>
      </c>
      <c r="B41" s="317"/>
      <c r="C41" s="317">
        <v>79772</v>
      </c>
      <c r="D41" s="318"/>
      <c r="E41" s="318">
        <f>C41/F41*100</f>
        <v>398.86</v>
      </c>
      <c r="F41" s="250">
        <v>20000</v>
      </c>
    </row>
    <row r="42" spans="1:6">
      <c r="A42" s="252" t="s">
        <v>549</v>
      </c>
      <c r="B42" s="317"/>
      <c r="C42" s="317">
        <v>271450</v>
      </c>
      <c r="D42" s="318"/>
      <c r="E42" s="318">
        <f>C42/F42*100</f>
        <v>290.16000000000003</v>
      </c>
      <c r="F42" s="250">
        <v>93551</v>
      </c>
    </row>
    <row r="43" spans="1:6">
      <c r="A43" s="252" t="s">
        <v>548</v>
      </c>
      <c r="B43" s="317"/>
      <c r="C43" s="317">
        <v>183015</v>
      </c>
      <c r="D43" s="318"/>
      <c r="E43" s="318">
        <f>C43/F43*100</f>
        <v>73.7</v>
      </c>
      <c r="F43" s="250">
        <v>248335</v>
      </c>
    </row>
    <row r="44" spans="1:6">
      <c r="A44" s="252" t="s">
        <v>547</v>
      </c>
      <c r="B44" s="317"/>
      <c r="C44" s="317"/>
      <c r="D44" s="318"/>
      <c r="E44" s="318"/>
      <c r="F44" s="250"/>
    </row>
    <row r="45" spans="1:6">
      <c r="A45" s="252" t="s">
        <v>28</v>
      </c>
      <c r="B45" s="317"/>
      <c r="C45" s="317">
        <f>C32+C33+C34</f>
        <v>1219959</v>
      </c>
      <c r="D45" s="318"/>
      <c r="E45" s="318">
        <f>C45/F45*100</f>
        <v>107.25</v>
      </c>
      <c r="F45" s="250">
        <f>F32+F33+F34</f>
        <v>1137474</v>
      </c>
    </row>
  </sheetData>
  <mergeCells count="1">
    <mergeCell ref="A3:E3"/>
  </mergeCells>
  <phoneticPr fontId="38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4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:E45"/>
    </sheetView>
  </sheetViews>
  <sheetFormatPr defaultRowHeight="14.25"/>
  <cols>
    <col min="1" max="1" width="24.25" style="249" customWidth="1"/>
    <col min="2" max="2" width="11.5" style="249" customWidth="1"/>
    <col min="3" max="3" width="10.875" style="249" customWidth="1"/>
    <col min="4" max="4" width="11.75" style="249" customWidth="1"/>
    <col min="5" max="5" width="11.5" style="249" customWidth="1"/>
    <col min="6" max="6" width="14.125" style="249" hidden="1" customWidth="1"/>
    <col min="7" max="7" width="15.75" style="249" customWidth="1"/>
    <col min="8" max="16384" width="9" style="249"/>
  </cols>
  <sheetData>
    <row r="1" spans="1:7">
      <c r="A1" s="249" t="s">
        <v>588</v>
      </c>
    </row>
    <row r="2" spans="1:7" ht="20.25">
      <c r="A2" s="392" t="s">
        <v>587</v>
      </c>
      <c r="B2" s="392"/>
      <c r="C2" s="392"/>
      <c r="D2" s="392"/>
      <c r="E2" s="392"/>
    </row>
    <row r="3" spans="1:7">
      <c r="E3" s="249" t="s">
        <v>109</v>
      </c>
    </row>
    <row r="4" spans="1:7" ht="27" customHeight="1">
      <c r="A4" s="239" t="s">
        <v>586</v>
      </c>
      <c r="B4" s="239" t="s">
        <v>585</v>
      </c>
      <c r="C4" s="239" t="s">
        <v>409</v>
      </c>
      <c r="D4" s="255" t="s">
        <v>562</v>
      </c>
      <c r="E4" s="255" t="s">
        <v>561</v>
      </c>
      <c r="F4" s="254" t="s">
        <v>584</v>
      </c>
      <c r="G4" s="239" t="s">
        <v>583</v>
      </c>
    </row>
    <row r="5" spans="1:7">
      <c r="A5" s="252" t="s">
        <v>22</v>
      </c>
      <c r="B5" s="317">
        <v>47538</v>
      </c>
      <c r="C5" s="317">
        <v>44892</v>
      </c>
      <c r="D5" s="318">
        <f>C5/B5*100</f>
        <v>94.43</v>
      </c>
      <c r="E5" s="318">
        <f>C5/F5*100</f>
        <v>114.68</v>
      </c>
      <c r="F5" s="249">
        <v>39144</v>
      </c>
      <c r="G5" s="251"/>
    </row>
    <row r="6" spans="1:7">
      <c r="A6" s="252" t="s">
        <v>70</v>
      </c>
      <c r="B6" s="317"/>
      <c r="C6" s="317"/>
      <c r="D6" s="318"/>
      <c r="E6" s="318"/>
      <c r="G6" s="251"/>
    </row>
    <row r="7" spans="1:7">
      <c r="A7" s="252" t="s">
        <v>71</v>
      </c>
      <c r="B7" s="317">
        <v>838</v>
      </c>
      <c r="C7" s="317">
        <v>793</v>
      </c>
      <c r="D7" s="318">
        <f t="shared" ref="D7:D20" si="0">C7/B7*100</f>
        <v>94.63</v>
      </c>
      <c r="E7" s="318">
        <f t="shared" ref="E7:E20" si="1">C7/F7*100</f>
        <v>109.99</v>
      </c>
      <c r="F7" s="249">
        <v>721</v>
      </c>
      <c r="G7" s="251"/>
    </row>
    <row r="8" spans="1:7">
      <c r="A8" s="252" t="s">
        <v>72</v>
      </c>
      <c r="B8" s="317">
        <v>29477</v>
      </c>
      <c r="C8" s="317">
        <v>26960</v>
      </c>
      <c r="D8" s="318">
        <f t="shared" si="0"/>
        <v>91.46</v>
      </c>
      <c r="E8" s="318">
        <f t="shared" si="1"/>
        <v>138.72999999999999</v>
      </c>
      <c r="F8" s="249">
        <v>19433</v>
      </c>
      <c r="G8" s="251"/>
    </row>
    <row r="9" spans="1:7">
      <c r="A9" s="252" t="s">
        <v>73</v>
      </c>
      <c r="B9" s="317">
        <v>81745</v>
      </c>
      <c r="C9" s="317">
        <v>80902</v>
      </c>
      <c r="D9" s="318">
        <f t="shared" si="0"/>
        <v>98.97</v>
      </c>
      <c r="E9" s="318">
        <f t="shared" si="1"/>
        <v>130.63</v>
      </c>
      <c r="F9" s="249">
        <v>61934</v>
      </c>
      <c r="G9" s="251"/>
    </row>
    <row r="10" spans="1:7">
      <c r="A10" s="252" t="s">
        <v>74</v>
      </c>
      <c r="B10" s="317">
        <v>394</v>
      </c>
      <c r="C10" s="317">
        <v>387</v>
      </c>
      <c r="D10" s="318">
        <f t="shared" si="0"/>
        <v>98.22</v>
      </c>
      <c r="E10" s="318">
        <f t="shared" si="1"/>
        <v>12.03</v>
      </c>
      <c r="F10" s="249">
        <v>3218</v>
      </c>
      <c r="G10" s="251"/>
    </row>
    <row r="11" spans="1:7">
      <c r="A11" s="252" t="s">
        <v>75</v>
      </c>
      <c r="B11" s="317">
        <v>19946</v>
      </c>
      <c r="C11" s="317">
        <v>19447</v>
      </c>
      <c r="D11" s="318">
        <f t="shared" si="0"/>
        <v>97.5</v>
      </c>
      <c r="E11" s="318">
        <f t="shared" si="1"/>
        <v>374.7</v>
      </c>
      <c r="F11" s="249">
        <v>5190</v>
      </c>
      <c r="G11" s="251"/>
    </row>
    <row r="12" spans="1:7">
      <c r="A12" s="252" t="s">
        <v>76</v>
      </c>
      <c r="B12" s="317">
        <v>50701</v>
      </c>
      <c r="C12" s="317">
        <v>49761</v>
      </c>
      <c r="D12" s="318">
        <f t="shared" si="0"/>
        <v>98.15</v>
      </c>
      <c r="E12" s="318">
        <f t="shared" si="1"/>
        <v>78.2</v>
      </c>
      <c r="F12" s="249">
        <v>63635</v>
      </c>
      <c r="G12" s="251"/>
    </row>
    <row r="13" spans="1:7">
      <c r="A13" s="252" t="s">
        <v>77</v>
      </c>
      <c r="B13" s="317">
        <v>47988</v>
      </c>
      <c r="C13" s="317">
        <v>47258</v>
      </c>
      <c r="D13" s="318">
        <f t="shared" si="0"/>
        <v>98.48</v>
      </c>
      <c r="E13" s="318">
        <f t="shared" si="1"/>
        <v>122.91</v>
      </c>
      <c r="F13" s="249">
        <v>38448</v>
      </c>
      <c r="G13" s="251"/>
    </row>
    <row r="14" spans="1:7">
      <c r="A14" s="252" t="s">
        <v>78</v>
      </c>
      <c r="B14" s="317">
        <v>43163</v>
      </c>
      <c r="C14" s="317">
        <v>38599</v>
      </c>
      <c r="D14" s="318">
        <f t="shared" si="0"/>
        <v>89.43</v>
      </c>
      <c r="E14" s="318">
        <f t="shared" si="1"/>
        <v>619.66999999999996</v>
      </c>
      <c r="F14" s="249">
        <v>6229</v>
      </c>
      <c r="G14" s="251"/>
    </row>
    <row r="15" spans="1:7">
      <c r="A15" s="252" t="s">
        <v>79</v>
      </c>
      <c r="B15" s="317">
        <v>333666</v>
      </c>
      <c r="C15" s="317">
        <v>332597</v>
      </c>
      <c r="D15" s="318">
        <f t="shared" si="0"/>
        <v>99.68</v>
      </c>
      <c r="E15" s="318">
        <f t="shared" si="1"/>
        <v>140.31</v>
      </c>
      <c r="F15" s="249">
        <v>237043</v>
      </c>
      <c r="G15" s="251"/>
    </row>
    <row r="16" spans="1:7">
      <c r="A16" s="252" t="s">
        <v>80</v>
      </c>
      <c r="B16" s="317">
        <v>39181</v>
      </c>
      <c r="C16" s="317">
        <v>28239</v>
      </c>
      <c r="D16" s="318">
        <f t="shared" si="0"/>
        <v>72.069999999999993</v>
      </c>
      <c r="E16" s="318">
        <f t="shared" si="1"/>
        <v>38.81</v>
      </c>
      <c r="F16" s="249">
        <v>72754</v>
      </c>
      <c r="G16" s="251"/>
    </row>
    <row r="17" spans="1:7">
      <c r="A17" s="252" t="s">
        <v>81</v>
      </c>
      <c r="B17" s="317">
        <v>25653</v>
      </c>
      <c r="C17" s="317">
        <v>22023</v>
      </c>
      <c r="D17" s="318">
        <f t="shared" si="0"/>
        <v>85.85</v>
      </c>
      <c r="E17" s="318">
        <f t="shared" si="1"/>
        <v>20.94</v>
      </c>
      <c r="F17" s="249">
        <v>105187</v>
      </c>
      <c r="G17" s="251"/>
    </row>
    <row r="18" spans="1:7">
      <c r="A18" s="252" t="s">
        <v>82</v>
      </c>
      <c r="B18" s="317">
        <v>68382</v>
      </c>
      <c r="C18" s="317">
        <v>66417</v>
      </c>
      <c r="D18" s="318">
        <f t="shared" si="0"/>
        <v>97.13</v>
      </c>
      <c r="E18" s="318">
        <f t="shared" si="1"/>
        <v>163.71</v>
      </c>
      <c r="F18" s="249">
        <v>40570</v>
      </c>
      <c r="G18" s="251"/>
    </row>
    <row r="19" spans="1:7">
      <c r="A19" s="252" t="s">
        <v>83</v>
      </c>
      <c r="B19" s="317">
        <v>19214</v>
      </c>
      <c r="C19" s="317">
        <v>16633</v>
      </c>
      <c r="D19" s="318">
        <f t="shared" si="0"/>
        <v>86.57</v>
      </c>
      <c r="E19" s="318">
        <f t="shared" si="1"/>
        <v>89.55</v>
      </c>
      <c r="F19" s="249">
        <v>18573</v>
      </c>
      <c r="G19" s="251"/>
    </row>
    <row r="20" spans="1:7">
      <c r="A20" s="252" t="s">
        <v>84</v>
      </c>
      <c r="B20" s="317">
        <v>285</v>
      </c>
      <c r="C20" s="317">
        <v>285</v>
      </c>
      <c r="D20" s="318">
        <f t="shared" si="0"/>
        <v>100</v>
      </c>
      <c r="E20" s="318">
        <f t="shared" si="1"/>
        <v>162.86000000000001</v>
      </c>
      <c r="F20" s="249">
        <v>175</v>
      </c>
      <c r="G20" s="251"/>
    </row>
    <row r="21" spans="1:7">
      <c r="A21" s="252" t="s">
        <v>85</v>
      </c>
      <c r="B21" s="317"/>
      <c r="C21" s="317"/>
      <c r="D21" s="318"/>
      <c r="E21" s="318"/>
      <c r="G21" s="251"/>
    </row>
    <row r="22" spans="1:7">
      <c r="A22" s="252" t="s">
        <v>86</v>
      </c>
      <c r="B22" s="317">
        <v>27642</v>
      </c>
      <c r="C22" s="317">
        <v>21269</v>
      </c>
      <c r="D22" s="318">
        <f>C22/B22*100</f>
        <v>76.94</v>
      </c>
      <c r="E22" s="318">
        <f>C22/F22*100</f>
        <v>79.010000000000005</v>
      </c>
      <c r="F22" s="249">
        <v>26919</v>
      </c>
      <c r="G22" s="251"/>
    </row>
    <row r="23" spans="1:7">
      <c r="A23" s="252" t="s">
        <v>87</v>
      </c>
      <c r="B23" s="317">
        <v>27251</v>
      </c>
      <c r="C23" s="317">
        <v>26160</v>
      </c>
      <c r="D23" s="318">
        <f>C23/B23*100</f>
        <v>96</v>
      </c>
      <c r="E23" s="318">
        <f>C23/F23*100</f>
        <v>96.12</v>
      </c>
      <c r="F23" s="249">
        <v>27216</v>
      </c>
      <c r="G23" s="251"/>
    </row>
    <row r="24" spans="1:7">
      <c r="A24" s="252" t="s">
        <v>88</v>
      </c>
      <c r="B24" s="317">
        <v>3419</v>
      </c>
      <c r="C24" s="317">
        <v>3225</v>
      </c>
      <c r="D24" s="318">
        <f>C24/B24*100</f>
        <v>94.33</v>
      </c>
      <c r="E24" s="318">
        <f>C24/F24*100</f>
        <v>179.67</v>
      </c>
      <c r="F24" s="249">
        <v>1795</v>
      </c>
      <c r="G24" s="251"/>
    </row>
    <row r="25" spans="1:7">
      <c r="A25" s="252" t="s">
        <v>89</v>
      </c>
      <c r="B25" s="317">
        <v>0</v>
      </c>
      <c r="C25" s="317">
        <v>0</v>
      </c>
      <c r="D25" s="318"/>
      <c r="E25" s="318"/>
      <c r="F25" s="249">
        <v>0</v>
      </c>
      <c r="G25" s="251"/>
    </row>
    <row r="26" spans="1:7">
      <c r="A26" s="252" t="s">
        <v>90</v>
      </c>
      <c r="B26" s="317">
        <v>25661</v>
      </c>
      <c r="C26" s="317">
        <v>19704</v>
      </c>
      <c r="D26" s="318">
        <f>C26/B26*100</f>
        <v>76.790000000000006</v>
      </c>
      <c r="E26" s="318">
        <f t="shared" ref="E26:E31" si="2">C26/F26*100</f>
        <v>14.98</v>
      </c>
      <c r="F26" s="249">
        <v>131558</v>
      </c>
      <c r="G26" s="251"/>
    </row>
    <row r="27" spans="1:7">
      <c r="A27" s="252" t="s">
        <v>91</v>
      </c>
      <c r="B27" s="317">
        <v>73164</v>
      </c>
      <c r="C27" s="317">
        <v>73164</v>
      </c>
      <c r="D27" s="318">
        <f>C27/B27*100</f>
        <v>100</v>
      </c>
      <c r="E27" s="318">
        <f t="shared" si="2"/>
        <v>369.29</v>
      </c>
      <c r="F27" s="249">
        <v>19812</v>
      </c>
      <c r="G27" s="251"/>
    </row>
    <row r="28" spans="1:7">
      <c r="A28" s="252" t="s">
        <v>92</v>
      </c>
      <c r="B28" s="317">
        <v>190</v>
      </c>
      <c r="C28" s="317">
        <v>190</v>
      </c>
      <c r="D28" s="318">
        <f>C28/B28*100</f>
        <v>100</v>
      </c>
      <c r="E28" s="318">
        <f t="shared" si="2"/>
        <v>41.04</v>
      </c>
      <c r="F28" s="249">
        <v>463</v>
      </c>
      <c r="G28" s="251"/>
    </row>
    <row r="29" spans="1:7">
      <c r="A29" s="252" t="s">
        <v>582</v>
      </c>
      <c r="B29" s="317">
        <f>SUM(B5:B28)</f>
        <v>965498</v>
      </c>
      <c r="C29" s="317">
        <f>SUM(C5:C28)</f>
        <v>918905</v>
      </c>
      <c r="D29" s="318">
        <f>C29/B29*100</f>
        <v>95.17</v>
      </c>
      <c r="E29" s="318">
        <f t="shared" si="2"/>
        <v>99.88</v>
      </c>
      <c r="F29" s="249">
        <f>SUM(F5:F28)</f>
        <v>920017</v>
      </c>
      <c r="G29" s="251"/>
    </row>
    <row r="30" spans="1:7">
      <c r="A30" s="252" t="s">
        <v>581</v>
      </c>
      <c r="B30" s="317"/>
      <c r="C30" s="317">
        <v>170915</v>
      </c>
      <c r="D30" s="318"/>
      <c r="E30" s="318">
        <f t="shared" si="2"/>
        <v>301.7</v>
      </c>
      <c r="F30" s="249">
        <v>56650</v>
      </c>
      <c r="G30" s="251"/>
    </row>
    <row r="31" spans="1:7">
      <c r="A31" s="252" t="s">
        <v>27</v>
      </c>
      <c r="B31" s="317"/>
      <c r="C31" s="317">
        <f>SUM(C36:C44)+C32</f>
        <v>130139</v>
      </c>
      <c r="D31" s="318"/>
      <c r="E31" s="318">
        <f t="shared" si="2"/>
        <v>80.930000000000007</v>
      </c>
      <c r="F31" s="249">
        <f>SUM(F36:F44)+F32</f>
        <v>160807</v>
      </c>
      <c r="G31" s="251"/>
    </row>
    <row r="32" spans="1:7" hidden="1">
      <c r="A32" s="252" t="s">
        <v>580</v>
      </c>
      <c r="B32" s="317"/>
      <c r="C32" s="317">
        <f>SUM(C33:C35)</f>
        <v>0</v>
      </c>
      <c r="D32" s="318"/>
      <c r="E32" s="318"/>
      <c r="F32" s="249">
        <f>SUM(F33:F35)</f>
        <v>0</v>
      </c>
      <c r="G32" s="251"/>
    </row>
    <row r="33" spans="1:7" hidden="1">
      <c r="A33" s="252" t="s">
        <v>579</v>
      </c>
      <c r="B33" s="317"/>
      <c r="C33" s="317"/>
      <c r="D33" s="318"/>
      <c r="E33" s="318"/>
      <c r="G33" s="251"/>
    </row>
    <row r="34" spans="1:7" hidden="1">
      <c r="A34" s="252" t="s">
        <v>578</v>
      </c>
      <c r="B34" s="317"/>
      <c r="C34" s="317"/>
      <c r="D34" s="318"/>
      <c r="E34" s="318"/>
      <c r="G34" s="251"/>
    </row>
    <row r="35" spans="1:7" hidden="1">
      <c r="A35" s="252" t="s">
        <v>577</v>
      </c>
      <c r="B35" s="317"/>
      <c r="C35" s="317"/>
      <c r="D35" s="318"/>
      <c r="E35" s="318"/>
      <c r="G35" s="251"/>
    </row>
    <row r="36" spans="1:7">
      <c r="A36" s="252" t="s">
        <v>576</v>
      </c>
      <c r="B36" s="317"/>
      <c r="C36" s="317">
        <v>4939</v>
      </c>
      <c r="D36" s="318"/>
      <c r="E36" s="318">
        <f>C36/F36*100</f>
        <v>154.72999999999999</v>
      </c>
      <c r="F36" s="249">
        <v>3192</v>
      </c>
      <c r="G36" s="251"/>
    </row>
    <row r="37" spans="1:7">
      <c r="A37" s="252" t="s">
        <v>575</v>
      </c>
      <c r="B37" s="317"/>
      <c r="C37" s="317"/>
      <c r="D37" s="318"/>
      <c r="E37" s="318"/>
      <c r="G37" s="251"/>
    </row>
    <row r="38" spans="1:7">
      <c r="A38" s="252" t="s">
        <v>574</v>
      </c>
      <c r="B38" s="317"/>
      <c r="C38" s="317"/>
      <c r="D38" s="318"/>
      <c r="E38" s="318"/>
      <c r="G38" s="251"/>
    </row>
    <row r="39" spans="1:7" ht="52.5" customHeight="1">
      <c r="A39" s="252" t="s">
        <v>573</v>
      </c>
      <c r="B39" s="317"/>
      <c r="C39" s="317">
        <v>-8890</v>
      </c>
      <c r="D39" s="318"/>
      <c r="E39" s="318">
        <f>C39/F39*100</f>
        <v>-100.24</v>
      </c>
      <c r="F39" s="249">
        <v>8869</v>
      </c>
      <c r="G39" s="256" t="s">
        <v>572</v>
      </c>
    </row>
    <row r="40" spans="1:7">
      <c r="A40" s="252" t="s">
        <v>571</v>
      </c>
      <c r="B40" s="317"/>
      <c r="C40" s="317"/>
      <c r="D40" s="318"/>
      <c r="E40" s="318"/>
      <c r="G40" s="251"/>
    </row>
    <row r="41" spans="1:7">
      <c r="A41" s="252" t="s">
        <v>570</v>
      </c>
      <c r="B41" s="317"/>
      <c r="C41" s="317"/>
      <c r="D41" s="318"/>
      <c r="E41" s="318"/>
      <c r="G41" s="251"/>
    </row>
    <row r="42" spans="1:7">
      <c r="A42" s="252" t="s">
        <v>569</v>
      </c>
      <c r="B42" s="317"/>
      <c r="C42" s="317">
        <v>87497</v>
      </c>
      <c r="D42" s="318"/>
      <c r="E42" s="318">
        <f>C42/F42*100</f>
        <v>109.68</v>
      </c>
      <c r="F42" s="249">
        <v>79772</v>
      </c>
      <c r="G42" s="251"/>
    </row>
    <row r="43" spans="1:7">
      <c r="A43" s="252" t="s">
        <v>568</v>
      </c>
      <c r="B43" s="317"/>
      <c r="C43" s="317"/>
      <c r="D43" s="318"/>
      <c r="E43" s="318">
        <f>C43/F43*100</f>
        <v>0</v>
      </c>
      <c r="F43" s="249">
        <v>2891</v>
      </c>
      <c r="G43" s="251"/>
    </row>
    <row r="44" spans="1:7">
      <c r="A44" s="252" t="s">
        <v>567</v>
      </c>
      <c r="B44" s="317"/>
      <c r="C44" s="317">
        <v>46593</v>
      </c>
      <c r="D44" s="318"/>
      <c r="E44" s="318">
        <f>C44/F44*100</f>
        <v>70.510000000000005</v>
      </c>
      <c r="F44" s="249">
        <v>66083</v>
      </c>
      <c r="G44" s="251"/>
    </row>
    <row r="45" spans="1:7">
      <c r="A45" s="252" t="s">
        <v>410</v>
      </c>
      <c r="B45" s="317"/>
      <c r="C45" s="317">
        <f>C29+C30+C31</f>
        <v>1219959</v>
      </c>
      <c r="D45" s="318"/>
      <c r="E45" s="318">
        <f>C45/F45*100</f>
        <v>107.25</v>
      </c>
      <c r="F45" s="249">
        <f>F29+F30+F31</f>
        <v>1137474</v>
      </c>
      <c r="G45" s="251"/>
    </row>
  </sheetData>
  <mergeCells count="1">
    <mergeCell ref="A2:E2"/>
  </mergeCells>
  <phoneticPr fontId="38" type="noConversion"/>
  <pageMargins left="0.15748031496062992" right="0.15748031496062992" top="0.59055118110236227" bottom="0.39370078740157483" header="0.51181102362204722" footer="0.51181102362204722"/>
  <pageSetup paperSize="9" orientation="portrait" verticalDpi="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>
  <dimension ref="A2:F45"/>
  <sheetViews>
    <sheetView workbookViewId="0">
      <pane xSplit="1" ySplit="6" topLeftCell="B19" activePane="bottomRight" state="frozen"/>
      <selection pane="topRight" activeCell="B1" sqref="B1"/>
      <selection pane="bottomLeft" activeCell="A7" sqref="A7"/>
      <selection pane="bottomRight" activeCell="B6" sqref="B6:E45"/>
    </sheetView>
  </sheetViews>
  <sheetFormatPr defaultRowHeight="14.25"/>
  <cols>
    <col min="1" max="1" width="26.5" style="249" customWidth="1"/>
    <col min="2" max="2" width="14.5" style="249" customWidth="1"/>
    <col min="3" max="3" width="13.875" style="249" customWidth="1"/>
    <col min="4" max="4" width="10.625" style="249" customWidth="1"/>
    <col min="5" max="5" width="11.5" style="249" customWidth="1"/>
    <col min="6" max="6" width="13.125" style="249" hidden="1" customWidth="1"/>
    <col min="7" max="16384" width="9" style="249"/>
  </cols>
  <sheetData>
    <row r="2" spans="1:6">
      <c r="A2" s="249" t="s">
        <v>591</v>
      </c>
    </row>
    <row r="3" spans="1:6" ht="20.25">
      <c r="A3" s="392" t="s">
        <v>590</v>
      </c>
      <c r="B3" s="392"/>
      <c r="C3" s="392"/>
      <c r="D3" s="392"/>
      <c r="E3" s="392"/>
    </row>
    <row r="4" spans="1:6">
      <c r="E4" s="249" t="s">
        <v>109</v>
      </c>
    </row>
    <row r="5" spans="1:6" ht="33.75" customHeight="1">
      <c r="A5" s="239" t="s">
        <v>564</v>
      </c>
      <c r="B5" s="239" t="s">
        <v>585</v>
      </c>
      <c r="C5" s="239" t="s">
        <v>409</v>
      </c>
      <c r="D5" s="255" t="s">
        <v>562</v>
      </c>
      <c r="E5" s="255" t="s">
        <v>561</v>
      </c>
      <c r="F5" s="254" t="s">
        <v>584</v>
      </c>
    </row>
    <row r="6" spans="1:6">
      <c r="A6" s="252" t="s">
        <v>21</v>
      </c>
      <c r="B6" s="317">
        <f>SUM(B7:B22)</f>
        <v>158410</v>
      </c>
      <c r="C6" s="317">
        <f>SUM(C7:C22)</f>
        <v>175522</v>
      </c>
      <c r="D6" s="318">
        <f>C6/B6*100</f>
        <v>110.8</v>
      </c>
      <c r="E6" s="318">
        <f>C6/F6*100</f>
        <v>123.31</v>
      </c>
      <c r="F6" s="250">
        <f>SUM(F7:F22)</f>
        <v>142347</v>
      </c>
    </row>
    <row r="7" spans="1:6">
      <c r="A7" s="252" t="s">
        <v>29</v>
      </c>
      <c r="B7" s="317">
        <f>6300+37300-2130</f>
        <v>41470</v>
      </c>
      <c r="C7" s="317">
        <v>44512</v>
      </c>
      <c r="D7" s="318">
        <f>C7/B7*100</f>
        <v>107.34</v>
      </c>
      <c r="E7" s="318">
        <f>C7/F7*100</f>
        <v>386.93</v>
      </c>
      <c r="F7" s="250">
        <v>11504</v>
      </c>
    </row>
    <row r="8" spans="1:6">
      <c r="A8" s="252" t="s">
        <v>30</v>
      </c>
      <c r="B8" s="317">
        <f>33300-520</f>
        <v>32780</v>
      </c>
      <c r="C8" s="317">
        <v>32734</v>
      </c>
      <c r="D8" s="318">
        <f>C8/B8*100</f>
        <v>99.86</v>
      </c>
      <c r="E8" s="318">
        <f>C8/F8*100</f>
        <v>53.41</v>
      </c>
      <c r="F8" s="250">
        <v>61291</v>
      </c>
    </row>
    <row r="9" spans="1:6">
      <c r="A9" s="252" t="s">
        <v>31</v>
      </c>
      <c r="B9" s="317">
        <f>28020-480</f>
        <v>27540</v>
      </c>
      <c r="C9" s="317">
        <v>30089</v>
      </c>
      <c r="D9" s="318">
        <f>C9/B9*100</f>
        <v>109.26</v>
      </c>
      <c r="E9" s="318">
        <f>C9/F9*100</f>
        <v>141.61000000000001</v>
      </c>
      <c r="F9" s="250">
        <v>21248</v>
      </c>
    </row>
    <row r="10" spans="1:6" hidden="1">
      <c r="A10" s="252" t="s">
        <v>32</v>
      </c>
      <c r="B10" s="317"/>
      <c r="C10" s="317"/>
      <c r="D10" s="318"/>
      <c r="E10" s="318"/>
      <c r="F10" s="250"/>
    </row>
    <row r="11" spans="1:6">
      <c r="A11" s="252" t="s">
        <v>33</v>
      </c>
      <c r="B11" s="317">
        <f>10500-230</f>
        <v>10270</v>
      </c>
      <c r="C11" s="317">
        <v>13895</v>
      </c>
      <c r="D11" s="318">
        <f t="shared" ref="D11:D20" si="0">C11/B11*100</f>
        <v>135.30000000000001</v>
      </c>
      <c r="E11" s="318">
        <f t="shared" ref="E11:E20" si="1">C11/F11*100</f>
        <v>172.63</v>
      </c>
      <c r="F11" s="250">
        <v>8049</v>
      </c>
    </row>
    <row r="12" spans="1:6">
      <c r="A12" s="252" t="s">
        <v>34</v>
      </c>
      <c r="B12" s="317">
        <f>70-10</f>
        <v>60</v>
      </c>
      <c r="C12" s="317">
        <v>40</v>
      </c>
      <c r="D12" s="318">
        <f t="shared" si="0"/>
        <v>66.67</v>
      </c>
      <c r="E12" s="318">
        <f t="shared" si="1"/>
        <v>85.11</v>
      </c>
      <c r="F12" s="250">
        <v>47</v>
      </c>
    </row>
    <row r="13" spans="1:6">
      <c r="A13" s="252" t="s">
        <v>35</v>
      </c>
      <c r="B13" s="317">
        <f>8920-210</f>
        <v>8710</v>
      </c>
      <c r="C13" s="317">
        <v>8727</v>
      </c>
      <c r="D13" s="318">
        <f t="shared" si="0"/>
        <v>100.2</v>
      </c>
      <c r="E13" s="318">
        <f t="shared" si="1"/>
        <v>142.6</v>
      </c>
      <c r="F13" s="250">
        <v>6120</v>
      </c>
    </row>
    <row r="14" spans="1:6">
      <c r="A14" s="252" t="s">
        <v>36</v>
      </c>
      <c r="B14" s="317">
        <f>2115-12</f>
        <v>2103</v>
      </c>
      <c r="C14" s="317">
        <v>2262</v>
      </c>
      <c r="D14" s="318">
        <f t="shared" si="0"/>
        <v>107.56</v>
      </c>
      <c r="E14" s="318">
        <f t="shared" si="1"/>
        <v>126.23</v>
      </c>
      <c r="F14" s="250">
        <v>1792</v>
      </c>
    </row>
    <row r="15" spans="1:6">
      <c r="A15" s="252" t="s">
        <v>37</v>
      </c>
      <c r="B15" s="317">
        <f>3500</f>
        <v>3500</v>
      </c>
      <c r="C15" s="317">
        <v>4159</v>
      </c>
      <c r="D15" s="318">
        <f t="shared" si="0"/>
        <v>118.83</v>
      </c>
      <c r="E15" s="318">
        <f t="shared" si="1"/>
        <v>198.52</v>
      </c>
      <c r="F15" s="250">
        <v>2095</v>
      </c>
    </row>
    <row r="16" spans="1:6">
      <c r="A16" s="252" t="s">
        <v>38</v>
      </c>
      <c r="B16" s="317">
        <f>5070-48</f>
        <v>5022</v>
      </c>
      <c r="C16" s="317">
        <v>5653</v>
      </c>
      <c r="D16" s="318">
        <f t="shared" si="0"/>
        <v>112.56</v>
      </c>
      <c r="E16" s="318">
        <f t="shared" si="1"/>
        <v>128.01</v>
      </c>
      <c r="F16" s="250">
        <v>4416</v>
      </c>
    </row>
    <row r="17" spans="1:6">
      <c r="A17" s="252" t="s">
        <v>39</v>
      </c>
      <c r="B17" s="317">
        <v>19500</v>
      </c>
      <c r="C17" s="317">
        <v>25162</v>
      </c>
      <c r="D17" s="318">
        <f t="shared" si="0"/>
        <v>129.04</v>
      </c>
      <c r="E17" s="318">
        <f t="shared" si="1"/>
        <v>155.33000000000001</v>
      </c>
      <c r="F17" s="250">
        <v>16199</v>
      </c>
    </row>
    <row r="18" spans="1:6">
      <c r="A18" s="252" t="s">
        <v>40</v>
      </c>
      <c r="B18" s="317">
        <v>1555</v>
      </c>
      <c r="C18" s="317">
        <v>1614</v>
      </c>
      <c r="D18" s="318">
        <f t="shared" si="0"/>
        <v>103.79</v>
      </c>
      <c r="E18" s="318">
        <f t="shared" si="1"/>
        <v>114.63</v>
      </c>
      <c r="F18" s="250">
        <v>1408</v>
      </c>
    </row>
    <row r="19" spans="1:6">
      <c r="A19" s="252" t="s">
        <v>41</v>
      </c>
      <c r="B19" s="317">
        <v>100</v>
      </c>
      <c r="C19" s="317">
        <v>87</v>
      </c>
      <c r="D19" s="318">
        <f t="shared" si="0"/>
        <v>87</v>
      </c>
      <c r="E19" s="318">
        <f t="shared" si="1"/>
        <v>212.2</v>
      </c>
      <c r="F19" s="250">
        <v>41</v>
      </c>
    </row>
    <row r="20" spans="1:6">
      <c r="A20" s="252" t="s">
        <v>42</v>
      </c>
      <c r="B20" s="317">
        <v>5800</v>
      </c>
      <c r="C20" s="317">
        <v>6588</v>
      </c>
      <c r="D20" s="318">
        <f t="shared" si="0"/>
        <v>113.59</v>
      </c>
      <c r="E20" s="318">
        <f t="shared" si="1"/>
        <v>80.959999999999994</v>
      </c>
      <c r="F20" s="250">
        <v>8137</v>
      </c>
    </row>
    <row r="21" spans="1:6" hidden="1">
      <c r="A21" s="252" t="s">
        <v>43</v>
      </c>
      <c r="B21" s="317"/>
      <c r="C21" s="317"/>
      <c r="D21" s="318"/>
      <c r="E21" s="318"/>
      <c r="F21" s="250"/>
    </row>
    <row r="22" spans="1:6" hidden="1">
      <c r="A22" s="252" t="s">
        <v>44</v>
      </c>
      <c r="B22" s="317"/>
      <c r="C22" s="317"/>
      <c r="D22" s="318"/>
      <c r="E22" s="318"/>
      <c r="F22" s="250"/>
    </row>
    <row r="23" spans="1:6">
      <c r="A23" s="252" t="s">
        <v>23</v>
      </c>
      <c r="B23" s="317">
        <f>SUM(B24:B31)</f>
        <v>68550</v>
      </c>
      <c r="C23" s="317">
        <f>SUM(C24:C31)</f>
        <v>83130</v>
      </c>
      <c r="D23" s="318">
        <f t="shared" ref="D23:D28" si="2">C23/B23*100</f>
        <v>121.27</v>
      </c>
      <c r="E23" s="318">
        <f t="shared" ref="E23:E28" si="3">C23/F23*100</f>
        <v>170.91</v>
      </c>
      <c r="F23" s="250">
        <f>SUM(F24:F31)</f>
        <v>48640</v>
      </c>
    </row>
    <row r="24" spans="1:6">
      <c r="A24" s="252" t="s">
        <v>45</v>
      </c>
      <c r="B24" s="317">
        <v>23450</v>
      </c>
      <c r="C24" s="317">
        <v>24080</v>
      </c>
      <c r="D24" s="318">
        <f t="shared" si="2"/>
        <v>102.69</v>
      </c>
      <c r="E24" s="318">
        <f t="shared" si="3"/>
        <v>101.96</v>
      </c>
      <c r="F24" s="250">
        <v>23618</v>
      </c>
    </row>
    <row r="25" spans="1:6">
      <c r="A25" s="252" t="s">
        <v>46</v>
      </c>
      <c r="B25" s="317">
        <v>5400</v>
      </c>
      <c r="C25" s="317">
        <v>7727</v>
      </c>
      <c r="D25" s="318">
        <f t="shared" si="2"/>
        <v>143.09</v>
      </c>
      <c r="E25" s="318">
        <f t="shared" si="3"/>
        <v>136.81</v>
      </c>
      <c r="F25" s="250">
        <v>5648</v>
      </c>
    </row>
    <row r="26" spans="1:6">
      <c r="A26" s="252" t="s">
        <v>47</v>
      </c>
      <c r="B26" s="317">
        <v>34610</v>
      </c>
      <c r="C26" s="317">
        <v>35025</v>
      </c>
      <c r="D26" s="318">
        <f t="shared" si="2"/>
        <v>101.2</v>
      </c>
      <c r="E26" s="318">
        <f t="shared" si="3"/>
        <v>860.99</v>
      </c>
      <c r="F26" s="250">
        <v>4068</v>
      </c>
    </row>
    <row r="27" spans="1:6">
      <c r="A27" s="252" t="s">
        <v>48</v>
      </c>
      <c r="B27" s="317">
        <v>1000</v>
      </c>
      <c r="C27" s="317">
        <v>1000</v>
      </c>
      <c r="D27" s="318">
        <f t="shared" si="2"/>
        <v>100</v>
      </c>
      <c r="E27" s="318">
        <f t="shared" si="3"/>
        <v>456.62</v>
      </c>
      <c r="F27" s="250">
        <v>219</v>
      </c>
    </row>
    <row r="28" spans="1:6">
      <c r="A28" s="253" t="s">
        <v>49</v>
      </c>
      <c r="B28" s="317">
        <v>3200</v>
      </c>
      <c r="C28" s="317">
        <v>13986</v>
      </c>
      <c r="D28" s="318">
        <f t="shared" si="2"/>
        <v>437.06</v>
      </c>
      <c r="E28" s="318">
        <f t="shared" si="3"/>
        <v>98.24</v>
      </c>
      <c r="F28" s="250">
        <v>14236</v>
      </c>
    </row>
    <row r="29" spans="1:6" hidden="1">
      <c r="A29" s="252" t="s">
        <v>50</v>
      </c>
      <c r="B29" s="317"/>
      <c r="C29" s="317"/>
      <c r="D29" s="318"/>
      <c r="E29" s="318"/>
      <c r="F29" s="250"/>
    </row>
    <row r="30" spans="1:6">
      <c r="A30" s="252" t="s">
        <v>51</v>
      </c>
      <c r="B30" s="317">
        <v>888</v>
      </c>
      <c r="C30" s="317">
        <v>888</v>
      </c>
      <c r="D30" s="318">
        <f>C30/B30*100</f>
        <v>100</v>
      </c>
      <c r="E30" s="318"/>
      <c r="F30" s="250">
        <v>0</v>
      </c>
    </row>
    <row r="31" spans="1:6">
      <c r="A31" s="252" t="s">
        <v>52</v>
      </c>
      <c r="B31" s="317">
        <v>2</v>
      </c>
      <c r="C31" s="317">
        <v>424</v>
      </c>
      <c r="D31" s="318">
        <f>C31/B31*100</f>
        <v>21200</v>
      </c>
      <c r="E31" s="318">
        <f>C31/F31*100</f>
        <v>49.82</v>
      </c>
      <c r="F31" s="250">
        <v>851</v>
      </c>
    </row>
    <row r="32" spans="1:6">
      <c r="A32" s="252" t="s">
        <v>589</v>
      </c>
      <c r="B32" s="317">
        <f>B6+B23</f>
        <v>226960</v>
      </c>
      <c r="C32" s="317">
        <f>C6+C23</f>
        <v>258652</v>
      </c>
      <c r="D32" s="318">
        <f>C32/B32*100</f>
        <v>113.96</v>
      </c>
      <c r="E32" s="318">
        <f>C32/F32*100</f>
        <v>135.43</v>
      </c>
      <c r="F32" s="250">
        <f>F6+F23</f>
        <v>190987</v>
      </c>
    </row>
    <row r="33" spans="1:6">
      <c r="A33" s="252" t="s">
        <v>558</v>
      </c>
      <c r="B33" s="317"/>
      <c r="C33" s="317"/>
      <c r="D33" s="318"/>
      <c r="E33" s="318"/>
      <c r="F33" s="250"/>
    </row>
    <row r="34" spans="1:6">
      <c r="A34" s="252" t="s">
        <v>557</v>
      </c>
      <c r="B34" s="317"/>
      <c r="C34" s="317">
        <f>SUM(C39:C44)+C35</f>
        <v>949523</v>
      </c>
      <c r="D34" s="318"/>
      <c r="E34" s="318">
        <f t="shared" ref="E34:E43" si="4">C34/F34*100</f>
        <v>101.6</v>
      </c>
      <c r="F34" s="250">
        <f>SUM(F39:F44)+F35</f>
        <v>934553</v>
      </c>
    </row>
    <row r="35" spans="1:6">
      <c r="A35" s="252" t="s">
        <v>556</v>
      </c>
      <c r="B35" s="317"/>
      <c r="C35" s="317">
        <f>SUM(C36:C38)</f>
        <v>355077</v>
      </c>
      <c r="D35" s="318"/>
      <c r="E35" s="318">
        <f t="shared" si="4"/>
        <v>84.64</v>
      </c>
      <c r="F35" s="250">
        <f>SUM(F36:F38)</f>
        <v>419520</v>
      </c>
    </row>
    <row r="36" spans="1:6">
      <c r="A36" s="252" t="s">
        <v>555</v>
      </c>
      <c r="B36" s="317"/>
      <c r="C36" s="317">
        <v>18049</v>
      </c>
      <c r="D36" s="318"/>
      <c r="E36" s="318">
        <f t="shared" si="4"/>
        <v>1145.24</v>
      </c>
      <c r="F36" s="250">
        <v>1576</v>
      </c>
    </row>
    <row r="37" spans="1:6">
      <c r="A37" s="252" t="s">
        <v>554</v>
      </c>
      <c r="B37" s="317"/>
      <c r="C37" s="317">
        <v>235554</v>
      </c>
      <c r="D37" s="318"/>
      <c r="E37" s="318">
        <f t="shared" si="4"/>
        <v>72.69</v>
      </c>
      <c r="F37" s="250">
        <v>324072</v>
      </c>
    </row>
    <row r="38" spans="1:6">
      <c r="A38" s="252" t="s">
        <v>553</v>
      </c>
      <c r="B38" s="317"/>
      <c r="C38" s="317">
        <v>101474</v>
      </c>
      <c r="D38" s="318"/>
      <c r="E38" s="318">
        <f t="shared" si="4"/>
        <v>108.1</v>
      </c>
      <c r="F38" s="250">
        <v>93872</v>
      </c>
    </row>
    <row r="39" spans="1:6">
      <c r="A39" s="252" t="s">
        <v>552</v>
      </c>
      <c r="B39" s="317"/>
      <c r="C39" s="317">
        <v>4825</v>
      </c>
      <c r="D39" s="318"/>
      <c r="E39" s="318">
        <f t="shared" si="4"/>
        <v>121.6</v>
      </c>
      <c r="F39" s="250">
        <v>3968</v>
      </c>
    </row>
    <row r="40" spans="1:6">
      <c r="A40" s="252" t="s">
        <v>551</v>
      </c>
      <c r="B40" s="317"/>
      <c r="C40" s="317">
        <v>61117</v>
      </c>
      <c r="D40" s="318"/>
      <c r="E40" s="318">
        <f t="shared" si="4"/>
        <v>39.909999999999997</v>
      </c>
      <c r="F40" s="250">
        <v>153141</v>
      </c>
    </row>
    <row r="41" spans="1:6">
      <c r="A41" s="252" t="s">
        <v>550</v>
      </c>
      <c r="B41" s="317"/>
      <c r="C41" s="317">
        <v>74039</v>
      </c>
      <c r="D41" s="318"/>
      <c r="E41" s="318">
        <f t="shared" si="4"/>
        <v>370.2</v>
      </c>
      <c r="F41" s="250">
        <v>20000</v>
      </c>
    </row>
    <row r="42" spans="1:6">
      <c r="A42" s="252" t="s">
        <v>549</v>
      </c>
      <c r="B42" s="317"/>
      <c r="C42" s="317">
        <v>271450</v>
      </c>
      <c r="D42" s="318"/>
      <c r="E42" s="318">
        <f t="shared" si="4"/>
        <v>302.99</v>
      </c>
      <c r="F42" s="250">
        <v>89589</v>
      </c>
    </row>
    <row r="43" spans="1:6">
      <c r="A43" s="252" t="s">
        <v>548</v>
      </c>
      <c r="B43" s="317"/>
      <c r="C43" s="317">
        <v>183015</v>
      </c>
      <c r="D43" s="318"/>
      <c r="E43" s="318">
        <f t="shared" si="4"/>
        <v>73.7</v>
      </c>
      <c r="F43" s="250">
        <v>248335</v>
      </c>
    </row>
    <row r="44" spans="1:6" hidden="1">
      <c r="A44" s="252" t="s">
        <v>547</v>
      </c>
      <c r="B44" s="317"/>
      <c r="C44" s="317"/>
      <c r="D44" s="318"/>
      <c r="E44" s="318"/>
      <c r="F44" s="250"/>
    </row>
    <row r="45" spans="1:6">
      <c r="A45" s="252" t="s">
        <v>28</v>
      </c>
      <c r="B45" s="317"/>
      <c r="C45" s="317">
        <f>C32+C33+C34</f>
        <v>1208175</v>
      </c>
      <c r="D45" s="318"/>
      <c r="E45" s="318">
        <f>C45/F45*100</f>
        <v>107.34</v>
      </c>
      <c r="F45" s="250">
        <f>F32+F33+F34</f>
        <v>1125540</v>
      </c>
    </row>
  </sheetData>
  <mergeCells count="1">
    <mergeCell ref="A3:E3"/>
  </mergeCells>
  <phoneticPr fontId="38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1409"/>
  <sheetViews>
    <sheetView workbookViewId="0">
      <pane xSplit="1" ySplit="6" topLeftCell="B1359" activePane="bottomRight" state="frozen"/>
      <selection pane="topRight" activeCell="B1" sqref="B1"/>
      <selection pane="bottomLeft" activeCell="A6" sqref="A6"/>
      <selection pane="bottomRight" activeCell="B6" sqref="B6:E1409"/>
    </sheetView>
  </sheetViews>
  <sheetFormatPr defaultRowHeight="14.25"/>
  <cols>
    <col min="1" max="1" width="33.125" style="257" customWidth="1"/>
    <col min="2" max="2" width="13.375" style="249" customWidth="1"/>
    <col min="3" max="3" width="11.75" style="249" customWidth="1"/>
    <col min="4" max="4" width="11.375" style="249" customWidth="1"/>
    <col min="5" max="5" width="11.125" style="249" customWidth="1"/>
    <col min="6" max="6" width="12.125" style="249" hidden="1" customWidth="1"/>
    <col min="7" max="16384" width="9" style="249"/>
  </cols>
  <sheetData>
    <row r="1" spans="1:6">
      <c r="A1" s="257" t="s">
        <v>1684</v>
      </c>
    </row>
    <row r="2" spans="1:6" ht="20.25">
      <c r="A2" s="393" t="s">
        <v>1683</v>
      </c>
      <c r="B2" s="393"/>
      <c r="C2" s="393"/>
      <c r="D2" s="393"/>
      <c r="E2" s="393"/>
    </row>
    <row r="3" spans="1:6">
      <c r="E3" s="249" t="s">
        <v>109</v>
      </c>
    </row>
    <row r="4" spans="1:6" ht="43.5" customHeight="1">
      <c r="A4" s="276" t="s">
        <v>586</v>
      </c>
      <c r="B4" s="239" t="s">
        <v>585</v>
      </c>
      <c r="C4" s="239" t="s">
        <v>1682</v>
      </c>
      <c r="D4" s="255" t="s">
        <v>562</v>
      </c>
      <c r="E4" s="255" t="s">
        <v>561</v>
      </c>
      <c r="F4" s="275" t="s">
        <v>584</v>
      </c>
    </row>
    <row r="5" spans="1:6" hidden="1">
      <c r="A5" s="274" t="s">
        <v>1681</v>
      </c>
      <c r="B5" s="273">
        <f>SUM(B6,B259,B296,B314,B435,B490,B546,B595,B711,B775,B853,B877,B1009,B1080,B1156,B1183,B1212,B1222,B1302,B1320,B1374,B1377,B1389)</f>
        <v>934565</v>
      </c>
      <c r="C5" s="273">
        <f>SUM(C6,C259,C296,C314,C435,C490,C546,C595,C711,C775,C853,C877,C1009,C1080,C1156,C1183,C1212,C1222,C1302,C1320,C1374,C1377,C1389)</f>
        <v>895877</v>
      </c>
      <c r="D5" s="242">
        <f>C5/B5*100</f>
        <v>95.86</v>
      </c>
      <c r="E5" s="242">
        <f>C5/F5*100</f>
        <v>99.15</v>
      </c>
      <c r="F5" s="273">
        <f>SUM(F6,F259,F296,F314,F435,F490,F546,F595,F711,F775,F853,F877,F1009,F1080,F1156,F1183,F1212,F1222,F1302,F1320,F1374,F1377,F1389)</f>
        <v>903581</v>
      </c>
    </row>
    <row r="6" spans="1:6">
      <c r="A6" s="261" t="s">
        <v>1680</v>
      </c>
      <c r="B6" s="304">
        <f>SUM(B7,B19,B28,B40,B52,B63,B74,B86,B95,B105,B120,B129,B140,B152,B162,B175,B182,B189,B198,B204,B211,B219,B226,B232,B238,B244,B250,B256)</f>
        <v>39442</v>
      </c>
      <c r="C6" s="304">
        <f>SUM(C7,C19,C28,C40,C52,C63,C74,C86,C95,C105,C120,C129,C140,C152,C162,C175,C182,C189,C198,C204,C211,C219,C226,C232,C238,C244,C250,C256)</f>
        <v>37190</v>
      </c>
      <c r="D6" s="303">
        <f>C6/B6*100</f>
        <v>94.29</v>
      </c>
      <c r="E6" s="303">
        <f>C6/F6*100</f>
        <v>115.55</v>
      </c>
      <c r="F6" s="260">
        <f>SUM(F7,F19,F28,F40,F52,F63,F74,F86,F95,F105,F120,F129,F140,F152,F162,F175,F182,F189,F198,F204,F211,F219,F226,F232,F238,F244,F250,F256)</f>
        <v>32186</v>
      </c>
    </row>
    <row r="7" spans="1:6">
      <c r="A7" s="261" t="s">
        <v>1679</v>
      </c>
      <c r="B7" s="304">
        <v>683</v>
      </c>
      <c r="C7" s="304">
        <f>SUM(C8:C18)</f>
        <v>658</v>
      </c>
      <c r="D7" s="303">
        <f>C7/B7*100</f>
        <v>96.34</v>
      </c>
      <c r="E7" s="303">
        <f>C7/F7*100</f>
        <v>151.96</v>
      </c>
      <c r="F7" s="260">
        <f>SUM(F8:F18)</f>
        <v>433</v>
      </c>
    </row>
    <row r="8" spans="1:6">
      <c r="A8" s="264" t="s">
        <v>647</v>
      </c>
      <c r="B8" s="305"/>
      <c r="C8" s="305">
        <v>554</v>
      </c>
      <c r="D8" s="303"/>
      <c r="E8" s="303">
        <f>C8/F8*100</f>
        <v>128.84</v>
      </c>
      <c r="F8" s="260">
        <v>430</v>
      </c>
    </row>
    <row r="9" spans="1:6" hidden="1">
      <c r="A9" s="264" t="s">
        <v>646</v>
      </c>
      <c r="B9" s="305"/>
      <c r="C9" s="305"/>
      <c r="D9" s="303"/>
      <c r="E9" s="303"/>
      <c r="F9" s="260"/>
    </row>
    <row r="10" spans="1:6" hidden="1">
      <c r="A10" s="264" t="s">
        <v>645</v>
      </c>
      <c r="B10" s="305"/>
      <c r="C10" s="305"/>
      <c r="D10" s="303"/>
      <c r="E10" s="303"/>
      <c r="F10" s="260"/>
    </row>
    <row r="11" spans="1:6">
      <c r="A11" s="264" t="s">
        <v>1678</v>
      </c>
      <c r="B11" s="305"/>
      <c r="C11" s="305">
        <v>73</v>
      </c>
      <c r="D11" s="303"/>
      <c r="E11" s="303">
        <f>C11/F11*100</f>
        <v>2433.33</v>
      </c>
      <c r="F11" s="260">
        <v>3</v>
      </c>
    </row>
    <row r="12" spans="1:6" hidden="1">
      <c r="A12" s="264" t="s">
        <v>1677</v>
      </c>
      <c r="B12" s="305"/>
      <c r="C12" s="305"/>
      <c r="D12" s="303"/>
      <c r="E12" s="303"/>
      <c r="F12" s="260"/>
    </row>
    <row r="13" spans="1:6" hidden="1">
      <c r="A13" s="264" t="s">
        <v>1676</v>
      </c>
      <c r="B13" s="305"/>
      <c r="C13" s="305"/>
      <c r="D13" s="303"/>
      <c r="E13" s="303"/>
      <c r="F13" s="260"/>
    </row>
    <row r="14" spans="1:6">
      <c r="A14" s="264" t="s">
        <v>1675</v>
      </c>
      <c r="B14" s="305"/>
      <c r="C14" s="305">
        <v>15</v>
      </c>
      <c r="D14" s="303"/>
      <c r="E14" s="303"/>
      <c r="F14" s="260"/>
    </row>
    <row r="15" spans="1:6">
      <c r="A15" s="264" t="s">
        <v>1674</v>
      </c>
      <c r="B15" s="305"/>
      <c r="C15" s="305">
        <v>16</v>
      </c>
      <c r="D15" s="303"/>
      <c r="E15" s="303"/>
      <c r="F15" s="260"/>
    </row>
    <row r="16" spans="1:6" hidden="1">
      <c r="A16" s="264" t="s">
        <v>1673</v>
      </c>
      <c r="B16" s="305"/>
      <c r="C16" s="305"/>
      <c r="D16" s="303"/>
      <c r="E16" s="303"/>
      <c r="F16" s="260"/>
    </row>
    <row r="17" spans="1:6" hidden="1">
      <c r="A17" s="264" t="s">
        <v>636</v>
      </c>
      <c r="B17" s="305"/>
      <c r="C17" s="305"/>
      <c r="D17" s="303"/>
      <c r="E17" s="303"/>
      <c r="F17" s="260"/>
    </row>
    <row r="18" spans="1:6" hidden="1">
      <c r="A18" s="264" t="s">
        <v>1672</v>
      </c>
      <c r="B18" s="305"/>
      <c r="C18" s="305"/>
      <c r="D18" s="303"/>
      <c r="E18" s="303"/>
      <c r="F18" s="260"/>
    </row>
    <row r="19" spans="1:6">
      <c r="A19" s="261" t="s">
        <v>1671</v>
      </c>
      <c r="B19" s="305">
        <v>442</v>
      </c>
      <c r="C19" s="305">
        <f>SUM(C20:C27)</f>
        <v>442</v>
      </c>
      <c r="D19" s="303">
        <f>C19/B19*100</f>
        <v>100</v>
      </c>
      <c r="E19" s="303">
        <f>C19/F19*100</f>
        <v>128.12</v>
      </c>
      <c r="F19" s="270">
        <f>SUM(F20:F27)</f>
        <v>345</v>
      </c>
    </row>
    <row r="20" spans="1:6">
      <c r="A20" s="264" t="s">
        <v>647</v>
      </c>
      <c r="B20" s="305"/>
      <c r="C20" s="305">
        <v>346</v>
      </c>
      <c r="D20" s="303"/>
      <c r="E20" s="303">
        <f>C20/F20*100</f>
        <v>100.29</v>
      </c>
      <c r="F20" s="260">
        <v>345</v>
      </c>
    </row>
    <row r="21" spans="1:6">
      <c r="A21" s="264" t="s">
        <v>646</v>
      </c>
      <c r="B21" s="305"/>
      <c r="C21" s="305">
        <v>96</v>
      </c>
      <c r="D21" s="303"/>
      <c r="E21" s="303"/>
      <c r="F21" s="260"/>
    </row>
    <row r="22" spans="1:6" hidden="1">
      <c r="A22" s="264" t="s">
        <v>645</v>
      </c>
      <c r="B22" s="305"/>
      <c r="C22" s="305"/>
      <c r="D22" s="303"/>
      <c r="E22" s="303"/>
      <c r="F22" s="260"/>
    </row>
    <row r="23" spans="1:6" hidden="1">
      <c r="A23" s="264" t="s">
        <v>1670</v>
      </c>
      <c r="B23" s="305"/>
      <c r="C23" s="305"/>
      <c r="D23" s="303"/>
      <c r="E23" s="303"/>
      <c r="F23" s="260"/>
    </row>
    <row r="24" spans="1:6" hidden="1">
      <c r="A24" s="264" t="s">
        <v>1669</v>
      </c>
      <c r="B24" s="305"/>
      <c r="C24" s="305"/>
      <c r="D24" s="303"/>
      <c r="E24" s="303"/>
      <c r="F24" s="260"/>
    </row>
    <row r="25" spans="1:6" hidden="1">
      <c r="A25" s="264" t="s">
        <v>1563</v>
      </c>
      <c r="B25" s="305"/>
      <c r="C25" s="305"/>
      <c r="D25" s="303"/>
      <c r="E25" s="303"/>
      <c r="F25" s="260"/>
    </row>
    <row r="26" spans="1:6" hidden="1">
      <c r="A26" s="264" t="s">
        <v>636</v>
      </c>
      <c r="B26" s="305"/>
      <c r="C26" s="305"/>
      <c r="D26" s="303"/>
      <c r="E26" s="303"/>
      <c r="F26" s="260"/>
    </row>
    <row r="27" spans="1:6" hidden="1">
      <c r="A27" s="264" t="s">
        <v>1668</v>
      </c>
      <c r="B27" s="305"/>
      <c r="C27" s="305"/>
      <c r="D27" s="303"/>
      <c r="E27" s="303"/>
      <c r="F27" s="260"/>
    </row>
    <row r="28" spans="1:6">
      <c r="A28" s="261" t="s">
        <v>1667</v>
      </c>
      <c r="B28" s="305">
        <v>11454</v>
      </c>
      <c r="C28" s="305">
        <f>SUM(C29:C39)</f>
        <v>11394</v>
      </c>
      <c r="D28" s="303">
        <f>C28/B28*100</f>
        <v>99.48</v>
      </c>
      <c r="E28" s="303">
        <f t="shared" ref="E28:E38" si="0">C28/F28*100</f>
        <v>67.319999999999993</v>
      </c>
      <c r="F28" s="260">
        <f>SUM(F29:F39)</f>
        <v>16926</v>
      </c>
    </row>
    <row r="29" spans="1:6">
      <c r="A29" s="264" t="s">
        <v>647</v>
      </c>
      <c r="B29" s="305"/>
      <c r="C29" s="305">
        <v>6884</v>
      </c>
      <c r="D29" s="303"/>
      <c r="E29" s="303">
        <f t="shared" si="0"/>
        <v>144.62</v>
      </c>
      <c r="F29" s="260">
        <v>4760</v>
      </c>
    </row>
    <row r="30" spans="1:6">
      <c r="A30" s="264" t="s">
        <v>646</v>
      </c>
      <c r="B30" s="305"/>
      <c r="C30" s="305">
        <v>3621</v>
      </c>
      <c r="D30" s="303"/>
      <c r="E30" s="303">
        <f t="shared" si="0"/>
        <v>30.24</v>
      </c>
      <c r="F30" s="260">
        <v>11973</v>
      </c>
    </row>
    <row r="31" spans="1:6">
      <c r="A31" s="264" t="s">
        <v>645</v>
      </c>
      <c r="B31" s="305"/>
      <c r="C31" s="305">
        <v>550</v>
      </c>
      <c r="D31" s="303"/>
      <c r="E31" s="303">
        <f t="shared" si="0"/>
        <v>3666.67</v>
      </c>
      <c r="F31" s="260">
        <v>15</v>
      </c>
    </row>
    <row r="32" spans="1:6" hidden="1">
      <c r="A32" s="264" t="s">
        <v>1666</v>
      </c>
      <c r="B32" s="305"/>
      <c r="C32" s="305"/>
      <c r="D32" s="303"/>
      <c r="E32" s="303" t="e">
        <f t="shared" si="0"/>
        <v>#DIV/0!</v>
      </c>
      <c r="F32" s="260"/>
    </row>
    <row r="33" spans="1:6">
      <c r="A33" s="264" t="s">
        <v>1665</v>
      </c>
      <c r="B33" s="305"/>
      <c r="C33" s="305">
        <v>58</v>
      </c>
      <c r="D33" s="303"/>
      <c r="E33" s="303">
        <f t="shared" si="0"/>
        <v>113.73</v>
      </c>
      <c r="F33" s="260">
        <v>51</v>
      </c>
    </row>
    <row r="34" spans="1:6" hidden="1">
      <c r="A34" s="264" t="s">
        <v>1664</v>
      </c>
      <c r="B34" s="305"/>
      <c r="C34" s="305"/>
      <c r="D34" s="303"/>
      <c r="E34" s="303" t="e">
        <f t="shared" si="0"/>
        <v>#DIV/0!</v>
      </c>
      <c r="F34" s="260"/>
    </row>
    <row r="35" spans="1:6" hidden="1">
      <c r="A35" s="264" t="s">
        <v>1663</v>
      </c>
      <c r="B35" s="305"/>
      <c r="C35" s="305"/>
      <c r="D35" s="303"/>
      <c r="E35" s="303" t="e">
        <f t="shared" si="0"/>
        <v>#DIV/0!</v>
      </c>
      <c r="F35" s="260"/>
    </row>
    <row r="36" spans="1:6">
      <c r="A36" s="264" t="s">
        <v>1662</v>
      </c>
      <c r="B36" s="305"/>
      <c r="C36" s="305">
        <v>160</v>
      </c>
      <c r="D36" s="303"/>
      <c r="E36" s="303">
        <f t="shared" si="0"/>
        <v>125.98</v>
      </c>
      <c r="F36" s="260">
        <v>127</v>
      </c>
    </row>
    <row r="37" spans="1:6" hidden="1">
      <c r="A37" s="264" t="s">
        <v>1661</v>
      </c>
      <c r="B37" s="305"/>
      <c r="C37" s="305"/>
      <c r="D37" s="303"/>
      <c r="E37" s="303" t="e">
        <f t="shared" si="0"/>
        <v>#DIV/0!</v>
      </c>
      <c r="F37" s="260"/>
    </row>
    <row r="38" spans="1:6" hidden="1">
      <c r="A38" s="264" t="s">
        <v>636</v>
      </c>
      <c r="B38" s="305"/>
      <c r="C38" s="305"/>
      <c r="D38" s="303"/>
      <c r="E38" s="303" t="e">
        <f t="shared" si="0"/>
        <v>#DIV/0!</v>
      </c>
      <c r="F38" s="260"/>
    </row>
    <row r="39" spans="1:6">
      <c r="A39" s="264" t="s">
        <v>1660</v>
      </c>
      <c r="B39" s="305"/>
      <c r="C39" s="305">
        <v>121</v>
      </c>
      <c r="D39" s="303"/>
      <c r="E39" s="303"/>
      <c r="F39" s="260"/>
    </row>
    <row r="40" spans="1:6">
      <c r="A40" s="261" t="s">
        <v>1659</v>
      </c>
      <c r="B40" s="305">
        <v>5300</v>
      </c>
      <c r="C40" s="305">
        <f>SUM(C41:C51)</f>
        <v>4324</v>
      </c>
      <c r="D40" s="303">
        <f>C40/B40*100</f>
        <v>81.58</v>
      </c>
      <c r="E40" s="303">
        <f>C40/F40*100</f>
        <v>206.2</v>
      </c>
      <c r="F40" s="260">
        <f>SUM(F41:F51)</f>
        <v>2097</v>
      </c>
    </row>
    <row r="41" spans="1:6">
      <c r="A41" s="264" t="s">
        <v>647</v>
      </c>
      <c r="B41" s="305"/>
      <c r="C41" s="305">
        <v>1917</v>
      </c>
      <c r="D41" s="303"/>
      <c r="E41" s="303">
        <f>C41/F41*100</f>
        <v>143.49</v>
      </c>
      <c r="F41" s="260">
        <v>1336</v>
      </c>
    </row>
    <row r="42" spans="1:6">
      <c r="A42" s="264" t="s">
        <v>646</v>
      </c>
      <c r="B42" s="305"/>
      <c r="C42" s="305">
        <v>351</v>
      </c>
      <c r="D42" s="303"/>
      <c r="E42" s="303">
        <f>C42/F42*100</f>
        <v>195</v>
      </c>
      <c r="F42" s="260">
        <v>180</v>
      </c>
    </row>
    <row r="43" spans="1:6" hidden="1">
      <c r="A43" s="264" t="s">
        <v>645</v>
      </c>
      <c r="B43" s="305"/>
      <c r="C43" s="305"/>
      <c r="D43" s="303"/>
      <c r="E43" s="303" t="e">
        <f>C43/F43*100</f>
        <v>#DIV/0!</v>
      </c>
      <c r="F43" s="260"/>
    </row>
    <row r="44" spans="1:6">
      <c r="A44" s="264" t="s">
        <v>1658</v>
      </c>
      <c r="B44" s="305"/>
      <c r="C44" s="305">
        <v>50</v>
      </c>
      <c r="D44" s="303"/>
      <c r="E44" s="303"/>
      <c r="F44" s="260"/>
    </row>
    <row r="45" spans="1:6" hidden="1">
      <c r="A45" s="264" t="s">
        <v>1657</v>
      </c>
      <c r="B45" s="305"/>
      <c r="C45" s="305"/>
      <c r="D45" s="303"/>
      <c r="E45" s="303" t="e">
        <f>C45/F45*100</f>
        <v>#DIV/0!</v>
      </c>
      <c r="F45" s="260"/>
    </row>
    <row r="46" spans="1:6" hidden="1">
      <c r="A46" s="264" t="s">
        <v>1656</v>
      </c>
      <c r="B46" s="305"/>
      <c r="C46" s="305"/>
      <c r="D46" s="303"/>
      <c r="E46" s="303">
        <f>C46/F46*100</f>
        <v>0</v>
      </c>
      <c r="F46" s="260">
        <v>10</v>
      </c>
    </row>
    <row r="47" spans="1:6" hidden="1">
      <c r="A47" s="264" t="s">
        <v>1655</v>
      </c>
      <c r="B47" s="305"/>
      <c r="C47" s="305"/>
      <c r="D47" s="303"/>
      <c r="E47" s="303" t="e">
        <f>C47/F47*100</f>
        <v>#DIV/0!</v>
      </c>
      <c r="F47" s="260"/>
    </row>
    <row r="48" spans="1:6">
      <c r="A48" s="264" t="s">
        <v>1654</v>
      </c>
      <c r="B48" s="305"/>
      <c r="C48" s="305">
        <v>3</v>
      </c>
      <c r="D48" s="303"/>
      <c r="E48" s="303">
        <f>C48/F48*100</f>
        <v>1.69</v>
      </c>
      <c r="F48" s="265">
        <v>178</v>
      </c>
    </row>
    <row r="49" spans="1:6" hidden="1">
      <c r="A49" s="264" t="s">
        <v>1653</v>
      </c>
      <c r="B49" s="305"/>
      <c r="C49" s="305"/>
      <c r="D49" s="303"/>
      <c r="E49" s="303" t="e">
        <f>C49/F49*100</f>
        <v>#DIV/0!</v>
      </c>
      <c r="F49" s="265"/>
    </row>
    <row r="50" spans="1:6">
      <c r="A50" s="264" t="s">
        <v>636</v>
      </c>
      <c r="B50" s="305"/>
      <c r="C50" s="305">
        <v>27</v>
      </c>
      <c r="D50" s="303"/>
      <c r="E50" s="303"/>
      <c r="F50" s="260"/>
    </row>
    <row r="51" spans="1:6">
      <c r="A51" s="264" t="s">
        <v>1652</v>
      </c>
      <c r="B51" s="305"/>
      <c r="C51" s="305">
        <v>1976</v>
      </c>
      <c r="D51" s="303"/>
      <c r="E51" s="303">
        <f>C51/F51*100</f>
        <v>502.8</v>
      </c>
      <c r="F51" s="270">
        <v>393</v>
      </c>
    </row>
    <row r="52" spans="1:6">
      <c r="A52" s="261" t="s">
        <v>1651</v>
      </c>
      <c r="B52" s="305">
        <v>435</v>
      </c>
      <c r="C52" s="305">
        <f>SUM(C53:C62)</f>
        <v>415</v>
      </c>
      <c r="D52" s="303">
        <f>C52/B52*100</f>
        <v>95.4</v>
      </c>
      <c r="E52" s="303">
        <f>C52/F52*100</f>
        <v>108.64</v>
      </c>
      <c r="F52" s="260">
        <f>SUM(F53:F62)</f>
        <v>382</v>
      </c>
    </row>
    <row r="53" spans="1:6">
      <c r="A53" s="264" t="s">
        <v>647</v>
      </c>
      <c r="B53" s="305"/>
      <c r="C53" s="305">
        <v>401</v>
      </c>
      <c r="D53" s="303"/>
      <c r="E53" s="303">
        <f>C53/F53*100</f>
        <v>110.16</v>
      </c>
      <c r="F53" s="260">
        <v>364</v>
      </c>
    </row>
    <row r="54" spans="1:6">
      <c r="A54" s="264" t="s">
        <v>646</v>
      </c>
      <c r="B54" s="305"/>
      <c r="C54" s="305">
        <v>14</v>
      </c>
      <c r="D54" s="303"/>
      <c r="E54" s="303"/>
      <c r="F54" s="260"/>
    </row>
    <row r="55" spans="1:6" hidden="1">
      <c r="A55" s="264" t="s">
        <v>645</v>
      </c>
      <c r="B55" s="305"/>
      <c r="C55" s="305"/>
      <c r="D55" s="303" t="e">
        <f t="shared" ref="D55:D63" si="1">C55/B55*100</f>
        <v>#DIV/0!</v>
      </c>
      <c r="E55" s="303" t="e">
        <f t="shared" ref="E55:E69" si="2">C55/F55*100</f>
        <v>#DIV/0!</v>
      </c>
      <c r="F55" s="260"/>
    </row>
    <row r="56" spans="1:6" hidden="1">
      <c r="A56" s="264" t="s">
        <v>1650</v>
      </c>
      <c r="B56" s="305"/>
      <c r="C56" s="305"/>
      <c r="D56" s="303" t="e">
        <f t="shared" si="1"/>
        <v>#DIV/0!</v>
      </c>
      <c r="E56" s="303" t="e">
        <f t="shared" si="2"/>
        <v>#DIV/0!</v>
      </c>
      <c r="F56" s="260"/>
    </row>
    <row r="57" spans="1:6" hidden="1">
      <c r="A57" s="264" t="s">
        <v>1649</v>
      </c>
      <c r="B57" s="305"/>
      <c r="C57" s="305"/>
      <c r="D57" s="303" t="e">
        <f t="shared" si="1"/>
        <v>#DIV/0!</v>
      </c>
      <c r="E57" s="303">
        <f t="shared" si="2"/>
        <v>0</v>
      </c>
      <c r="F57" s="260">
        <v>16</v>
      </c>
    </row>
    <row r="58" spans="1:6" hidden="1">
      <c r="A58" s="264" t="s">
        <v>1648</v>
      </c>
      <c r="B58" s="305"/>
      <c r="C58" s="305"/>
      <c r="D58" s="303" t="e">
        <f t="shared" si="1"/>
        <v>#DIV/0!</v>
      </c>
      <c r="E58" s="303" t="e">
        <f t="shared" si="2"/>
        <v>#DIV/0!</v>
      </c>
      <c r="F58" s="260"/>
    </row>
    <row r="59" spans="1:6" hidden="1">
      <c r="A59" s="264" t="s">
        <v>1647</v>
      </c>
      <c r="B59" s="305"/>
      <c r="C59" s="305"/>
      <c r="D59" s="303" t="e">
        <f t="shared" si="1"/>
        <v>#DIV/0!</v>
      </c>
      <c r="E59" s="303">
        <f t="shared" si="2"/>
        <v>0</v>
      </c>
      <c r="F59" s="260">
        <v>2</v>
      </c>
    </row>
    <row r="60" spans="1:6" hidden="1">
      <c r="A60" s="264" t="s">
        <v>1646</v>
      </c>
      <c r="B60" s="305"/>
      <c r="C60" s="305"/>
      <c r="D60" s="303" t="e">
        <f t="shared" si="1"/>
        <v>#DIV/0!</v>
      </c>
      <c r="E60" s="303" t="e">
        <f t="shared" si="2"/>
        <v>#DIV/0!</v>
      </c>
      <c r="F60" s="265"/>
    </row>
    <row r="61" spans="1:6" hidden="1">
      <c r="A61" s="264" t="s">
        <v>636</v>
      </c>
      <c r="B61" s="305"/>
      <c r="C61" s="305"/>
      <c r="D61" s="303" t="e">
        <f t="shared" si="1"/>
        <v>#DIV/0!</v>
      </c>
      <c r="E61" s="303" t="e">
        <f t="shared" si="2"/>
        <v>#DIV/0!</v>
      </c>
      <c r="F61" s="260"/>
    </row>
    <row r="62" spans="1:6" hidden="1">
      <c r="A62" s="264" t="s">
        <v>1645</v>
      </c>
      <c r="B62" s="305"/>
      <c r="C62" s="305"/>
      <c r="D62" s="303" t="e">
        <f t="shared" si="1"/>
        <v>#DIV/0!</v>
      </c>
      <c r="E62" s="303" t="e">
        <f t="shared" si="2"/>
        <v>#DIV/0!</v>
      </c>
      <c r="F62" s="270"/>
    </row>
    <row r="63" spans="1:6">
      <c r="A63" s="261" t="s">
        <v>1644</v>
      </c>
      <c r="B63" s="305">
        <v>2248</v>
      </c>
      <c r="C63" s="305">
        <f>SUM(C64:C73)</f>
        <v>2224</v>
      </c>
      <c r="D63" s="303">
        <f t="shared" si="1"/>
        <v>98.93</v>
      </c>
      <c r="E63" s="303">
        <f t="shared" si="2"/>
        <v>153.49</v>
      </c>
      <c r="F63" s="260">
        <f>SUM(F64:F73)</f>
        <v>1449</v>
      </c>
    </row>
    <row r="64" spans="1:6">
      <c r="A64" s="264" t="s">
        <v>647</v>
      </c>
      <c r="B64" s="305"/>
      <c r="C64" s="305">
        <v>1130</v>
      </c>
      <c r="D64" s="303"/>
      <c r="E64" s="303">
        <f t="shared" si="2"/>
        <v>134.36000000000001</v>
      </c>
      <c r="F64" s="260">
        <v>841</v>
      </c>
    </row>
    <row r="65" spans="1:6">
      <c r="A65" s="264" t="s">
        <v>646</v>
      </c>
      <c r="B65" s="305"/>
      <c r="C65" s="305">
        <v>41</v>
      </c>
      <c r="D65" s="303"/>
      <c r="E65" s="303">
        <f t="shared" si="2"/>
        <v>61.19</v>
      </c>
      <c r="F65" s="260">
        <v>67</v>
      </c>
    </row>
    <row r="66" spans="1:6">
      <c r="A66" s="264" t="s">
        <v>645</v>
      </c>
      <c r="B66" s="305"/>
      <c r="C66" s="305">
        <v>94</v>
      </c>
      <c r="D66" s="303"/>
      <c r="E66" s="303">
        <f t="shared" si="2"/>
        <v>47.96</v>
      </c>
      <c r="F66" s="260">
        <v>196</v>
      </c>
    </row>
    <row r="67" spans="1:6">
      <c r="A67" s="264" t="s">
        <v>1643</v>
      </c>
      <c r="B67" s="305"/>
      <c r="C67" s="305">
        <v>68</v>
      </c>
      <c r="D67" s="303"/>
      <c r="E67" s="303">
        <f t="shared" si="2"/>
        <v>251.85</v>
      </c>
      <c r="F67" s="260">
        <v>27</v>
      </c>
    </row>
    <row r="68" spans="1:6">
      <c r="A68" s="264" t="s">
        <v>1642</v>
      </c>
      <c r="B68" s="305"/>
      <c r="C68" s="305">
        <v>55</v>
      </c>
      <c r="D68" s="303"/>
      <c r="E68" s="303">
        <f t="shared" si="2"/>
        <v>166.67</v>
      </c>
      <c r="F68" s="260">
        <v>33</v>
      </c>
    </row>
    <row r="69" spans="1:6" hidden="1">
      <c r="A69" s="264" t="s">
        <v>1641</v>
      </c>
      <c r="B69" s="305"/>
      <c r="C69" s="305"/>
      <c r="D69" s="303"/>
      <c r="E69" s="303" t="e">
        <f t="shared" si="2"/>
        <v>#DIV/0!</v>
      </c>
      <c r="F69" s="260"/>
    </row>
    <row r="70" spans="1:6">
      <c r="A70" s="264" t="s">
        <v>1044</v>
      </c>
      <c r="B70" s="305"/>
      <c r="C70" s="305">
        <v>5</v>
      </c>
      <c r="D70" s="303"/>
      <c r="E70" s="303"/>
      <c r="F70" s="260"/>
    </row>
    <row r="71" spans="1:6" hidden="1">
      <c r="A71" s="264" t="s">
        <v>1640</v>
      </c>
      <c r="B71" s="305"/>
      <c r="C71" s="305"/>
      <c r="D71" s="303"/>
      <c r="E71" s="303" t="e">
        <f t="shared" ref="E71:E92" si="3">C71/F71*100</f>
        <v>#DIV/0!</v>
      </c>
      <c r="F71" s="260"/>
    </row>
    <row r="72" spans="1:6">
      <c r="A72" s="264" t="s">
        <v>636</v>
      </c>
      <c r="B72" s="305"/>
      <c r="C72" s="305">
        <v>831</v>
      </c>
      <c r="D72" s="303"/>
      <c r="E72" s="303">
        <f t="shared" si="3"/>
        <v>291.58</v>
      </c>
      <c r="F72" s="260">
        <v>285</v>
      </c>
    </row>
    <row r="73" spans="1:6" hidden="1">
      <c r="A73" s="264" t="s">
        <v>1639</v>
      </c>
      <c r="B73" s="305"/>
      <c r="C73" s="305"/>
      <c r="D73" s="303" t="e">
        <f>C73/B73*100</f>
        <v>#DIV/0!</v>
      </c>
      <c r="E73" s="303" t="e">
        <f t="shared" si="3"/>
        <v>#DIV/0!</v>
      </c>
      <c r="F73" s="260"/>
    </row>
    <row r="74" spans="1:6">
      <c r="A74" s="261" t="s">
        <v>1638</v>
      </c>
      <c r="B74" s="305">
        <v>2520</v>
      </c>
      <c r="C74" s="305">
        <f>SUM(C75:C85)</f>
        <v>2520</v>
      </c>
      <c r="D74" s="303">
        <f>C74/B74*100</f>
        <v>100</v>
      </c>
      <c r="E74" s="303">
        <f t="shared" si="3"/>
        <v>148.66999999999999</v>
      </c>
      <c r="F74" s="260">
        <f>SUM(F75:F85)</f>
        <v>1695</v>
      </c>
    </row>
    <row r="75" spans="1:6" hidden="1">
      <c r="A75" s="264" t="s">
        <v>647</v>
      </c>
      <c r="B75" s="305"/>
      <c r="C75" s="305"/>
      <c r="D75" s="303" t="e">
        <f>C75/B75*100</f>
        <v>#DIV/0!</v>
      </c>
      <c r="E75" s="303">
        <f t="shared" si="3"/>
        <v>0</v>
      </c>
      <c r="F75" s="260">
        <v>315</v>
      </c>
    </row>
    <row r="76" spans="1:6">
      <c r="A76" s="264" t="s">
        <v>646</v>
      </c>
      <c r="B76" s="305"/>
      <c r="C76" s="305">
        <v>2520</v>
      </c>
      <c r="D76" s="303"/>
      <c r="E76" s="303">
        <f t="shared" si="3"/>
        <v>213.56</v>
      </c>
      <c r="F76" s="260">
        <v>1180</v>
      </c>
    </row>
    <row r="77" spans="1:6" hidden="1">
      <c r="A77" s="264" t="s">
        <v>645</v>
      </c>
      <c r="B77" s="305"/>
      <c r="C77" s="305"/>
      <c r="D77" s="303" t="e">
        <f t="shared" ref="D77:D92" si="4">C77/B77*100</f>
        <v>#DIV/0!</v>
      </c>
      <c r="E77" s="303" t="e">
        <f t="shared" si="3"/>
        <v>#DIV/0!</v>
      </c>
      <c r="F77" s="260"/>
    </row>
    <row r="78" spans="1:6" hidden="1">
      <c r="A78" s="264" t="s">
        <v>1637</v>
      </c>
      <c r="B78" s="305"/>
      <c r="C78" s="305"/>
      <c r="D78" s="303" t="e">
        <f t="shared" si="4"/>
        <v>#DIV/0!</v>
      </c>
      <c r="E78" s="303" t="e">
        <f t="shared" si="3"/>
        <v>#DIV/0!</v>
      </c>
      <c r="F78" s="260"/>
    </row>
    <row r="79" spans="1:6" hidden="1">
      <c r="A79" s="264" t="s">
        <v>1636</v>
      </c>
      <c r="B79" s="305"/>
      <c r="C79" s="305"/>
      <c r="D79" s="303" t="e">
        <f t="shared" si="4"/>
        <v>#DIV/0!</v>
      </c>
      <c r="E79" s="303" t="e">
        <f t="shared" si="3"/>
        <v>#DIV/0!</v>
      </c>
      <c r="F79" s="260"/>
    </row>
    <row r="80" spans="1:6" hidden="1">
      <c r="A80" s="264" t="s">
        <v>1635</v>
      </c>
      <c r="B80" s="305"/>
      <c r="C80" s="305"/>
      <c r="D80" s="303" t="e">
        <f t="shared" si="4"/>
        <v>#DIV/0!</v>
      </c>
      <c r="E80" s="303" t="e">
        <f t="shared" si="3"/>
        <v>#DIV/0!</v>
      </c>
      <c r="F80" s="260"/>
    </row>
    <row r="81" spans="1:6" hidden="1">
      <c r="A81" s="264" t="s">
        <v>1634</v>
      </c>
      <c r="B81" s="305"/>
      <c r="C81" s="305"/>
      <c r="D81" s="303" t="e">
        <f t="shared" si="4"/>
        <v>#DIV/0!</v>
      </c>
      <c r="E81" s="303" t="e">
        <f t="shared" si="3"/>
        <v>#DIV/0!</v>
      </c>
      <c r="F81" s="260"/>
    </row>
    <row r="82" spans="1:6" hidden="1">
      <c r="A82" s="264" t="s">
        <v>1633</v>
      </c>
      <c r="B82" s="305"/>
      <c r="C82" s="305"/>
      <c r="D82" s="303" t="e">
        <f t="shared" si="4"/>
        <v>#DIV/0!</v>
      </c>
      <c r="E82" s="303" t="e">
        <f t="shared" si="3"/>
        <v>#DIV/0!</v>
      </c>
      <c r="F82" s="260"/>
    </row>
    <row r="83" spans="1:6" hidden="1">
      <c r="A83" s="264" t="s">
        <v>1044</v>
      </c>
      <c r="B83" s="305"/>
      <c r="C83" s="305"/>
      <c r="D83" s="303" t="e">
        <f t="shared" si="4"/>
        <v>#DIV/0!</v>
      </c>
      <c r="E83" s="303" t="e">
        <f t="shared" si="3"/>
        <v>#DIV/0!</v>
      </c>
      <c r="F83" s="260"/>
    </row>
    <row r="84" spans="1:6" hidden="1">
      <c r="A84" s="264" t="s">
        <v>636</v>
      </c>
      <c r="B84" s="305"/>
      <c r="C84" s="305"/>
      <c r="D84" s="303" t="e">
        <f t="shared" si="4"/>
        <v>#DIV/0!</v>
      </c>
      <c r="E84" s="303" t="e">
        <f t="shared" si="3"/>
        <v>#DIV/0!</v>
      </c>
      <c r="F84" s="260"/>
    </row>
    <row r="85" spans="1:6" hidden="1">
      <c r="A85" s="264" t="s">
        <v>1632</v>
      </c>
      <c r="B85" s="305"/>
      <c r="C85" s="305"/>
      <c r="D85" s="303" t="e">
        <f t="shared" si="4"/>
        <v>#DIV/0!</v>
      </c>
      <c r="E85" s="303">
        <f t="shared" si="3"/>
        <v>0</v>
      </c>
      <c r="F85" s="260">
        <v>200</v>
      </c>
    </row>
    <row r="86" spans="1:6">
      <c r="A86" s="261" t="s">
        <v>1631</v>
      </c>
      <c r="B86" s="305">
        <v>53</v>
      </c>
      <c r="C86" s="305">
        <f>SUM(C87:C94)</f>
        <v>23</v>
      </c>
      <c r="D86" s="303">
        <f t="shared" si="4"/>
        <v>43.4</v>
      </c>
      <c r="E86" s="303">
        <f t="shared" si="3"/>
        <v>8.1</v>
      </c>
      <c r="F86" s="260">
        <f>SUM(F87:F94)</f>
        <v>284</v>
      </c>
    </row>
    <row r="87" spans="1:6" hidden="1">
      <c r="A87" s="264" t="s">
        <v>647</v>
      </c>
      <c r="B87" s="305"/>
      <c r="C87" s="305"/>
      <c r="D87" s="303" t="e">
        <f t="shared" si="4"/>
        <v>#DIV/0!</v>
      </c>
      <c r="E87" s="303">
        <f t="shared" si="3"/>
        <v>0</v>
      </c>
      <c r="F87" s="260">
        <v>284</v>
      </c>
    </row>
    <row r="88" spans="1:6" hidden="1">
      <c r="A88" s="264" t="s">
        <v>646</v>
      </c>
      <c r="B88" s="305"/>
      <c r="C88" s="305"/>
      <c r="D88" s="303" t="e">
        <f t="shared" si="4"/>
        <v>#DIV/0!</v>
      </c>
      <c r="E88" s="303" t="e">
        <f t="shared" si="3"/>
        <v>#DIV/0!</v>
      </c>
      <c r="F88" s="260"/>
    </row>
    <row r="89" spans="1:6" hidden="1">
      <c r="A89" s="264" t="s">
        <v>645</v>
      </c>
      <c r="B89" s="305"/>
      <c r="C89" s="305"/>
      <c r="D89" s="303" t="e">
        <f t="shared" si="4"/>
        <v>#DIV/0!</v>
      </c>
      <c r="E89" s="303" t="e">
        <f t="shared" si="3"/>
        <v>#DIV/0!</v>
      </c>
      <c r="F89" s="260"/>
    </row>
    <row r="90" spans="1:6" hidden="1">
      <c r="A90" s="264" t="s">
        <v>1630</v>
      </c>
      <c r="B90" s="305"/>
      <c r="C90" s="305"/>
      <c r="D90" s="303" t="e">
        <f t="shared" si="4"/>
        <v>#DIV/0!</v>
      </c>
      <c r="E90" s="303" t="e">
        <f t="shared" si="3"/>
        <v>#DIV/0!</v>
      </c>
      <c r="F90" s="260"/>
    </row>
    <row r="91" spans="1:6" hidden="1">
      <c r="A91" s="264" t="s">
        <v>1629</v>
      </c>
      <c r="B91" s="305"/>
      <c r="C91" s="305"/>
      <c r="D91" s="303" t="e">
        <f t="shared" si="4"/>
        <v>#DIV/0!</v>
      </c>
      <c r="E91" s="303" t="e">
        <f t="shared" si="3"/>
        <v>#DIV/0!</v>
      </c>
      <c r="F91" s="260"/>
    </row>
    <row r="92" spans="1:6" hidden="1">
      <c r="A92" s="264" t="s">
        <v>1044</v>
      </c>
      <c r="B92" s="305"/>
      <c r="C92" s="305"/>
      <c r="D92" s="303" t="e">
        <f t="shared" si="4"/>
        <v>#DIV/0!</v>
      </c>
      <c r="E92" s="303" t="e">
        <f t="shared" si="3"/>
        <v>#DIV/0!</v>
      </c>
      <c r="F92" s="260"/>
    </row>
    <row r="93" spans="1:6">
      <c r="A93" s="264" t="s">
        <v>636</v>
      </c>
      <c r="B93" s="305"/>
      <c r="C93" s="305">
        <v>23</v>
      </c>
      <c r="D93" s="303"/>
      <c r="E93" s="303"/>
      <c r="F93" s="260"/>
    </row>
    <row r="94" spans="1:6" hidden="1">
      <c r="A94" s="264" t="s">
        <v>1628</v>
      </c>
      <c r="B94" s="305"/>
      <c r="C94" s="305"/>
      <c r="D94" s="303" t="e">
        <f>C94/B94*100</f>
        <v>#DIV/0!</v>
      </c>
      <c r="E94" s="303" t="e">
        <f t="shared" ref="E94:E112" si="5">C94/F94*100</f>
        <v>#DIV/0!</v>
      </c>
      <c r="F94" s="260"/>
    </row>
    <row r="95" spans="1:6">
      <c r="A95" s="261" t="s">
        <v>1627</v>
      </c>
      <c r="B95" s="305">
        <v>2096</v>
      </c>
      <c r="C95" s="305">
        <f>SUM(C96:C104)</f>
        <v>2096</v>
      </c>
      <c r="D95" s="303">
        <f>C95/B95*100</f>
        <v>100</v>
      </c>
      <c r="E95" s="303">
        <f t="shared" si="5"/>
        <v>164.26</v>
      </c>
      <c r="F95" s="260">
        <f>SUM(F96:F104)</f>
        <v>1276</v>
      </c>
    </row>
    <row r="96" spans="1:6">
      <c r="A96" s="264" t="s">
        <v>647</v>
      </c>
      <c r="B96" s="305"/>
      <c r="C96" s="305">
        <v>700</v>
      </c>
      <c r="D96" s="303"/>
      <c r="E96" s="303">
        <f t="shared" si="5"/>
        <v>61.14</v>
      </c>
      <c r="F96" s="260">
        <v>1145</v>
      </c>
    </row>
    <row r="97" spans="1:6" hidden="1">
      <c r="A97" s="264" t="s">
        <v>646</v>
      </c>
      <c r="B97" s="305"/>
      <c r="C97" s="305"/>
      <c r="D97" s="303"/>
      <c r="E97" s="303" t="e">
        <f t="shared" si="5"/>
        <v>#DIV/0!</v>
      </c>
      <c r="F97" s="260"/>
    </row>
    <row r="98" spans="1:6" hidden="1">
      <c r="A98" s="264" t="s">
        <v>645</v>
      </c>
      <c r="B98" s="305"/>
      <c r="C98" s="305"/>
      <c r="D98" s="303"/>
      <c r="E98" s="303" t="e">
        <f t="shared" si="5"/>
        <v>#DIV/0!</v>
      </c>
      <c r="F98" s="260"/>
    </row>
    <row r="99" spans="1:6" hidden="1">
      <c r="A99" s="264" t="s">
        <v>1626</v>
      </c>
      <c r="B99" s="305"/>
      <c r="C99" s="305"/>
      <c r="D99" s="303"/>
      <c r="E99" s="303" t="e">
        <f t="shared" si="5"/>
        <v>#DIV/0!</v>
      </c>
      <c r="F99" s="260"/>
    </row>
    <row r="100" spans="1:6" hidden="1">
      <c r="A100" s="264" t="s">
        <v>1625</v>
      </c>
      <c r="B100" s="305"/>
      <c r="C100" s="305"/>
      <c r="D100" s="303"/>
      <c r="E100" s="303" t="e">
        <f t="shared" si="5"/>
        <v>#DIV/0!</v>
      </c>
      <c r="F100" s="260"/>
    </row>
    <row r="101" spans="1:6" hidden="1">
      <c r="A101" s="264" t="s">
        <v>1624</v>
      </c>
      <c r="B101" s="305"/>
      <c r="C101" s="305"/>
      <c r="D101" s="303"/>
      <c r="E101" s="303" t="e">
        <f t="shared" si="5"/>
        <v>#DIV/0!</v>
      </c>
      <c r="F101" s="260"/>
    </row>
    <row r="102" spans="1:6" hidden="1">
      <c r="A102" s="264" t="s">
        <v>1044</v>
      </c>
      <c r="B102" s="305"/>
      <c r="C102" s="305"/>
      <c r="D102" s="303"/>
      <c r="E102" s="303" t="e">
        <f t="shared" si="5"/>
        <v>#DIV/0!</v>
      </c>
      <c r="F102" s="260"/>
    </row>
    <row r="103" spans="1:6" hidden="1">
      <c r="A103" s="264" t="s">
        <v>636</v>
      </c>
      <c r="B103" s="305"/>
      <c r="C103" s="305"/>
      <c r="D103" s="303"/>
      <c r="E103" s="303" t="e">
        <f t="shared" si="5"/>
        <v>#DIV/0!</v>
      </c>
      <c r="F103" s="260"/>
    </row>
    <row r="104" spans="1:6">
      <c r="A104" s="264" t="s">
        <v>1623</v>
      </c>
      <c r="B104" s="305"/>
      <c r="C104" s="305">
        <v>1396</v>
      </c>
      <c r="D104" s="303"/>
      <c r="E104" s="303">
        <f t="shared" si="5"/>
        <v>1065.6500000000001</v>
      </c>
      <c r="F104" s="260">
        <v>131</v>
      </c>
    </row>
    <row r="105" spans="1:6">
      <c r="A105" s="261" t="s">
        <v>1622</v>
      </c>
      <c r="B105" s="305">
        <v>986</v>
      </c>
      <c r="C105" s="305">
        <f>SUM(C106:C119)</f>
        <v>260</v>
      </c>
      <c r="D105" s="303">
        <f>C105/B105*100</f>
        <v>26.37</v>
      </c>
      <c r="E105" s="303">
        <f t="shared" si="5"/>
        <v>89.35</v>
      </c>
      <c r="F105" s="260">
        <f>SUM(F106:F119)</f>
        <v>291</v>
      </c>
    </row>
    <row r="106" spans="1:6" hidden="1">
      <c r="A106" s="264" t="s">
        <v>647</v>
      </c>
      <c r="B106" s="305"/>
      <c r="C106" s="305"/>
      <c r="D106" s="303"/>
      <c r="E106" s="303">
        <f t="shared" si="5"/>
        <v>0</v>
      </c>
      <c r="F106" s="260">
        <v>112</v>
      </c>
    </row>
    <row r="107" spans="1:6">
      <c r="A107" s="264" t="s">
        <v>646</v>
      </c>
      <c r="B107" s="305"/>
      <c r="C107" s="305">
        <v>113</v>
      </c>
      <c r="D107" s="303"/>
      <c r="E107" s="303">
        <f t="shared" si="5"/>
        <v>71.97</v>
      </c>
      <c r="F107" s="260">
        <v>157</v>
      </c>
    </row>
    <row r="108" spans="1:6" hidden="1">
      <c r="A108" s="264" t="s">
        <v>645</v>
      </c>
      <c r="B108" s="305"/>
      <c r="C108" s="305"/>
      <c r="D108" s="303"/>
      <c r="E108" s="303" t="e">
        <f t="shared" si="5"/>
        <v>#DIV/0!</v>
      </c>
      <c r="F108" s="260"/>
    </row>
    <row r="109" spans="1:6" hidden="1">
      <c r="A109" s="264" t="s">
        <v>1621</v>
      </c>
      <c r="B109" s="305"/>
      <c r="C109" s="305"/>
      <c r="D109" s="303"/>
      <c r="E109" s="303" t="e">
        <f t="shared" si="5"/>
        <v>#DIV/0!</v>
      </c>
      <c r="F109" s="260"/>
    </row>
    <row r="110" spans="1:6" hidden="1">
      <c r="A110" s="264" t="s">
        <v>1620</v>
      </c>
      <c r="B110" s="305"/>
      <c r="C110" s="305"/>
      <c r="D110" s="303"/>
      <c r="E110" s="303" t="e">
        <f t="shared" si="5"/>
        <v>#DIV/0!</v>
      </c>
      <c r="F110" s="260"/>
    </row>
    <row r="111" spans="1:6">
      <c r="A111" s="264" t="s">
        <v>1619</v>
      </c>
      <c r="B111" s="305"/>
      <c r="C111" s="305">
        <v>10</v>
      </c>
      <c r="D111" s="303"/>
      <c r="E111" s="303">
        <f t="shared" si="5"/>
        <v>100</v>
      </c>
      <c r="F111" s="260">
        <v>10</v>
      </c>
    </row>
    <row r="112" spans="1:6" hidden="1">
      <c r="A112" s="264" t="s">
        <v>1618</v>
      </c>
      <c r="B112" s="305"/>
      <c r="C112" s="305"/>
      <c r="D112" s="303"/>
      <c r="E112" s="303" t="e">
        <f t="shared" si="5"/>
        <v>#DIV/0!</v>
      </c>
      <c r="F112" s="260"/>
    </row>
    <row r="113" spans="1:6">
      <c r="A113" s="264" t="s">
        <v>1617</v>
      </c>
      <c r="B113" s="305"/>
      <c r="C113" s="305">
        <v>50</v>
      </c>
      <c r="D113" s="303"/>
      <c r="E113" s="303"/>
      <c r="F113" s="260"/>
    </row>
    <row r="114" spans="1:6" hidden="1">
      <c r="A114" s="264" t="s">
        <v>1616</v>
      </c>
      <c r="B114" s="305"/>
      <c r="C114" s="305"/>
      <c r="D114" s="303"/>
      <c r="E114" s="303"/>
      <c r="F114" s="260">
        <v>4</v>
      </c>
    </row>
    <row r="115" spans="1:6" hidden="1">
      <c r="A115" s="264" t="s">
        <v>1615</v>
      </c>
      <c r="B115" s="305"/>
      <c r="C115" s="305"/>
      <c r="D115" s="303"/>
      <c r="E115" s="303"/>
      <c r="F115" s="260"/>
    </row>
    <row r="116" spans="1:6" hidden="1">
      <c r="A116" s="264" t="s">
        <v>1614</v>
      </c>
      <c r="B116" s="305"/>
      <c r="C116" s="305"/>
      <c r="D116" s="303"/>
      <c r="E116" s="303"/>
      <c r="F116" s="260">
        <v>5</v>
      </c>
    </row>
    <row r="117" spans="1:6" hidden="1">
      <c r="A117" s="264" t="s">
        <v>1613</v>
      </c>
      <c r="B117" s="305"/>
      <c r="C117" s="305"/>
      <c r="D117" s="303"/>
      <c r="E117" s="303"/>
      <c r="F117" s="260">
        <v>3</v>
      </c>
    </row>
    <row r="118" spans="1:6">
      <c r="A118" s="264" t="s">
        <v>636</v>
      </c>
      <c r="B118" s="305"/>
      <c r="C118" s="305">
        <v>34</v>
      </c>
      <c r="D118" s="303"/>
      <c r="E118" s="303"/>
      <c r="F118" s="260"/>
    </row>
    <row r="119" spans="1:6">
      <c r="A119" s="264" t="s">
        <v>1612</v>
      </c>
      <c r="B119" s="305"/>
      <c r="C119" s="305">
        <v>53</v>
      </c>
      <c r="D119" s="303"/>
      <c r="E119" s="303"/>
      <c r="F119" s="260"/>
    </row>
    <row r="120" spans="1:6">
      <c r="A120" s="261" t="s">
        <v>1611</v>
      </c>
      <c r="B120" s="305">
        <v>1592</v>
      </c>
      <c r="C120" s="305">
        <f>SUM(C121:C128)</f>
        <v>1592</v>
      </c>
      <c r="D120" s="303">
        <f>C120/B120*100</f>
        <v>100</v>
      </c>
      <c r="E120" s="303">
        <f t="shared" ref="E120:E130" si="6">C120/F120*100</f>
        <v>205.15</v>
      </c>
      <c r="F120" s="260">
        <f>SUM(F121:F128)</f>
        <v>776</v>
      </c>
    </row>
    <row r="121" spans="1:6">
      <c r="A121" s="264" t="s">
        <v>647</v>
      </c>
      <c r="B121" s="305"/>
      <c r="C121" s="305">
        <v>1183</v>
      </c>
      <c r="D121" s="303"/>
      <c r="E121" s="303">
        <f t="shared" si="6"/>
        <v>156.47999999999999</v>
      </c>
      <c r="F121" s="260">
        <v>756</v>
      </c>
    </row>
    <row r="122" spans="1:6">
      <c r="A122" s="264" t="s">
        <v>646</v>
      </c>
      <c r="B122" s="305"/>
      <c r="C122" s="305">
        <v>409</v>
      </c>
      <c r="D122" s="303"/>
      <c r="E122" s="303">
        <f t="shared" si="6"/>
        <v>2045</v>
      </c>
      <c r="F122" s="260">
        <v>20</v>
      </c>
    </row>
    <row r="123" spans="1:6" hidden="1">
      <c r="A123" s="264" t="s">
        <v>645</v>
      </c>
      <c r="B123" s="305"/>
      <c r="C123" s="305"/>
      <c r="D123" s="303" t="e">
        <f t="shared" ref="D123:D129" si="7">C123/B123*100</f>
        <v>#DIV/0!</v>
      </c>
      <c r="E123" s="303" t="e">
        <f t="shared" si="6"/>
        <v>#DIV/0!</v>
      </c>
      <c r="F123" s="260"/>
    </row>
    <row r="124" spans="1:6" hidden="1">
      <c r="A124" s="264" t="s">
        <v>1610</v>
      </c>
      <c r="B124" s="305"/>
      <c r="C124" s="305"/>
      <c r="D124" s="303" t="e">
        <f t="shared" si="7"/>
        <v>#DIV/0!</v>
      </c>
      <c r="E124" s="303" t="e">
        <f t="shared" si="6"/>
        <v>#DIV/0!</v>
      </c>
      <c r="F124" s="260"/>
    </row>
    <row r="125" spans="1:6" hidden="1">
      <c r="A125" s="264" t="s">
        <v>1609</v>
      </c>
      <c r="B125" s="305"/>
      <c r="C125" s="305"/>
      <c r="D125" s="303" t="e">
        <f t="shared" si="7"/>
        <v>#DIV/0!</v>
      </c>
      <c r="E125" s="303" t="e">
        <f t="shared" si="6"/>
        <v>#DIV/0!</v>
      </c>
      <c r="F125" s="260"/>
    </row>
    <row r="126" spans="1:6" hidden="1">
      <c r="A126" s="264" t="s">
        <v>1608</v>
      </c>
      <c r="B126" s="305"/>
      <c r="C126" s="305"/>
      <c r="D126" s="303" t="e">
        <f t="shared" si="7"/>
        <v>#DIV/0!</v>
      </c>
      <c r="E126" s="303" t="e">
        <f t="shared" si="6"/>
        <v>#DIV/0!</v>
      </c>
      <c r="F126" s="260"/>
    </row>
    <row r="127" spans="1:6" hidden="1">
      <c r="A127" s="264" t="s">
        <v>636</v>
      </c>
      <c r="B127" s="305"/>
      <c r="C127" s="305"/>
      <c r="D127" s="303" t="e">
        <f t="shared" si="7"/>
        <v>#DIV/0!</v>
      </c>
      <c r="E127" s="303" t="e">
        <f t="shared" si="6"/>
        <v>#DIV/0!</v>
      </c>
      <c r="F127" s="260"/>
    </row>
    <row r="128" spans="1:6" hidden="1">
      <c r="A128" s="264" t="s">
        <v>1607</v>
      </c>
      <c r="B128" s="305"/>
      <c r="C128" s="305"/>
      <c r="D128" s="303" t="e">
        <f t="shared" si="7"/>
        <v>#DIV/0!</v>
      </c>
      <c r="E128" s="303" t="e">
        <f t="shared" si="6"/>
        <v>#DIV/0!</v>
      </c>
      <c r="F128" s="260"/>
    </row>
    <row r="129" spans="1:6">
      <c r="A129" s="261" t="s">
        <v>1606</v>
      </c>
      <c r="B129" s="305">
        <v>1146</v>
      </c>
      <c r="C129" s="305">
        <f>SUM(C130:C139)</f>
        <v>1146</v>
      </c>
      <c r="D129" s="303">
        <f t="shared" si="7"/>
        <v>100</v>
      </c>
      <c r="E129" s="303">
        <f t="shared" si="6"/>
        <v>127.76</v>
      </c>
      <c r="F129" s="260">
        <f>SUM(F130:F139)</f>
        <v>897</v>
      </c>
    </row>
    <row r="130" spans="1:6">
      <c r="A130" s="264" t="s">
        <v>647</v>
      </c>
      <c r="B130" s="305"/>
      <c r="C130" s="305">
        <v>413</v>
      </c>
      <c r="D130" s="303"/>
      <c r="E130" s="303">
        <f t="shared" si="6"/>
        <v>96.95</v>
      </c>
      <c r="F130" s="260">
        <v>426</v>
      </c>
    </row>
    <row r="131" spans="1:6">
      <c r="A131" s="264" t="s">
        <v>646</v>
      </c>
      <c r="B131" s="305"/>
      <c r="C131" s="305">
        <v>278</v>
      </c>
      <c r="D131" s="303"/>
      <c r="E131" s="303"/>
      <c r="F131" s="260"/>
    </row>
    <row r="132" spans="1:6" hidden="1">
      <c r="A132" s="264" t="s">
        <v>645</v>
      </c>
      <c r="B132" s="305"/>
      <c r="C132" s="305"/>
      <c r="D132" s="303"/>
      <c r="E132" s="303" t="e">
        <f t="shared" ref="E132:E156" si="8">C132/F132*100</f>
        <v>#DIV/0!</v>
      </c>
      <c r="F132" s="260"/>
    </row>
    <row r="133" spans="1:6" hidden="1">
      <c r="A133" s="264" t="s">
        <v>1605</v>
      </c>
      <c r="B133" s="305"/>
      <c r="C133" s="305"/>
      <c r="D133" s="303"/>
      <c r="E133" s="303" t="e">
        <f t="shared" si="8"/>
        <v>#DIV/0!</v>
      </c>
      <c r="F133" s="260"/>
    </row>
    <row r="134" spans="1:6" hidden="1">
      <c r="A134" s="264" t="s">
        <v>1604</v>
      </c>
      <c r="B134" s="305"/>
      <c r="C134" s="305"/>
      <c r="D134" s="303"/>
      <c r="E134" s="303" t="e">
        <f t="shared" si="8"/>
        <v>#DIV/0!</v>
      </c>
      <c r="F134" s="260"/>
    </row>
    <row r="135" spans="1:6" hidden="1">
      <c r="A135" s="264" t="s">
        <v>1603</v>
      </c>
      <c r="B135" s="305"/>
      <c r="C135" s="305"/>
      <c r="D135" s="303"/>
      <c r="E135" s="303" t="e">
        <f t="shared" si="8"/>
        <v>#DIV/0!</v>
      </c>
      <c r="F135" s="260"/>
    </row>
    <row r="136" spans="1:6" hidden="1">
      <c r="A136" s="264" t="s">
        <v>1602</v>
      </c>
      <c r="B136" s="305"/>
      <c r="C136" s="305"/>
      <c r="D136" s="303"/>
      <c r="E136" s="303" t="e">
        <f t="shared" si="8"/>
        <v>#DIV/0!</v>
      </c>
      <c r="F136" s="260"/>
    </row>
    <row r="137" spans="1:6" hidden="1">
      <c r="A137" s="264" t="s">
        <v>1601</v>
      </c>
      <c r="B137" s="305"/>
      <c r="C137" s="305"/>
      <c r="D137" s="303"/>
      <c r="E137" s="303">
        <f t="shared" si="8"/>
        <v>0</v>
      </c>
      <c r="F137" s="260">
        <v>196</v>
      </c>
    </row>
    <row r="138" spans="1:6">
      <c r="A138" s="264" t="s">
        <v>636</v>
      </c>
      <c r="B138" s="305"/>
      <c r="C138" s="305">
        <v>455</v>
      </c>
      <c r="D138" s="303"/>
      <c r="E138" s="303">
        <f t="shared" si="8"/>
        <v>165.45</v>
      </c>
      <c r="F138" s="260">
        <v>275</v>
      </c>
    </row>
    <row r="139" spans="1:6" hidden="1">
      <c r="A139" s="264" t="s">
        <v>1600</v>
      </c>
      <c r="B139" s="305"/>
      <c r="C139" s="305"/>
      <c r="D139" s="303" t="e">
        <f t="shared" ref="D139:D152" si="9">C139/B139*100</f>
        <v>#DIV/0!</v>
      </c>
      <c r="E139" s="303" t="e">
        <f t="shared" si="8"/>
        <v>#DIV/0!</v>
      </c>
      <c r="F139" s="260"/>
    </row>
    <row r="140" spans="1:6" hidden="1">
      <c r="A140" s="261" t="s">
        <v>1599</v>
      </c>
      <c r="B140" s="305"/>
      <c r="C140" s="305">
        <f>SUM(C141:C151)</f>
        <v>0</v>
      </c>
      <c r="D140" s="303" t="e">
        <f t="shared" si="9"/>
        <v>#DIV/0!</v>
      </c>
      <c r="E140" s="303" t="e">
        <f t="shared" si="8"/>
        <v>#DIV/0!</v>
      </c>
      <c r="F140" s="260">
        <f>SUM(F141:F151)</f>
        <v>0</v>
      </c>
    </row>
    <row r="141" spans="1:6" hidden="1">
      <c r="A141" s="264" t="s">
        <v>647</v>
      </c>
      <c r="B141" s="305"/>
      <c r="C141" s="305"/>
      <c r="D141" s="303" t="e">
        <f t="shared" si="9"/>
        <v>#DIV/0!</v>
      </c>
      <c r="E141" s="303" t="e">
        <f t="shared" si="8"/>
        <v>#DIV/0!</v>
      </c>
      <c r="F141" s="260"/>
    </row>
    <row r="142" spans="1:6" hidden="1">
      <c r="A142" s="264" t="s">
        <v>646</v>
      </c>
      <c r="B142" s="305"/>
      <c r="C142" s="305"/>
      <c r="D142" s="303" t="e">
        <f t="shared" si="9"/>
        <v>#DIV/0!</v>
      </c>
      <c r="E142" s="303" t="e">
        <f t="shared" si="8"/>
        <v>#DIV/0!</v>
      </c>
      <c r="F142" s="260"/>
    </row>
    <row r="143" spans="1:6" hidden="1">
      <c r="A143" s="264" t="s">
        <v>645</v>
      </c>
      <c r="B143" s="305"/>
      <c r="C143" s="305"/>
      <c r="D143" s="303" t="e">
        <f t="shared" si="9"/>
        <v>#DIV/0!</v>
      </c>
      <c r="E143" s="303" t="e">
        <f t="shared" si="8"/>
        <v>#DIV/0!</v>
      </c>
      <c r="F143" s="260"/>
    </row>
    <row r="144" spans="1:6" hidden="1">
      <c r="A144" s="264" t="s">
        <v>1598</v>
      </c>
      <c r="B144" s="305"/>
      <c r="C144" s="305"/>
      <c r="D144" s="303" t="e">
        <f t="shared" si="9"/>
        <v>#DIV/0!</v>
      </c>
      <c r="E144" s="303" t="e">
        <f t="shared" si="8"/>
        <v>#DIV/0!</v>
      </c>
      <c r="F144" s="260"/>
    </row>
    <row r="145" spans="1:6" hidden="1">
      <c r="A145" s="264" t="s">
        <v>1597</v>
      </c>
      <c r="B145" s="305"/>
      <c r="C145" s="305"/>
      <c r="D145" s="303" t="e">
        <f t="shared" si="9"/>
        <v>#DIV/0!</v>
      </c>
      <c r="E145" s="303" t="e">
        <f t="shared" si="8"/>
        <v>#DIV/0!</v>
      </c>
      <c r="F145" s="260"/>
    </row>
    <row r="146" spans="1:6" hidden="1">
      <c r="A146" s="264" t="s">
        <v>1596</v>
      </c>
      <c r="B146" s="305"/>
      <c r="C146" s="305"/>
      <c r="D146" s="303" t="e">
        <f t="shared" si="9"/>
        <v>#DIV/0!</v>
      </c>
      <c r="E146" s="303" t="e">
        <f t="shared" si="8"/>
        <v>#DIV/0!</v>
      </c>
      <c r="F146" s="260"/>
    </row>
    <row r="147" spans="1:6" hidden="1">
      <c r="A147" s="264" t="s">
        <v>1595</v>
      </c>
      <c r="B147" s="305"/>
      <c r="C147" s="305"/>
      <c r="D147" s="303" t="e">
        <f t="shared" si="9"/>
        <v>#DIV/0!</v>
      </c>
      <c r="E147" s="303" t="e">
        <f t="shared" si="8"/>
        <v>#DIV/0!</v>
      </c>
      <c r="F147" s="260"/>
    </row>
    <row r="148" spans="1:6" hidden="1">
      <c r="A148" s="264" t="s">
        <v>1594</v>
      </c>
      <c r="B148" s="305"/>
      <c r="C148" s="305"/>
      <c r="D148" s="303" t="e">
        <f t="shared" si="9"/>
        <v>#DIV/0!</v>
      </c>
      <c r="E148" s="303" t="e">
        <f t="shared" si="8"/>
        <v>#DIV/0!</v>
      </c>
      <c r="F148" s="260"/>
    </row>
    <row r="149" spans="1:6" hidden="1">
      <c r="A149" s="264" t="s">
        <v>1593</v>
      </c>
      <c r="B149" s="305"/>
      <c r="C149" s="305"/>
      <c r="D149" s="303" t="e">
        <f t="shared" si="9"/>
        <v>#DIV/0!</v>
      </c>
      <c r="E149" s="303" t="e">
        <f t="shared" si="8"/>
        <v>#DIV/0!</v>
      </c>
      <c r="F149" s="260"/>
    </row>
    <row r="150" spans="1:6" hidden="1">
      <c r="A150" s="264" t="s">
        <v>636</v>
      </c>
      <c r="B150" s="305"/>
      <c r="C150" s="305"/>
      <c r="D150" s="303" t="e">
        <f t="shared" si="9"/>
        <v>#DIV/0!</v>
      </c>
      <c r="E150" s="303" t="e">
        <f t="shared" si="8"/>
        <v>#DIV/0!</v>
      </c>
      <c r="F150" s="260"/>
    </row>
    <row r="151" spans="1:6" hidden="1">
      <c r="A151" s="264" t="s">
        <v>1592</v>
      </c>
      <c r="B151" s="305"/>
      <c r="C151" s="305"/>
      <c r="D151" s="303" t="e">
        <f t="shared" si="9"/>
        <v>#DIV/0!</v>
      </c>
      <c r="E151" s="303" t="e">
        <f t="shared" si="8"/>
        <v>#DIV/0!</v>
      </c>
      <c r="F151" s="260"/>
    </row>
    <row r="152" spans="1:6">
      <c r="A152" s="261" t="s">
        <v>1591</v>
      </c>
      <c r="B152" s="305">
        <v>2430</v>
      </c>
      <c r="C152" s="305">
        <f>SUM(C153:C161)</f>
        <v>2430</v>
      </c>
      <c r="D152" s="303">
        <f t="shared" si="9"/>
        <v>100</v>
      </c>
      <c r="E152" s="303">
        <f t="shared" si="8"/>
        <v>233.43</v>
      </c>
      <c r="F152" s="260">
        <f>SUM(F153:F161)</f>
        <v>1041</v>
      </c>
    </row>
    <row r="153" spans="1:6">
      <c r="A153" s="264" t="s">
        <v>647</v>
      </c>
      <c r="B153" s="305"/>
      <c r="C153" s="305">
        <v>2077</v>
      </c>
      <c r="D153" s="303"/>
      <c r="E153" s="303">
        <f t="shared" si="8"/>
        <v>218.63</v>
      </c>
      <c r="F153" s="260">
        <v>950</v>
      </c>
    </row>
    <row r="154" spans="1:6">
      <c r="A154" s="264" t="s">
        <v>646</v>
      </c>
      <c r="B154" s="305"/>
      <c r="C154" s="305">
        <v>209</v>
      </c>
      <c r="D154" s="303"/>
      <c r="E154" s="303">
        <f t="shared" si="8"/>
        <v>509.76</v>
      </c>
      <c r="F154" s="260">
        <v>41</v>
      </c>
    </row>
    <row r="155" spans="1:6" hidden="1">
      <c r="A155" s="264" t="s">
        <v>645</v>
      </c>
      <c r="B155" s="305"/>
      <c r="C155" s="305"/>
      <c r="D155" s="303"/>
      <c r="E155" s="303" t="e">
        <f t="shared" si="8"/>
        <v>#DIV/0!</v>
      </c>
      <c r="F155" s="260"/>
    </row>
    <row r="156" spans="1:6" hidden="1">
      <c r="A156" s="264" t="s">
        <v>1590</v>
      </c>
      <c r="B156" s="305"/>
      <c r="C156" s="305"/>
      <c r="D156" s="303"/>
      <c r="E156" s="303" t="e">
        <f t="shared" si="8"/>
        <v>#DIV/0!</v>
      </c>
      <c r="F156" s="260"/>
    </row>
    <row r="157" spans="1:6">
      <c r="A157" s="264" t="s">
        <v>1589</v>
      </c>
      <c r="B157" s="305"/>
      <c r="C157" s="305">
        <v>24</v>
      </c>
      <c r="D157" s="303"/>
      <c r="E157" s="303"/>
      <c r="F157" s="260"/>
    </row>
    <row r="158" spans="1:6" hidden="1">
      <c r="A158" s="264" t="s">
        <v>1588</v>
      </c>
      <c r="B158" s="305"/>
      <c r="C158" s="305"/>
      <c r="D158" s="303"/>
      <c r="E158" s="303" t="e">
        <f>C158/F158*100</f>
        <v>#DIV/0!</v>
      </c>
      <c r="F158" s="260"/>
    </row>
    <row r="159" spans="1:6">
      <c r="A159" s="264" t="s">
        <v>1044</v>
      </c>
      <c r="B159" s="305"/>
      <c r="C159" s="305">
        <v>1</v>
      </c>
      <c r="D159" s="303"/>
      <c r="E159" s="303">
        <f>C159/F159*100</f>
        <v>2</v>
      </c>
      <c r="F159" s="260">
        <v>50</v>
      </c>
    </row>
    <row r="160" spans="1:6" hidden="1">
      <c r="A160" s="264" t="s">
        <v>636</v>
      </c>
      <c r="B160" s="305"/>
      <c r="C160" s="305"/>
      <c r="D160" s="303"/>
      <c r="E160" s="303" t="e">
        <f>C160/F160*100</f>
        <v>#DIV/0!</v>
      </c>
      <c r="F160" s="260"/>
    </row>
    <row r="161" spans="1:6">
      <c r="A161" s="264" t="s">
        <v>1587</v>
      </c>
      <c r="B161" s="305"/>
      <c r="C161" s="305">
        <v>119</v>
      </c>
      <c r="D161" s="303"/>
      <c r="E161" s="303"/>
      <c r="F161" s="260"/>
    </row>
    <row r="162" spans="1:6">
      <c r="A162" s="261" t="s">
        <v>1586</v>
      </c>
      <c r="B162" s="305">
        <v>523</v>
      </c>
      <c r="C162" s="305">
        <f>SUM(C163:C174)</f>
        <v>512</v>
      </c>
      <c r="D162" s="303">
        <f>C162/B162*100</f>
        <v>97.9</v>
      </c>
      <c r="E162" s="303">
        <f>C162/F162*100</f>
        <v>89.67</v>
      </c>
      <c r="F162" s="260">
        <f>SUM(F163:F174)</f>
        <v>571</v>
      </c>
    </row>
    <row r="163" spans="1:6">
      <c r="A163" s="264" t="s">
        <v>647</v>
      </c>
      <c r="B163" s="305"/>
      <c r="C163" s="305">
        <v>81</v>
      </c>
      <c r="D163" s="303"/>
      <c r="E163" s="303">
        <f>C163/F163*100</f>
        <v>43.09</v>
      </c>
      <c r="F163" s="260">
        <v>188</v>
      </c>
    </row>
    <row r="164" spans="1:6">
      <c r="A164" s="264" t="s">
        <v>646</v>
      </c>
      <c r="B164" s="305"/>
      <c r="C164" s="305">
        <v>7</v>
      </c>
      <c r="D164" s="303"/>
      <c r="E164" s="303"/>
      <c r="F164" s="260"/>
    </row>
    <row r="165" spans="1:6" hidden="1">
      <c r="A165" s="264" t="s">
        <v>645</v>
      </c>
      <c r="B165" s="305"/>
      <c r="C165" s="305"/>
      <c r="D165" s="303"/>
      <c r="E165" s="303" t="e">
        <f t="shared" ref="E165:E202" si="10">C165/F165*100</f>
        <v>#DIV/0!</v>
      </c>
      <c r="F165" s="260"/>
    </row>
    <row r="166" spans="1:6">
      <c r="A166" s="264" t="s">
        <v>1585</v>
      </c>
      <c r="B166" s="305"/>
      <c r="C166" s="305">
        <v>300</v>
      </c>
      <c r="D166" s="303"/>
      <c r="E166" s="303">
        <f t="shared" si="10"/>
        <v>100</v>
      </c>
      <c r="F166" s="260">
        <v>300</v>
      </c>
    </row>
    <row r="167" spans="1:6" hidden="1">
      <c r="A167" s="264" t="s">
        <v>1584</v>
      </c>
      <c r="B167" s="305"/>
      <c r="C167" s="305"/>
      <c r="D167" s="303"/>
      <c r="E167" s="303" t="e">
        <f t="shared" si="10"/>
        <v>#DIV/0!</v>
      </c>
      <c r="F167" s="260"/>
    </row>
    <row r="168" spans="1:6" hidden="1">
      <c r="A168" s="264" t="s">
        <v>1583</v>
      </c>
      <c r="B168" s="305"/>
      <c r="C168" s="305"/>
      <c r="D168" s="303"/>
      <c r="E168" s="303">
        <f t="shared" si="10"/>
        <v>0</v>
      </c>
      <c r="F168" s="260">
        <v>9</v>
      </c>
    </row>
    <row r="169" spans="1:6" hidden="1">
      <c r="A169" s="264" t="s">
        <v>1582</v>
      </c>
      <c r="B169" s="305"/>
      <c r="C169" s="305"/>
      <c r="D169" s="303"/>
      <c r="E169" s="303" t="e">
        <f t="shared" si="10"/>
        <v>#DIV/0!</v>
      </c>
      <c r="F169" s="260"/>
    </row>
    <row r="170" spans="1:6" hidden="1">
      <c r="A170" s="264" t="s">
        <v>1581</v>
      </c>
      <c r="B170" s="305"/>
      <c r="C170" s="305"/>
      <c r="D170" s="303"/>
      <c r="E170" s="303" t="e">
        <f t="shared" si="10"/>
        <v>#DIV/0!</v>
      </c>
      <c r="F170" s="260"/>
    </row>
    <row r="171" spans="1:6" hidden="1">
      <c r="A171" s="264" t="s">
        <v>1580</v>
      </c>
      <c r="B171" s="305"/>
      <c r="C171" s="305"/>
      <c r="D171" s="303"/>
      <c r="E171" s="303" t="e">
        <f t="shared" si="10"/>
        <v>#DIV/0!</v>
      </c>
      <c r="F171" s="260"/>
    </row>
    <row r="172" spans="1:6" hidden="1">
      <c r="A172" s="264" t="s">
        <v>1044</v>
      </c>
      <c r="B172" s="305"/>
      <c r="C172" s="305"/>
      <c r="D172" s="303"/>
      <c r="E172" s="303" t="e">
        <f t="shared" si="10"/>
        <v>#DIV/0!</v>
      </c>
      <c r="F172" s="260"/>
    </row>
    <row r="173" spans="1:6">
      <c r="A173" s="264" t="s">
        <v>636</v>
      </c>
      <c r="B173" s="305"/>
      <c r="C173" s="305">
        <v>117</v>
      </c>
      <c r="D173" s="303"/>
      <c r="E173" s="303">
        <f t="shared" si="10"/>
        <v>162.5</v>
      </c>
      <c r="F173" s="260">
        <v>72</v>
      </c>
    </row>
    <row r="174" spans="1:6">
      <c r="A174" s="264" t="s">
        <v>1579</v>
      </c>
      <c r="B174" s="305"/>
      <c r="C174" s="305">
        <v>7</v>
      </c>
      <c r="D174" s="303"/>
      <c r="E174" s="303">
        <f t="shared" si="10"/>
        <v>350</v>
      </c>
      <c r="F174" s="260">
        <v>2</v>
      </c>
    </row>
    <row r="175" spans="1:6" hidden="1">
      <c r="A175" s="261" t="s">
        <v>1578</v>
      </c>
      <c r="B175" s="305"/>
      <c r="C175" s="305">
        <f>SUM(C176:C181)</f>
        <v>0</v>
      </c>
      <c r="D175" s="303" t="e">
        <f t="shared" ref="D175:D185" si="11">C175/B175*100</f>
        <v>#DIV/0!</v>
      </c>
      <c r="E175" s="303">
        <f t="shared" si="10"/>
        <v>0</v>
      </c>
      <c r="F175" s="260">
        <f>SUM(F176:F181)</f>
        <v>32</v>
      </c>
    </row>
    <row r="176" spans="1:6" hidden="1">
      <c r="A176" s="264" t="s">
        <v>647</v>
      </c>
      <c r="B176" s="305"/>
      <c r="C176" s="305"/>
      <c r="D176" s="303" t="e">
        <f t="shared" si="11"/>
        <v>#DIV/0!</v>
      </c>
      <c r="E176" s="303">
        <f t="shared" si="10"/>
        <v>0</v>
      </c>
      <c r="F176" s="260">
        <v>22</v>
      </c>
    </row>
    <row r="177" spans="1:6" hidden="1">
      <c r="A177" s="264" t="s">
        <v>646</v>
      </c>
      <c r="B177" s="305"/>
      <c r="C177" s="305"/>
      <c r="D177" s="303" t="e">
        <f t="shared" si="11"/>
        <v>#DIV/0!</v>
      </c>
      <c r="E177" s="303" t="e">
        <f t="shared" si="10"/>
        <v>#DIV/0!</v>
      </c>
      <c r="F177" s="260"/>
    </row>
    <row r="178" spans="1:6" hidden="1">
      <c r="A178" s="264" t="s">
        <v>645</v>
      </c>
      <c r="B178" s="305"/>
      <c r="C178" s="305"/>
      <c r="D178" s="303" t="e">
        <f t="shared" si="11"/>
        <v>#DIV/0!</v>
      </c>
      <c r="E178" s="303" t="e">
        <f t="shared" si="10"/>
        <v>#DIV/0!</v>
      </c>
      <c r="F178" s="260"/>
    </row>
    <row r="179" spans="1:6" hidden="1">
      <c r="A179" s="264" t="s">
        <v>1577</v>
      </c>
      <c r="B179" s="305"/>
      <c r="C179" s="305"/>
      <c r="D179" s="303" t="e">
        <f t="shared" si="11"/>
        <v>#DIV/0!</v>
      </c>
      <c r="E179" s="303" t="e">
        <f t="shared" si="10"/>
        <v>#DIV/0!</v>
      </c>
      <c r="F179" s="260"/>
    </row>
    <row r="180" spans="1:6" hidden="1">
      <c r="A180" s="264" t="s">
        <v>636</v>
      </c>
      <c r="B180" s="305"/>
      <c r="C180" s="305"/>
      <c r="D180" s="303" t="e">
        <f t="shared" si="11"/>
        <v>#DIV/0!</v>
      </c>
      <c r="E180" s="303" t="e">
        <f t="shared" si="10"/>
        <v>#DIV/0!</v>
      </c>
      <c r="F180" s="260"/>
    </row>
    <row r="181" spans="1:6" hidden="1">
      <c r="A181" s="264" t="s">
        <v>1576</v>
      </c>
      <c r="B181" s="305"/>
      <c r="C181" s="305"/>
      <c r="D181" s="303" t="e">
        <f t="shared" si="11"/>
        <v>#DIV/0!</v>
      </c>
      <c r="E181" s="303">
        <f t="shared" si="10"/>
        <v>0</v>
      </c>
      <c r="F181" s="260">
        <v>10</v>
      </c>
    </row>
    <row r="182" spans="1:6">
      <c r="A182" s="261" t="s">
        <v>1575</v>
      </c>
      <c r="B182" s="305">
        <v>90</v>
      </c>
      <c r="C182" s="305">
        <f>SUM(C183:C188)</f>
        <v>90</v>
      </c>
      <c r="D182" s="303">
        <f t="shared" si="11"/>
        <v>100</v>
      </c>
      <c r="E182" s="303">
        <f t="shared" si="10"/>
        <v>900</v>
      </c>
      <c r="F182" s="260">
        <f>SUM(F183:F188)</f>
        <v>10</v>
      </c>
    </row>
    <row r="183" spans="1:6" hidden="1">
      <c r="A183" s="264" t="s">
        <v>647</v>
      </c>
      <c r="B183" s="305"/>
      <c r="C183" s="305"/>
      <c r="D183" s="303" t="e">
        <f t="shared" si="11"/>
        <v>#DIV/0!</v>
      </c>
      <c r="E183" s="303" t="e">
        <f t="shared" si="10"/>
        <v>#DIV/0!</v>
      </c>
      <c r="F183" s="260"/>
    </row>
    <row r="184" spans="1:6" hidden="1">
      <c r="A184" s="264" t="s">
        <v>646</v>
      </c>
      <c r="B184" s="305"/>
      <c r="C184" s="305"/>
      <c r="D184" s="303" t="e">
        <f t="shared" si="11"/>
        <v>#DIV/0!</v>
      </c>
      <c r="E184" s="303" t="e">
        <f t="shared" si="10"/>
        <v>#DIV/0!</v>
      </c>
      <c r="F184" s="260"/>
    </row>
    <row r="185" spans="1:6" hidden="1">
      <c r="A185" s="264" t="s">
        <v>645</v>
      </c>
      <c r="B185" s="305"/>
      <c r="C185" s="305"/>
      <c r="D185" s="303" t="e">
        <f t="shared" si="11"/>
        <v>#DIV/0!</v>
      </c>
      <c r="E185" s="303" t="e">
        <f t="shared" si="10"/>
        <v>#DIV/0!</v>
      </c>
      <c r="F185" s="260"/>
    </row>
    <row r="186" spans="1:6">
      <c r="A186" s="264" t="s">
        <v>1574</v>
      </c>
      <c r="B186" s="305"/>
      <c r="C186" s="305">
        <v>90</v>
      </c>
      <c r="D186" s="303"/>
      <c r="E186" s="303">
        <f t="shared" si="10"/>
        <v>900</v>
      </c>
      <c r="F186" s="260">
        <v>10</v>
      </c>
    </row>
    <row r="187" spans="1:6" hidden="1">
      <c r="A187" s="264" t="s">
        <v>636</v>
      </c>
      <c r="B187" s="305"/>
      <c r="C187" s="305"/>
      <c r="D187" s="303" t="e">
        <f t="shared" ref="D187:D198" si="12">C187/B187*100</f>
        <v>#DIV/0!</v>
      </c>
      <c r="E187" s="303" t="e">
        <f t="shared" si="10"/>
        <v>#DIV/0!</v>
      </c>
      <c r="F187" s="260"/>
    </row>
    <row r="188" spans="1:6" hidden="1">
      <c r="A188" s="264" t="s">
        <v>1573</v>
      </c>
      <c r="B188" s="305"/>
      <c r="C188" s="305"/>
      <c r="D188" s="303" t="e">
        <f t="shared" si="12"/>
        <v>#DIV/0!</v>
      </c>
      <c r="E188" s="303" t="e">
        <f t="shared" si="10"/>
        <v>#DIV/0!</v>
      </c>
      <c r="F188" s="260"/>
    </row>
    <row r="189" spans="1:6" hidden="1">
      <c r="A189" s="261" t="s">
        <v>1572</v>
      </c>
      <c r="B189" s="305">
        <v>1125</v>
      </c>
      <c r="C189" s="305">
        <f>SUM(C190:C197)</f>
        <v>1035</v>
      </c>
      <c r="D189" s="303">
        <f t="shared" si="12"/>
        <v>92</v>
      </c>
      <c r="E189" s="303">
        <f t="shared" si="10"/>
        <v>92.91</v>
      </c>
      <c r="F189" s="260">
        <f>SUM(F190:F197)</f>
        <v>1114</v>
      </c>
    </row>
    <row r="190" spans="1:6" hidden="1">
      <c r="A190" s="264" t="s">
        <v>647</v>
      </c>
      <c r="B190" s="305"/>
      <c r="C190" s="305">
        <v>370</v>
      </c>
      <c r="D190" s="303" t="e">
        <f t="shared" si="12"/>
        <v>#DIV/0!</v>
      </c>
      <c r="E190" s="303">
        <f t="shared" si="10"/>
        <v>113.15</v>
      </c>
      <c r="F190" s="260">
        <v>327</v>
      </c>
    </row>
    <row r="191" spans="1:6" hidden="1">
      <c r="A191" s="264" t="s">
        <v>646</v>
      </c>
      <c r="B191" s="305"/>
      <c r="C191" s="305">
        <v>326</v>
      </c>
      <c r="D191" s="303" t="e">
        <f t="shared" si="12"/>
        <v>#DIV/0!</v>
      </c>
      <c r="E191" s="303">
        <f t="shared" si="10"/>
        <v>283.48</v>
      </c>
      <c r="F191" s="260">
        <v>115</v>
      </c>
    </row>
    <row r="192" spans="1:6" hidden="1">
      <c r="A192" s="264" t="s">
        <v>645</v>
      </c>
      <c r="B192" s="305"/>
      <c r="C192" s="305"/>
      <c r="D192" s="303" t="e">
        <f t="shared" si="12"/>
        <v>#DIV/0!</v>
      </c>
      <c r="E192" s="303" t="e">
        <f t="shared" si="10"/>
        <v>#DIV/0!</v>
      </c>
      <c r="F192" s="260"/>
    </row>
    <row r="193" spans="1:6" hidden="1">
      <c r="A193" s="264" t="s">
        <v>1571</v>
      </c>
      <c r="B193" s="305"/>
      <c r="C193" s="305"/>
      <c r="D193" s="303" t="e">
        <f t="shared" si="12"/>
        <v>#DIV/0!</v>
      </c>
      <c r="E193" s="303" t="e">
        <f t="shared" si="10"/>
        <v>#DIV/0!</v>
      </c>
      <c r="F193" s="260"/>
    </row>
    <row r="194" spans="1:6" hidden="1">
      <c r="A194" s="264" t="s">
        <v>1570</v>
      </c>
      <c r="B194" s="305"/>
      <c r="C194" s="305">
        <v>335</v>
      </c>
      <c r="D194" s="303" t="e">
        <f t="shared" si="12"/>
        <v>#DIV/0!</v>
      </c>
      <c r="E194" s="303">
        <f t="shared" si="10"/>
        <v>51.38</v>
      </c>
      <c r="F194" s="260">
        <v>652</v>
      </c>
    </row>
    <row r="195" spans="1:6" hidden="1">
      <c r="A195" s="264" t="s">
        <v>1569</v>
      </c>
      <c r="B195" s="305"/>
      <c r="C195" s="305">
        <v>4</v>
      </c>
      <c r="D195" s="303" t="e">
        <f t="shared" si="12"/>
        <v>#DIV/0!</v>
      </c>
      <c r="E195" s="303">
        <f t="shared" si="10"/>
        <v>66.67</v>
      </c>
      <c r="F195" s="260">
        <v>6</v>
      </c>
    </row>
    <row r="196" spans="1:6" hidden="1">
      <c r="A196" s="264" t="s">
        <v>636</v>
      </c>
      <c r="B196" s="305"/>
      <c r="C196" s="305"/>
      <c r="D196" s="303" t="e">
        <f t="shared" si="12"/>
        <v>#DIV/0!</v>
      </c>
      <c r="E196" s="303" t="e">
        <f t="shared" si="10"/>
        <v>#DIV/0!</v>
      </c>
      <c r="F196" s="260"/>
    </row>
    <row r="197" spans="1:6" hidden="1">
      <c r="A197" s="264" t="s">
        <v>1568</v>
      </c>
      <c r="B197" s="305"/>
      <c r="C197" s="305"/>
      <c r="D197" s="303" t="e">
        <f t="shared" si="12"/>
        <v>#DIV/0!</v>
      </c>
      <c r="E197" s="303">
        <f t="shared" si="10"/>
        <v>0</v>
      </c>
      <c r="F197" s="260">
        <v>14</v>
      </c>
    </row>
    <row r="198" spans="1:6">
      <c r="A198" s="261" t="s">
        <v>1567</v>
      </c>
      <c r="B198" s="305">
        <v>567</v>
      </c>
      <c r="C198" s="305">
        <f>SUM(C199:C203)</f>
        <v>298</v>
      </c>
      <c r="D198" s="303">
        <f t="shared" si="12"/>
        <v>52.56</v>
      </c>
      <c r="E198" s="303">
        <f t="shared" si="10"/>
        <v>189.81</v>
      </c>
      <c r="F198" s="260">
        <f>SUM(F199:F203)</f>
        <v>157</v>
      </c>
    </row>
    <row r="199" spans="1:6">
      <c r="A199" s="264" t="s">
        <v>647</v>
      </c>
      <c r="B199" s="305"/>
      <c r="C199" s="305">
        <v>184</v>
      </c>
      <c r="D199" s="303"/>
      <c r="E199" s="303">
        <f t="shared" si="10"/>
        <v>127.78</v>
      </c>
      <c r="F199" s="260">
        <v>144</v>
      </c>
    </row>
    <row r="200" spans="1:6" hidden="1">
      <c r="A200" s="264" t="s">
        <v>646</v>
      </c>
      <c r="B200" s="305"/>
      <c r="C200" s="305"/>
      <c r="D200" s="303"/>
      <c r="E200" s="303">
        <f t="shared" si="10"/>
        <v>0</v>
      </c>
      <c r="F200" s="260">
        <v>12</v>
      </c>
    </row>
    <row r="201" spans="1:6" hidden="1">
      <c r="A201" s="264" t="s">
        <v>645</v>
      </c>
      <c r="B201" s="305"/>
      <c r="C201" s="305"/>
      <c r="D201" s="303"/>
      <c r="E201" s="303" t="e">
        <f t="shared" si="10"/>
        <v>#DIV/0!</v>
      </c>
      <c r="F201" s="260"/>
    </row>
    <row r="202" spans="1:6">
      <c r="A202" s="264" t="s">
        <v>1566</v>
      </c>
      <c r="B202" s="305"/>
      <c r="C202" s="305">
        <v>114</v>
      </c>
      <c r="D202" s="303"/>
      <c r="E202" s="303">
        <f t="shared" si="10"/>
        <v>11400</v>
      </c>
      <c r="F202" s="260">
        <v>1</v>
      </c>
    </row>
    <row r="203" spans="1:6" hidden="1">
      <c r="A203" s="264" t="s">
        <v>1565</v>
      </c>
      <c r="B203" s="305"/>
      <c r="C203" s="305"/>
      <c r="D203" s="303"/>
      <c r="E203" s="303"/>
      <c r="F203" s="260"/>
    </row>
    <row r="204" spans="1:6">
      <c r="A204" s="261" t="s">
        <v>1564</v>
      </c>
      <c r="B204" s="305">
        <v>165</v>
      </c>
      <c r="C204" s="305">
        <f>SUM(C205:C210)</f>
        <v>165</v>
      </c>
      <c r="D204" s="303">
        <f>C204/B204*100</f>
        <v>100</v>
      </c>
      <c r="E204" s="303">
        <f t="shared" ref="E204:E217" si="13">C204/F204*100</f>
        <v>152.78</v>
      </c>
      <c r="F204" s="260">
        <f>SUM(F205:F210)</f>
        <v>108</v>
      </c>
    </row>
    <row r="205" spans="1:6">
      <c r="A205" s="264" t="s">
        <v>647</v>
      </c>
      <c r="B205" s="305"/>
      <c r="C205" s="305">
        <v>123</v>
      </c>
      <c r="D205" s="303"/>
      <c r="E205" s="303">
        <f t="shared" si="13"/>
        <v>119.42</v>
      </c>
      <c r="F205" s="260">
        <v>103</v>
      </c>
    </row>
    <row r="206" spans="1:6">
      <c r="A206" s="264" t="s">
        <v>646</v>
      </c>
      <c r="B206" s="305"/>
      <c r="C206" s="305">
        <v>42</v>
      </c>
      <c r="D206" s="303"/>
      <c r="E206" s="303">
        <f t="shared" si="13"/>
        <v>840</v>
      </c>
      <c r="F206" s="260">
        <v>5</v>
      </c>
    </row>
    <row r="207" spans="1:6" hidden="1">
      <c r="A207" s="264" t="s">
        <v>645</v>
      </c>
      <c r="B207" s="305"/>
      <c r="C207" s="305"/>
      <c r="D207" s="303" t="e">
        <f>C207/B207*100</f>
        <v>#DIV/0!</v>
      </c>
      <c r="E207" s="303" t="e">
        <f t="shared" si="13"/>
        <v>#DIV/0!</v>
      </c>
      <c r="F207" s="260"/>
    </row>
    <row r="208" spans="1:6" hidden="1">
      <c r="A208" s="264" t="s">
        <v>1563</v>
      </c>
      <c r="B208" s="305"/>
      <c r="C208" s="305"/>
      <c r="D208" s="303" t="e">
        <f>C208/B208*100</f>
        <v>#DIV/0!</v>
      </c>
      <c r="E208" s="303" t="e">
        <f t="shared" si="13"/>
        <v>#DIV/0!</v>
      </c>
      <c r="F208" s="260"/>
    </row>
    <row r="209" spans="1:6" hidden="1">
      <c r="A209" s="264" t="s">
        <v>636</v>
      </c>
      <c r="B209" s="305"/>
      <c r="C209" s="305"/>
      <c r="D209" s="303" t="e">
        <f>C209/B209*100</f>
        <v>#DIV/0!</v>
      </c>
      <c r="E209" s="303" t="e">
        <f t="shared" si="13"/>
        <v>#DIV/0!</v>
      </c>
      <c r="F209" s="260"/>
    </row>
    <row r="210" spans="1:6" hidden="1">
      <c r="A210" s="264" t="s">
        <v>1562</v>
      </c>
      <c r="B210" s="305"/>
      <c r="C210" s="305"/>
      <c r="D210" s="303" t="e">
        <f>C210/B210*100</f>
        <v>#DIV/0!</v>
      </c>
      <c r="E210" s="303" t="e">
        <f t="shared" si="13"/>
        <v>#DIV/0!</v>
      </c>
      <c r="F210" s="260"/>
    </row>
    <row r="211" spans="1:6">
      <c r="A211" s="261" t="s">
        <v>1561</v>
      </c>
      <c r="B211" s="305">
        <v>366</v>
      </c>
      <c r="C211" s="305">
        <f>SUM(C212:C218)</f>
        <v>366</v>
      </c>
      <c r="D211" s="303">
        <f>C211/B211*100</f>
        <v>100</v>
      </c>
      <c r="E211" s="303">
        <f t="shared" si="13"/>
        <v>137.08000000000001</v>
      </c>
      <c r="F211" s="260">
        <f>SUM(F212:F218)</f>
        <v>267</v>
      </c>
    </row>
    <row r="212" spans="1:6">
      <c r="A212" s="264" t="s">
        <v>647</v>
      </c>
      <c r="B212" s="305"/>
      <c r="C212" s="305">
        <v>196</v>
      </c>
      <c r="D212" s="303"/>
      <c r="E212" s="303">
        <f t="shared" si="13"/>
        <v>105.38</v>
      </c>
      <c r="F212" s="260">
        <v>186</v>
      </c>
    </row>
    <row r="213" spans="1:6">
      <c r="A213" s="264" t="s">
        <v>646</v>
      </c>
      <c r="B213" s="305"/>
      <c r="C213" s="305">
        <v>121</v>
      </c>
      <c r="D213" s="303"/>
      <c r="E213" s="303">
        <f t="shared" si="13"/>
        <v>159.21</v>
      </c>
      <c r="F213" s="260">
        <v>76</v>
      </c>
    </row>
    <row r="214" spans="1:6" hidden="1">
      <c r="A214" s="264" t="s">
        <v>645</v>
      </c>
      <c r="B214" s="305"/>
      <c r="C214" s="305"/>
      <c r="D214" s="303"/>
      <c r="E214" s="303" t="e">
        <f t="shared" si="13"/>
        <v>#DIV/0!</v>
      </c>
      <c r="F214" s="260"/>
    </row>
    <row r="215" spans="1:6" hidden="1">
      <c r="A215" s="264" t="s">
        <v>1560</v>
      </c>
      <c r="B215" s="305"/>
      <c r="C215" s="305"/>
      <c r="D215" s="303"/>
      <c r="E215" s="303" t="e">
        <f t="shared" si="13"/>
        <v>#DIV/0!</v>
      </c>
      <c r="F215" s="260"/>
    </row>
    <row r="216" spans="1:6" hidden="1">
      <c r="A216" s="264" t="s">
        <v>1559</v>
      </c>
      <c r="B216" s="305"/>
      <c r="C216" s="305"/>
      <c r="D216" s="303"/>
      <c r="E216" s="303" t="e">
        <f t="shared" si="13"/>
        <v>#DIV/0!</v>
      </c>
      <c r="F216" s="260"/>
    </row>
    <row r="217" spans="1:6">
      <c r="A217" s="264" t="s">
        <v>636</v>
      </c>
      <c r="B217" s="305"/>
      <c r="C217" s="305">
        <v>36</v>
      </c>
      <c r="D217" s="303"/>
      <c r="E217" s="303">
        <f t="shared" si="13"/>
        <v>720</v>
      </c>
      <c r="F217" s="260">
        <v>5</v>
      </c>
    </row>
    <row r="218" spans="1:6">
      <c r="A218" s="264" t="s">
        <v>1558</v>
      </c>
      <c r="B218" s="305"/>
      <c r="C218" s="305">
        <v>13</v>
      </c>
      <c r="D218" s="303"/>
      <c r="E218" s="303"/>
      <c r="F218" s="260"/>
    </row>
    <row r="219" spans="1:6">
      <c r="A219" s="261" t="s">
        <v>1557</v>
      </c>
      <c r="B219" s="305">
        <v>2922</v>
      </c>
      <c r="C219" s="305">
        <f>SUM(C220:C225)</f>
        <v>2921</v>
      </c>
      <c r="D219" s="303">
        <f>C219/B219*100</f>
        <v>99.97</v>
      </c>
      <c r="E219" s="303">
        <f t="shared" ref="E219:E228" si="14">C219/F219*100</f>
        <v>452.87</v>
      </c>
      <c r="F219" s="260">
        <f>SUM(F220:F225)</f>
        <v>645</v>
      </c>
    </row>
    <row r="220" spans="1:6">
      <c r="A220" s="264" t="s">
        <v>647</v>
      </c>
      <c r="B220" s="305"/>
      <c r="C220" s="305">
        <v>441</v>
      </c>
      <c r="D220" s="303"/>
      <c r="E220" s="303">
        <f t="shared" si="14"/>
        <v>193.42</v>
      </c>
      <c r="F220" s="260">
        <v>228</v>
      </c>
    </row>
    <row r="221" spans="1:6">
      <c r="A221" s="264" t="s">
        <v>646</v>
      </c>
      <c r="B221" s="305"/>
      <c r="C221" s="305">
        <v>1846</v>
      </c>
      <c r="D221" s="303"/>
      <c r="E221" s="303">
        <f t="shared" si="14"/>
        <v>36920</v>
      </c>
      <c r="F221" s="260">
        <v>5</v>
      </c>
    </row>
    <row r="222" spans="1:6" hidden="1">
      <c r="A222" s="264" t="s">
        <v>645</v>
      </c>
      <c r="B222" s="305"/>
      <c r="C222" s="305"/>
      <c r="D222" s="303"/>
      <c r="E222" s="303" t="e">
        <f t="shared" si="14"/>
        <v>#DIV/0!</v>
      </c>
      <c r="F222" s="260"/>
    </row>
    <row r="223" spans="1:6" hidden="1">
      <c r="A223" s="264" t="s">
        <v>1540</v>
      </c>
      <c r="B223" s="305"/>
      <c r="C223" s="305"/>
      <c r="D223" s="303"/>
      <c r="E223" s="303">
        <f t="shared" si="14"/>
        <v>0</v>
      </c>
      <c r="F223" s="260">
        <v>68</v>
      </c>
    </row>
    <row r="224" spans="1:6">
      <c r="A224" s="264" t="s">
        <v>636</v>
      </c>
      <c r="B224" s="305"/>
      <c r="C224" s="305">
        <v>37</v>
      </c>
      <c r="D224" s="303"/>
      <c r="E224" s="303">
        <f t="shared" si="14"/>
        <v>264.29000000000002</v>
      </c>
      <c r="F224" s="260">
        <v>14</v>
      </c>
    </row>
    <row r="225" spans="1:6">
      <c r="A225" s="264" t="s">
        <v>1556</v>
      </c>
      <c r="B225" s="305"/>
      <c r="C225" s="305">
        <v>597</v>
      </c>
      <c r="D225" s="303"/>
      <c r="E225" s="303">
        <f t="shared" si="14"/>
        <v>180.91</v>
      </c>
      <c r="F225" s="260">
        <v>330</v>
      </c>
    </row>
    <row r="226" spans="1:6">
      <c r="A226" s="261" t="s">
        <v>1555</v>
      </c>
      <c r="B226" s="305">
        <v>1344</v>
      </c>
      <c r="C226" s="305">
        <f>SUM(C227:C231)</f>
        <v>1344</v>
      </c>
      <c r="D226" s="303">
        <f>C226/B226*100</f>
        <v>100</v>
      </c>
      <c r="E226" s="303">
        <f t="shared" si="14"/>
        <v>197.94</v>
      </c>
      <c r="F226" s="260">
        <f>SUM(F227:F231)</f>
        <v>679</v>
      </c>
    </row>
    <row r="227" spans="1:6">
      <c r="A227" s="264" t="s">
        <v>647</v>
      </c>
      <c r="B227" s="305"/>
      <c r="C227" s="305">
        <v>1234</v>
      </c>
      <c r="D227" s="303"/>
      <c r="E227" s="303">
        <f t="shared" si="14"/>
        <v>251.32</v>
      </c>
      <c r="F227" s="260">
        <v>491</v>
      </c>
    </row>
    <row r="228" spans="1:6">
      <c r="A228" s="264" t="s">
        <v>646</v>
      </c>
      <c r="B228" s="305"/>
      <c r="C228" s="305">
        <v>110</v>
      </c>
      <c r="D228" s="303"/>
      <c r="E228" s="303">
        <f t="shared" si="14"/>
        <v>58.82</v>
      </c>
      <c r="F228" s="260">
        <v>187</v>
      </c>
    </row>
    <row r="229" spans="1:6" hidden="1">
      <c r="A229" s="264" t="s">
        <v>645</v>
      </c>
      <c r="B229" s="305"/>
      <c r="C229" s="305"/>
      <c r="D229" s="303"/>
      <c r="E229" s="303"/>
      <c r="F229" s="260"/>
    </row>
    <row r="230" spans="1:6" hidden="1">
      <c r="A230" s="264" t="s">
        <v>636</v>
      </c>
      <c r="B230" s="305"/>
      <c r="C230" s="305"/>
      <c r="D230" s="303"/>
      <c r="E230" s="303">
        <f>C230/F230*100</f>
        <v>0</v>
      </c>
      <c r="F230" s="260">
        <v>1</v>
      </c>
    </row>
    <row r="231" spans="1:6" hidden="1">
      <c r="A231" s="264" t="s">
        <v>1554</v>
      </c>
      <c r="B231" s="305"/>
      <c r="C231" s="305"/>
      <c r="D231" s="303"/>
      <c r="E231" s="303"/>
      <c r="F231" s="260"/>
    </row>
    <row r="232" spans="1:6">
      <c r="A232" s="261" t="s">
        <v>1553</v>
      </c>
      <c r="B232" s="305">
        <v>932</v>
      </c>
      <c r="C232" s="305">
        <f>SUM(C233:C237)</f>
        <v>932</v>
      </c>
      <c r="D232" s="303">
        <f>C232/B232*100</f>
        <v>100</v>
      </c>
      <c r="E232" s="303">
        <f>C232/F232*100</f>
        <v>153.80000000000001</v>
      </c>
      <c r="F232" s="260">
        <f>SUM(F233:F237)</f>
        <v>606</v>
      </c>
    </row>
    <row r="233" spans="1:6">
      <c r="A233" s="264" t="s">
        <v>647</v>
      </c>
      <c r="B233" s="305"/>
      <c r="C233" s="305">
        <v>420</v>
      </c>
      <c r="D233" s="303"/>
      <c r="E233" s="303">
        <f>C233/F233*100</f>
        <v>283.77999999999997</v>
      </c>
      <c r="F233" s="260">
        <v>148</v>
      </c>
    </row>
    <row r="234" spans="1:6">
      <c r="A234" s="264" t="s">
        <v>646</v>
      </c>
      <c r="B234" s="305"/>
      <c r="C234" s="305">
        <v>452</v>
      </c>
      <c r="D234" s="303"/>
      <c r="E234" s="303">
        <f>C234/F234*100</f>
        <v>100</v>
      </c>
      <c r="F234" s="265">
        <v>452</v>
      </c>
    </row>
    <row r="235" spans="1:6" hidden="1">
      <c r="A235" s="264" t="s">
        <v>645</v>
      </c>
      <c r="B235" s="305"/>
      <c r="C235" s="305"/>
      <c r="D235" s="303"/>
      <c r="E235" s="303"/>
      <c r="F235" s="260"/>
    </row>
    <row r="236" spans="1:6" hidden="1">
      <c r="A236" s="264" t="s">
        <v>636</v>
      </c>
      <c r="B236" s="305"/>
      <c r="C236" s="305"/>
      <c r="D236" s="303"/>
      <c r="E236" s="303"/>
      <c r="F236" s="260"/>
    </row>
    <row r="237" spans="1:6">
      <c r="A237" s="264" t="s">
        <v>1552</v>
      </c>
      <c r="B237" s="305"/>
      <c r="C237" s="305">
        <v>60</v>
      </c>
      <c r="D237" s="303"/>
      <c r="E237" s="303">
        <f t="shared" ref="E237:E251" si="15">C237/F237*100</f>
        <v>1000</v>
      </c>
      <c r="F237" s="260">
        <v>6</v>
      </c>
    </row>
    <row r="238" spans="1:6" hidden="1">
      <c r="A238" s="261" t="s">
        <v>1551</v>
      </c>
      <c r="B238" s="305"/>
      <c r="C238" s="305">
        <f>SUM(C239:C243)</f>
        <v>0</v>
      </c>
      <c r="D238" s="303" t="e">
        <f t="shared" ref="D238:D251" si="16">C238/B238*100</f>
        <v>#DIV/0!</v>
      </c>
      <c r="E238" s="303">
        <f t="shared" si="15"/>
        <v>0</v>
      </c>
      <c r="F238" s="260">
        <f>SUM(F239:F243)</f>
        <v>67</v>
      </c>
    </row>
    <row r="239" spans="1:6" hidden="1">
      <c r="A239" s="264" t="s">
        <v>647</v>
      </c>
      <c r="B239" s="305"/>
      <c r="C239" s="305"/>
      <c r="D239" s="303" t="e">
        <f t="shared" si="16"/>
        <v>#DIV/0!</v>
      </c>
      <c r="E239" s="303">
        <f t="shared" si="15"/>
        <v>0</v>
      </c>
      <c r="F239" s="260">
        <v>67</v>
      </c>
    </row>
    <row r="240" spans="1:6" hidden="1">
      <c r="A240" s="264" t="s">
        <v>646</v>
      </c>
      <c r="B240" s="305"/>
      <c r="C240" s="305"/>
      <c r="D240" s="303" t="e">
        <f t="shared" si="16"/>
        <v>#DIV/0!</v>
      </c>
      <c r="E240" s="303" t="e">
        <f t="shared" si="15"/>
        <v>#DIV/0!</v>
      </c>
      <c r="F240" s="260"/>
    </row>
    <row r="241" spans="1:6" hidden="1">
      <c r="A241" s="264" t="s">
        <v>645</v>
      </c>
      <c r="B241" s="305"/>
      <c r="C241" s="305"/>
      <c r="D241" s="303" t="e">
        <f t="shared" si="16"/>
        <v>#DIV/0!</v>
      </c>
      <c r="E241" s="303" t="e">
        <f t="shared" si="15"/>
        <v>#DIV/0!</v>
      </c>
      <c r="F241" s="260"/>
    </row>
    <row r="242" spans="1:6" hidden="1">
      <c r="A242" s="264" t="s">
        <v>636</v>
      </c>
      <c r="B242" s="305"/>
      <c r="C242" s="305"/>
      <c r="D242" s="303" t="e">
        <f t="shared" si="16"/>
        <v>#DIV/0!</v>
      </c>
      <c r="E242" s="303" t="e">
        <f t="shared" si="15"/>
        <v>#DIV/0!</v>
      </c>
      <c r="F242" s="260"/>
    </row>
    <row r="243" spans="1:6" hidden="1">
      <c r="A243" s="264" t="s">
        <v>1550</v>
      </c>
      <c r="B243" s="305"/>
      <c r="C243" s="305"/>
      <c r="D243" s="303" t="e">
        <f t="shared" si="16"/>
        <v>#DIV/0!</v>
      </c>
      <c r="E243" s="303" t="e">
        <f t="shared" si="15"/>
        <v>#DIV/0!</v>
      </c>
      <c r="F243" s="260"/>
    </row>
    <row r="244" spans="1:6" hidden="1">
      <c r="A244" s="261" t="s">
        <v>1549</v>
      </c>
      <c r="B244" s="305"/>
      <c r="C244" s="305">
        <f>SUM(C245:C249)</f>
        <v>0</v>
      </c>
      <c r="D244" s="303" t="e">
        <f t="shared" si="16"/>
        <v>#DIV/0!</v>
      </c>
      <c r="E244" s="303" t="e">
        <f t="shared" si="15"/>
        <v>#DIV/0!</v>
      </c>
      <c r="F244" s="270">
        <f>SUM(F245:F249)</f>
        <v>0</v>
      </c>
    </row>
    <row r="245" spans="1:6" hidden="1">
      <c r="A245" s="264" t="s">
        <v>647</v>
      </c>
      <c r="B245" s="305"/>
      <c r="C245" s="305"/>
      <c r="D245" s="303" t="e">
        <f t="shared" si="16"/>
        <v>#DIV/0!</v>
      </c>
      <c r="E245" s="303" t="e">
        <f t="shared" si="15"/>
        <v>#DIV/0!</v>
      </c>
      <c r="F245" s="260"/>
    </row>
    <row r="246" spans="1:6" hidden="1">
      <c r="A246" s="264" t="s">
        <v>646</v>
      </c>
      <c r="B246" s="305"/>
      <c r="C246" s="305"/>
      <c r="D246" s="303" t="e">
        <f t="shared" si="16"/>
        <v>#DIV/0!</v>
      </c>
      <c r="E246" s="303" t="e">
        <f t="shared" si="15"/>
        <v>#DIV/0!</v>
      </c>
      <c r="F246" s="260"/>
    </row>
    <row r="247" spans="1:6" hidden="1">
      <c r="A247" s="264" t="s">
        <v>645</v>
      </c>
      <c r="B247" s="305"/>
      <c r="C247" s="305"/>
      <c r="D247" s="303" t="e">
        <f t="shared" si="16"/>
        <v>#DIV/0!</v>
      </c>
      <c r="E247" s="303" t="e">
        <f t="shared" si="15"/>
        <v>#DIV/0!</v>
      </c>
      <c r="F247" s="260"/>
    </row>
    <row r="248" spans="1:6" hidden="1">
      <c r="A248" s="264" t="s">
        <v>636</v>
      </c>
      <c r="B248" s="305"/>
      <c r="C248" s="305"/>
      <c r="D248" s="303" t="e">
        <f t="shared" si="16"/>
        <v>#DIV/0!</v>
      </c>
      <c r="E248" s="303" t="e">
        <f t="shared" si="15"/>
        <v>#DIV/0!</v>
      </c>
      <c r="F248" s="260"/>
    </row>
    <row r="249" spans="1:6" hidden="1">
      <c r="A249" s="264" t="s">
        <v>1548</v>
      </c>
      <c r="B249" s="305"/>
      <c r="C249" s="305"/>
      <c r="D249" s="303" t="e">
        <f t="shared" si="16"/>
        <v>#DIV/0!</v>
      </c>
      <c r="E249" s="303" t="e">
        <f t="shared" si="15"/>
        <v>#DIV/0!</v>
      </c>
      <c r="F249" s="260"/>
    </row>
    <row r="250" spans="1:6">
      <c r="A250" s="261" t="s">
        <v>1547</v>
      </c>
      <c r="B250" s="305">
        <v>23</v>
      </c>
      <c r="C250" s="305">
        <f>SUM(C251:C255)</f>
        <v>3</v>
      </c>
      <c r="D250" s="303">
        <f t="shared" si="16"/>
        <v>13.04</v>
      </c>
      <c r="E250" s="303">
        <f t="shared" si="15"/>
        <v>7.89</v>
      </c>
      <c r="F250" s="260">
        <f>SUM(F251:F255)</f>
        <v>38</v>
      </c>
    </row>
    <row r="251" spans="1:6" hidden="1">
      <c r="A251" s="264" t="s">
        <v>647</v>
      </c>
      <c r="B251" s="305"/>
      <c r="C251" s="305"/>
      <c r="D251" s="303" t="e">
        <f t="shared" si="16"/>
        <v>#DIV/0!</v>
      </c>
      <c r="E251" s="303" t="e">
        <f t="shared" si="15"/>
        <v>#DIV/0!</v>
      </c>
      <c r="F251" s="260"/>
    </row>
    <row r="252" spans="1:6">
      <c r="A252" s="264" t="s">
        <v>646</v>
      </c>
      <c r="B252" s="305"/>
      <c r="C252" s="305">
        <v>3</v>
      </c>
      <c r="D252" s="303"/>
      <c r="E252" s="303"/>
      <c r="F252" s="260"/>
    </row>
    <row r="253" spans="1:6" hidden="1">
      <c r="A253" s="264" t="s">
        <v>645</v>
      </c>
      <c r="B253" s="305"/>
      <c r="C253" s="305"/>
      <c r="D253" s="303"/>
      <c r="E253" s="303"/>
      <c r="F253" s="260"/>
    </row>
    <row r="254" spans="1:6" hidden="1">
      <c r="A254" s="264" t="s">
        <v>636</v>
      </c>
      <c r="B254" s="305"/>
      <c r="C254" s="305"/>
      <c r="D254" s="303"/>
      <c r="E254" s="303"/>
      <c r="F254" s="260"/>
    </row>
    <row r="255" spans="1:6" hidden="1">
      <c r="A255" s="264" t="s">
        <v>1546</v>
      </c>
      <c r="B255" s="305"/>
      <c r="C255" s="305"/>
      <c r="D255" s="303"/>
      <c r="E255" s="303"/>
      <c r="F255" s="260">
        <v>38</v>
      </c>
    </row>
    <row r="256" spans="1:6" hidden="1">
      <c r="A256" s="261" t="s">
        <v>1545</v>
      </c>
      <c r="B256" s="305"/>
      <c r="C256" s="305">
        <f>SUM(C257:C258)</f>
        <v>0</v>
      </c>
      <c r="D256" s="303"/>
      <c r="E256" s="303"/>
      <c r="F256" s="260">
        <f>SUM(F257:F258)</f>
        <v>0</v>
      </c>
    </row>
    <row r="257" spans="1:6" hidden="1">
      <c r="A257" s="264" t="s">
        <v>1544</v>
      </c>
      <c r="B257" s="305"/>
      <c r="C257" s="305"/>
      <c r="D257" s="303"/>
      <c r="E257" s="303"/>
      <c r="F257" s="260"/>
    </row>
    <row r="258" spans="1:6" hidden="1">
      <c r="A258" s="264" t="s">
        <v>1543</v>
      </c>
      <c r="B258" s="305"/>
      <c r="C258" s="305"/>
      <c r="D258" s="303"/>
      <c r="E258" s="303"/>
      <c r="F258" s="260"/>
    </row>
    <row r="259" spans="1:6" hidden="1">
      <c r="A259" s="261" t="s">
        <v>1542</v>
      </c>
      <c r="B259" s="304">
        <f>SUM(B260,B267,B270,B277,B283,B287,B289,B294)</f>
        <v>0</v>
      </c>
      <c r="C259" s="304">
        <f>SUM(C260,C267,C270,C277,C283,C287,C289,C294)</f>
        <v>0</v>
      </c>
      <c r="D259" s="303"/>
      <c r="E259" s="303"/>
      <c r="F259" s="260">
        <f>F260+F267+F270+F277+F283+F287+F289+F294</f>
        <v>0</v>
      </c>
    </row>
    <row r="260" spans="1:6" hidden="1">
      <c r="A260" s="261" t="s">
        <v>1541</v>
      </c>
      <c r="B260" s="304">
        <f>SUM(B261:B266)</f>
        <v>0</v>
      </c>
      <c r="C260" s="304">
        <f>SUM(C261:C266)</f>
        <v>0</v>
      </c>
      <c r="D260" s="303"/>
      <c r="E260" s="303"/>
      <c r="F260" s="260">
        <f>SUM(F261:F266)</f>
        <v>0</v>
      </c>
    </row>
    <row r="261" spans="1:6" hidden="1">
      <c r="A261" s="264" t="s">
        <v>647</v>
      </c>
      <c r="B261" s="304"/>
      <c r="C261" s="304"/>
      <c r="D261" s="303"/>
      <c r="E261" s="303"/>
      <c r="F261" s="260"/>
    </row>
    <row r="262" spans="1:6" hidden="1">
      <c r="A262" s="264" t="s">
        <v>646</v>
      </c>
      <c r="B262" s="304"/>
      <c r="C262" s="304"/>
      <c r="D262" s="303"/>
      <c r="E262" s="303"/>
      <c r="F262" s="260"/>
    </row>
    <row r="263" spans="1:6" hidden="1">
      <c r="A263" s="264" t="s">
        <v>645</v>
      </c>
      <c r="B263" s="304"/>
      <c r="C263" s="304"/>
      <c r="D263" s="303"/>
      <c r="E263" s="303"/>
      <c r="F263" s="260"/>
    </row>
    <row r="264" spans="1:6" hidden="1">
      <c r="A264" s="264" t="s">
        <v>1540</v>
      </c>
      <c r="B264" s="304"/>
      <c r="C264" s="304"/>
      <c r="D264" s="303"/>
      <c r="E264" s="303"/>
      <c r="F264" s="260"/>
    </row>
    <row r="265" spans="1:6" hidden="1">
      <c r="A265" s="264" t="s">
        <v>636</v>
      </c>
      <c r="B265" s="304"/>
      <c r="C265" s="304"/>
      <c r="D265" s="303"/>
      <c r="E265" s="303"/>
      <c r="F265" s="260"/>
    </row>
    <row r="266" spans="1:6" hidden="1">
      <c r="A266" s="264" t="s">
        <v>1539</v>
      </c>
      <c r="B266" s="304"/>
      <c r="C266" s="304"/>
      <c r="D266" s="303"/>
      <c r="E266" s="303"/>
      <c r="F266" s="260"/>
    </row>
    <row r="267" spans="1:6" hidden="1">
      <c r="A267" s="261" t="s">
        <v>1538</v>
      </c>
      <c r="B267" s="304">
        <f>SUM(B268:B269)</f>
        <v>0</v>
      </c>
      <c r="C267" s="304">
        <f>SUM(C268:C269)</f>
        <v>0</v>
      </c>
      <c r="D267" s="303"/>
      <c r="E267" s="303"/>
      <c r="F267" s="260">
        <f>SUM(F268:F269)</f>
        <v>0</v>
      </c>
    </row>
    <row r="268" spans="1:6" hidden="1">
      <c r="A268" s="264" t="s">
        <v>1537</v>
      </c>
      <c r="B268" s="304"/>
      <c r="C268" s="304"/>
      <c r="D268" s="303"/>
      <c r="E268" s="303"/>
      <c r="F268" s="260"/>
    </row>
    <row r="269" spans="1:6" hidden="1">
      <c r="A269" s="264" t="s">
        <v>1536</v>
      </c>
      <c r="B269" s="304"/>
      <c r="C269" s="304"/>
      <c r="D269" s="303"/>
      <c r="E269" s="303"/>
      <c r="F269" s="260"/>
    </row>
    <row r="270" spans="1:6" hidden="1">
      <c r="A270" s="261" t="s">
        <v>1535</v>
      </c>
      <c r="B270" s="304">
        <f>SUM(B271:B276)</f>
        <v>0</v>
      </c>
      <c r="C270" s="304">
        <f>SUM(C271:C276)</f>
        <v>0</v>
      </c>
      <c r="D270" s="303"/>
      <c r="E270" s="303"/>
      <c r="F270" s="260">
        <f>SUM(F271:F276)</f>
        <v>0</v>
      </c>
    </row>
    <row r="271" spans="1:6" hidden="1">
      <c r="A271" s="264" t="s">
        <v>1534</v>
      </c>
      <c r="B271" s="304"/>
      <c r="C271" s="304"/>
      <c r="D271" s="303"/>
      <c r="E271" s="303"/>
      <c r="F271" s="260"/>
    </row>
    <row r="272" spans="1:6" hidden="1">
      <c r="A272" s="264" t="s">
        <v>1533</v>
      </c>
      <c r="B272" s="304"/>
      <c r="C272" s="304"/>
      <c r="D272" s="303"/>
      <c r="E272" s="303"/>
      <c r="F272" s="260"/>
    </row>
    <row r="273" spans="1:6" hidden="1">
      <c r="A273" s="264" t="s">
        <v>1532</v>
      </c>
      <c r="B273" s="304"/>
      <c r="C273" s="304"/>
      <c r="D273" s="303"/>
      <c r="E273" s="303"/>
      <c r="F273" s="260"/>
    </row>
    <row r="274" spans="1:6" hidden="1">
      <c r="A274" s="264" t="s">
        <v>1531</v>
      </c>
      <c r="B274" s="304"/>
      <c r="C274" s="304"/>
      <c r="D274" s="303"/>
      <c r="E274" s="303"/>
      <c r="F274" s="260"/>
    </row>
    <row r="275" spans="1:6" hidden="1">
      <c r="A275" s="264" t="s">
        <v>1530</v>
      </c>
      <c r="B275" s="304"/>
      <c r="C275" s="304"/>
      <c r="D275" s="303"/>
      <c r="E275" s="303"/>
      <c r="F275" s="260"/>
    </row>
    <row r="276" spans="1:6" hidden="1">
      <c r="A276" s="264" t="s">
        <v>1529</v>
      </c>
      <c r="B276" s="304"/>
      <c r="C276" s="304"/>
      <c r="D276" s="303"/>
      <c r="E276" s="303"/>
      <c r="F276" s="260"/>
    </row>
    <row r="277" spans="1:6" hidden="1">
      <c r="A277" s="261" t="s">
        <v>1528</v>
      </c>
      <c r="B277" s="304">
        <f>SUM(B278:B282)</f>
        <v>0</v>
      </c>
      <c r="C277" s="304">
        <f>SUM(C278:C282)</f>
        <v>0</v>
      </c>
      <c r="D277" s="303"/>
      <c r="E277" s="303"/>
      <c r="F277" s="260">
        <f>SUM(F278:F282)</f>
        <v>0</v>
      </c>
    </row>
    <row r="278" spans="1:6" hidden="1">
      <c r="A278" s="264" t="s">
        <v>1527</v>
      </c>
      <c r="B278" s="304"/>
      <c r="C278" s="304"/>
      <c r="D278" s="303"/>
      <c r="E278" s="303"/>
      <c r="F278" s="260"/>
    </row>
    <row r="279" spans="1:6" hidden="1">
      <c r="A279" s="264" t="s">
        <v>1526</v>
      </c>
      <c r="B279" s="304"/>
      <c r="C279" s="304"/>
      <c r="D279" s="303"/>
      <c r="E279" s="303"/>
      <c r="F279" s="260"/>
    </row>
    <row r="280" spans="1:6" hidden="1">
      <c r="A280" s="264" t="s">
        <v>1525</v>
      </c>
      <c r="B280" s="304"/>
      <c r="C280" s="304"/>
      <c r="D280" s="303"/>
      <c r="E280" s="303"/>
      <c r="F280" s="260"/>
    </row>
    <row r="281" spans="1:6" hidden="1">
      <c r="A281" s="264" t="s">
        <v>1524</v>
      </c>
      <c r="B281" s="304"/>
      <c r="C281" s="304"/>
      <c r="D281" s="303"/>
      <c r="E281" s="303"/>
      <c r="F281" s="260"/>
    </row>
    <row r="282" spans="1:6" hidden="1">
      <c r="A282" s="264" t="s">
        <v>1523</v>
      </c>
      <c r="B282" s="304"/>
      <c r="C282" s="304"/>
      <c r="D282" s="303"/>
      <c r="E282" s="303"/>
      <c r="F282" s="260"/>
    </row>
    <row r="283" spans="1:6" hidden="1">
      <c r="A283" s="261" t="s">
        <v>1522</v>
      </c>
      <c r="B283" s="304">
        <f>SUM(B284:B286)</f>
        <v>0</v>
      </c>
      <c r="C283" s="304">
        <f>SUM(C284:C286)</f>
        <v>0</v>
      </c>
      <c r="D283" s="303"/>
      <c r="E283" s="303"/>
      <c r="F283" s="260">
        <f>SUM(F284:F286)</f>
        <v>0</v>
      </c>
    </row>
    <row r="284" spans="1:6" hidden="1">
      <c r="A284" s="264" t="s">
        <v>1521</v>
      </c>
      <c r="B284" s="304"/>
      <c r="C284" s="304"/>
      <c r="D284" s="303"/>
      <c r="E284" s="303"/>
      <c r="F284" s="265"/>
    </row>
    <row r="285" spans="1:6" hidden="1">
      <c r="A285" s="264" t="s">
        <v>1520</v>
      </c>
      <c r="B285" s="304"/>
      <c r="C285" s="304"/>
      <c r="D285" s="303"/>
      <c r="E285" s="303"/>
      <c r="F285" s="260"/>
    </row>
    <row r="286" spans="1:6" hidden="1">
      <c r="A286" s="264" t="s">
        <v>1519</v>
      </c>
      <c r="B286" s="304"/>
      <c r="C286" s="304"/>
      <c r="D286" s="303"/>
      <c r="E286" s="303"/>
      <c r="F286" s="270"/>
    </row>
    <row r="287" spans="1:6" hidden="1">
      <c r="A287" s="261" t="s">
        <v>1518</v>
      </c>
      <c r="B287" s="304">
        <f>B288</f>
        <v>0</v>
      </c>
      <c r="C287" s="304">
        <f>C288</f>
        <v>0</v>
      </c>
      <c r="D287" s="303"/>
      <c r="E287" s="303"/>
      <c r="F287" s="260">
        <f>F288</f>
        <v>0</v>
      </c>
    </row>
    <row r="288" spans="1:6" hidden="1">
      <c r="A288" s="264" t="s">
        <v>1517</v>
      </c>
      <c r="B288" s="304"/>
      <c r="C288" s="304"/>
      <c r="D288" s="303"/>
      <c r="E288" s="303"/>
      <c r="F288" s="260"/>
    </row>
    <row r="289" spans="1:6" hidden="1">
      <c r="A289" s="261" t="s">
        <v>1516</v>
      </c>
      <c r="B289" s="304">
        <f>SUM(B290:B293)</f>
        <v>0</v>
      </c>
      <c r="C289" s="304">
        <f>SUM(C290:C293)</f>
        <v>0</v>
      </c>
      <c r="D289" s="303"/>
      <c r="E289" s="303"/>
      <c r="F289" s="265">
        <f>SUM(F290:F293)</f>
        <v>0</v>
      </c>
    </row>
    <row r="290" spans="1:6" hidden="1">
      <c r="A290" s="264" t="s">
        <v>1515</v>
      </c>
      <c r="B290" s="304"/>
      <c r="C290" s="304"/>
      <c r="D290" s="303"/>
      <c r="E290" s="303"/>
      <c r="F290" s="260"/>
    </row>
    <row r="291" spans="1:6" hidden="1">
      <c r="A291" s="264" t="s">
        <v>1514</v>
      </c>
      <c r="B291" s="304"/>
      <c r="C291" s="304"/>
      <c r="D291" s="303"/>
      <c r="E291" s="303"/>
      <c r="F291" s="272"/>
    </row>
    <row r="292" spans="1:6" hidden="1">
      <c r="A292" s="264" t="s">
        <v>1513</v>
      </c>
      <c r="B292" s="304"/>
      <c r="C292" s="304"/>
      <c r="D292" s="303"/>
      <c r="E292" s="303"/>
      <c r="F292" s="260"/>
    </row>
    <row r="293" spans="1:6" hidden="1">
      <c r="A293" s="264" t="s">
        <v>1512</v>
      </c>
      <c r="B293" s="304"/>
      <c r="C293" s="304"/>
      <c r="D293" s="303"/>
      <c r="E293" s="303"/>
      <c r="F293" s="270"/>
    </row>
    <row r="294" spans="1:6" hidden="1">
      <c r="A294" s="261" t="s">
        <v>1511</v>
      </c>
      <c r="B294" s="304">
        <f>B295</f>
        <v>0</v>
      </c>
      <c r="C294" s="304">
        <f>C295</f>
        <v>0</v>
      </c>
      <c r="D294" s="303"/>
      <c r="E294" s="303"/>
      <c r="F294" s="260">
        <f>F295</f>
        <v>0</v>
      </c>
    </row>
    <row r="295" spans="1:6" hidden="1">
      <c r="A295" s="264" t="s">
        <v>1510</v>
      </c>
      <c r="B295" s="304"/>
      <c r="C295" s="304"/>
      <c r="D295" s="303"/>
      <c r="E295" s="303"/>
      <c r="F295" s="260"/>
    </row>
    <row r="296" spans="1:6">
      <c r="A296" s="261" t="s">
        <v>1509</v>
      </c>
      <c r="B296" s="304">
        <f>SUM(B297,B299,B301,B303,B312)</f>
        <v>760</v>
      </c>
      <c r="C296" s="304">
        <f>SUM(C297,C299,C301,C303,C312)</f>
        <v>760</v>
      </c>
      <c r="D296" s="303">
        <f>C296/B296*100</f>
        <v>100</v>
      </c>
      <c r="E296" s="303">
        <f>C296/F296*100</f>
        <v>105.41</v>
      </c>
      <c r="F296" s="260">
        <f>SUM(F297,F299,F301,F303,F312)</f>
        <v>721</v>
      </c>
    </row>
    <row r="297" spans="1:6" hidden="1">
      <c r="A297" s="261" t="s">
        <v>1508</v>
      </c>
      <c r="B297" s="304">
        <f>B298</f>
        <v>0</v>
      </c>
      <c r="C297" s="304">
        <f>C298</f>
        <v>0</v>
      </c>
      <c r="D297" s="303"/>
      <c r="E297" s="303"/>
      <c r="F297" s="260">
        <f>F298</f>
        <v>0</v>
      </c>
    </row>
    <row r="298" spans="1:6" hidden="1">
      <c r="A298" s="264" t="s">
        <v>1507</v>
      </c>
      <c r="B298" s="304"/>
      <c r="C298" s="304"/>
      <c r="D298" s="303"/>
      <c r="E298" s="303"/>
      <c r="F298" s="260">
        <f>371-371</f>
        <v>0</v>
      </c>
    </row>
    <row r="299" spans="1:6" hidden="1">
      <c r="A299" s="261" t="s">
        <v>1506</v>
      </c>
      <c r="B299" s="304">
        <f>B300</f>
        <v>0</v>
      </c>
      <c r="C299" s="304">
        <f>C300</f>
        <v>0</v>
      </c>
      <c r="D299" s="303"/>
      <c r="E299" s="303"/>
      <c r="F299" s="260">
        <f>F300</f>
        <v>0</v>
      </c>
    </row>
    <row r="300" spans="1:6" hidden="1">
      <c r="A300" s="264" t="s">
        <v>1505</v>
      </c>
      <c r="B300" s="304"/>
      <c r="C300" s="304"/>
      <c r="D300" s="303"/>
      <c r="E300" s="303"/>
      <c r="F300" s="260"/>
    </row>
    <row r="301" spans="1:6" hidden="1">
      <c r="A301" s="261" t="s">
        <v>1504</v>
      </c>
      <c r="B301" s="304">
        <f>B302</f>
        <v>0</v>
      </c>
      <c r="C301" s="304">
        <f>C302</f>
        <v>0</v>
      </c>
      <c r="D301" s="303"/>
      <c r="E301" s="303"/>
      <c r="F301" s="260">
        <f>F302</f>
        <v>0</v>
      </c>
    </row>
    <row r="302" spans="1:6" hidden="1">
      <c r="A302" s="264" t="s">
        <v>1503</v>
      </c>
      <c r="B302" s="304"/>
      <c r="C302" s="304"/>
      <c r="D302" s="303"/>
      <c r="E302" s="303"/>
      <c r="F302" s="260"/>
    </row>
    <row r="303" spans="1:6">
      <c r="A303" s="261" t="s">
        <v>1502</v>
      </c>
      <c r="B303" s="304">
        <v>733</v>
      </c>
      <c r="C303" s="304">
        <f>SUM(C304:C311)</f>
        <v>733</v>
      </c>
      <c r="D303" s="303"/>
      <c r="E303" s="303"/>
      <c r="F303" s="260">
        <f>SUM(F304:F311)</f>
        <v>325</v>
      </c>
    </row>
    <row r="304" spans="1:6" hidden="1">
      <c r="A304" s="264" t="s">
        <v>1501</v>
      </c>
      <c r="B304" s="304"/>
      <c r="C304" s="304"/>
      <c r="D304" s="303"/>
      <c r="E304" s="303"/>
      <c r="F304" s="260">
        <v>35</v>
      </c>
    </row>
    <row r="305" spans="1:6" hidden="1">
      <c r="A305" s="264" t="s">
        <v>1500</v>
      </c>
      <c r="B305" s="304"/>
      <c r="C305" s="304"/>
      <c r="D305" s="303"/>
      <c r="E305" s="303"/>
      <c r="F305" s="260"/>
    </row>
    <row r="306" spans="1:6" hidden="1">
      <c r="A306" s="264" t="s">
        <v>1499</v>
      </c>
      <c r="B306" s="304"/>
      <c r="C306" s="304"/>
      <c r="D306" s="303"/>
      <c r="E306" s="303"/>
      <c r="F306" s="260">
        <v>15</v>
      </c>
    </row>
    <row r="307" spans="1:6" hidden="1">
      <c r="A307" s="264" t="s">
        <v>1498</v>
      </c>
      <c r="B307" s="304"/>
      <c r="C307" s="304"/>
      <c r="D307" s="303"/>
      <c r="E307" s="303"/>
      <c r="F307" s="260"/>
    </row>
    <row r="308" spans="1:6" hidden="1">
      <c r="A308" s="264" t="s">
        <v>1497</v>
      </c>
      <c r="B308" s="304"/>
      <c r="C308" s="304"/>
      <c r="D308" s="303"/>
      <c r="E308" s="303"/>
      <c r="F308" s="265">
        <v>33</v>
      </c>
    </row>
    <row r="309" spans="1:6" hidden="1">
      <c r="A309" s="264" t="s">
        <v>1496</v>
      </c>
      <c r="B309" s="304"/>
      <c r="C309" s="304"/>
      <c r="D309" s="303"/>
      <c r="E309" s="303"/>
      <c r="F309" s="260"/>
    </row>
    <row r="310" spans="1:6">
      <c r="A310" s="264" t="s">
        <v>1495</v>
      </c>
      <c r="B310" s="304"/>
      <c r="C310" s="304">
        <v>733</v>
      </c>
      <c r="D310" s="303"/>
      <c r="E310" s="303"/>
      <c r="F310" s="270">
        <v>242</v>
      </c>
    </row>
    <row r="311" spans="1:6" hidden="1">
      <c r="A311" s="264" t="s">
        <v>1494</v>
      </c>
      <c r="B311" s="304"/>
      <c r="C311" s="304"/>
      <c r="D311" s="303"/>
      <c r="E311" s="303"/>
      <c r="F311" s="260"/>
    </row>
    <row r="312" spans="1:6">
      <c r="A312" s="261" t="s">
        <v>1493</v>
      </c>
      <c r="B312" s="304">
        <v>27</v>
      </c>
      <c r="C312" s="304">
        <f>C313</f>
        <v>27</v>
      </c>
      <c r="D312" s="303"/>
      <c r="E312" s="303"/>
      <c r="F312" s="260">
        <f>F313</f>
        <v>396</v>
      </c>
    </row>
    <row r="313" spans="1:6">
      <c r="A313" s="264" t="s">
        <v>1492</v>
      </c>
      <c r="B313" s="304"/>
      <c r="C313" s="304">
        <v>27</v>
      </c>
      <c r="D313" s="303"/>
      <c r="E313" s="303"/>
      <c r="F313" s="260">
        <f>25+371</f>
        <v>396</v>
      </c>
    </row>
    <row r="314" spans="1:6">
      <c r="A314" s="261" t="s">
        <v>1491</v>
      </c>
      <c r="B314" s="304">
        <f>SUM(B315,B325,B347,B354,B366,B375,B389,B398,B407,B415,B423,B432)</f>
        <v>29477</v>
      </c>
      <c r="C314" s="304">
        <f>SUM(C315,C325,C347,C354,C366,C375,C389,C398,C407,C415,C423,C432)</f>
        <v>26960</v>
      </c>
      <c r="D314" s="303">
        <f>C314/B314*100</f>
        <v>91.46</v>
      </c>
      <c r="E314" s="303">
        <f t="shared" ref="E314:E328" si="17">C314/F314*100</f>
        <v>138.72999999999999</v>
      </c>
      <c r="F314" s="263">
        <f>SUM(F315,F325,F347,F354,F366,F375,F389,F398,F407,F415,F423,F432)</f>
        <v>19433</v>
      </c>
    </row>
    <row r="315" spans="1:6">
      <c r="A315" s="261" t="s">
        <v>1490</v>
      </c>
      <c r="B315" s="304">
        <v>4304</v>
      </c>
      <c r="C315" s="304">
        <f>SUM(C316:C324)</f>
        <v>4304</v>
      </c>
      <c r="D315" s="303">
        <f>C315/B315*100</f>
        <v>100</v>
      </c>
      <c r="E315" s="303">
        <f t="shared" si="17"/>
        <v>92.32</v>
      </c>
      <c r="F315" s="263">
        <f>SUM(F316:F324)</f>
        <v>4662</v>
      </c>
    </row>
    <row r="316" spans="1:6">
      <c r="A316" s="264" t="s">
        <v>1489</v>
      </c>
      <c r="B316" s="305"/>
      <c r="C316" s="305">
        <v>787</v>
      </c>
      <c r="D316" s="303"/>
      <c r="E316" s="303">
        <f t="shared" si="17"/>
        <v>161.27000000000001</v>
      </c>
      <c r="F316" s="265">
        <v>488</v>
      </c>
    </row>
    <row r="317" spans="1:6">
      <c r="A317" s="264" t="s">
        <v>1488</v>
      </c>
      <c r="B317" s="305"/>
      <c r="C317" s="305">
        <v>2136</v>
      </c>
      <c r="D317" s="303"/>
      <c r="E317" s="303">
        <f t="shared" si="17"/>
        <v>85.3</v>
      </c>
      <c r="F317" s="260">
        <v>2504</v>
      </c>
    </row>
    <row r="318" spans="1:6">
      <c r="A318" s="264" t="s">
        <v>1487</v>
      </c>
      <c r="B318" s="305"/>
      <c r="C318" s="305">
        <v>1281</v>
      </c>
      <c r="D318" s="303"/>
      <c r="E318" s="303">
        <f t="shared" si="17"/>
        <v>87.14</v>
      </c>
      <c r="F318" s="270">
        <v>1470</v>
      </c>
    </row>
    <row r="319" spans="1:6">
      <c r="A319" s="264" t="s">
        <v>1486</v>
      </c>
      <c r="B319" s="305"/>
      <c r="C319" s="305">
        <v>100</v>
      </c>
      <c r="D319" s="303"/>
      <c r="E319" s="303">
        <f t="shared" si="17"/>
        <v>50</v>
      </c>
      <c r="F319" s="260">
        <v>200</v>
      </c>
    </row>
    <row r="320" spans="1:6" hidden="1">
      <c r="A320" s="264" t="s">
        <v>1485</v>
      </c>
      <c r="B320" s="305"/>
      <c r="C320" s="305"/>
      <c r="D320" s="303" t="e">
        <f t="shared" ref="D320:D325" si="18">C320/B320*100</f>
        <v>#DIV/0!</v>
      </c>
      <c r="E320" s="303" t="e">
        <f t="shared" si="17"/>
        <v>#DIV/0!</v>
      </c>
      <c r="F320" s="260"/>
    </row>
    <row r="321" spans="1:6" hidden="1">
      <c r="A321" s="264" t="s">
        <v>1484</v>
      </c>
      <c r="B321" s="305"/>
      <c r="C321" s="305"/>
      <c r="D321" s="303" t="e">
        <f t="shared" si="18"/>
        <v>#DIV/0!</v>
      </c>
      <c r="E321" s="303" t="e">
        <f t="shared" si="17"/>
        <v>#DIV/0!</v>
      </c>
      <c r="F321" s="260"/>
    </row>
    <row r="322" spans="1:6" hidden="1">
      <c r="A322" s="264" t="s">
        <v>1483</v>
      </c>
      <c r="B322" s="305"/>
      <c r="C322" s="305"/>
      <c r="D322" s="303" t="e">
        <f t="shared" si="18"/>
        <v>#DIV/0!</v>
      </c>
      <c r="E322" s="303" t="e">
        <f t="shared" si="17"/>
        <v>#DIV/0!</v>
      </c>
      <c r="F322" s="260"/>
    </row>
    <row r="323" spans="1:6" hidden="1">
      <c r="A323" s="264" t="s">
        <v>1482</v>
      </c>
      <c r="B323" s="305"/>
      <c r="C323" s="305"/>
      <c r="D323" s="303" t="e">
        <f t="shared" si="18"/>
        <v>#DIV/0!</v>
      </c>
      <c r="E323" s="303" t="e">
        <f t="shared" si="17"/>
        <v>#DIV/0!</v>
      </c>
      <c r="F323" s="265"/>
    </row>
    <row r="324" spans="1:6" hidden="1">
      <c r="A324" s="264" t="s">
        <v>1481</v>
      </c>
      <c r="B324" s="305"/>
      <c r="C324" s="305"/>
      <c r="D324" s="303" t="e">
        <f t="shared" si="18"/>
        <v>#DIV/0!</v>
      </c>
      <c r="E324" s="303" t="e">
        <f t="shared" si="17"/>
        <v>#DIV/0!</v>
      </c>
      <c r="F324" s="260"/>
    </row>
    <row r="325" spans="1:6">
      <c r="A325" s="261" t="s">
        <v>1480</v>
      </c>
      <c r="B325" s="305">
        <v>15874</v>
      </c>
      <c r="C325" s="305">
        <f>SUM(C326:C346)</f>
        <v>14652</v>
      </c>
      <c r="D325" s="303">
        <f t="shared" si="18"/>
        <v>92.3</v>
      </c>
      <c r="E325" s="303">
        <f t="shared" si="17"/>
        <v>136.87</v>
      </c>
      <c r="F325" s="267">
        <f>SUM(F326:F346)</f>
        <v>10705</v>
      </c>
    </row>
    <row r="326" spans="1:6">
      <c r="A326" s="264" t="s">
        <v>647</v>
      </c>
      <c r="B326" s="305"/>
      <c r="C326" s="305">
        <v>9627</v>
      </c>
      <c r="D326" s="303"/>
      <c r="E326" s="303">
        <f t="shared" si="17"/>
        <v>137.84</v>
      </c>
      <c r="F326" s="270">
        <v>6984</v>
      </c>
    </row>
    <row r="327" spans="1:6">
      <c r="A327" s="264" t="s">
        <v>646</v>
      </c>
      <c r="B327" s="305"/>
      <c r="C327" s="305">
        <v>753</v>
      </c>
      <c r="D327" s="303"/>
      <c r="E327" s="303">
        <f t="shared" si="17"/>
        <v>36.97</v>
      </c>
      <c r="F327" s="265">
        <v>2037</v>
      </c>
    </row>
    <row r="328" spans="1:6" hidden="1">
      <c r="A328" s="264" t="s">
        <v>645</v>
      </c>
      <c r="B328" s="305"/>
      <c r="C328" s="305"/>
      <c r="D328" s="303"/>
      <c r="E328" s="303" t="e">
        <f t="shared" si="17"/>
        <v>#DIV/0!</v>
      </c>
      <c r="F328" s="260"/>
    </row>
    <row r="329" spans="1:6">
      <c r="A329" s="264" t="s">
        <v>1479</v>
      </c>
      <c r="B329" s="305"/>
      <c r="C329" s="305">
        <v>217</v>
      </c>
      <c r="D329" s="303"/>
      <c r="E329" s="303"/>
      <c r="F329" s="270"/>
    </row>
    <row r="330" spans="1:6" hidden="1">
      <c r="A330" s="264" t="s">
        <v>1478</v>
      </c>
      <c r="B330" s="305"/>
      <c r="C330" s="305"/>
      <c r="D330" s="303"/>
      <c r="E330" s="303" t="e">
        <f t="shared" ref="E330:E338" si="19">C330/F330*100</f>
        <v>#DIV/0!</v>
      </c>
      <c r="F330" s="260"/>
    </row>
    <row r="331" spans="1:6" hidden="1">
      <c r="A331" s="264" t="s">
        <v>1477</v>
      </c>
      <c r="B331" s="305"/>
      <c r="C331" s="305"/>
      <c r="D331" s="303"/>
      <c r="E331" s="303" t="e">
        <f t="shared" si="19"/>
        <v>#DIV/0!</v>
      </c>
      <c r="F331" s="260"/>
    </row>
    <row r="332" spans="1:6">
      <c r="A332" s="264" t="s">
        <v>1476</v>
      </c>
      <c r="B332" s="305"/>
      <c r="C332" s="305">
        <v>23</v>
      </c>
      <c r="D332" s="303"/>
      <c r="E332" s="303">
        <f t="shared" si="19"/>
        <v>56.1</v>
      </c>
      <c r="F332" s="260">
        <v>41</v>
      </c>
    </row>
    <row r="333" spans="1:6">
      <c r="A333" s="264" t="s">
        <v>1475</v>
      </c>
      <c r="B333" s="305"/>
      <c r="C333" s="305">
        <v>1983</v>
      </c>
      <c r="D333" s="303"/>
      <c r="E333" s="303">
        <f t="shared" si="19"/>
        <v>1599.19</v>
      </c>
      <c r="F333" s="260">
        <v>124</v>
      </c>
    </row>
    <row r="334" spans="1:6" hidden="1">
      <c r="A334" s="264" t="s">
        <v>1474</v>
      </c>
      <c r="B334" s="305"/>
      <c r="C334" s="305"/>
      <c r="D334" s="303"/>
      <c r="E334" s="303" t="e">
        <f t="shared" si="19"/>
        <v>#DIV/0!</v>
      </c>
      <c r="F334" s="260"/>
    </row>
    <row r="335" spans="1:6" hidden="1">
      <c r="A335" s="264" t="s">
        <v>1473</v>
      </c>
      <c r="B335" s="305"/>
      <c r="C335" s="305"/>
      <c r="D335" s="303"/>
      <c r="E335" s="303" t="e">
        <f t="shared" si="19"/>
        <v>#DIV/0!</v>
      </c>
      <c r="F335" s="260"/>
    </row>
    <row r="336" spans="1:6">
      <c r="A336" s="264" t="s">
        <v>1472</v>
      </c>
      <c r="B336" s="305"/>
      <c r="C336" s="305">
        <v>111</v>
      </c>
      <c r="D336" s="303"/>
      <c r="E336" s="303">
        <f t="shared" si="19"/>
        <v>126.14</v>
      </c>
      <c r="F336" s="260">
        <v>88</v>
      </c>
    </row>
    <row r="337" spans="1:6">
      <c r="A337" s="264" t="s">
        <v>1471</v>
      </c>
      <c r="B337" s="305"/>
      <c r="C337" s="305">
        <v>302</v>
      </c>
      <c r="D337" s="303"/>
      <c r="E337" s="303">
        <f t="shared" si="19"/>
        <v>656.52</v>
      </c>
      <c r="F337" s="260">
        <v>46</v>
      </c>
    </row>
    <row r="338" spans="1:6" hidden="1">
      <c r="A338" s="264" t="s">
        <v>1470</v>
      </c>
      <c r="B338" s="305"/>
      <c r="C338" s="305"/>
      <c r="D338" s="303"/>
      <c r="E338" s="303" t="e">
        <f t="shared" si="19"/>
        <v>#DIV/0!</v>
      </c>
      <c r="F338" s="260"/>
    </row>
    <row r="339" spans="1:6">
      <c r="A339" s="264" t="s">
        <v>1469</v>
      </c>
      <c r="B339" s="305"/>
      <c r="C339" s="305">
        <v>289</v>
      </c>
      <c r="D339" s="303"/>
      <c r="E339" s="303"/>
      <c r="F339" s="260"/>
    </row>
    <row r="340" spans="1:6">
      <c r="A340" s="264" t="s">
        <v>1468</v>
      </c>
      <c r="B340" s="305"/>
      <c r="C340" s="305">
        <v>10</v>
      </c>
      <c r="D340" s="303"/>
      <c r="E340" s="303">
        <f>C340/F340*100</f>
        <v>66.67</v>
      </c>
      <c r="F340" s="260">
        <v>15</v>
      </c>
    </row>
    <row r="341" spans="1:6">
      <c r="A341" s="264" t="s">
        <v>1420</v>
      </c>
      <c r="B341" s="305"/>
      <c r="C341" s="305">
        <v>330</v>
      </c>
      <c r="D341" s="303"/>
      <c r="E341" s="303"/>
      <c r="F341" s="260"/>
    </row>
    <row r="342" spans="1:6">
      <c r="A342" s="264" t="s">
        <v>1467</v>
      </c>
      <c r="B342" s="305"/>
      <c r="C342" s="305">
        <v>247</v>
      </c>
      <c r="D342" s="303"/>
      <c r="E342" s="303">
        <f t="shared" ref="E342:E376" si="20">C342/F342*100</f>
        <v>97.63</v>
      </c>
      <c r="F342" s="260">
        <v>253</v>
      </c>
    </row>
    <row r="343" spans="1:6" hidden="1">
      <c r="A343" s="264" t="s">
        <v>1466</v>
      </c>
      <c r="B343" s="305"/>
      <c r="C343" s="305"/>
      <c r="D343" s="303"/>
      <c r="E343" s="303" t="e">
        <f t="shared" si="20"/>
        <v>#DIV/0!</v>
      </c>
      <c r="F343" s="260"/>
    </row>
    <row r="344" spans="1:6" hidden="1">
      <c r="A344" s="264" t="s">
        <v>1044</v>
      </c>
      <c r="B344" s="305"/>
      <c r="C344" s="305"/>
      <c r="D344" s="303"/>
      <c r="E344" s="303" t="e">
        <f t="shared" si="20"/>
        <v>#DIV/0!</v>
      </c>
      <c r="F344" s="260"/>
    </row>
    <row r="345" spans="1:6" hidden="1">
      <c r="A345" s="264" t="s">
        <v>636</v>
      </c>
      <c r="B345" s="305"/>
      <c r="C345" s="305"/>
      <c r="D345" s="303"/>
      <c r="E345" s="303" t="e">
        <f t="shared" si="20"/>
        <v>#DIV/0!</v>
      </c>
      <c r="F345" s="260"/>
    </row>
    <row r="346" spans="1:6">
      <c r="A346" s="264" t="s">
        <v>1465</v>
      </c>
      <c r="B346" s="305"/>
      <c r="C346" s="305">
        <v>760</v>
      </c>
      <c r="D346" s="303"/>
      <c r="E346" s="303">
        <f t="shared" si="20"/>
        <v>68.040000000000006</v>
      </c>
      <c r="F346" s="260">
        <v>1117</v>
      </c>
    </row>
    <row r="347" spans="1:6" hidden="1">
      <c r="A347" s="261" t="s">
        <v>1464</v>
      </c>
      <c r="B347" s="305"/>
      <c r="C347" s="305">
        <f>SUM(C348:C353)</f>
        <v>0</v>
      </c>
      <c r="D347" s="303" t="e">
        <f t="shared" ref="D347:D354" si="21">C347/B347*100</f>
        <v>#DIV/0!</v>
      </c>
      <c r="E347" s="303">
        <f t="shared" si="20"/>
        <v>0</v>
      </c>
      <c r="F347" s="260">
        <f>SUM(F348:F353)</f>
        <v>20</v>
      </c>
    </row>
    <row r="348" spans="1:6" hidden="1">
      <c r="A348" s="264" t="s">
        <v>647</v>
      </c>
      <c r="B348" s="305"/>
      <c r="C348" s="305"/>
      <c r="D348" s="303" t="e">
        <f t="shared" si="21"/>
        <v>#DIV/0!</v>
      </c>
      <c r="E348" s="303" t="e">
        <f t="shared" si="20"/>
        <v>#DIV/0!</v>
      </c>
      <c r="F348" s="260"/>
    </row>
    <row r="349" spans="1:6" hidden="1">
      <c r="A349" s="264" t="s">
        <v>646</v>
      </c>
      <c r="B349" s="305"/>
      <c r="C349" s="305"/>
      <c r="D349" s="303" t="e">
        <f t="shared" si="21"/>
        <v>#DIV/0!</v>
      </c>
      <c r="E349" s="303">
        <f t="shared" si="20"/>
        <v>0</v>
      </c>
      <c r="F349" s="260">
        <v>20</v>
      </c>
    </row>
    <row r="350" spans="1:6" hidden="1">
      <c r="A350" s="264" t="s">
        <v>645</v>
      </c>
      <c r="B350" s="305"/>
      <c r="C350" s="305"/>
      <c r="D350" s="303" t="e">
        <f t="shared" si="21"/>
        <v>#DIV/0!</v>
      </c>
      <c r="E350" s="303" t="e">
        <f t="shared" si="20"/>
        <v>#DIV/0!</v>
      </c>
      <c r="F350" s="260"/>
    </row>
    <row r="351" spans="1:6" hidden="1">
      <c r="A351" s="264" t="s">
        <v>1463</v>
      </c>
      <c r="B351" s="305"/>
      <c r="C351" s="305"/>
      <c r="D351" s="303" t="e">
        <f t="shared" si="21"/>
        <v>#DIV/0!</v>
      </c>
      <c r="E351" s="303" t="e">
        <f t="shared" si="20"/>
        <v>#DIV/0!</v>
      </c>
      <c r="F351" s="260"/>
    </row>
    <row r="352" spans="1:6" hidden="1">
      <c r="A352" s="264" t="s">
        <v>636</v>
      </c>
      <c r="B352" s="305"/>
      <c r="C352" s="305"/>
      <c r="D352" s="303" t="e">
        <f t="shared" si="21"/>
        <v>#DIV/0!</v>
      </c>
      <c r="E352" s="303" t="e">
        <f t="shared" si="20"/>
        <v>#DIV/0!</v>
      </c>
      <c r="F352" s="260"/>
    </row>
    <row r="353" spans="1:6" hidden="1">
      <c r="A353" s="264" t="s">
        <v>1462</v>
      </c>
      <c r="B353" s="305"/>
      <c r="C353" s="305"/>
      <c r="D353" s="303" t="e">
        <f t="shared" si="21"/>
        <v>#DIV/0!</v>
      </c>
      <c r="E353" s="303" t="e">
        <f t="shared" si="20"/>
        <v>#DIV/0!</v>
      </c>
      <c r="F353" s="260"/>
    </row>
    <row r="354" spans="1:6">
      <c r="A354" s="261" t="s">
        <v>1461</v>
      </c>
      <c r="B354" s="305">
        <v>2184</v>
      </c>
      <c r="C354" s="305">
        <f>SUM(C355:C365)</f>
        <v>1673</v>
      </c>
      <c r="D354" s="303">
        <f t="shared" si="21"/>
        <v>76.599999999999994</v>
      </c>
      <c r="E354" s="303">
        <f t="shared" si="20"/>
        <v>137.47</v>
      </c>
      <c r="F354" s="260">
        <f>SUM(F355:F365)</f>
        <v>1217</v>
      </c>
    </row>
    <row r="355" spans="1:6">
      <c r="A355" s="264" t="s">
        <v>647</v>
      </c>
      <c r="B355" s="305"/>
      <c r="C355" s="305">
        <v>1471</v>
      </c>
      <c r="D355" s="303"/>
      <c r="E355" s="303">
        <f t="shared" si="20"/>
        <v>137.86000000000001</v>
      </c>
      <c r="F355" s="260">
        <v>1067</v>
      </c>
    </row>
    <row r="356" spans="1:6">
      <c r="A356" s="264" t="s">
        <v>646</v>
      </c>
      <c r="B356" s="305"/>
      <c r="C356" s="305">
        <v>151</v>
      </c>
      <c r="D356" s="303"/>
      <c r="E356" s="303">
        <f t="shared" si="20"/>
        <v>193.59</v>
      </c>
      <c r="F356" s="260">
        <v>78</v>
      </c>
    </row>
    <row r="357" spans="1:6" hidden="1">
      <c r="A357" s="264" t="s">
        <v>645</v>
      </c>
      <c r="B357" s="305"/>
      <c r="C357" s="305"/>
      <c r="D357" s="303"/>
      <c r="E357" s="303" t="e">
        <f t="shared" si="20"/>
        <v>#DIV/0!</v>
      </c>
      <c r="F357" s="260"/>
    </row>
    <row r="358" spans="1:6" hidden="1">
      <c r="A358" s="264" t="s">
        <v>1460</v>
      </c>
      <c r="B358" s="305"/>
      <c r="C358" s="305"/>
      <c r="D358" s="303"/>
      <c r="E358" s="303" t="e">
        <f t="shared" si="20"/>
        <v>#DIV/0!</v>
      </c>
      <c r="F358" s="260"/>
    </row>
    <row r="359" spans="1:6" hidden="1">
      <c r="A359" s="264" t="s">
        <v>1459</v>
      </c>
      <c r="B359" s="305"/>
      <c r="C359" s="305"/>
      <c r="D359" s="303"/>
      <c r="E359" s="303" t="e">
        <f t="shared" si="20"/>
        <v>#DIV/0!</v>
      </c>
      <c r="F359" s="260"/>
    </row>
    <row r="360" spans="1:6" hidden="1">
      <c r="A360" s="264" t="s">
        <v>1458</v>
      </c>
      <c r="B360" s="305"/>
      <c r="C360" s="305"/>
      <c r="D360" s="303"/>
      <c r="E360" s="303" t="e">
        <f t="shared" si="20"/>
        <v>#DIV/0!</v>
      </c>
      <c r="F360" s="260"/>
    </row>
    <row r="361" spans="1:6" hidden="1">
      <c r="A361" s="264" t="s">
        <v>1457</v>
      </c>
      <c r="B361" s="305"/>
      <c r="C361" s="305"/>
      <c r="D361" s="303"/>
      <c r="E361" s="303" t="e">
        <f t="shared" si="20"/>
        <v>#DIV/0!</v>
      </c>
      <c r="F361" s="260"/>
    </row>
    <row r="362" spans="1:6" hidden="1">
      <c r="A362" s="264" t="s">
        <v>1456</v>
      </c>
      <c r="B362" s="305"/>
      <c r="C362" s="305"/>
      <c r="D362" s="303"/>
      <c r="E362" s="303" t="e">
        <f t="shared" si="20"/>
        <v>#DIV/0!</v>
      </c>
      <c r="F362" s="260"/>
    </row>
    <row r="363" spans="1:6">
      <c r="A363" s="264" t="s">
        <v>1455</v>
      </c>
      <c r="B363" s="305"/>
      <c r="C363" s="305">
        <v>31</v>
      </c>
      <c r="D363" s="303"/>
      <c r="E363" s="303">
        <f t="shared" si="20"/>
        <v>57.41</v>
      </c>
      <c r="F363" s="260">
        <v>54</v>
      </c>
    </row>
    <row r="364" spans="1:6" hidden="1">
      <c r="A364" s="264" t="s">
        <v>636</v>
      </c>
      <c r="B364" s="305"/>
      <c r="C364" s="305"/>
      <c r="D364" s="303"/>
      <c r="E364" s="303" t="e">
        <f t="shared" si="20"/>
        <v>#DIV/0!</v>
      </c>
      <c r="F364" s="260"/>
    </row>
    <row r="365" spans="1:6">
      <c r="A365" s="264" t="s">
        <v>1454</v>
      </c>
      <c r="B365" s="305"/>
      <c r="C365" s="305">
        <v>20</v>
      </c>
      <c r="D365" s="303"/>
      <c r="E365" s="303">
        <f t="shared" si="20"/>
        <v>111.11</v>
      </c>
      <c r="F365" s="260">
        <v>18</v>
      </c>
    </row>
    <row r="366" spans="1:6">
      <c r="A366" s="261" t="s">
        <v>1453</v>
      </c>
      <c r="B366" s="305">
        <v>2494</v>
      </c>
      <c r="C366" s="305">
        <f>SUM(C367:C374)</f>
        <v>1987</v>
      </c>
      <c r="D366" s="303">
        <f>C366/B366*100</f>
        <v>79.67</v>
      </c>
      <c r="E366" s="303">
        <f t="shared" si="20"/>
        <v>104.74</v>
      </c>
      <c r="F366" s="260">
        <f>SUM(F367:F374)</f>
        <v>1897</v>
      </c>
    </row>
    <row r="367" spans="1:6">
      <c r="A367" s="264" t="s">
        <v>647</v>
      </c>
      <c r="B367" s="305"/>
      <c r="C367" s="305">
        <v>1459</v>
      </c>
      <c r="D367" s="303"/>
      <c r="E367" s="303">
        <f t="shared" si="20"/>
        <v>105.88</v>
      </c>
      <c r="F367" s="260">
        <v>1378</v>
      </c>
    </row>
    <row r="368" spans="1:6">
      <c r="A368" s="264" t="s">
        <v>646</v>
      </c>
      <c r="B368" s="305"/>
      <c r="C368" s="305">
        <v>267</v>
      </c>
      <c r="D368" s="303"/>
      <c r="E368" s="303">
        <f t="shared" si="20"/>
        <v>65.930000000000007</v>
      </c>
      <c r="F368" s="260">
        <v>405</v>
      </c>
    </row>
    <row r="369" spans="1:6" hidden="1">
      <c r="A369" s="264" t="s">
        <v>645</v>
      </c>
      <c r="B369" s="305"/>
      <c r="C369" s="305"/>
      <c r="D369" s="303"/>
      <c r="E369" s="303" t="e">
        <f t="shared" si="20"/>
        <v>#DIV/0!</v>
      </c>
      <c r="F369" s="260"/>
    </row>
    <row r="370" spans="1:6" hidden="1">
      <c r="A370" s="264" t="s">
        <v>1452</v>
      </c>
      <c r="B370" s="305"/>
      <c r="C370" s="305"/>
      <c r="D370" s="303"/>
      <c r="E370" s="303" t="e">
        <f t="shared" si="20"/>
        <v>#DIV/0!</v>
      </c>
      <c r="F370" s="260"/>
    </row>
    <row r="371" spans="1:6" hidden="1">
      <c r="A371" s="264" t="s">
        <v>1451</v>
      </c>
      <c r="B371" s="305"/>
      <c r="C371" s="305"/>
      <c r="D371" s="303"/>
      <c r="E371" s="303" t="e">
        <f t="shared" si="20"/>
        <v>#DIV/0!</v>
      </c>
      <c r="F371" s="260"/>
    </row>
    <row r="372" spans="1:6" hidden="1">
      <c r="A372" s="264" t="s">
        <v>1450</v>
      </c>
      <c r="B372" s="305"/>
      <c r="C372" s="305"/>
      <c r="D372" s="303"/>
      <c r="E372" s="303" t="e">
        <f t="shared" si="20"/>
        <v>#DIV/0!</v>
      </c>
      <c r="F372" s="260"/>
    </row>
    <row r="373" spans="1:6" hidden="1">
      <c r="A373" s="264" t="s">
        <v>636</v>
      </c>
      <c r="B373" s="305"/>
      <c r="C373" s="305"/>
      <c r="D373" s="303"/>
      <c r="E373" s="303" t="e">
        <f t="shared" si="20"/>
        <v>#DIV/0!</v>
      </c>
      <c r="F373" s="260"/>
    </row>
    <row r="374" spans="1:6">
      <c r="A374" s="264" t="s">
        <v>1449</v>
      </c>
      <c r="B374" s="305"/>
      <c r="C374" s="305">
        <v>261</v>
      </c>
      <c r="D374" s="303"/>
      <c r="E374" s="303">
        <f t="shared" si="20"/>
        <v>228.95</v>
      </c>
      <c r="F374" s="260">
        <v>114</v>
      </c>
    </row>
    <row r="375" spans="1:6">
      <c r="A375" s="261" t="s">
        <v>1448</v>
      </c>
      <c r="B375" s="305">
        <v>1462</v>
      </c>
      <c r="C375" s="305">
        <f>SUM(C376:C388)</f>
        <v>1319</v>
      </c>
      <c r="D375" s="303">
        <f>C375/B375*100</f>
        <v>90.22</v>
      </c>
      <c r="E375" s="303">
        <f t="shared" si="20"/>
        <v>141.52000000000001</v>
      </c>
      <c r="F375" s="267">
        <f>SUM(F376:F388)</f>
        <v>932</v>
      </c>
    </row>
    <row r="376" spans="1:6">
      <c r="A376" s="264" t="s">
        <v>647</v>
      </c>
      <c r="B376" s="305"/>
      <c r="C376" s="305">
        <v>895</v>
      </c>
      <c r="D376" s="303"/>
      <c r="E376" s="303">
        <f t="shared" si="20"/>
        <v>119.97</v>
      </c>
      <c r="F376" s="260">
        <v>746</v>
      </c>
    </row>
    <row r="377" spans="1:6">
      <c r="A377" s="264" t="s">
        <v>646</v>
      </c>
      <c r="B377" s="305"/>
      <c r="C377" s="305">
        <v>109</v>
      </c>
      <c r="D377" s="303"/>
      <c r="E377" s="303"/>
      <c r="F377" s="260"/>
    </row>
    <row r="378" spans="1:6" hidden="1">
      <c r="A378" s="264" t="s">
        <v>645</v>
      </c>
      <c r="B378" s="305"/>
      <c r="C378" s="305"/>
      <c r="D378" s="303"/>
      <c r="E378" s="303"/>
      <c r="F378" s="260"/>
    </row>
    <row r="379" spans="1:6">
      <c r="A379" s="264" t="s">
        <v>1447</v>
      </c>
      <c r="B379" s="305"/>
      <c r="C379" s="305">
        <v>6</v>
      </c>
      <c r="D379" s="303"/>
      <c r="E379" s="303"/>
      <c r="F379" s="260"/>
    </row>
    <row r="380" spans="1:6">
      <c r="A380" s="264" t="s">
        <v>1446</v>
      </c>
      <c r="B380" s="305"/>
      <c r="C380" s="305">
        <v>18</v>
      </c>
      <c r="D380" s="303"/>
      <c r="E380" s="303"/>
      <c r="F380" s="260"/>
    </row>
    <row r="381" spans="1:6">
      <c r="A381" s="264" t="s">
        <v>1445</v>
      </c>
      <c r="B381" s="305"/>
      <c r="C381" s="305">
        <v>244</v>
      </c>
      <c r="D381" s="303"/>
      <c r="E381" s="303">
        <f>C381/F381*100</f>
        <v>131.18</v>
      </c>
      <c r="F381" s="260">
        <v>186</v>
      </c>
    </row>
    <row r="382" spans="1:6">
      <c r="A382" s="264" t="s">
        <v>1444</v>
      </c>
      <c r="B382" s="305"/>
      <c r="C382" s="305">
        <v>11</v>
      </c>
      <c r="D382" s="303"/>
      <c r="E382" s="303"/>
      <c r="F382" s="260"/>
    </row>
    <row r="383" spans="1:6" hidden="1">
      <c r="A383" s="264" t="s">
        <v>1443</v>
      </c>
      <c r="B383" s="305"/>
      <c r="C383" s="305"/>
      <c r="D383" s="303"/>
      <c r="E383" s="303"/>
      <c r="F383" s="260"/>
    </row>
    <row r="384" spans="1:6" hidden="1">
      <c r="A384" s="264" t="s">
        <v>1442</v>
      </c>
      <c r="B384" s="305"/>
      <c r="C384" s="305"/>
      <c r="D384" s="303"/>
      <c r="E384" s="303"/>
      <c r="F384" s="260"/>
    </row>
    <row r="385" spans="1:6" hidden="1">
      <c r="A385" s="264" t="s">
        <v>1441</v>
      </c>
      <c r="B385" s="305"/>
      <c r="C385" s="305"/>
      <c r="D385" s="303"/>
      <c r="E385" s="303"/>
      <c r="F385" s="260"/>
    </row>
    <row r="386" spans="1:6" hidden="1">
      <c r="A386" s="264" t="s">
        <v>1440</v>
      </c>
      <c r="B386" s="305"/>
      <c r="C386" s="305"/>
      <c r="D386" s="303"/>
      <c r="E386" s="303"/>
      <c r="F386" s="260"/>
    </row>
    <row r="387" spans="1:6" hidden="1">
      <c r="A387" s="264" t="s">
        <v>636</v>
      </c>
      <c r="B387" s="305"/>
      <c r="C387" s="305"/>
      <c r="D387" s="303"/>
      <c r="E387" s="303"/>
      <c r="F387" s="260"/>
    </row>
    <row r="388" spans="1:6">
      <c r="A388" s="264" t="s">
        <v>1439</v>
      </c>
      <c r="B388" s="305"/>
      <c r="C388" s="305">
        <v>36</v>
      </c>
      <c r="D388" s="303"/>
      <c r="E388" s="303"/>
      <c r="F388" s="260">
        <f>SUM(F389:F396)</f>
        <v>0</v>
      </c>
    </row>
    <row r="389" spans="1:6" hidden="1">
      <c r="A389" s="261" t="s">
        <v>1438</v>
      </c>
      <c r="B389" s="305"/>
      <c r="C389" s="305">
        <f>SUM(C390:C397)</f>
        <v>0</v>
      </c>
      <c r="D389" s="303" t="e">
        <f t="shared" ref="D389:D432" si="22">C389/B389*100</f>
        <v>#DIV/0!</v>
      </c>
      <c r="E389" s="303"/>
      <c r="F389" s="260"/>
    </row>
    <row r="390" spans="1:6" hidden="1">
      <c r="A390" s="264" t="s">
        <v>647</v>
      </c>
      <c r="B390" s="305"/>
      <c r="C390" s="305"/>
      <c r="D390" s="303" t="e">
        <f t="shared" si="22"/>
        <v>#DIV/0!</v>
      </c>
      <c r="E390" s="303"/>
      <c r="F390" s="260"/>
    </row>
    <row r="391" spans="1:6" hidden="1">
      <c r="A391" s="264" t="s">
        <v>646</v>
      </c>
      <c r="B391" s="305"/>
      <c r="C391" s="305"/>
      <c r="D391" s="303" t="e">
        <f t="shared" si="22"/>
        <v>#DIV/0!</v>
      </c>
      <c r="E391" s="303"/>
      <c r="F391" s="260"/>
    </row>
    <row r="392" spans="1:6" hidden="1">
      <c r="A392" s="264" t="s">
        <v>645</v>
      </c>
      <c r="B392" s="305"/>
      <c r="C392" s="305"/>
      <c r="D392" s="303" t="e">
        <f t="shared" si="22"/>
        <v>#DIV/0!</v>
      </c>
      <c r="E392" s="303"/>
      <c r="F392" s="260"/>
    </row>
    <row r="393" spans="1:6" hidden="1">
      <c r="A393" s="264" t="s">
        <v>1437</v>
      </c>
      <c r="B393" s="305"/>
      <c r="C393" s="305"/>
      <c r="D393" s="303" t="e">
        <f t="shared" si="22"/>
        <v>#DIV/0!</v>
      </c>
      <c r="E393" s="303"/>
      <c r="F393" s="260"/>
    </row>
    <row r="394" spans="1:6" hidden="1">
      <c r="A394" s="264" t="s">
        <v>1436</v>
      </c>
      <c r="B394" s="305"/>
      <c r="C394" s="305"/>
      <c r="D394" s="303" t="e">
        <f t="shared" si="22"/>
        <v>#DIV/0!</v>
      </c>
      <c r="E394" s="303"/>
      <c r="F394" s="260"/>
    </row>
    <row r="395" spans="1:6" hidden="1">
      <c r="A395" s="264" t="s">
        <v>1435</v>
      </c>
      <c r="B395" s="305"/>
      <c r="C395" s="305"/>
      <c r="D395" s="303" t="e">
        <f t="shared" si="22"/>
        <v>#DIV/0!</v>
      </c>
      <c r="E395" s="303"/>
      <c r="F395" s="260"/>
    </row>
    <row r="396" spans="1:6" hidden="1">
      <c r="A396" s="264" t="s">
        <v>636</v>
      </c>
      <c r="B396" s="305"/>
      <c r="C396" s="305"/>
      <c r="D396" s="303" t="e">
        <f t="shared" si="22"/>
        <v>#DIV/0!</v>
      </c>
      <c r="E396" s="303"/>
      <c r="F396" s="260"/>
    </row>
    <row r="397" spans="1:6" hidden="1">
      <c r="A397" s="264" t="s">
        <v>1434</v>
      </c>
      <c r="B397" s="305"/>
      <c r="C397" s="305"/>
      <c r="D397" s="303" t="e">
        <f t="shared" si="22"/>
        <v>#DIV/0!</v>
      </c>
      <c r="E397" s="303"/>
      <c r="F397" s="260">
        <f>SUM(F398:F405)</f>
        <v>0</v>
      </c>
    </row>
    <row r="398" spans="1:6" hidden="1">
      <c r="A398" s="261" t="s">
        <v>1433</v>
      </c>
      <c r="B398" s="305"/>
      <c r="C398" s="305">
        <f>SUM(C399:C406)</f>
        <v>0</v>
      </c>
      <c r="D398" s="303" t="e">
        <f t="shared" si="22"/>
        <v>#DIV/0!</v>
      </c>
      <c r="E398" s="303"/>
      <c r="F398" s="260"/>
    </row>
    <row r="399" spans="1:6" hidden="1">
      <c r="A399" s="264" t="s">
        <v>647</v>
      </c>
      <c r="B399" s="305"/>
      <c r="C399" s="305"/>
      <c r="D399" s="303" t="e">
        <f t="shared" si="22"/>
        <v>#DIV/0!</v>
      </c>
      <c r="E399" s="303"/>
      <c r="F399" s="260"/>
    </row>
    <row r="400" spans="1:6" hidden="1">
      <c r="A400" s="264" t="s">
        <v>646</v>
      </c>
      <c r="B400" s="305"/>
      <c r="C400" s="305"/>
      <c r="D400" s="303" t="e">
        <f t="shared" si="22"/>
        <v>#DIV/0!</v>
      </c>
      <c r="E400" s="303"/>
      <c r="F400" s="260"/>
    </row>
    <row r="401" spans="1:6" hidden="1">
      <c r="A401" s="264" t="s">
        <v>645</v>
      </c>
      <c r="B401" s="305"/>
      <c r="C401" s="305"/>
      <c r="D401" s="303" t="e">
        <f t="shared" si="22"/>
        <v>#DIV/0!</v>
      </c>
      <c r="E401" s="303"/>
      <c r="F401" s="260"/>
    </row>
    <row r="402" spans="1:6" hidden="1">
      <c r="A402" s="264" t="s">
        <v>1432</v>
      </c>
      <c r="B402" s="305"/>
      <c r="C402" s="305"/>
      <c r="D402" s="303" t="e">
        <f t="shared" si="22"/>
        <v>#DIV/0!</v>
      </c>
      <c r="E402" s="303"/>
      <c r="F402" s="260"/>
    </row>
    <row r="403" spans="1:6" hidden="1">
      <c r="A403" s="264" t="s">
        <v>1431</v>
      </c>
      <c r="B403" s="305"/>
      <c r="C403" s="305"/>
      <c r="D403" s="303" t="e">
        <f t="shared" si="22"/>
        <v>#DIV/0!</v>
      </c>
      <c r="E403" s="303"/>
      <c r="F403" s="260"/>
    </row>
    <row r="404" spans="1:6" hidden="1">
      <c r="A404" s="264" t="s">
        <v>1430</v>
      </c>
      <c r="B404" s="305"/>
      <c r="C404" s="305"/>
      <c r="D404" s="303" t="e">
        <f t="shared" si="22"/>
        <v>#DIV/0!</v>
      </c>
      <c r="E404" s="303"/>
      <c r="F404" s="260"/>
    </row>
    <row r="405" spans="1:6" hidden="1">
      <c r="A405" s="264" t="s">
        <v>636</v>
      </c>
      <c r="B405" s="305"/>
      <c r="C405" s="305"/>
      <c r="D405" s="303" t="e">
        <f t="shared" si="22"/>
        <v>#DIV/0!</v>
      </c>
      <c r="E405" s="303"/>
      <c r="F405" s="260"/>
    </row>
    <row r="406" spans="1:6" hidden="1">
      <c r="A406" s="264" t="s">
        <v>1429</v>
      </c>
      <c r="B406" s="305"/>
      <c r="C406" s="305"/>
      <c r="D406" s="303" t="e">
        <f t="shared" si="22"/>
        <v>#DIV/0!</v>
      </c>
      <c r="E406" s="303"/>
      <c r="F406" s="260">
        <f>SUM(F407:F413)</f>
        <v>0</v>
      </c>
    </row>
    <row r="407" spans="1:6" hidden="1">
      <c r="A407" s="261" t="s">
        <v>1428</v>
      </c>
      <c r="B407" s="305"/>
      <c r="C407" s="305">
        <f>SUM(C408:C414)</f>
        <v>0</v>
      </c>
      <c r="D407" s="303" t="e">
        <f t="shared" si="22"/>
        <v>#DIV/0!</v>
      </c>
      <c r="E407" s="303"/>
    </row>
    <row r="408" spans="1:6" hidden="1">
      <c r="A408" s="264" t="s">
        <v>647</v>
      </c>
      <c r="B408" s="305"/>
      <c r="C408" s="305"/>
      <c r="D408" s="303" t="e">
        <f t="shared" si="22"/>
        <v>#DIV/0!</v>
      </c>
      <c r="E408" s="303"/>
    </row>
    <row r="409" spans="1:6" hidden="1">
      <c r="A409" s="264" t="s">
        <v>646</v>
      </c>
      <c r="B409" s="305"/>
      <c r="C409" s="305"/>
      <c r="D409" s="303" t="e">
        <f t="shared" si="22"/>
        <v>#DIV/0!</v>
      </c>
      <c r="E409" s="303"/>
    </row>
    <row r="410" spans="1:6" hidden="1">
      <c r="A410" s="264" t="s">
        <v>645</v>
      </c>
      <c r="B410" s="305"/>
      <c r="C410" s="305"/>
      <c r="D410" s="303" t="e">
        <f t="shared" si="22"/>
        <v>#DIV/0!</v>
      </c>
      <c r="E410" s="303"/>
    </row>
    <row r="411" spans="1:6" hidden="1">
      <c r="A411" s="264" t="s">
        <v>1427</v>
      </c>
      <c r="B411" s="305"/>
      <c r="C411" s="305"/>
      <c r="D411" s="303" t="e">
        <f t="shared" si="22"/>
        <v>#DIV/0!</v>
      </c>
      <c r="E411" s="303"/>
    </row>
    <row r="412" spans="1:6" hidden="1">
      <c r="A412" s="264" t="s">
        <v>1426</v>
      </c>
      <c r="B412" s="305"/>
      <c r="C412" s="305"/>
      <c r="D412" s="303" t="e">
        <f t="shared" si="22"/>
        <v>#DIV/0!</v>
      </c>
      <c r="E412" s="303"/>
    </row>
    <row r="413" spans="1:6" hidden="1">
      <c r="A413" s="264" t="s">
        <v>636</v>
      </c>
      <c r="B413" s="305"/>
      <c r="C413" s="305"/>
      <c r="D413" s="303" t="e">
        <f t="shared" si="22"/>
        <v>#DIV/0!</v>
      </c>
      <c r="E413" s="303"/>
    </row>
    <row r="414" spans="1:6" hidden="1">
      <c r="A414" s="264" t="s">
        <v>1425</v>
      </c>
      <c r="B414" s="305"/>
      <c r="C414" s="305"/>
      <c r="D414" s="303" t="e">
        <f t="shared" si="22"/>
        <v>#DIV/0!</v>
      </c>
      <c r="E414" s="303"/>
    </row>
    <row r="415" spans="1:6" hidden="1">
      <c r="A415" s="261" t="s">
        <v>1424</v>
      </c>
      <c r="B415" s="305"/>
      <c r="C415" s="305">
        <f>SUM(C416:C422)</f>
        <v>0</v>
      </c>
      <c r="D415" s="303" t="e">
        <f t="shared" si="22"/>
        <v>#DIV/0!</v>
      </c>
      <c r="E415" s="303"/>
    </row>
    <row r="416" spans="1:6" hidden="1">
      <c r="A416" s="264" t="s">
        <v>647</v>
      </c>
      <c r="B416" s="305"/>
      <c r="C416" s="305"/>
      <c r="D416" s="303" t="e">
        <f t="shared" si="22"/>
        <v>#DIV/0!</v>
      </c>
      <c r="E416" s="303"/>
    </row>
    <row r="417" spans="1:5" hidden="1">
      <c r="A417" s="264" t="s">
        <v>646</v>
      </c>
      <c r="B417" s="305"/>
      <c r="C417" s="305"/>
      <c r="D417" s="303" t="e">
        <f t="shared" si="22"/>
        <v>#DIV/0!</v>
      </c>
      <c r="E417" s="303"/>
    </row>
    <row r="418" spans="1:5" hidden="1">
      <c r="A418" s="264" t="s">
        <v>1423</v>
      </c>
      <c r="B418" s="305"/>
      <c r="C418" s="305"/>
      <c r="D418" s="303" t="e">
        <f t="shared" si="22"/>
        <v>#DIV/0!</v>
      </c>
      <c r="E418" s="303"/>
    </row>
    <row r="419" spans="1:5" hidden="1">
      <c r="A419" s="264" t="s">
        <v>1422</v>
      </c>
      <c r="B419" s="305"/>
      <c r="C419" s="305"/>
      <c r="D419" s="303" t="e">
        <f t="shared" si="22"/>
        <v>#DIV/0!</v>
      </c>
      <c r="E419" s="303"/>
    </row>
    <row r="420" spans="1:5" hidden="1">
      <c r="A420" s="264" t="s">
        <v>1421</v>
      </c>
      <c r="B420" s="305"/>
      <c r="C420" s="305"/>
      <c r="D420" s="303" t="e">
        <f t="shared" si="22"/>
        <v>#DIV/0!</v>
      </c>
      <c r="E420" s="303"/>
    </row>
    <row r="421" spans="1:5" hidden="1">
      <c r="A421" s="264" t="s">
        <v>1420</v>
      </c>
      <c r="B421" s="305"/>
      <c r="C421" s="305"/>
      <c r="D421" s="303" t="e">
        <f t="shared" si="22"/>
        <v>#DIV/0!</v>
      </c>
      <c r="E421" s="303"/>
    </row>
    <row r="422" spans="1:5" hidden="1">
      <c r="A422" s="264" t="s">
        <v>1419</v>
      </c>
      <c r="B422" s="305"/>
      <c r="C422" s="305"/>
      <c r="D422" s="303" t="e">
        <f t="shared" si="22"/>
        <v>#DIV/0!</v>
      </c>
      <c r="E422" s="303"/>
    </row>
    <row r="423" spans="1:5" hidden="1">
      <c r="A423" s="261" t="s">
        <v>1418</v>
      </c>
      <c r="B423" s="305"/>
      <c r="C423" s="305">
        <f>SUM(C424:C431)</f>
        <v>0</v>
      </c>
      <c r="D423" s="303" t="e">
        <f t="shared" si="22"/>
        <v>#DIV/0!</v>
      </c>
      <c r="E423" s="303"/>
    </row>
    <row r="424" spans="1:5" hidden="1">
      <c r="A424" s="264" t="s">
        <v>1417</v>
      </c>
      <c r="B424" s="305"/>
      <c r="C424" s="305"/>
      <c r="D424" s="303" t="e">
        <f t="shared" si="22"/>
        <v>#DIV/0!</v>
      </c>
      <c r="E424" s="303"/>
    </row>
    <row r="425" spans="1:5" hidden="1">
      <c r="A425" s="264" t="s">
        <v>647</v>
      </c>
      <c r="B425" s="305"/>
      <c r="C425" s="305"/>
      <c r="D425" s="303" t="e">
        <f t="shared" si="22"/>
        <v>#DIV/0!</v>
      </c>
      <c r="E425" s="303"/>
    </row>
    <row r="426" spans="1:5" hidden="1">
      <c r="A426" s="264" t="s">
        <v>1416</v>
      </c>
      <c r="B426" s="305"/>
      <c r="C426" s="305"/>
      <c r="D426" s="303" t="e">
        <f t="shared" si="22"/>
        <v>#DIV/0!</v>
      </c>
      <c r="E426" s="303"/>
    </row>
    <row r="427" spans="1:5" hidden="1">
      <c r="A427" s="264" t="s">
        <v>1415</v>
      </c>
      <c r="B427" s="305"/>
      <c r="C427" s="305"/>
      <c r="D427" s="303" t="e">
        <f t="shared" si="22"/>
        <v>#DIV/0!</v>
      </c>
      <c r="E427" s="303"/>
    </row>
    <row r="428" spans="1:5" hidden="1">
      <c r="A428" s="264" t="s">
        <v>1414</v>
      </c>
      <c r="B428" s="305"/>
      <c r="C428" s="305"/>
      <c r="D428" s="303" t="e">
        <f t="shared" si="22"/>
        <v>#DIV/0!</v>
      </c>
      <c r="E428" s="303"/>
    </row>
    <row r="429" spans="1:5" hidden="1">
      <c r="A429" s="264" t="s">
        <v>1413</v>
      </c>
      <c r="B429" s="305"/>
      <c r="C429" s="305"/>
      <c r="D429" s="303" t="e">
        <f t="shared" si="22"/>
        <v>#DIV/0!</v>
      </c>
      <c r="E429" s="303"/>
    </row>
    <row r="430" spans="1:5" hidden="1">
      <c r="A430" s="264" t="s">
        <v>1412</v>
      </c>
      <c r="B430" s="305"/>
      <c r="C430" s="305"/>
      <c r="D430" s="303" t="e">
        <f t="shared" si="22"/>
        <v>#DIV/0!</v>
      </c>
      <c r="E430" s="303"/>
    </row>
    <row r="431" spans="1:5" hidden="1">
      <c r="A431" s="264" t="s">
        <v>1411</v>
      </c>
      <c r="B431" s="305"/>
      <c r="C431" s="305"/>
      <c r="D431" s="303" t="e">
        <f t="shared" si="22"/>
        <v>#DIV/0!</v>
      </c>
      <c r="E431" s="303"/>
    </row>
    <row r="432" spans="1:5">
      <c r="A432" s="261" t="s">
        <v>1410</v>
      </c>
      <c r="B432" s="305">
        <v>3159</v>
      </c>
      <c r="C432" s="305">
        <f>C433+C434</f>
        <v>3025</v>
      </c>
      <c r="D432" s="303">
        <f t="shared" si="22"/>
        <v>95.76</v>
      </c>
      <c r="E432" s="303"/>
    </row>
    <row r="433" spans="1:6">
      <c r="A433" s="264" t="s">
        <v>1409</v>
      </c>
      <c r="B433" s="305"/>
      <c r="C433" s="305">
        <v>3025</v>
      </c>
      <c r="D433" s="303"/>
      <c r="E433" s="303"/>
    </row>
    <row r="434" spans="1:6" hidden="1">
      <c r="A434" s="264" t="s">
        <v>1408</v>
      </c>
      <c r="B434" s="305"/>
      <c r="C434" s="305"/>
      <c r="D434" s="303" t="e">
        <f>C434/B434*100</f>
        <v>#DIV/0!</v>
      </c>
      <c r="E434" s="303" t="e">
        <f t="shared" ref="E434:E457" si="23">C434/F434*100</f>
        <v>#DIV/0!</v>
      </c>
    </row>
    <row r="435" spans="1:6" ht="13.5" customHeight="1">
      <c r="A435" s="261" t="s">
        <v>1407</v>
      </c>
      <c r="B435" s="304">
        <f>SUM(B436,B441,B450,B457,B463,B467,B471,B475,B481,B488)</f>
        <v>81745</v>
      </c>
      <c r="C435" s="304">
        <f>SUM(C436,C441,C450,C457,C463,C467,C471,C475,C481,C488)</f>
        <v>80902</v>
      </c>
      <c r="D435" s="303">
        <f>C435/B435*100</f>
        <v>98.97</v>
      </c>
      <c r="E435" s="303">
        <f t="shared" si="23"/>
        <v>130.63</v>
      </c>
      <c r="F435" s="263">
        <f>SUM(F436,F441,F450,F457,F463,F467,F471,F475,F481,F488)</f>
        <v>61934</v>
      </c>
    </row>
    <row r="436" spans="1:6">
      <c r="A436" s="261" t="s">
        <v>1406</v>
      </c>
      <c r="B436" s="304">
        <v>1136</v>
      </c>
      <c r="C436" s="304">
        <f>SUM(C437:C440)</f>
        <v>1136</v>
      </c>
      <c r="D436" s="303">
        <f>C436/B436*100</f>
        <v>100</v>
      </c>
      <c r="E436" s="303">
        <f t="shared" si="23"/>
        <v>133.33000000000001</v>
      </c>
      <c r="F436" s="260">
        <f>SUM(F437:F440)</f>
        <v>852</v>
      </c>
    </row>
    <row r="437" spans="1:6">
      <c r="A437" s="264" t="s">
        <v>647</v>
      </c>
      <c r="B437" s="305"/>
      <c r="C437" s="305">
        <v>454</v>
      </c>
      <c r="D437" s="303"/>
      <c r="E437" s="303">
        <f t="shared" si="23"/>
        <v>126.11</v>
      </c>
      <c r="F437" s="260">
        <v>360</v>
      </c>
    </row>
    <row r="438" spans="1:6">
      <c r="A438" s="264" t="s">
        <v>646</v>
      </c>
      <c r="B438" s="305"/>
      <c r="C438" s="305">
        <v>682</v>
      </c>
      <c r="D438" s="303"/>
      <c r="E438" s="303">
        <f t="shared" si="23"/>
        <v>140.91</v>
      </c>
      <c r="F438" s="260">
        <v>484</v>
      </c>
    </row>
    <row r="439" spans="1:6" hidden="1">
      <c r="A439" s="264" t="s">
        <v>645</v>
      </c>
      <c r="B439" s="305"/>
      <c r="C439" s="305"/>
      <c r="D439" s="303" t="e">
        <f>C439/B439*100</f>
        <v>#DIV/0!</v>
      </c>
      <c r="E439" s="303">
        <f t="shared" si="23"/>
        <v>0</v>
      </c>
      <c r="F439" s="260">
        <v>8</v>
      </c>
    </row>
    <row r="440" spans="1:6" hidden="1">
      <c r="A440" s="264" t="s">
        <v>1405</v>
      </c>
      <c r="B440" s="305"/>
      <c r="C440" s="305"/>
      <c r="D440" s="303" t="e">
        <f>C440/B440*100</f>
        <v>#DIV/0!</v>
      </c>
      <c r="E440" s="303" t="e">
        <f t="shared" si="23"/>
        <v>#DIV/0!</v>
      </c>
      <c r="F440" s="260"/>
    </row>
    <row r="441" spans="1:6">
      <c r="A441" s="261" t="s">
        <v>1404</v>
      </c>
      <c r="B441" s="305">
        <v>74766</v>
      </c>
      <c r="C441" s="305">
        <f>SUM(C442:C449)</f>
        <v>74331</v>
      </c>
      <c r="D441" s="303">
        <f>C441/B441*100</f>
        <v>99.42</v>
      </c>
      <c r="E441" s="303">
        <f t="shared" si="23"/>
        <v>151.43</v>
      </c>
      <c r="F441" s="260">
        <f>SUM(F442:F449)</f>
        <v>49087</v>
      </c>
    </row>
    <row r="442" spans="1:6">
      <c r="A442" s="264" t="s">
        <v>1403</v>
      </c>
      <c r="B442" s="305"/>
      <c r="C442" s="305">
        <v>4760</v>
      </c>
      <c r="D442" s="303"/>
      <c r="E442" s="303">
        <f t="shared" si="23"/>
        <v>121.12</v>
      </c>
      <c r="F442" s="260">
        <v>3930</v>
      </c>
    </row>
    <row r="443" spans="1:6">
      <c r="A443" s="264" t="s">
        <v>1402</v>
      </c>
      <c r="B443" s="305"/>
      <c r="C443" s="305">
        <v>22932</v>
      </c>
      <c r="D443" s="303"/>
      <c r="E443" s="303">
        <f t="shared" si="23"/>
        <v>118.24</v>
      </c>
      <c r="F443" s="260">
        <v>19394</v>
      </c>
    </row>
    <row r="444" spans="1:6">
      <c r="A444" s="264" t="s">
        <v>1401</v>
      </c>
      <c r="B444" s="305"/>
      <c r="C444" s="305">
        <v>14387</v>
      </c>
      <c r="D444" s="303"/>
      <c r="E444" s="303">
        <f t="shared" si="23"/>
        <v>158.43</v>
      </c>
      <c r="F444" s="260">
        <v>9081</v>
      </c>
    </row>
    <row r="445" spans="1:6">
      <c r="A445" s="264" t="s">
        <v>1400</v>
      </c>
      <c r="B445" s="305"/>
      <c r="C445" s="305">
        <v>17159</v>
      </c>
      <c r="D445" s="303"/>
      <c r="E445" s="303">
        <f t="shared" si="23"/>
        <v>336.45</v>
      </c>
      <c r="F445" s="260">
        <v>5100</v>
      </c>
    </row>
    <row r="446" spans="1:6">
      <c r="A446" s="264" t="s">
        <v>1399</v>
      </c>
      <c r="B446" s="305"/>
      <c r="C446" s="305">
        <v>6</v>
      </c>
      <c r="D446" s="303"/>
      <c r="E446" s="303">
        <f t="shared" si="23"/>
        <v>11.54</v>
      </c>
      <c r="F446" s="260">
        <v>52</v>
      </c>
    </row>
    <row r="447" spans="1:6" hidden="1">
      <c r="A447" s="264" t="s">
        <v>1398</v>
      </c>
      <c r="B447" s="305"/>
      <c r="C447" s="305"/>
      <c r="D447" s="303"/>
      <c r="E447" s="303" t="e">
        <f t="shared" si="23"/>
        <v>#DIV/0!</v>
      </c>
      <c r="F447" s="265"/>
    </row>
    <row r="448" spans="1:6" hidden="1">
      <c r="A448" s="264" t="s">
        <v>1397</v>
      </c>
      <c r="B448" s="305"/>
      <c r="C448" s="305"/>
      <c r="D448" s="303"/>
      <c r="E448" s="303" t="e">
        <f t="shared" si="23"/>
        <v>#DIV/0!</v>
      </c>
      <c r="F448" s="265"/>
    </row>
    <row r="449" spans="1:6">
      <c r="A449" s="264" t="s">
        <v>1396</v>
      </c>
      <c r="B449" s="305"/>
      <c r="C449" s="305">
        <v>15087</v>
      </c>
      <c r="D449" s="303"/>
      <c r="E449" s="303">
        <f t="shared" si="23"/>
        <v>130.85</v>
      </c>
      <c r="F449" s="260">
        <v>11530</v>
      </c>
    </row>
    <row r="450" spans="1:6">
      <c r="A450" s="261" t="s">
        <v>1395</v>
      </c>
      <c r="B450" s="305">
        <v>1323</v>
      </c>
      <c r="C450" s="305">
        <f>SUM(C451:C456)</f>
        <v>1182</v>
      </c>
      <c r="D450" s="303">
        <f>C450/B450*100</f>
        <v>89.34</v>
      </c>
      <c r="E450" s="303">
        <f t="shared" si="23"/>
        <v>153.31</v>
      </c>
      <c r="F450" s="270">
        <f>SUM(F451:F456)</f>
        <v>771</v>
      </c>
    </row>
    <row r="451" spans="1:6" hidden="1">
      <c r="A451" s="264" t="s">
        <v>1394</v>
      </c>
      <c r="B451" s="305"/>
      <c r="C451" s="305"/>
      <c r="D451" s="303" t="e">
        <f>C451/B451*100</f>
        <v>#DIV/0!</v>
      </c>
      <c r="E451" s="303" t="e">
        <f t="shared" si="23"/>
        <v>#DIV/0!</v>
      </c>
      <c r="F451" s="260"/>
    </row>
    <row r="452" spans="1:6">
      <c r="A452" s="264" t="s">
        <v>1393</v>
      </c>
      <c r="B452" s="305"/>
      <c r="C452" s="305">
        <v>1182</v>
      </c>
      <c r="D452" s="303"/>
      <c r="E452" s="303">
        <f t="shared" si="23"/>
        <v>153.31</v>
      </c>
      <c r="F452" s="260">
        <v>771</v>
      </c>
    </row>
    <row r="453" spans="1:6" hidden="1">
      <c r="A453" s="264" t="s">
        <v>1392</v>
      </c>
      <c r="B453" s="305"/>
      <c r="C453" s="305"/>
      <c r="D453" s="303" t="e">
        <f>C453/B453*100</f>
        <v>#DIV/0!</v>
      </c>
      <c r="E453" s="303" t="e">
        <f t="shared" si="23"/>
        <v>#DIV/0!</v>
      </c>
      <c r="F453" s="260"/>
    </row>
    <row r="454" spans="1:6" hidden="1">
      <c r="A454" s="264" t="s">
        <v>1391</v>
      </c>
      <c r="B454" s="305"/>
      <c r="C454" s="305"/>
      <c r="D454" s="303" t="e">
        <f>C454/B454*100</f>
        <v>#DIV/0!</v>
      </c>
      <c r="E454" s="303" t="e">
        <f t="shared" si="23"/>
        <v>#DIV/0!</v>
      </c>
      <c r="F454" s="260"/>
    </row>
    <row r="455" spans="1:6" hidden="1">
      <c r="A455" s="264" t="s">
        <v>1390</v>
      </c>
      <c r="B455" s="305"/>
      <c r="C455" s="305"/>
      <c r="D455" s="303" t="e">
        <f>C455/B455*100</f>
        <v>#DIV/0!</v>
      </c>
      <c r="E455" s="303" t="e">
        <f t="shared" si="23"/>
        <v>#DIV/0!</v>
      </c>
      <c r="F455" s="260"/>
    </row>
    <row r="456" spans="1:6" hidden="1">
      <c r="A456" s="264" t="s">
        <v>1389</v>
      </c>
      <c r="B456" s="305"/>
      <c r="C456" s="305"/>
      <c r="D456" s="303" t="e">
        <f>C456/B456*100</f>
        <v>#DIV/0!</v>
      </c>
      <c r="E456" s="303" t="e">
        <f t="shared" si="23"/>
        <v>#DIV/0!</v>
      </c>
      <c r="F456" s="265"/>
    </row>
    <row r="457" spans="1:6">
      <c r="A457" s="261" t="s">
        <v>1388</v>
      </c>
      <c r="B457" s="305">
        <v>4</v>
      </c>
      <c r="C457" s="305">
        <f>SUM(C458:C462)</f>
        <v>4</v>
      </c>
      <c r="D457" s="303">
        <f>C457/B457*100</f>
        <v>100</v>
      </c>
      <c r="E457" s="303">
        <f t="shared" si="23"/>
        <v>66.67</v>
      </c>
      <c r="F457" s="260">
        <f>SUM(F458:F462)</f>
        <v>6</v>
      </c>
    </row>
    <row r="458" spans="1:6">
      <c r="A458" s="264" t="s">
        <v>1387</v>
      </c>
      <c r="B458" s="305"/>
      <c r="C458" s="305">
        <v>4</v>
      </c>
      <c r="D458" s="303"/>
      <c r="E458" s="303"/>
      <c r="F458" s="270"/>
    </row>
    <row r="459" spans="1:6" hidden="1">
      <c r="A459" s="264" t="s">
        <v>1386</v>
      </c>
      <c r="B459" s="305"/>
      <c r="C459" s="305"/>
      <c r="D459" s="303" t="e">
        <f t="shared" ref="D459:D471" si="24">C459/B459*100</f>
        <v>#DIV/0!</v>
      </c>
      <c r="E459" s="303">
        <f t="shared" ref="E459:E492" si="25">C459/F459*100</f>
        <v>0</v>
      </c>
      <c r="F459" s="260">
        <v>4</v>
      </c>
    </row>
    <row r="460" spans="1:6" hidden="1">
      <c r="A460" s="264" t="s">
        <v>1385</v>
      </c>
      <c r="B460" s="305"/>
      <c r="C460" s="305"/>
      <c r="D460" s="303" t="e">
        <f t="shared" si="24"/>
        <v>#DIV/0!</v>
      </c>
      <c r="E460" s="303">
        <f t="shared" si="25"/>
        <v>0</v>
      </c>
      <c r="F460" s="260">
        <v>2</v>
      </c>
    </row>
    <row r="461" spans="1:6" hidden="1">
      <c r="A461" s="264" t="s">
        <v>1384</v>
      </c>
      <c r="B461" s="305"/>
      <c r="C461" s="305"/>
      <c r="D461" s="303" t="e">
        <f t="shared" si="24"/>
        <v>#DIV/0!</v>
      </c>
      <c r="E461" s="303" t="e">
        <f t="shared" si="25"/>
        <v>#DIV/0!</v>
      </c>
      <c r="F461" s="260"/>
    </row>
    <row r="462" spans="1:6" hidden="1">
      <c r="A462" s="264" t="s">
        <v>1383</v>
      </c>
      <c r="B462" s="305"/>
      <c r="C462" s="305"/>
      <c r="D462" s="303" t="e">
        <f t="shared" si="24"/>
        <v>#DIV/0!</v>
      </c>
      <c r="E462" s="303" t="e">
        <f t="shared" si="25"/>
        <v>#DIV/0!</v>
      </c>
      <c r="F462" s="260"/>
    </row>
    <row r="463" spans="1:6" hidden="1">
      <c r="A463" s="261" t="s">
        <v>1382</v>
      </c>
      <c r="B463" s="305"/>
      <c r="C463" s="305">
        <f>SUM(C464:C466)</f>
        <v>0</v>
      </c>
      <c r="D463" s="303" t="e">
        <f t="shared" si="24"/>
        <v>#DIV/0!</v>
      </c>
      <c r="E463" s="303">
        <f t="shared" si="25"/>
        <v>0</v>
      </c>
      <c r="F463" s="260">
        <f>SUM(F464:F466)</f>
        <v>1</v>
      </c>
    </row>
    <row r="464" spans="1:6" hidden="1">
      <c r="A464" s="264" t="s">
        <v>1381</v>
      </c>
      <c r="B464" s="305"/>
      <c r="C464" s="305"/>
      <c r="D464" s="303" t="e">
        <f t="shared" si="24"/>
        <v>#DIV/0!</v>
      </c>
      <c r="E464" s="303">
        <f t="shared" si="25"/>
        <v>0</v>
      </c>
      <c r="F464" s="260">
        <v>1</v>
      </c>
    </row>
    <row r="465" spans="1:6" hidden="1">
      <c r="A465" s="264" t="s">
        <v>1380</v>
      </c>
      <c r="B465" s="305"/>
      <c r="C465" s="305"/>
      <c r="D465" s="303" t="e">
        <f t="shared" si="24"/>
        <v>#DIV/0!</v>
      </c>
      <c r="E465" s="303" t="e">
        <f t="shared" si="25"/>
        <v>#DIV/0!</v>
      </c>
      <c r="F465" s="260"/>
    </row>
    <row r="466" spans="1:6" hidden="1">
      <c r="A466" s="264" t="s">
        <v>1379</v>
      </c>
      <c r="B466" s="305"/>
      <c r="C466" s="305"/>
      <c r="D466" s="303" t="e">
        <f t="shared" si="24"/>
        <v>#DIV/0!</v>
      </c>
      <c r="E466" s="303" t="e">
        <f t="shared" si="25"/>
        <v>#DIV/0!</v>
      </c>
      <c r="F466" s="260"/>
    </row>
    <row r="467" spans="1:6" hidden="1">
      <c r="A467" s="261" t="s">
        <v>1378</v>
      </c>
      <c r="B467" s="305"/>
      <c r="C467" s="305">
        <f>SUM(C468:C470)</f>
        <v>0</v>
      </c>
      <c r="D467" s="303" t="e">
        <f t="shared" si="24"/>
        <v>#DIV/0!</v>
      </c>
      <c r="E467" s="303" t="e">
        <f t="shared" si="25"/>
        <v>#DIV/0!</v>
      </c>
      <c r="F467" s="260">
        <f>SUM(F468:F470)</f>
        <v>0</v>
      </c>
    </row>
    <row r="468" spans="1:6" hidden="1">
      <c r="A468" s="264" t="s">
        <v>1377</v>
      </c>
      <c r="B468" s="305"/>
      <c r="C468" s="305"/>
      <c r="D468" s="303" t="e">
        <f t="shared" si="24"/>
        <v>#DIV/0!</v>
      </c>
      <c r="E468" s="303" t="e">
        <f t="shared" si="25"/>
        <v>#DIV/0!</v>
      </c>
      <c r="F468" s="260"/>
    </row>
    <row r="469" spans="1:6" hidden="1">
      <c r="A469" s="264" t="s">
        <v>1376</v>
      </c>
      <c r="B469" s="305"/>
      <c r="C469" s="305"/>
      <c r="D469" s="303" t="e">
        <f t="shared" si="24"/>
        <v>#DIV/0!</v>
      </c>
      <c r="E469" s="303" t="e">
        <f t="shared" si="25"/>
        <v>#DIV/0!</v>
      </c>
      <c r="F469" s="260"/>
    </row>
    <row r="470" spans="1:6" hidden="1">
      <c r="A470" s="264" t="s">
        <v>1375</v>
      </c>
      <c r="B470" s="305"/>
      <c r="C470" s="305"/>
      <c r="D470" s="303" t="e">
        <f t="shared" si="24"/>
        <v>#DIV/0!</v>
      </c>
      <c r="E470" s="303" t="e">
        <f t="shared" si="25"/>
        <v>#DIV/0!</v>
      </c>
      <c r="F470" s="260"/>
    </row>
    <row r="471" spans="1:6">
      <c r="A471" s="261" t="s">
        <v>1374</v>
      </c>
      <c r="B471" s="305">
        <v>328</v>
      </c>
      <c r="C471" s="305">
        <f>SUM(C472:C474)</f>
        <v>278</v>
      </c>
      <c r="D471" s="303">
        <f t="shared" si="24"/>
        <v>84.76</v>
      </c>
      <c r="E471" s="303">
        <f t="shared" si="25"/>
        <v>133.65</v>
      </c>
      <c r="F471" s="260">
        <f>SUM(F472:F474)</f>
        <v>208</v>
      </c>
    </row>
    <row r="472" spans="1:6">
      <c r="A472" s="264" t="s">
        <v>1373</v>
      </c>
      <c r="B472" s="305"/>
      <c r="C472" s="305">
        <v>278</v>
      </c>
      <c r="D472" s="303"/>
      <c r="E472" s="303">
        <f t="shared" si="25"/>
        <v>133.65</v>
      </c>
      <c r="F472" s="260">
        <v>208</v>
      </c>
    </row>
    <row r="473" spans="1:6" hidden="1">
      <c r="A473" s="264" t="s">
        <v>1372</v>
      </c>
      <c r="B473" s="305"/>
      <c r="C473" s="305"/>
      <c r="D473" s="303" t="e">
        <f>C473/B473*100</f>
        <v>#DIV/0!</v>
      </c>
      <c r="E473" s="303" t="e">
        <f t="shared" si="25"/>
        <v>#DIV/0!</v>
      </c>
      <c r="F473" s="260"/>
    </row>
    <row r="474" spans="1:6" hidden="1">
      <c r="A474" s="264" t="s">
        <v>1371</v>
      </c>
      <c r="B474" s="305"/>
      <c r="C474" s="305"/>
      <c r="D474" s="303" t="e">
        <f>C474/B474*100</f>
        <v>#DIV/0!</v>
      </c>
      <c r="E474" s="303" t="e">
        <f t="shared" si="25"/>
        <v>#DIV/0!</v>
      </c>
      <c r="F474" s="260"/>
    </row>
    <row r="475" spans="1:6">
      <c r="A475" s="261" t="s">
        <v>1370</v>
      </c>
      <c r="B475" s="305">
        <v>850</v>
      </c>
      <c r="C475" s="305">
        <f>SUM(C476:C480)</f>
        <v>850</v>
      </c>
      <c r="D475" s="303">
        <f>C475/B475*100</f>
        <v>100</v>
      </c>
      <c r="E475" s="303">
        <f t="shared" si="25"/>
        <v>138.44</v>
      </c>
      <c r="F475" s="260">
        <f>SUM(F476:F480)</f>
        <v>614</v>
      </c>
    </row>
    <row r="476" spans="1:6">
      <c r="A476" s="264" t="s">
        <v>1369</v>
      </c>
      <c r="B476" s="305"/>
      <c r="C476" s="305">
        <v>561</v>
      </c>
      <c r="D476" s="303"/>
      <c r="E476" s="303">
        <f t="shared" si="25"/>
        <v>136.83000000000001</v>
      </c>
      <c r="F476" s="260">
        <v>410</v>
      </c>
    </row>
    <row r="477" spans="1:6">
      <c r="A477" s="264" t="s">
        <v>1368</v>
      </c>
      <c r="B477" s="305"/>
      <c r="C477" s="305">
        <v>289</v>
      </c>
      <c r="D477" s="303"/>
      <c r="E477" s="303">
        <f t="shared" si="25"/>
        <v>141.66999999999999</v>
      </c>
      <c r="F477" s="260">
        <v>204</v>
      </c>
    </row>
    <row r="478" spans="1:6" hidden="1">
      <c r="A478" s="264" t="s">
        <v>1367</v>
      </c>
      <c r="B478" s="305"/>
      <c r="C478" s="305"/>
      <c r="D478" s="303" t="e">
        <f t="shared" ref="D478:D486" si="26">C478/B478*100</f>
        <v>#DIV/0!</v>
      </c>
      <c r="E478" s="303" t="e">
        <f t="shared" si="25"/>
        <v>#DIV/0!</v>
      </c>
      <c r="F478" s="260"/>
    </row>
    <row r="479" spans="1:6" hidden="1">
      <c r="A479" s="264" t="s">
        <v>1366</v>
      </c>
      <c r="B479" s="305"/>
      <c r="C479" s="305"/>
      <c r="D479" s="303" t="e">
        <f t="shared" si="26"/>
        <v>#DIV/0!</v>
      </c>
      <c r="E479" s="303" t="e">
        <f t="shared" si="25"/>
        <v>#DIV/0!</v>
      </c>
      <c r="F479" s="260"/>
    </row>
    <row r="480" spans="1:6" hidden="1">
      <c r="A480" s="264" t="s">
        <v>1365</v>
      </c>
      <c r="B480" s="305"/>
      <c r="C480" s="305"/>
      <c r="D480" s="303" t="e">
        <f t="shared" si="26"/>
        <v>#DIV/0!</v>
      </c>
      <c r="E480" s="303" t="e">
        <f t="shared" si="25"/>
        <v>#DIV/0!</v>
      </c>
      <c r="F480" s="260"/>
    </row>
    <row r="481" spans="1:6">
      <c r="A481" s="261" t="s">
        <v>1364</v>
      </c>
      <c r="B481" s="305">
        <v>2725</v>
      </c>
      <c r="C481" s="305">
        <f>SUM(C482:C487)</f>
        <v>2722</v>
      </c>
      <c r="D481" s="303">
        <f t="shared" si="26"/>
        <v>99.89</v>
      </c>
      <c r="E481" s="303">
        <f t="shared" si="25"/>
        <v>88.43</v>
      </c>
      <c r="F481" s="260">
        <f>SUM(F482:F487)</f>
        <v>3078</v>
      </c>
    </row>
    <row r="482" spans="1:6" hidden="1">
      <c r="A482" s="264" t="s">
        <v>1363</v>
      </c>
      <c r="B482" s="305"/>
      <c r="C482" s="305"/>
      <c r="D482" s="303" t="e">
        <f t="shared" si="26"/>
        <v>#DIV/0!</v>
      </c>
      <c r="E482" s="303" t="e">
        <f t="shared" si="25"/>
        <v>#DIV/0!</v>
      </c>
      <c r="F482" s="260"/>
    </row>
    <row r="483" spans="1:6" hidden="1">
      <c r="A483" s="264" t="s">
        <v>1362</v>
      </c>
      <c r="B483" s="305"/>
      <c r="C483" s="305"/>
      <c r="D483" s="303" t="e">
        <f t="shared" si="26"/>
        <v>#DIV/0!</v>
      </c>
      <c r="E483" s="303" t="e">
        <f t="shared" si="25"/>
        <v>#DIV/0!</v>
      </c>
      <c r="F483" s="260"/>
    </row>
    <row r="484" spans="1:6" hidden="1">
      <c r="A484" s="264" t="s">
        <v>1361</v>
      </c>
      <c r="B484" s="305"/>
      <c r="C484" s="305"/>
      <c r="D484" s="303" t="e">
        <f t="shared" si="26"/>
        <v>#DIV/0!</v>
      </c>
      <c r="E484" s="303" t="e">
        <f t="shared" si="25"/>
        <v>#DIV/0!</v>
      </c>
      <c r="F484" s="260"/>
    </row>
    <row r="485" spans="1:6" hidden="1">
      <c r="A485" s="264" t="s">
        <v>1360</v>
      </c>
      <c r="B485" s="305"/>
      <c r="C485" s="305"/>
      <c r="D485" s="303" t="e">
        <f t="shared" si="26"/>
        <v>#DIV/0!</v>
      </c>
      <c r="E485" s="303" t="e">
        <f t="shared" si="25"/>
        <v>#DIV/0!</v>
      </c>
      <c r="F485" s="260"/>
    </row>
    <row r="486" spans="1:6" hidden="1">
      <c r="A486" s="264" t="s">
        <v>1359</v>
      </c>
      <c r="B486" s="305"/>
      <c r="C486" s="305"/>
      <c r="D486" s="303" t="e">
        <f t="shared" si="26"/>
        <v>#DIV/0!</v>
      </c>
      <c r="E486" s="303">
        <f t="shared" si="25"/>
        <v>0</v>
      </c>
      <c r="F486" s="260">
        <v>119</v>
      </c>
    </row>
    <row r="487" spans="1:6">
      <c r="A487" s="264" t="s">
        <v>1358</v>
      </c>
      <c r="B487" s="305"/>
      <c r="C487" s="305">
        <v>2722</v>
      </c>
      <c r="D487" s="303"/>
      <c r="E487" s="303">
        <f t="shared" si="25"/>
        <v>91.99</v>
      </c>
      <c r="F487" s="260">
        <v>2959</v>
      </c>
    </row>
    <row r="488" spans="1:6">
      <c r="A488" s="261" t="s">
        <v>1357</v>
      </c>
      <c r="B488" s="304">
        <v>613</v>
      </c>
      <c r="C488" s="304">
        <f>C489</f>
        <v>399</v>
      </c>
      <c r="D488" s="303">
        <f>C488/B488*100</f>
        <v>65.09</v>
      </c>
      <c r="E488" s="303">
        <f t="shared" si="25"/>
        <v>5.45</v>
      </c>
      <c r="F488" s="260">
        <f>F489</f>
        <v>7317</v>
      </c>
    </row>
    <row r="489" spans="1:6">
      <c r="A489" s="264" t="s">
        <v>1356</v>
      </c>
      <c r="B489" s="304"/>
      <c r="C489" s="304">
        <v>399</v>
      </c>
      <c r="D489" s="303"/>
      <c r="E489" s="303">
        <f t="shared" si="25"/>
        <v>5.45</v>
      </c>
      <c r="F489" s="260">
        <v>7317</v>
      </c>
    </row>
    <row r="490" spans="1:6">
      <c r="A490" s="261" t="s">
        <v>1355</v>
      </c>
      <c r="B490" s="304">
        <f>SUM(B491,B496,B505,B511,B517,B522,B527,B534,B538,B541)</f>
        <v>394</v>
      </c>
      <c r="C490" s="304">
        <f>SUM(C491,C496,C505,C511,C517,C522,C527,C534,C538,C541)</f>
        <v>387</v>
      </c>
      <c r="D490" s="303">
        <f>C490/B490*100</f>
        <v>98.22</v>
      </c>
      <c r="E490" s="303">
        <f t="shared" si="25"/>
        <v>12.03</v>
      </c>
      <c r="F490" s="263">
        <f>SUM(F491,F496,F505,F511,F517,F522,F527,F534,F538,F541)</f>
        <v>3218</v>
      </c>
    </row>
    <row r="491" spans="1:6">
      <c r="A491" s="261" t="s">
        <v>1354</v>
      </c>
      <c r="B491" s="304">
        <v>178</v>
      </c>
      <c r="C491" s="304">
        <f>SUM(C492:C495)</f>
        <v>178</v>
      </c>
      <c r="D491" s="303">
        <f>C491/B491*100</f>
        <v>100</v>
      </c>
      <c r="E491" s="303">
        <f t="shared" si="25"/>
        <v>163.30000000000001</v>
      </c>
      <c r="F491" s="260">
        <f>SUM(F492:F495)</f>
        <v>109</v>
      </c>
    </row>
    <row r="492" spans="1:6">
      <c r="A492" s="264" t="s">
        <v>647</v>
      </c>
      <c r="B492" s="305"/>
      <c r="C492" s="305">
        <v>102</v>
      </c>
      <c r="D492" s="303"/>
      <c r="E492" s="303">
        <f t="shared" si="25"/>
        <v>96.23</v>
      </c>
      <c r="F492" s="260">
        <v>106</v>
      </c>
    </row>
    <row r="493" spans="1:6">
      <c r="A493" s="264" t="s">
        <v>646</v>
      </c>
      <c r="B493" s="305"/>
      <c r="C493" s="305">
        <v>50</v>
      </c>
      <c r="D493" s="303"/>
      <c r="E493" s="303"/>
      <c r="F493" s="260"/>
    </row>
    <row r="494" spans="1:6" hidden="1">
      <c r="A494" s="264" t="s">
        <v>645</v>
      </c>
      <c r="B494" s="305"/>
      <c r="C494" s="305"/>
      <c r="D494" s="303"/>
      <c r="E494" s="303" t="e">
        <f t="shared" ref="E494:E519" si="27">C494/F494*100</f>
        <v>#DIV/0!</v>
      </c>
      <c r="F494" s="260"/>
    </row>
    <row r="495" spans="1:6">
      <c r="A495" s="264" t="s">
        <v>1353</v>
      </c>
      <c r="B495" s="305"/>
      <c r="C495" s="305">
        <v>26</v>
      </c>
      <c r="D495" s="303"/>
      <c r="E495" s="303">
        <f t="shared" si="27"/>
        <v>866.67</v>
      </c>
      <c r="F495" s="260">
        <v>3</v>
      </c>
    </row>
    <row r="496" spans="1:6" hidden="1">
      <c r="A496" s="261" t="s">
        <v>1352</v>
      </c>
      <c r="B496" s="305"/>
      <c r="C496" s="305">
        <f>SUM(C497:C504)</f>
        <v>0</v>
      </c>
      <c r="D496" s="303" t="e">
        <f t="shared" ref="D496:D513" si="28">C496/B496*100</f>
        <v>#DIV/0!</v>
      </c>
      <c r="E496" s="303" t="e">
        <f t="shared" si="27"/>
        <v>#DIV/0!</v>
      </c>
      <c r="F496" s="260">
        <f>SUM(F497:F504)</f>
        <v>0</v>
      </c>
    </row>
    <row r="497" spans="1:6" hidden="1">
      <c r="A497" s="264" t="s">
        <v>930</v>
      </c>
      <c r="B497" s="305"/>
      <c r="C497" s="305"/>
      <c r="D497" s="303" t="e">
        <f t="shared" si="28"/>
        <v>#DIV/0!</v>
      </c>
      <c r="E497" s="303" t="e">
        <f t="shared" si="27"/>
        <v>#DIV/0!</v>
      </c>
      <c r="F497" s="260"/>
    </row>
    <row r="498" spans="1:6" hidden="1">
      <c r="A498" s="264" t="s">
        <v>1351</v>
      </c>
      <c r="B498" s="305"/>
      <c r="C498" s="305"/>
      <c r="D498" s="303" t="e">
        <f t="shared" si="28"/>
        <v>#DIV/0!</v>
      </c>
      <c r="E498" s="303" t="e">
        <f t="shared" si="27"/>
        <v>#DIV/0!</v>
      </c>
      <c r="F498" s="260"/>
    </row>
    <row r="499" spans="1:6" hidden="1">
      <c r="A499" s="264" t="s">
        <v>1350</v>
      </c>
      <c r="B499" s="305"/>
      <c r="C499" s="305"/>
      <c r="D499" s="303" t="e">
        <f t="shared" si="28"/>
        <v>#DIV/0!</v>
      </c>
      <c r="E499" s="303" t="e">
        <f t="shared" si="27"/>
        <v>#DIV/0!</v>
      </c>
      <c r="F499" s="260"/>
    </row>
    <row r="500" spans="1:6" hidden="1">
      <c r="A500" s="264" t="s">
        <v>1349</v>
      </c>
      <c r="B500" s="305"/>
      <c r="C500" s="305"/>
      <c r="D500" s="303" t="e">
        <f t="shared" si="28"/>
        <v>#DIV/0!</v>
      </c>
      <c r="E500" s="303" t="e">
        <f t="shared" si="27"/>
        <v>#DIV/0!</v>
      </c>
      <c r="F500" s="260"/>
    </row>
    <row r="501" spans="1:6" hidden="1">
      <c r="A501" s="264" t="s">
        <v>1348</v>
      </c>
      <c r="B501" s="305"/>
      <c r="C501" s="305"/>
      <c r="D501" s="303" t="e">
        <f t="shared" si="28"/>
        <v>#DIV/0!</v>
      </c>
      <c r="E501" s="303" t="e">
        <f t="shared" si="27"/>
        <v>#DIV/0!</v>
      </c>
      <c r="F501" s="260"/>
    </row>
    <row r="502" spans="1:6" hidden="1">
      <c r="A502" s="264" t="s">
        <v>1347</v>
      </c>
      <c r="B502" s="305"/>
      <c r="C502" s="305"/>
      <c r="D502" s="303" t="e">
        <f t="shared" si="28"/>
        <v>#DIV/0!</v>
      </c>
      <c r="E502" s="303" t="e">
        <f t="shared" si="27"/>
        <v>#DIV/0!</v>
      </c>
      <c r="F502" s="260"/>
    </row>
    <row r="503" spans="1:6" hidden="1">
      <c r="A503" s="264" t="s">
        <v>1346</v>
      </c>
      <c r="B503" s="305"/>
      <c r="C503" s="305"/>
      <c r="D503" s="303" t="e">
        <f t="shared" si="28"/>
        <v>#DIV/0!</v>
      </c>
      <c r="E503" s="303" t="e">
        <f t="shared" si="27"/>
        <v>#DIV/0!</v>
      </c>
      <c r="F503" s="260"/>
    </row>
    <row r="504" spans="1:6" hidden="1">
      <c r="A504" s="264" t="s">
        <v>1345</v>
      </c>
      <c r="B504" s="305"/>
      <c r="C504" s="305"/>
      <c r="D504" s="303" t="e">
        <f t="shared" si="28"/>
        <v>#DIV/0!</v>
      </c>
      <c r="E504" s="303" t="e">
        <f t="shared" si="27"/>
        <v>#DIV/0!</v>
      </c>
      <c r="F504" s="260"/>
    </row>
    <row r="505" spans="1:6" hidden="1">
      <c r="A505" s="261" t="s">
        <v>1344</v>
      </c>
      <c r="B505" s="305"/>
      <c r="C505" s="305">
        <f>SUM(C506:C510)</f>
        <v>0</v>
      </c>
      <c r="D505" s="303" t="e">
        <f t="shared" si="28"/>
        <v>#DIV/0!</v>
      </c>
      <c r="E505" s="303" t="e">
        <f t="shared" si="27"/>
        <v>#DIV/0!</v>
      </c>
      <c r="F505" s="260">
        <f>SUM(F506:F510)</f>
        <v>0</v>
      </c>
    </row>
    <row r="506" spans="1:6" hidden="1">
      <c r="A506" s="264" t="s">
        <v>930</v>
      </c>
      <c r="B506" s="305"/>
      <c r="C506" s="305"/>
      <c r="D506" s="303" t="e">
        <f t="shared" si="28"/>
        <v>#DIV/0!</v>
      </c>
      <c r="E506" s="303" t="e">
        <f t="shared" si="27"/>
        <v>#DIV/0!</v>
      </c>
      <c r="F506" s="260"/>
    </row>
    <row r="507" spans="1:6" hidden="1">
      <c r="A507" s="264" t="s">
        <v>1343</v>
      </c>
      <c r="B507" s="305"/>
      <c r="C507" s="305"/>
      <c r="D507" s="303" t="e">
        <f t="shared" si="28"/>
        <v>#DIV/0!</v>
      </c>
      <c r="E507" s="303" t="e">
        <f t="shared" si="27"/>
        <v>#DIV/0!</v>
      </c>
      <c r="F507" s="260"/>
    </row>
    <row r="508" spans="1:6" hidden="1">
      <c r="A508" s="264" t="s">
        <v>1342</v>
      </c>
      <c r="B508" s="305"/>
      <c r="C508" s="305"/>
      <c r="D508" s="303" t="e">
        <f t="shared" si="28"/>
        <v>#DIV/0!</v>
      </c>
      <c r="E508" s="303" t="e">
        <f t="shared" si="27"/>
        <v>#DIV/0!</v>
      </c>
      <c r="F508" s="260"/>
    </row>
    <row r="509" spans="1:6" hidden="1">
      <c r="A509" s="264" t="s">
        <v>1341</v>
      </c>
      <c r="B509" s="305"/>
      <c r="C509" s="305"/>
      <c r="D509" s="303" t="e">
        <f t="shared" si="28"/>
        <v>#DIV/0!</v>
      </c>
      <c r="E509" s="303" t="e">
        <f t="shared" si="27"/>
        <v>#DIV/0!</v>
      </c>
      <c r="F509" s="260"/>
    </row>
    <row r="510" spans="1:6" hidden="1">
      <c r="A510" s="264" t="s">
        <v>1340</v>
      </c>
      <c r="B510" s="305"/>
      <c r="C510" s="305"/>
      <c r="D510" s="303" t="e">
        <f t="shared" si="28"/>
        <v>#DIV/0!</v>
      </c>
      <c r="E510" s="303" t="e">
        <f t="shared" si="27"/>
        <v>#DIV/0!</v>
      </c>
      <c r="F510" s="260"/>
    </row>
    <row r="511" spans="1:6">
      <c r="A511" s="261" t="s">
        <v>1339</v>
      </c>
      <c r="B511" s="305">
        <v>100</v>
      </c>
      <c r="C511" s="305">
        <f>SUM(C512:C516)</f>
        <v>100</v>
      </c>
      <c r="D511" s="303">
        <f t="shared" si="28"/>
        <v>100</v>
      </c>
      <c r="E511" s="303">
        <f t="shared" si="27"/>
        <v>500</v>
      </c>
      <c r="F511" s="260">
        <f>SUM(F512:F516)</f>
        <v>20</v>
      </c>
    </row>
    <row r="512" spans="1:6" hidden="1">
      <c r="A512" s="264" t="s">
        <v>930</v>
      </c>
      <c r="B512" s="305"/>
      <c r="C512" s="305"/>
      <c r="D512" s="303" t="e">
        <f t="shared" si="28"/>
        <v>#DIV/0!</v>
      </c>
      <c r="E512" s="303" t="e">
        <f t="shared" si="27"/>
        <v>#DIV/0!</v>
      </c>
      <c r="F512" s="260"/>
    </row>
    <row r="513" spans="1:6" hidden="1">
      <c r="A513" s="264" t="s">
        <v>1338</v>
      </c>
      <c r="B513" s="305"/>
      <c r="C513" s="305"/>
      <c r="D513" s="303" t="e">
        <f t="shared" si="28"/>
        <v>#DIV/0!</v>
      </c>
      <c r="E513" s="303" t="e">
        <f t="shared" si="27"/>
        <v>#DIV/0!</v>
      </c>
      <c r="F513" s="260"/>
    </row>
    <row r="514" spans="1:6">
      <c r="A514" s="264" t="s">
        <v>1337</v>
      </c>
      <c r="B514" s="305"/>
      <c r="C514" s="305">
        <v>100</v>
      </c>
      <c r="D514" s="303"/>
      <c r="E514" s="303">
        <f t="shared" si="27"/>
        <v>500</v>
      </c>
      <c r="F514" s="260">
        <v>20</v>
      </c>
    </row>
    <row r="515" spans="1:6" hidden="1">
      <c r="A515" s="264" t="s">
        <v>1336</v>
      </c>
      <c r="B515" s="305"/>
      <c r="C515" s="305"/>
      <c r="D515" s="303" t="e">
        <f>C515/B515*100</f>
        <v>#DIV/0!</v>
      </c>
      <c r="E515" s="303" t="e">
        <f t="shared" si="27"/>
        <v>#DIV/0!</v>
      </c>
      <c r="F515" s="260"/>
    </row>
    <row r="516" spans="1:6" hidden="1">
      <c r="A516" s="264" t="s">
        <v>1335</v>
      </c>
      <c r="B516" s="305"/>
      <c r="C516" s="305"/>
      <c r="D516" s="303" t="e">
        <f>C516/B516*100</f>
        <v>#DIV/0!</v>
      </c>
      <c r="E516" s="303" t="e">
        <f t="shared" si="27"/>
        <v>#DIV/0!</v>
      </c>
      <c r="F516" s="260"/>
    </row>
    <row r="517" spans="1:6">
      <c r="A517" s="261" t="s">
        <v>1334</v>
      </c>
      <c r="B517" s="305">
        <v>8</v>
      </c>
      <c r="C517" s="305">
        <f>SUM(C518:C521)</f>
        <v>1</v>
      </c>
      <c r="D517" s="303">
        <f>C517/B517*100</f>
        <v>12.5</v>
      </c>
      <c r="E517" s="303">
        <f t="shared" si="27"/>
        <v>0.03</v>
      </c>
      <c r="F517" s="260">
        <f>SUM(F518:F521)</f>
        <v>3000</v>
      </c>
    </row>
    <row r="518" spans="1:6" hidden="1">
      <c r="A518" s="264" t="s">
        <v>930</v>
      </c>
      <c r="B518" s="305"/>
      <c r="C518" s="305"/>
      <c r="D518" s="303" t="e">
        <f>C518/B518*100</f>
        <v>#DIV/0!</v>
      </c>
      <c r="E518" s="303" t="e">
        <f t="shared" si="27"/>
        <v>#DIV/0!</v>
      </c>
      <c r="F518" s="260"/>
    </row>
    <row r="519" spans="1:6" hidden="1">
      <c r="A519" s="264" t="s">
        <v>1333</v>
      </c>
      <c r="B519" s="305"/>
      <c r="C519" s="305"/>
      <c r="D519" s="303" t="e">
        <f>C519/B519*100</f>
        <v>#DIV/0!</v>
      </c>
      <c r="E519" s="303">
        <f t="shared" si="27"/>
        <v>0</v>
      </c>
      <c r="F519" s="260">
        <v>3000</v>
      </c>
    </row>
    <row r="520" spans="1:6">
      <c r="A520" s="264" t="s">
        <v>1332</v>
      </c>
      <c r="B520" s="305"/>
      <c r="C520" s="305">
        <v>1</v>
      </c>
      <c r="D520" s="303"/>
      <c r="E520" s="303"/>
      <c r="F520" s="260"/>
    </row>
    <row r="521" spans="1:6" hidden="1">
      <c r="A521" s="264" t="s">
        <v>1331</v>
      </c>
      <c r="B521" s="305"/>
      <c r="C521" s="305"/>
      <c r="D521" s="303" t="e">
        <f t="shared" ref="D521:D527" si="29">C521/B521*100</f>
        <v>#DIV/0!</v>
      </c>
      <c r="E521" s="303" t="e">
        <f t="shared" ref="E521:E548" si="30">C521/F521*100</f>
        <v>#DIV/0!</v>
      </c>
      <c r="F521" s="260"/>
    </row>
    <row r="522" spans="1:6" hidden="1">
      <c r="A522" s="261" t="s">
        <v>1330</v>
      </c>
      <c r="B522" s="305"/>
      <c r="C522" s="305">
        <f>SUM(C523:C526)</f>
        <v>0</v>
      </c>
      <c r="D522" s="303" t="e">
        <f t="shared" si="29"/>
        <v>#DIV/0!</v>
      </c>
      <c r="E522" s="303" t="e">
        <f t="shared" si="30"/>
        <v>#DIV/0!</v>
      </c>
      <c r="F522" s="260">
        <f>SUM(F523:F526)</f>
        <v>0</v>
      </c>
    </row>
    <row r="523" spans="1:6" hidden="1">
      <c r="A523" s="264" t="s">
        <v>1329</v>
      </c>
      <c r="B523" s="305"/>
      <c r="C523" s="305"/>
      <c r="D523" s="303" t="e">
        <f t="shared" si="29"/>
        <v>#DIV/0!</v>
      </c>
      <c r="E523" s="303" t="e">
        <f t="shared" si="30"/>
        <v>#DIV/0!</v>
      </c>
      <c r="F523" s="260"/>
    </row>
    <row r="524" spans="1:6" hidden="1">
      <c r="A524" s="264" t="s">
        <v>1328</v>
      </c>
      <c r="B524" s="305"/>
      <c r="C524" s="305"/>
      <c r="D524" s="303" t="e">
        <f t="shared" si="29"/>
        <v>#DIV/0!</v>
      </c>
      <c r="E524" s="303" t="e">
        <f t="shared" si="30"/>
        <v>#DIV/0!</v>
      </c>
      <c r="F524" s="260"/>
    </row>
    <row r="525" spans="1:6" hidden="1">
      <c r="A525" s="264" t="s">
        <v>1327</v>
      </c>
      <c r="B525" s="305"/>
      <c r="C525" s="305"/>
      <c r="D525" s="303" t="e">
        <f t="shared" si="29"/>
        <v>#DIV/0!</v>
      </c>
      <c r="E525" s="303" t="e">
        <f t="shared" si="30"/>
        <v>#DIV/0!</v>
      </c>
      <c r="F525" s="260"/>
    </row>
    <row r="526" spans="1:6" hidden="1">
      <c r="A526" s="264" t="s">
        <v>1326</v>
      </c>
      <c r="B526" s="305"/>
      <c r="C526" s="305"/>
      <c r="D526" s="303" t="e">
        <f t="shared" si="29"/>
        <v>#DIV/0!</v>
      </c>
      <c r="E526" s="303" t="e">
        <f t="shared" si="30"/>
        <v>#DIV/0!</v>
      </c>
      <c r="F526" s="260"/>
    </row>
    <row r="527" spans="1:6">
      <c r="A527" s="261" t="s">
        <v>1325</v>
      </c>
      <c r="B527" s="305">
        <v>108</v>
      </c>
      <c r="C527" s="305">
        <f>SUM(C528:C533)</f>
        <v>108</v>
      </c>
      <c r="D527" s="303">
        <f t="shared" si="29"/>
        <v>100</v>
      </c>
      <c r="E527" s="303">
        <f t="shared" si="30"/>
        <v>121.35</v>
      </c>
      <c r="F527" s="260">
        <f>SUM(F528:F533)</f>
        <v>89</v>
      </c>
    </row>
    <row r="528" spans="1:6">
      <c r="A528" s="264" t="s">
        <v>930</v>
      </c>
      <c r="B528" s="305"/>
      <c r="C528" s="305">
        <v>58</v>
      </c>
      <c r="D528" s="303"/>
      <c r="E528" s="303">
        <f t="shared" si="30"/>
        <v>128.88999999999999</v>
      </c>
      <c r="F528" s="260">
        <v>45</v>
      </c>
    </row>
    <row r="529" spans="1:6" hidden="1">
      <c r="A529" s="264" t="s">
        <v>1324</v>
      </c>
      <c r="B529" s="305"/>
      <c r="C529" s="305"/>
      <c r="D529" s="303"/>
      <c r="E529" s="303" t="e">
        <f t="shared" si="30"/>
        <v>#DIV/0!</v>
      </c>
      <c r="F529" s="260"/>
    </row>
    <row r="530" spans="1:6" hidden="1">
      <c r="A530" s="264" t="s">
        <v>1323</v>
      </c>
      <c r="B530" s="305"/>
      <c r="C530" s="305"/>
      <c r="D530" s="303"/>
      <c r="E530" s="303" t="e">
        <f t="shared" si="30"/>
        <v>#DIV/0!</v>
      </c>
      <c r="F530" s="260"/>
    </row>
    <row r="531" spans="1:6" hidden="1">
      <c r="A531" s="264" t="s">
        <v>1322</v>
      </c>
      <c r="B531" s="305"/>
      <c r="C531" s="305"/>
      <c r="D531" s="303"/>
      <c r="E531" s="303" t="e">
        <f t="shared" si="30"/>
        <v>#DIV/0!</v>
      </c>
      <c r="F531" s="260"/>
    </row>
    <row r="532" spans="1:6" hidden="1">
      <c r="A532" s="264" t="s">
        <v>1321</v>
      </c>
      <c r="B532" s="305"/>
      <c r="C532" s="305"/>
      <c r="D532" s="303"/>
      <c r="E532" s="303">
        <f t="shared" si="30"/>
        <v>0</v>
      </c>
      <c r="F532" s="260">
        <v>4</v>
      </c>
    </row>
    <row r="533" spans="1:6">
      <c r="A533" s="264" t="s">
        <v>1320</v>
      </c>
      <c r="B533" s="305"/>
      <c r="C533" s="305">
        <v>50</v>
      </c>
      <c r="D533" s="303"/>
      <c r="E533" s="303">
        <f t="shared" si="30"/>
        <v>125</v>
      </c>
      <c r="F533" s="260">
        <v>40</v>
      </c>
    </row>
    <row r="534" spans="1:6" hidden="1">
      <c r="A534" s="261" t="s">
        <v>1319</v>
      </c>
      <c r="B534" s="305"/>
      <c r="C534" s="305">
        <f>SUM(C535:C537)</f>
        <v>0</v>
      </c>
      <c r="D534" s="303" t="e">
        <f t="shared" ref="D534:D547" si="31">C534/B534*100</f>
        <v>#DIV/0!</v>
      </c>
      <c r="E534" s="303" t="e">
        <f t="shared" si="30"/>
        <v>#DIV/0!</v>
      </c>
      <c r="F534" s="260">
        <f>SUM(F535:F537)</f>
        <v>0</v>
      </c>
    </row>
    <row r="535" spans="1:6" hidden="1">
      <c r="A535" s="264" t="s">
        <v>1318</v>
      </c>
      <c r="B535" s="305"/>
      <c r="C535" s="305"/>
      <c r="D535" s="303" t="e">
        <f t="shared" si="31"/>
        <v>#DIV/0!</v>
      </c>
      <c r="E535" s="303" t="e">
        <f t="shared" si="30"/>
        <v>#DIV/0!</v>
      </c>
      <c r="F535" s="260"/>
    </row>
    <row r="536" spans="1:6" hidden="1">
      <c r="A536" s="264" t="s">
        <v>1317</v>
      </c>
      <c r="B536" s="305"/>
      <c r="C536" s="305"/>
      <c r="D536" s="303" t="e">
        <f t="shared" si="31"/>
        <v>#DIV/0!</v>
      </c>
      <c r="E536" s="303" t="e">
        <f t="shared" si="30"/>
        <v>#DIV/0!</v>
      </c>
      <c r="F536" s="260"/>
    </row>
    <row r="537" spans="1:6" hidden="1">
      <c r="A537" s="264" t="s">
        <v>1316</v>
      </c>
      <c r="B537" s="305"/>
      <c r="C537" s="305"/>
      <c r="D537" s="303" t="e">
        <f t="shared" si="31"/>
        <v>#DIV/0!</v>
      </c>
      <c r="E537" s="303" t="e">
        <f t="shared" si="30"/>
        <v>#DIV/0!</v>
      </c>
      <c r="F537" s="260"/>
    </row>
    <row r="538" spans="1:6" hidden="1">
      <c r="A538" s="261" t="s">
        <v>1315</v>
      </c>
      <c r="B538" s="305"/>
      <c r="C538" s="305">
        <f>C539+C540</f>
        <v>0</v>
      </c>
      <c r="D538" s="303" t="e">
        <f t="shared" si="31"/>
        <v>#DIV/0!</v>
      </c>
      <c r="E538" s="303" t="e">
        <f t="shared" si="30"/>
        <v>#DIV/0!</v>
      </c>
      <c r="F538" s="267">
        <f>F539+F540</f>
        <v>0</v>
      </c>
    </row>
    <row r="539" spans="1:6" hidden="1">
      <c r="A539" s="264" t="s">
        <v>1314</v>
      </c>
      <c r="B539" s="305"/>
      <c r="C539" s="305"/>
      <c r="D539" s="303" t="e">
        <f t="shared" si="31"/>
        <v>#DIV/0!</v>
      </c>
      <c r="E539" s="303" t="e">
        <f t="shared" si="30"/>
        <v>#DIV/0!</v>
      </c>
      <c r="F539" s="266"/>
    </row>
    <row r="540" spans="1:6" hidden="1">
      <c r="A540" s="264" t="s">
        <v>1313</v>
      </c>
      <c r="B540" s="305"/>
      <c r="C540" s="305"/>
      <c r="D540" s="303" t="e">
        <f t="shared" si="31"/>
        <v>#DIV/0!</v>
      </c>
      <c r="E540" s="303" t="e">
        <f t="shared" si="30"/>
        <v>#DIV/0!</v>
      </c>
      <c r="F540" s="266"/>
    </row>
    <row r="541" spans="1:6" hidden="1">
      <c r="A541" s="261" t="s">
        <v>1312</v>
      </c>
      <c r="B541" s="305"/>
      <c r="C541" s="305">
        <f>SUM(C542:C545)</f>
        <v>0</v>
      </c>
      <c r="D541" s="303" t="e">
        <f t="shared" si="31"/>
        <v>#DIV/0!</v>
      </c>
      <c r="E541" s="303" t="e">
        <f t="shared" si="30"/>
        <v>#DIV/0!</v>
      </c>
      <c r="F541" s="267">
        <f>SUM(F542:F545)</f>
        <v>0</v>
      </c>
    </row>
    <row r="542" spans="1:6" hidden="1">
      <c r="A542" s="264" t="s">
        <v>1311</v>
      </c>
      <c r="B542" s="305"/>
      <c r="C542" s="305"/>
      <c r="D542" s="303" t="e">
        <f t="shared" si="31"/>
        <v>#DIV/0!</v>
      </c>
      <c r="E542" s="303" t="e">
        <f t="shared" si="30"/>
        <v>#DIV/0!</v>
      </c>
      <c r="F542" s="266"/>
    </row>
    <row r="543" spans="1:6" hidden="1">
      <c r="A543" s="264" t="s">
        <v>1310</v>
      </c>
      <c r="B543" s="305"/>
      <c r="C543" s="305"/>
      <c r="D543" s="303" t="e">
        <f t="shared" si="31"/>
        <v>#DIV/0!</v>
      </c>
      <c r="E543" s="303" t="e">
        <f t="shared" si="30"/>
        <v>#DIV/0!</v>
      </c>
      <c r="F543" s="266"/>
    </row>
    <row r="544" spans="1:6" hidden="1">
      <c r="A544" s="264" t="s">
        <v>1309</v>
      </c>
      <c r="B544" s="305"/>
      <c r="C544" s="305"/>
      <c r="D544" s="303" t="e">
        <f t="shared" si="31"/>
        <v>#DIV/0!</v>
      </c>
      <c r="E544" s="303" t="e">
        <f t="shared" si="30"/>
        <v>#DIV/0!</v>
      </c>
      <c r="F544" s="266"/>
    </row>
    <row r="545" spans="1:6" hidden="1">
      <c r="A545" s="264" t="s">
        <v>1308</v>
      </c>
      <c r="B545" s="305"/>
      <c r="C545" s="305"/>
      <c r="D545" s="303" t="e">
        <f t="shared" si="31"/>
        <v>#DIV/0!</v>
      </c>
      <c r="E545" s="303" t="e">
        <f t="shared" si="30"/>
        <v>#DIV/0!</v>
      </c>
      <c r="F545" s="266"/>
    </row>
    <row r="546" spans="1:6">
      <c r="A546" s="261" t="s">
        <v>1307</v>
      </c>
      <c r="B546" s="304">
        <f>SUM(B547,B561,B569,B580,B591)</f>
        <v>19822</v>
      </c>
      <c r="C546" s="304">
        <f>SUM(C547,C561,C569,C580,C591)</f>
        <v>19323</v>
      </c>
      <c r="D546" s="303">
        <f t="shared" si="31"/>
        <v>97.48</v>
      </c>
      <c r="E546" s="303">
        <f t="shared" si="30"/>
        <v>380.75</v>
      </c>
      <c r="F546" s="263">
        <f>SUM(F547,F561,F569,F580,F591)</f>
        <v>5075</v>
      </c>
    </row>
    <row r="547" spans="1:6">
      <c r="A547" s="261" t="s">
        <v>1306</v>
      </c>
      <c r="B547" s="304">
        <v>2942</v>
      </c>
      <c r="C547" s="304">
        <f>SUM(C548:C560)</f>
        <v>2863</v>
      </c>
      <c r="D547" s="303">
        <f t="shared" si="31"/>
        <v>97.31</v>
      </c>
      <c r="E547" s="303">
        <f t="shared" si="30"/>
        <v>147.43</v>
      </c>
      <c r="F547" s="263">
        <f>SUM(F548:F560)</f>
        <v>1942</v>
      </c>
    </row>
    <row r="548" spans="1:6">
      <c r="A548" s="264" t="s">
        <v>647</v>
      </c>
      <c r="B548" s="305"/>
      <c r="C548" s="305">
        <v>2081</v>
      </c>
      <c r="D548" s="303"/>
      <c r="E548" s="303">
        <f t="shared" si="30"/>
        <v>160.57</v>
      </c>
      <c r="F548" s="260">
        <v>1296</v>
      </c>
    </row>
    <row r="549" spans="1:6">
      <c r="A549" s="264" t="s">
        <v>646</v>
      </c>
      <c r="B549" s="305"/>
      <c r="C549" s="305">
        <v>12</v>
      </c>
      <c r="D549" s="303"/>
      <c r="E549" s="303"/>
      <c r="F549" s="260"/>
    </row>
    <row r="550" spans="1:6" hidden="1">
      <c r="A550" s="264" t="s">
        <v>645</v>
      </c>
      <c r="B550" s="305"/>
      <c r="C550" s="305"/>
      <c r="D550" s="303"/>
      <c r="E550" s="303"/>
      <c r="F550" s="260"/>
    </row>
    <row r="551" spans="1:6">
      <c r="A551" s="264" t="s">
        <v>1305</v>
      </c>
      <c r="B551" s="305"/>
      <c r="C551" s="305">
        <v>263</v>
      </c>
      <c r="D551" s="303"/>
      <c r="E551" s="303">
        <f>C551/F551*100</f>
        <v>167.52</v>
      </c>
      <c r="F551" s="260">
        <v>157</v>
      </c>
    </row>
    <row r="552" spans="1:6" hidden="1">
      <c r="A552" s="264" t="s">
        <v>1304</v>
      </c>
      <c r="B552" s="305"/>
      <c r="C552" s="305"/>
      <c r="D552" s="303"/>
      <c r="E552" s="303"/>
      <c r="F552" s="260"/>
    </row>
    <row r="553" spans="1:6" hidden="1">
      <c r="A553" s="264" t="s">
        <v>1303</v>
      </c>
      <c r="B553" s="305"/>
      <c r="C553" s="305"/>
      <c r="D553" s="303"/>
      <c r="E553" s="303"/>
      <c r="F553" s="260"/>
    </row>
    <row r="554" spans="1:6">
      <c r="A554" s="264" t="s">
        <v>1302</v>
      </c>
      <c r="B554" s="305"/>
      <c r="C554" s="305">
        <v>297</v>
      </c>
      <c r="D554" s="303"/>
      <c r="E554" s="303">
        <f>C554/F554*100</f>
        <v>108.79</v>
      </c>
      <c r="F554" s="260">
        <v>273</v>
      </c>
    </row>
    <row r="555" spans="1:6" hidden="1">
      <c r="A555" s="264" t="s">
        <v>1301</v>
      </c>
      <c r="B555" s="305"/>
      <c r="C555" s="305"/>
      <c r="D555" s="303"/>
      <c r="E555" s="303" t="e">
        <f>C555/F555*100</f>
        <v>#DIV/0!</v>
      </c>
      <c r="F555" s="260"/>
    </row>
    <row r="556" spans="1:6">
      <c r="A556" s="264" t="s">
        <v>1300</v>
      </c>
      <c r="B556" s="305"/>
      <c r="C556" s="305">
        <v>117</v>
      </c>
      <c r="D556" s="303"/>
      <c r="E556" s="303">
        <f>C556/F556*100</f>
        <v>63.93</v>
      </c>
      <c r="F556" s="260">
        <v>183</v>
      </c>
    </row>
    <row r="557" spans="1:6" hidden="1">
      <c r="A557" s="264" t="s">
        <v>1299</v>
      </c>
      <c r="B557" s="305"/>
      <c r="C557" s="305"/>
      <c r="D557" s="303"/>
      <c r="E557" s="303"/>
      <c r="F557" s="260"/>
    </row>
    <row r="558" spans="1:6">
      <c r="A558" s="264" t="s">
        <v>1298</v>
      </c>
      <c r="B558" s="305"/>
      <c r="C558" s="305">
        <v>20</v>
      </c>
      <c r="D558" s="303"/>
      <c r="E558" s="303"/>
      <c r="F558" s="260"/>
    </row>
    <row r="559" spans="1:6" hidden="1">
      <c r="A559" s="264" t="s">
        <v>1297</v>
      </c>
      <c r="B559" s="305"/>
      <c r="C559" s="305"/>
      <c r="D559" s="303"/>
      <c r="E559" s="303"/>
      <c r="F559" s="260"/>
    </row>
    <row r="560" spans="1:6">
      <c r="A560" s="264" t="s">
        <v>1296</v>
      </c>
      <c r="B560" s="305"/>
      <c r="C560" s="305">
        <v>73</v>
      </c>
      <c r="D560" s="303"/>
      <c r="E560" s="303">
        <f t="shared" ref="E560:E565" si="32">C560/F560*100</f>
        <v>221.21</v>
      </c>
      <c r="F560" s="260">
        <v>33</v>
      </c>
    </row>
    <row r="561" spans="1:6">
      <c r="A561" s="261" t="s">
        <v>1295</v>
      </c>
      <c r="B561" s="305">
        <v>67</v>
      </c>
      <c r="C561" s="305">
        <f>SUM(C562:C568)</f>
        <v>17</v>
      </c>
      <c r="D561" s="303">
        <f>C561/B561*100</f>
        <v>25.37</v>
      </c>
      <c r="E561" s="303">
        <f t="shared" si="32"/>
        <v>170</v>
      </c>
      <c r="F561" s="267">
        <f>SUM(F562:F568)</f>
        <v>10</v>
      </c>
    </row>
    <row r="562" spans="1:6" hidden="1">
      <c r="A562" s="264" t="s">
        <v>647</v>
      </c>
      <c r="B562" s="305"/>
      <c r="C562" s="305"/>
      <c r="D562" s="303" t="e">
        <f>C562/B562*100</f>
        <v>#DIV/0!</v>
      </c>
      <c r="E562" s="303">
        <f t="shared" si="32"/>
        <v>0</v>
      </c>
      <c r="F562" s="260">
        <v>10</v>
      </c>
    </row>
    <row r="563" spans="1:6" hidden="1">
      <c r="A563" s="264" t="s">
        <v>646</v>
      </c>
      <c r="B563" s="305"/>
      <c r="C563" s="305"/>
      <c r="D563" s="303" t="e">
        <f>C563/B563*100</f>
        <v>#DIV/0!</v>
      </c>
      <c r="E563" s="303" t="e">
        <f t="shared" si="32"/>
        <v>#DIV/0!</v>
      </c>
      <c r="F563" s="260"/>
    </row>
    <row r="564" spans="1:6" hidden="1">
      <c r="A564" s="264" t="s">
        <v>645</v>
      </c>
      <c r="B564" s="305"/>
      <c r="C564" s="305"/>
      <c r="D564" s="303" t="e">
        <f>C564/B564*100</f>
        <v>#DIV/0!</v>
      </c>
      <c r="E564" s="303" t="e">
        <f t="shared" si="32"/>
        <v>#DIV/0!</v>
      </c>
      <c r="F564" s="260"/>
    </row>
    <row r="565" spans="1:6" hidden="1">
      <c r="A565" s="264" t="s">
        <v>1294</v>
      </c>
      <c r="B565" s="305"/>
      <c r="C565" s="305"/>
      <c r="D565" s="303" t="e">
        <f>C565/B565*100</f>
        <v>#DIV/0!</v>
      </c>
      <c r="E565" s="303" t="e">
        <f t="shared" si="32"/>
        <v>#DIV/0!</v>
      </c>
      <c r="F565" s="260"/>
    </row>
    <row r="566" spans="1:6">
      <c r="A566" s="264" t="s">
        <v>1293</v>
      </c>
      <c r="B566" s="305"/>
      <c r="C566" s="305">
        <v>10</v>
      </c>
      <c r="D566" s="303"/>
      <c r="E566" s="303"/>
      <c r="F566" s="260"/>
    </row>
    <row r="567" spans="1:6">
      <c r="A567" s="264" t="s">
        <v>1292</v>
      </c>
      <c r="B567" s="305"/>
      <c r="C567" s="305">
        <v>7</v>
      </c>
      <c r="D567" s="303"/>
      <c r="E567" s="303"/>
      <c r="F567" s="260"/>
    </row>
    <row r="568" spans="1:6" hidden="1">
      <c r="A568" s="264" t="s">
        <v>1291</v>
      </c>
      <c r="B568" s="305"/>
      <c r="C568" s="305"/>
      <c r="D568" s="303" t="e">
        <f>C568/B568*100</f>
        <v>#DIV/0!</v>
      </c>
      <c r="E568" s="303" t="e">
        <f t="shared" ref="E568:E575" si="33">C568/F568*100</f>
        <v>#DIV/0!</v>
      </c>
      <c r="F568" s="260"/>
    </row>
    <row r="569" spans="1:6">
      <c r="A569" s="261" t="s">
        <v>1290</v>
      </c>
      <c r="B569" s="305">
        <v>1108</v>
      </c>
      <c r="C569" s="305">
        <f>SUM(C570:C579)</f>
        <v>948</v>
      </c>
      <c r="D569" s="303">
        <f>C569/B569*100</f>
        <v>85.56</v>
      </c>
      <c r="E569" s="303">
        <f t="shared" si="33"/>
        <v>417.62</v>
      </c>
      <c r="F569" s="267">
        <f>SUM(F570:F579)</f>
        <v>227</v>
      </c>
    </row>
    <row r="570" spans="1:6">
      <c r="A570" s="264" t="s">
        <v>647</v>
      </c>
      <c r="B570" s="305"/>
      <c r="C570" s="305">
        <v>9</v>
      </c>
      <c r="D570" s="303"/>
      <c r="E570" s="303">
        <f t="shared" si="33"/>
        <v>18.37</v>
      </c>
      <c r="F570" s="260">
        <v>49</v>
      </c>
    </row>
    <row r="571" spans="1:6" hidden="1">
      <c r="A571" s="264" t="s">
        <v>646</v>
      </c>
      <c r="B571" s="305"/>
      <c r="C571" s="305"/>
      <c r="D571" s="303"/>
      <c r="E571" s="303" t="e">
        <f t="shared" si="33"/>
        <v>#DIV/0!</v>
      </c>
      <c r="F571" s="260"/>
    </row>
    <row r="572" spans="1:6" hidden="1">
      <c r="A572" s="264" t="s">
        <v>645</v>
      </c>
      <c r="B572" s="305"/>
      <c r="C572" s="305"/>
      <c r="D572" s="303"/>
      <c r="E572" s="303" t="e">
        <f t="shared" si="33"/>
        <v>#DIV/0!</v>
      </c>
      <c r="F572" s="260"/>
    </row>
    <row r="573" spans="1:6" hidden="1">
      <c r="A573" s="264" t="s">
        <v>1289</v>
      </c>
      <c r="B573" s="305"/>
      <c r="C573" s="305"/>
      <c r="D573" s="303"/>
      <c r="E573" s="303" t="e">
        <f t="shared" si="33"/>
        <v>#DIV/0!</v>
      </c>
      <c r="F573" s="260"/>
    </row>
    <row r="574" spans="1:6">
      <c r="A574" s="264" t="s">
        <v>1288</v>
      </c>
      <c r="B574" s="305"/>
      <c r="C574" s="305">
        <v>593</v>
      </c>
      <c r="D574" s="303"/>
      <c r="E574" s="303">
        <f t="shared" si="33"/>
        <v>1261.7</v>
      </c>
      <c r="F574" s="260">
        <v>47</v>
      </c>
    </row>
    <row r="575" spans="1:6" hidden="1">
      <c r="A575" s="264" t="s">
        <v>1287</v>
      </c>
      <c r="B575" s="305"/>
      <c r="C575" s="305"/>
      <c r="D575" s="303"/>
      <c r="E575" s="303" t="e">
        <f t="shared" si="33"/>
        <v>#DIV/0!</v>
      </c>
      <c r="F575" s="260"/>
    </row>
    <row r="576" spans="1:6">
      <c r="A576" s="264" t="s">
        <v>1286</v>
      </c>
      <c r="B576" s="305"/>
      <c r="C576" s="305">
        <v>14</v>
      </c>
      <c r="D576" s="303"/>
      <c r="E576" s="303"/>
      <c r="F576" s="260"/>
    </row>
    <row r="577" spans="1:6">
      <c r="A577" s="264" t="s">
        <v>1285</v>
      </c>
      <c r="B577" s="305"/>
      <c r="C577" s="305">
        <v>332</v>
      </c>
      <c r="D577" s="303"/>
      <c r="E577" s="303">
        <f t="shared" ref="E577:E585" si="34">C577/F577*100</f>
        <v>253.44</v>
      </c>
      <c r="F577" s="260">
        <v>131</v>
      </c>
    </row>
    <row r="578" spans="1:6" hidden="1">
      <c r="A578" s="264" t="s">
        <v>1284</v>
      </c>
      <c r="B578" s="305"/>
      <c r="C578" s="305"/>
      <c r="D578" s="303"/>
      <c r="E578" s="303" t="e">
        <f t="shared" si="34"/>
        <v>#DIV/0!</v>
      </c>
      <c r="F578" s="260"/>
    </row>
    <row r="579" spans="1:6" hidden="1">
      <c r="A579" s="264" t="s">
        <v>1283</v>
      </c>
      <c r="B579" s="305"/>
      <c r="C579" s="305"/>
      <c r="D579" s="303"/>
      <c r="E579" s="303" t="e">
        <f t="shared" si="34"/>
        <v>#DIV/0!</v>
      </c>
      <c r="F579" s="260"/>
    </row>
    <row r="580" spans="1:6">
      <c r="A580" s="261" t="s">
        <v>1282</v>
      </c>
      <c r="B580" s="305">
        <v>15001</v>
      </c>
      <c r="C580" s="305">
        <f>SUM(C581:C590)</f>
        <v>14964</v>
      </c>
      <c r="D580" s="303">
        <f>C580/B580*100</f>
        <v>99.75</v>
      </c>
      <c r="E580" s="303">
        <f t="shared" si="34"/>
        <v>883.87</v>
      </c>
      <c r="F580" s="267">
        <f>SUM(F581:F590)</f>
        <v>1693</v>
      </c>
    </row>
    <row r="581" spans="1:6" hidden="1">
      <c r="A581" s="264" t="s">
        <v>647</v>
      </c>
      <c r="B581" s="305"/>
      <c r="C581" s="305"/>
      <c r="D581" s="303" t="e">
        <f>C581/B581*100</f>
        <v>#DIV/0!</v>
      </c>
      <c r="E581" s="303">
        <f t="shared" si="34"/>
        <v>0</v>
      </c>
      <c r="F581" s="260">
        <f>83+75</f>
        <v>158</v>
      </c>
    </row>
    <row r="582" spans="1:6" hidden="1">
      <c r="A582" s="264" t="s">
        <v>646</v>
      </c>
      <c r="B582" s="305"/>
      <c r="C582" s="305"/>
      <c r="D582" s="303" t="e">
        <f>C582/B582*100</f>
        <v>#DIV/0!</v>
      </c>
      <c r="E582" s="303" t="e">
        <f t="shared" si="34"/>
        <v>#DIV/0!</v>
      </c>
      <c r="F582" s="260"/>
    </row>
    <row r="583" spans="1:6" hidden="1">
      <c r="A583" s="264" t="s">
        <v>645</v>
      </c>
      <c r="B583" s="305"/>
      <c r="C583" s="305"/>
      <c r="D583" s="303" t="e">
        <f>C583/B583*100</f>
        <v>#DIV/0!</v>
      </c>
      <c r="E583" s="303" t="e">
        <f t="shared" si="34"/>
        <v>#DIV/0!</v>
      </c>
      <c r="F583" s="260"/>
    </row>
    <row r="584" spans="1:6">
      <c r="A584" s="264" t="s">
        <v>1281</v>
      </c>
      <c r="B584" s="305"/>
      <c r="C584" s="305">
        <v>13453</v>
      </c>
      <c r="D584" s="303"/>
      <c r="E584" s="303">
        <f t="shared" si="34"/>
        <v>11597.41</v>
      </c>
      <c r="F584" s="260">
        <v>116</v>
      </c>
    </row>
    <row r="585" spans="1:6">
      <c r="A585" s="264" t="s">
        <v>1280</v>
      </c>
      <c r="B585" s="305"/>
      <c r="C585" s="305">
        <v>1388</v>
      </c>
      <c r="D585" s="303"/>
      <c r="E585" s="303">
        <f t="shared" si="34"/>
        <v>290.99</v>
      </c>
      <c r="F585" s="260">
        <v>477</v>
      </c>
    </row>
    <row r="586" spans="1:6">
      <c r="A586" s="264" t="s">
        <v>1279</v>
      </c>
      <c r="B586" s="305"/>
      <c r="C586" s="305">
        <v>33</v>
      </c>
      <c r="D586" s="303"/>
      <c r="E586" s="303"/>
      <c r="F586" s="266">
        <v>0</v>
      </c>
    </row>
    <row r="587" spans="1:6">
      <c r="A587" s="264" t="s">
        <v>1278</v>
      </c>
      <c r="B587" s="305"/>
      <c r="C587" s="305">
        <v>2</v>
      </c>
      <c r="D587" s="303"/>
      <c r="E587" s="303">
        <f>C587/F587*100</f>
        <v>10</v>
      </c>
      <c r="F587" s="260">
        <v>20</v>
      </c>
    </row>
    <row r="588" spans="1:6" hidden="1">
      <c r="A588" s="264" t="s">
        <v>1277</v>
      </c>
      <c r="B588" s="305"/>
      <c r="C588" s="305"/>
      <c r="D588" s="303"/>
      <c r="E588" s="303">
        <f>C588/F588*100</f>
        <v>0</v>
      </c>
      <c r="F588" s="260">
        <v>156</v>
      </c>
    </row>
    <row r="589" spans="1:6" hidden="1">
      <c r="A589" s="264" t="s">
        <v>1276</v>
      </c>
      <c r="B589" s="305"/>
      <c r="C589" s="305"/>
      <c r="D589" s="303"/>
      <c r="E589" s="303" t="e">
        <f>C589/F589*100</f>
        <v>#DIV/0!</v>
      </c>
      <c r="F589" s="266"/>
    </row>
    <row r="590" spans="1:6">
      <c r="A590" s="264" t="s">
        <v>1275</v>
      </c>
      <c r="B590" s="305"/>
      <c r="C590" s="305">
        <v>88</v>
      </c>
      <c r="D590" s="303"/>
      <c r="E590" s="303">
        <f>C590/F590*100</f>
        <v>11.49</v>
      </c>
      <c r="F590" s="260">
        <v>766</v>
      </c>
    </row>
    <row r="591" spans="1:6">
      <c r="A591" s="261" t="s">
        <v>1274</v>
      </c>
      <c r="B591" s="305">
        <v>704</v>
      </c>
      <c r="C591" s="305">
        <f>SUM(C592:C594)</f>
        <v>531</v>
      </c>
      <c r="D591" s="303">
        <f>C591/B591*100</f>
        <v>75.430000000000007</v>
      </c>
      <c r="E591" s="303">
        <f>C591/F591*100</f>
        <v>44.14</v>
      </c>
      <c r="F591" s="267">
        <f>SUM(F592:F594)</f>
        <v>1203</v>
      </c>
    </row>
    <row r="592" spans="1:6">
      <c r="A592" s="264" t="s">
        <v>1273</v>
      </c>
      <c r="B592" s="305"/>
      <c r="C592" s="305">
        <v>66</v>
      </c>
      <c r="D592" s="303"/>
      <c r="E592" s="303"/>
      <c r="F592" s="260"/>
    </row>
    <row r="593" spans="1:6">
      <c r="A593" s="264" t="s">
        <v>1272</v>
      </c>
      <c r="B593" s="305"/>
      <c r="C593" s="305">
        <v>10</v>
      </c>
      <c r="D593" s="303"/>
      <c r="E593" s="303"/>
      <c r="F593" s="260"/>
    </row>
    <row r="594" spans="1:6">
      <c r="A594" s="264" t="s">
        <v>1271</v>
      </c>
      <c r="B594" s="305"/>
      <c r="C594" s="305">
        <v>455</v>
      </c>
      <c r="D594" s="303"/>
      <c r="E594" s="303">
        <f>C594/F594*100</f>
        <v>37.82</v>
      </c>
      <c r="F594" s="260">
        <v>1203</v>
      </c>
    </row>
    <row r="595" spans="1:6">
      <c r="A595" s="261" t="s">
        <v>1270</v>
      </c>
      <c r="B595" s="304">
        <f>SUM(B596,B610,B621,B629,B631,B640,B644,B655,B663,B669,B676,B684,B689,B694,B697,B700,B703,B706,B709)</f>
        <v>50401</v>
      </c>
      <c r="C595" s="304">
        <f>SUM(C596,C610,C621,C629,C631,C640,C644,C655,C663,C669,C676,C684,C689,C694,C697,C700,C703,C706,C709)</f>
        <v>49641</v>
      </c>
      <c r="D595" s="303">
        <f>C595/B595*100</f>
        <v>98.49</v>
      </c>
      <c r="E595" s="303">
        <f>C595/F595*100</f>
        <v>78.010000000000005</v>
      </c>
      <c r="F595" s="263">
        <f>SUM(F596,F610,F621,F629,F631,F640,F644,F655,F663,F669,F676,F684,F689,F694,F697,F700,F703,F706,F709)</f>
        <v>63635</v>
      </c>
    </row>
    <row r="596" spans="1:6">
      <c r="A596" s="261" t="s">
        <v>1269</v>
      </c>
      <c r="B596" s="304">
        <v>1254</v>
      </c>
      <c r="C596" s="304">
        <f>SUM(C597:C609)</f>
        <v>1254</v>
      </c>
      <c r="D596" s="303">
        <f>C596/B596*100</f>
        <v>100</v>
      </c>
      <c r="E596" s="303">
        <f>C596/F596*100</f>
        <v>181.21</v>
      </c>
      <c r="F596" s="263">
        <f>SUM(F597:F609)</f>
        <v>692</v>
      </c>
    </row>
    <row r="597" spans="1:6">
      <c r="A597" s="264" t="s">
        <v>647</v>
      </c>
      <c r="B597" s="305"/>
      <c r="C597" s="305">
        <v>15</v>
      </c>
      <c r="D597" s="303"/>
      <c r="E597" s="303">
        <f>C597/F597*100</f>
        <v>12</v>
      </c>
      <c r="F597" s="260">
        <v>125</v>
      </c>
    </row>
    <row r="598" spans="1:6">
      <c r="A598" s="264" t="s">
        <v>646</v>
      </c>
      <c r="B598" s="305"/>
      <c r="C598" s="305">
        <v>15</v>
      </c>
      <c r="D598" s="303"/>
      <c r="E598" s="303"/>
      <c r="F598" s="260"/>
    </row>
    <row r="599" spans="1:6">
      <c r="A599" s="264" t="s">
        <v>645</v>
      </c>
      <c r="B599" s="305"/>
      <c r="C599" s="305">
        <v>541</v>
      </c>
      <c r="D599" s="303"/>
      <c r="E599" s="303"/>
      <c r="F599" s="260"/>
    </row>
    <row r="600" spans="1:6" hidden="1">
      <c r="A600" s="264" t="s">
        <v>1268</v>
      </c>
      <c r="B600" s="305"/>
      <c r="C600" s="305"/>
      <c r="D600" s="303"/>
      <c r="E600" s="303" t="e">
        <f>C600/F600*100</f>
        <v>#DIV/0!</v>
      </c>
      <c r="F600" s="260"/>
    </row>
    <row r="601" spans="1:6" hidden="1">
      <c r="A601" s="264" t="s">
        <v>1267</v>
      </c>
      <c r="B601" s="305"/>
      <c r="C601" s="305"/>
      <c r="D601" s="303"/>
      <c r="E601" s="303">
        <f>C601/F601*100</f>
        <v>0</v>
      </c>
      <c r="F601" s="260">
        <v>3</v>
      </c>
    </row>
    <row r="602" spans="1:6" hidden="1">
      <c r="A602" s="264" t="s">
        <v>1266</v>
      </c>
      <c r="B602" s="305"/>
      <c r="C602" s="305"/>
      <c r="D602" s="303"/>
      <c r="E602" s="303" t="e">
        <f>C602/F602*100</f>
        <v>#DIV/0!</v>
      </c>
      <c r="F602" s="260"/>
    </row>
    <row r="603" spans="1:6">
      <c r="A603" s="264" t="s">
        <v>1265</v>
      </c>
      <c r="B603" s="305"/>
      <c r="C603" s="305">
        <v>10</v>
      </c>
      <c r="D603" s="303"/>
      <c r="E603" s="303">
        <f>C603/F603*100</f>
        <v>100</v>
      </c>
      <c r="F603" s="260">
        <v>10</v>
      </c>
    </row>
    <row r="604" spans="1:6" ht="13.5" hidden="1" customHeight="1">
      <c r="A604" s="264" t="s">
        <v>1044</v>
      </c>
      <c r="B604" s="305"/>
      <c r="C604" s="305"/>
      <c r="D604" s="303"/>
      <c r="E604" s="303"/>
      <c r="F604" s="260"/>
    </row>
    <row r="605" spans="1:6">
      <c r="A605" s="264" t="s">
        <v>1264</v>
      </c>
      <c r="B605" s="305"/>
      <c r="C605" s="305">
        <v>611</v>
      </c>
      <c r="D605" s="303"/>
      <c r="E605" s="303">
        <f>C605/F605*100</f>
        <v>115.5</v>
      </c>
      <c r="F605" s="260">
        <v>529</v>
      </c>
    </row>
    <row r="606" spans="1:6" hidden="1">
      <c r="A606" s="264" t="s">
        <v>1263</v>
      </c>
      <c r="B606" s="305"/>
      <c r="C606" s="305"/>
      <c r="D606" s="303"/>
      <c r="E606" s="303" t="e">
        <f>C606/F606*100</f>
        <v>#DIV/0!</v>
      </c>
      <c r="F606" s="260"/>
    </row>
    <row r="607" spans="1:6" hidden="1">
      <c r="A607" s="264" t="s">
        <v>1262</v>
      </c>
      <c r="B607" s="305"/>
      <c r="C607" s="305"/>
      <c r="D607" s="303"/>
      <c r="E607" s="303" t="e">
        <f>C607/F607*100</f>
        <v>#DIV/0!</v>
      </c>
      <c r="F607" s="260"/>
    </row>
    <row r="608" spans="1:6">
      <c r="A608" s="264" t="s">
        <v>1261</v>
      </c>
      <c r="B608" s="305"/>
      <c r="C608" s="305">
        <v>38</v>
      </c>
      <c r="D608" s="303"/>
      <c r="E608" s="303"/>
      <c r="F608" s="260"/>
    </row>
    <row r="609" spans="1:6">
      <c r="A609" s="264" t="s">
        <v>1260</v>
      </c>
      <c r="B609" s="305"/>
      <c r="C609" s="305">
        <v>24</v>
      </c>
      <c r="D609" s="303"/>
      <c r="E609" s="303">
        <f t="shared" ref="E609:E615" si="35">C609/F609*100</f>
        <v>96</v>
      </c>
      <c r="F609" s="260">
        <v>25</v>
      </c>
    </row>
    <row r="610" spans="1:6">
      <c r="A610" s="261" t="s">
        <v>1259</v>
      </c>
      <c r="B610" s="304">
        <v>1603</v>
      </c>
      <c r="C610" s="304">
        <f>SUM(C611:C620)</f>
        <v>1576</v>
      </c>
      <c r="D610" s="303">
        <f>C610/B610*100</f>
        <v>98.32</v>
      </c>
      <c r="E610" s="303">
        <f t="shared" si="35"/>
        <v>160.82</v>
      </c>
      <c r="F610" s="263">
        <f>SUM(F611:F620)</f>
        <v>980</v>
      </c>
    </row>
    <row r="611" spans="1:6">
      <c r="A611" s="264" t="s">
        <v>647</v>
      </c>
      <c r="B611" s="305"/>
      <c r="C611" s="305">
        <v>5</v>
      </c>
      <c r="D611" s="303"/>
      <c r="E611" s="303">
        <f t="shared" si="35"/>
        <v>2.94</v>
      </c>
      <c r="F611" s="260">
        <v>170</v>
      </c>
    </row>
    <row r="612" spans="1:6" hidden="1">
      <c r="A612" s="264" t="s">
        <v>646</v>
      </c>
      <c r="B612" s="305"/>
      <c r="C612" s="305"/>
      <c r="D612" s="303"/>
      <c r="E612" s="303" t="e">
        <f t="shared" si="35"/>
        <v>#DIV/0!</v>
      </c>
      <c r="F612" s="260"/>
    </row>
    <row r="613" spans="1:6" hidden="1">
      <c r="A613" s="264" t="s">
        <v>645</v>
      </c>
      <c r="B613" s="305"/>
      <c r="C613" s="305"/>
      <c r="D613" s="303"/>
      <c r="E613" s="303" t="e">
        <f t="shared" si="35"/>
        <v>#DIV/0!</v>
      </c>
      <c r="F613" s="260"/>
    </row>
    <row r="614" spans="1:6" hidden="1">
      <c r="A614" s="264" t="s">
        <v>1258</v>
      </c>
      <c r="B614" s="305"/>
      <c r="C614" s="305">
        <v>168</v>
      </c>
      <c r="D614" s="303"/>
      <c r="E614" s="303" t="e">
        <f t="shared" si="35"/>
        <v>#DIV/0!</v>
      </c>
      <c r="F614" s="260"/>
    </row>
    <row r="615" spans="1:6">
      <c r="A615" s="264" t="s">
        <v>1257</v>
      </c>
      <c r="B615" s="305"/>
      <c r="C615" s="305">
        <v>1351</v>
      </c>
      <c r="D615" s="303"/>
      <c r="E615" s="303">
        <f t="shared" si="35"/>
        <v>197.51</v>
      </c>
      <c r="F615" s="260">
        <v>684</v>
      </c>
    </row>
    <row r="616" spans="1:6" hidden="1">
      <c r="A616" s="264" t="s">
        <v>1256</v>
      </c>
      <c r="B616" s="305"/>
      <c r="C616" s="305"/>
      <c r="D616" s="303"/>
      <c r="E616" s="303"/>
      <c r="F616" s="260"/>
    </row>
    <row r="617" spans="1:6">
      <c r="A617" s="264" t="s">
        <v>1255</v>
      </c>
      <c r="B617" s="305"/>
      <c r="C617" s="305">
        <v>3</v>
      </c>
      <c r="D617" s="303"/>
      <c r="E617" s="303">
        <f t="shared" ref="E617:E628" si="36">C617/F617*100</f>
        <v>8.57</v>
      </c>
      <c r="F617" s="260">
        <v>35</v>
      </c>
    </row>
    <row r="618" spans="1:6">
      <c r="A618" s="264" t="s">
        <v>1254</v>
      </c>
      <c r="B618" s="305"/>
      <c r="C618" s="305">
        <v>49</v>
      </c>
      <c r="D618" s="303"/>
      <c r="E618" s="303">
        <f t="shared" si="36"/>
        <v>69.010000000000005</v>
      </c>
      <c r="F618" s="260">
        <v>71</v>
      </c>
    </row>
    <row r="619" spans="1:6" hidden="1">
      <c r="A619" s="264" t="s">
        <v>1253</v>
      </c>
      <c r="B619" s="304"/>
      <c r="C619" s="304"/>
      <c r="D619" s="303" t="e">
        <f t="shared" ref="D619:D626" si="37">C619/B619*100</f>
        <v>#DIV/0!</v>
      </c>
      <c r="E619" s="303" t="e">
        <f t="shared" si="36"/>
        <v>#DIV/0!</v>
      </c>
      <c r="F619" s="260"/>
    </row>
    <row r="620" spans="1:6" hidden="1">
      <c r="A620" s="264" t="s">
        <v>1252</v>
      </c>
      <c r="B620" s="304"/>
      <c r="C620" s="304"/>
      <c r="D620" s="303" t="e">
        <f t="shared" si="37"/>
        <v>#DIV/0!</v>
      </c>
      <c r="E620" s="303">
        <f t="shared" si="36"/>
        <v>0</v>
      </c>
      <c r="F620" s="260">
        <v>20</v>
      </c>
    </row>
    <row r="621" spans="1:6">
      <c r="A621" s="261" t="s">
        <v>1251</v>
      </c>
      <c r="B621" s="304">
        <v>8844</v>
      </c>
      <c r="C621" s="304">
        <f>SUM(C622:C628)</f>
        <v>8844</v>
      </c>
      <c r="D621" s="303">
        <f t="shared" si="37"/>
        <v>100</v>
      </c>
      <c r="E621" s="303">
        <f t="shared" si="36"/>
        <v>33.15</v>
      </c>
      <c r="F621" s="263">
        <f>SUM(F622:F628)</f>
        <v>26675</v>
      </c>
    </row>
    <row r="622" spans="1:6" hidden="1">
      <c r="A622" s="264" t="s">
        <v>1250</v>
      </c>
      <c r="B622" s="304"/>
      <c r="C622" s="304"/>
      <c r="D622" s="303" t="e">
        <f t="shared" si="37"/>
        <v>#DIV/0!</v>
      </c>
      <c r="E622" s="303">
        <f t="shared" si="36"/>
        <v>0</v>
      </c>
      <c r="F622" s="260">
        <v>19853</v>
      </c>
    </row>
    <row r="623" spans="1:6" hidden="1">
      <c r="A623" s="264" t="s">
        <v>1249</v>
      </c>
      <c r="B623" s="304"/>
      <c r="C623" s="304"/>
      <c r="D623" s="303" t="e">
        <f t="shared" si="37"/>
        <v>#DIV/0!</v>
      </c>
      <c r="E623" s="303" t="e">
        <f t="shared" si="36"/>
        <v>#DIV/0!</v>
      </c>
      <c r="F623" s="260"/>
    </row>
    <row r="624" spans="1:6" hidden="1">
      <c r="A624" s="264" t="s">
        <v>1248</v>
      </c>
      <c r="B624" s="304"/>
      <c r="C624" s="304"/>
      <c r="D624" s="303" t="e">
        <f t="shared" si="37"/>
        <v>#DIV/0!</v>
      </c>
      <c r="E624" s="303" t="e">
        <f t="shared" si="36"/>
        <v>#DIV/0!</v>
      </c>
      <c r="F624" s="260"/>
    </row>
    <row r="625" spans="1:6" hidden="1">
      <c r="A625" s="264" t="s">
        <v>1247</v>
      </c>
      <c r="B625" s="304"/>
      <c r="C625" s="304"/>
      <c r="D625" s="303" t="e">
        <f t="shared" si="37"/>
        <v>#DIV/0!</v>
      </c>
      <c r="E625" s="303" t="e">
        <f t="shared" si="36"/>
        <v>#DIV/0!</v>
      </c>
      <c r="F625" s="260"/>
    </row>
    <row r="626" spans="1:6" hidden="1">
      <c r="A626" s="264" t="s">
        <v>1246</v>
      </c>
      <c r="B626" s="304"/>
      <c r="C626" s="304"/>
      <c r="D626" s="303" t="e">
        <f t="shared" si="37"/>
        <v>#DIV/0!</v>
      </c>
      <c r="E626" s="303" t="e">
        <f t="shared" si="36"/>
        <v>#DIV/0!</v>
      </c>
      <c r="F626" s="260"/>
    </row>
    <row r="627" spans="1:6">
      <c r="A627" s="264" t="s">
        <v>1245</v>
      </c>
      <c r="B627" s="304"/>
      <c r="C627" s="304">
        <f>9111-267</f>
        <v>8844</v>
      </c>
      <c r="D627" s="303"/>
      <c r="E627" s="303">
        <f t="shared" si="36"/>
        <v>129.63999999999999</v>
      </c>
      <c r="F627" s="260">
        <v>6822</v>
      </c>
    </row>
    <row r="628" spans="1:6" hidden="1">
      <c r="A628" s="264" t="s">
        <v>1244</v>
      </c>
      <c r="B628" s="304"/>
      <c r="C628" s="304"/>
      <c r="D628" s="303"/>
      <c r="E628" s="303" t="e">
        <f t="shared" si="36"/>
        <v>#DIV/0!</v>
      </c>
      <c r="F628" s="262"/>
    </row>
    <row r="629" spans="1:6" hidden="1">
      <c r="A629" s="261" t="s">
        <v>1243</v>
      </c>
      <c r="B629" s="304"/>
      <c r="C629" s="304">
        <f>C630</f>
        <v>0</v>
      </c>
      <c r="D629" s="303"/>
      <c r="E629" s="303"/>
      <c r="F629" s="263">
        <f>F630</f>
        <v>0</v>
      </c>
    </row>
    <row r="630" spans="1:6" hidden="1">
      <c r="A630" s="264" t="s">
        <v>1242</v>
      </c>
      <c r="B630" s="304"/>
      <c r="C630" s="304"/>
      <c r="D630" s="303"/>
      <c r="E630" s="303"/>
      <c r="F630" s="262"/>
    </row>
    <row r="631" spans="1:6">
      <c r="A631" s="261" t="s">
        <v>1241</v>
      </c>
      <c r="B631" s="304">
        <v>22737</v>
      </c>
      <c r="C631" s="304">
        <f>SUM(C632:C639)</f>
        <v>22737</v>
      </c>
      <c r="D631" s="303">
        <f>C631/B631*100</f>
        <v>100</v>
      </c>
      <c r="E631" s="303">
        <f>C631/F631*100</f>
        <v>103.07</v>
      </c>
      <c r="F631" s="263">
        <f>SUM(F632:F639)</f>
        <v>22060</v>
      </c>
    </row>
    <row r="632" spans="1:6">
      <c r="A632" s="264" t="s">
        <v>1240</v>
      </c>
      <c r="B632" s="305"/>
      <c r="C632" s="305">
        <f>22500-6000</f>
        <v>16500</v>
      </c>
      <c r="D632" s="303"/>
      <c r="E632" s="303">
        <f>C632/F632*100</f>
        <v>296.98</v>
      </c>
      <c r="F632" s="260">
        <v>5556</v>
      </c>
    </row>
    <row r="633" spans="1:6">
      <c r="A633" s="264" t="s">
        <v>1239</v>
      </c>
      <c r="B633" s="305"/>
      <c r="C633" s="305">
        <v>6004</v>
      </c>
      <c r="D633" s="303"/>
      <c r="E633" s="303">
        <f>C633/F633*100</f>
        <v>36.97</v>
      </c>
      <c r="F633" s="260">
        <v>16241</v>
      </c>
    </row>
    <row r="634" spans="1:6">
      <c r="A634" s="264" t="s">
        <v>1238</v>
      </c>
      <c r="B634" s="305"/>
      <c r="C634" s="305">
        <v>226</v>
      </c>
      <c r="D634" s="303"/>
      <c r="E634" s="303">
        <f>C634/F634*100</f>
        <v>85.93</v>
      </c>
      <c r="F634" s="260">
        <v>263</v>
      </c>
    </row>
    <row r="635" spans="1:6">
      <c r="A635" s="264" t="s">
        <v>1237</v>
      </c>
      <c r="B635" s="305"/>
      <c r="C635" s="305">
        <v>2</v>
      </c>
      <c r="D635" s="303"/>
      <c r="E635" s="303"/>
      <c r="F635" s="266"/>
    </row>
    <row r="636" spans="1:6" hidden="1">
      <c r="A636" s="264" t="s">
        <v>1236</v>
      </c>
      <c r="B636" s="304"/>
      <c r="C636" s="304"/>
      <c r="D636" s="303"/>
      <c r="E636" s="303"/>
      <c r="F636" s="262"/>
    </row>
    <row r="637" spans="1:6" hidden="1">
      <c r="A637" s="264" t="s">
        <v>1235</v>
      </c>
      <c r="B637" s="304"/>
      <c r="C637" s="304"/>
      <c r="D637" s="303"/>
      <c r="E637" s="303"/>
      <c r="F637" s="262"/>
    </row>
    <row r="638" spans="1:6" hidden="1">
      <c r="A638" s="264" t="s">
        <v>1234</v>
      </c>
      <c r="B638" s="304"/>
      <c r="C638" s="304"/>
      <c r="D638" s="303"/>
      <c r="E638" s="303"/>
      <c r="F638" s="262"/>
    </row>
    <row r="639" spans="1:6">
      <c r="A639" s="264" t="s">
        <v>1233</v>
      </c>
      <c r="B639" s="304"/>
      <c r="C639" s="304">
        <v>5</v>
      </c>
      <c r="D639" s="303"/>
      <c r="E639" s="303"/>
      <c r="F639" s="262"/>
    </row>
    <row r="640" spans="1:6" hidden="1">
      <c r="A640" s="261" t="s">
        <v>1232</v>
      </c>
      <c r="B640" s="304"/>
      <c r="C640" s="304">
        <f>SUM(C641:C643)</f>
        <v>0</v>
      </c>
      <c r="D640" s="303" t="e">
        <f t="shared" ref="D640:D653" si="38">C640/B640*100</f>
        <v>#DIV/0!</v>
      </c>
      <c r="E640" s="303" t="e">
        <f t="shared" ref="E640:E667" si="39">C640/F640*100</f>
        <v>#DIV/0!</v>
      </c>
      <c r="F640" s="263">
        <f>SUM(F641:F643)</f>
        <v>0</v>
      </c>
    </row>
    <row r="641" spans="1:6" hidden="1">
      <c r="A641" s="264" t="s">
        <v>1231</v>
      </c>
      <c r="B641" s="304"/>
      <c r="C641" s="304"/>
      <c r="D641" s="303" t="e">
        <f t="shared" si="38"/>
        <v>#DIV/0!</v>
      </c>
      <c r="E641" s="303" t="e">
        <f t="shared" si="39"/>
        <v>#DIV/0!</v>
      </c>
      <c r="F641" s="262"/>
    </row>
    <row r="642" spans="1:6" hidden="1">
      <c r="A642" s="264" t="s">
        <v>1230</v>
      </c>
      <c r="B642" s="304"/>
      <c r="C642" s="304"/>
      <c r="D642" s="303" t="e">
        <f t="shared" si="38"/>
        <v>#DIV/0!</v>
      </c>
      <c r="E642" s="303" t="e">
        <f t="shared" si="39"/>
        <v>#DIV/0!</v>
      </c>
      <c r="F642" s="262"/>
    </row>
    <row r="643" spans="1:6" hidden="1">
      <c r="A643" s="264" t="s">
        <v>1229</v>
      </c>
      <c r="B643" s="304"/>
      <c r="C643" s="304"/>
      <c r="D643" s="303" t="e">
        <f t="shared" si="38"/>
        <v>#DIV/0!</v>
      </c>
      <c r="E643" s="303" t="e">
        <f t="shared" si="39"/>
        <v>#DIV/0!</v>
      </c>
      <c r="F643" s="262"/>
    </row>
    <row r="644" spans="1:6">
      <c r="A644" s="261" t="s">
        <v>1228</v>
      </c>
      <c r="B644" s="304">
        <v>322</v>
      </c>
      <c r="C644" s="304">
        <f>SUM(C645:C654)</f>
        <v>309</v>
      </c>
      <c r="D644" s="303">
        <f t="shared" si="38"/>
        <v>95.96</v>
      </c>
      <c r="E644" s="303">
        <f t="shared" si="39"/>
        <v>58.75</v>
      </c>
      <c r="F644" s="263">
        <f>SUM(F645:F654)</f>
        <v>526</v>
      </c>
    </row>
    <row r="645" spans="1:6" hidden="1">
      <c r="A645" s="264" t="s">
        <v>1227</v>
      </c>
      <c r="B645" s="304"/>
      <c r="C645" s="304"/>
      <c r="D645" s="303" t="e">
        <f t="shared" si="38"/>
        <v>#DIV/0!</v>
      </c>
      <c r="E645" s="303">
        <f t="shared" si="39"/>
        <v>0</v>
      </c>
      <c r="F645" s="260">
        <f>496+12</f>
        <v>508</v>
      </c>
    </row>
    <row r="646" spans="1:6" hidden="1">
      <c r="A646" s="264" t="s">
        <v>1226</v>
      </c>
      <c r="B646" s="304"/>
      <c r="C646" s="304"/>
      <c r="D646" s="303" t="e">
        <f t="shared" si="38"/>
        <v>#DIV/0!</v>
      </c>
      <c r="E646" s="303" t="e">
        <f t="shared" si="39"/>
        <v>#DIV/0!</v>
      </c>
      <c r="F646" s="260"/>
    </row>
    <row r="647" spans="1:6" hidden="1">
      <c r="A647" s="264" t="s">
        <v>1225</v>
      </c>
      <c r="B647" s="304"/>
      <c r="C647" s="304"/>
      <c r="D647" s="303" t="e">
        <f t="shared" si="38"/>
        <v>#DIV/0!</v>
      </c>
      <c r="E647" s="303" t="e">
        <f t="shared" si="39"/>
        <v>#DIV/0!</v>
      </c>
      <c r="F647" s="260"/>
    </row>
    <row r="648" spans="1:6" hidden="1">
      <c r="A648" s="264" t="s">
        <v>1224</v>
      </c>
      <c r="B648" s="304"/>
      <c r="C648" s="304"/>
      <c r="D648" s="303" t="e">
        <f t="shared" si="38"/>
        <v>#DIV/0!</v>
      </c>
      <c r="E648" s="303" t="e">
        <f t="shared" si="39"/>
        <v>#DIV/0!</v>
      </c>
      <c r="F648" s="260"/>
    </row>
    <row r="649" spans="1:6" hidden="1">
      <c r="A649" s="264" t="s">
        <v>1223</v>
      </c>
      <c r="B649" s="304"/>
      <c r="C649" s="304"/>
      <c r="D649" s="303" t="e">
        <f t="shared" si="38"/>
        <v>#DIV/0!</v>
      </c>
      <c r="E649" s="303" t="e">
        <f t="shared" si="39"/>
        <v>#DIV/0!</v>
      </c>
      <c r="F649" s="260"/>
    </row>
    <row r="650" spans="1:6" hidden="1">
      <c r="A650" s="264" t="s">
        <v>1222</v>
      </c>
      <c r="B650" s="304"/>
      <c r="C650" s="304"/>
      <c r="D650" s="303" t="e">
        <f t="shared" si="38"/>
        <v>#DIV/0!</v>
      </c>
      <c r="E650" s="303" t="e">
        <f t="shared" si="39"/>
        <v>#DIV/0!</v>
      </c>
      <c r="F650" s="260"/>
    </row>
    <row r="651" spans="1:6" hidden="1">
      <c r="A651" s="264" t="s">
        <v>1221</v>
      </c>
      <c r="B651" s="304"/>
      <c r="C651" s="304"/>
      <c r="D651" s="303" t="e">
        <f t="shared" si="38"/>
        <v>#DIV/0!</v>
      </c>
      <c r="E651" s="303" t="e">
        <f t="shared" si="39"/>
        <v>#DIV/0!</v>
      </c>
      <c r="F651" s="260"/>
    </row>
    <row r="652" spans="1:6" hidden="1">
      <c r="A652" s="264" t="s">
        <v>1220</v>
      </c>
      <c r="B652" s="304"/>
      <c r="C652" s="304"/>
      <c r="D652" s="303" t="e">
        <f t="shared" si="38"/>
        <v>#DIV/0!</v>
      </c>
      <c r="E652" s="303" t="e">
        <f t="shared" si="39"/>
        <v>#DIV/0!</v>
      </c>
      <c r="F652" s="260"/>
    </row>
    <row r="653" spans="1:6" hidden="1">
      <c r="A653" s="264" t="s">
        <v>1219</v>
      </c>
      <c r="B653" s="304"/>
      <c r="C653" s="304"/>
      <c r="D653" s="303" t="e">
        <f t="shared" si="38"/>
        <v>#DIV/0!</v>
      </c>
      <c r="E653" s="303" t="e">
        <f t="shared" si="39"/>
        <v>#DIV/0!</v>
      </c>
      <c r="F653" s="260"/>
    </row>
    <row r="654" spans="1:6">
      <c r="A654" s="264" t="s">
        <v>1218</v>
      </c>
      <c r="B654" s="305"/>
      <c r="C654" s="305">
        <v>309</v>
      </c>
      <c r="D654" s="303"/>
      <c r="E654" s="303">
        <f t="shared" si="39"/>
        <v>1716.67</v>
      </c>
      <c r="F654" s="260">
        <v>18</v>
      </c>
    </row>
    <row r="655" spans="1:6">
      <c r="A655" s="261" t="s">
        <v>1217</v>
      </c>
      <c r="B655" s="304">
        <v>1337</v>
      </c>
      <c r="C655" s="304">
        <f>SUM(C656:C662)</f>
        <v>1149</v>
      </c>
      <c r="D655" s="303">
        <f>C655/B655*100</f>
        <v>85.94</v>
      </c>
      <c r="E655" s="303">
        <f t="shared" si="39"/>
        <v>65.17</v>
      </c>
      <c r="F655" s="263">
        <f>SUM(F656:F662)</f>
        <v>1763</v>
      </c>
    </row>
    <row r="656" spans="1:6">
      <c r="A656" s="264" t="s">
        <v>1216</v>
      </c>
      <c r="B656" s="305"/>
      <c r="C656" s="305">
        <v>26</v>
      </c>
      <c r="D656" s="303"/>
      <c r="E656" s="303">
        <f t="shared" si="39"/>
        <v>113.04</v>
      </c>
      <c r="F656" s="260">
        <v>23</v>
      </c>
    </row>
    <row r="657" spans="1:6">
      <c r="A657" s="264" t="s">
        <v>1215</v>
      </c>
      <c r="B657" s="305"/>
      <c r="C657" s="305">
        <v>218</v>
      </c>
      <c r="D657" s="303"/>
      <c r="E657" s="303">
        <f t="shared" si="39"/>
        <v>52.4</v>
      </c>
      <c r="F657" s="260">
        <v>416</v>
      </c>
    </row>
    <row r="658" spans="1:6">
      <c r="A658" s="264" t="s">
        <v>1214</v>
      </c>
      <c r="B658" s="305"/>
      <c r="C658" s="305">
        <v>112</v>
      </c>
      <c r="D658" s="303"/>
      <c r="E658" s="303">
        <f t="shared" si="39"/>
        <v>96.55</v>
      </c>
      <c r="F658" s="260">
        <v>116</v>
      </c>
    </row>
    <row r="659" spans="1:6" hidden="1">
      <c r="A659" s="264" t="s">
        <v>1213</v>
      </c>
      <c r="B659" s="305"/>
      <c r="C659" s="305"/>
      <c r="D659" s="303"/>
      <c r="E659" s="303">
        <f t="shared" si="39"/>
        <v>0</v>
      </c>
      <c r="F659" s="260">
        <v>103</v>
      </c>
    </row>
    <row r="660" spans="1:6">
      <c r="A660" s="264" t="s">
        <v>1212</v>
      </c>
      <c r="B660" s="305"/>
      <c r="C660" s="305">
        <v>459</v>
      </c>
      <c r="D660" s="303"/>
      <c r="E660" s="303">
        <f t="shared" si="39"/>
        <v>100</v>
      </c>
      <c r="F660" s="260">
        <v>459</v>
      </c>
    </row>
    <row r="661" spans="1:6" hidden="1">
      <c r="A661" s="264" t="s">
        <v>1211</v>
      </c>
      <c r="B661" s="305"/>
      <c r="C661" s="305"/>
      <c r="D661" s="303"/>
      <c r="E661" s="303">
        <f t="shared" si="39"/>
        <v>0</v>
      </c>
      <c r="F661" s="260">
        <v>26</v>
      </c>
    </row>
    <row r="662" spans="1:6">
      <c r="A662" s="264" t="s">
        <v>1210</v>
      </c>
      <c r="B662" s="305"/>
      <c r="C662" s="305">
        <v>334</v>
      </c>
      <c r="D662" s="303"/>
      <c r="E662" s="303">
        <f t="shared" si="39"/>
        <v>53.87</v>
      </c>
      <c r="F662" s="260">
        <v>620</v>
      </c>
    </row>
    <row r="663" spans="1:6">
      <c r="A663" s="261" t="s">
        <v>1209</v>
      </c>
      <c r="B663" s="304">
        <v>665</v>
      </c>
      <c r="C663" s="304">
        <f>SUM(C664:C668)</f>
        <v>464</v>
      </c>
      <c r="D663" s="303">
        <f>C663/B663*100</f>
        <v>69.77</v>
      </c>
      <c r="E663" s="303">
        <f t="shared" si="39"/>
        <v>74.599999999999994</v>
      </c>
      <c r="F663" s="263">
        <f>SUM(F664:F668)</f>
        <v>622</v>
      </c>
    </row>
    <row r="664" spans="1:6">
      <c r="A664" s="264" t="s">
        <v>1208</v>
      </c>
      <c r="B664" s="305"/>
      <c r="C664" s="305">
        <v>268</v>
      </c>
      <c r="D664" s="303"/>
      <c r="E664" s="303">
        <f t="shared" si="39"/>
        <v>69.61</v>
      </c>
      <c r="F664" s="260">
        <v>385</v>
      </c>
    </row>
    <row r="665" spans="1:6">
      <c r="A665" s="264" t="s">
        <v>1207</v>
      </c>
      <c r="B665" s="305"/>
      <c r="C665" s="305">
        <v>110</v>
      </c>
      <c r="D665" s="303"/>
      <c r="E665" s="303">
        <f t="shared" si="39"/>
        <v>57.29</v>
      </c>
      <c r="F665" s="260">
        <v>192</v>
      </c>
    </row>
    <row r="666" spans="1:6">
      <c r="A666" s="264" t="s">
        <v>1206</v>
      </c>
      <c r="B666" s="305"/>
      <c r="C666" s="305">
        <v>78</v>
      </c>
      <c r="D666" s="303"/>
      <c r="E666" s="303">
        <f t="shared" si="39"/>
        <v>173.33</v>
      </c>
      <c r="F666" s="260">
        <v>45</v>
      </c>
    </row>
    <row r="667" spans="1:6" hidden="1">
      <c r="A667" s="264" t="s">
        <v>1205</v>
      </c>
      <c r="B667" s="305"/>
      <c r="C667" s="305"/>
      <c r="D667" s="303"/>
      <c r="E667" s="303" t="e">
        <f t="shared" si="39"/>
        <v>#DIV/0!</v>
      </c>
      <c r="F667" s="266"/>
    </row>
    <row r="668" spans="1:6">
      <c r="A668" s="264" t="s">
        <v>1204</v>
      </c>
      <c r="B668" s="305"/>
      <c r="C668" s="305">
        <v>8</v>
      </c>
      <c r="D668" s="303"/>
      <c r="E668" s="303"/>
      <c r="F668" s="266"/>
    </row>
    <row r="669" spans="1:6">
      <c r="A669" s="261" t="s">
        <v>1203</v>
      </c>
      <c r="B669" s="304">
        <v>2210</v>
      </c>
      <c r="C669" s="304">
        <f>SUM(C670:C675)</f>
        <v>2176</v>
      </c>
      <c r="D669" s="303">
        <f>C669/B669*100</f>
        <v>98.46</v>
      </c>
      <c r="E669" s="303">
        <f>C669/F669*100</f>
        <v>273.70999999999998</v>
      </c>
      <c r="F669" s="263">
        <f>SUM(F670:F675)</f>
        <v>795</v>
      </c>
    </row>
    <row r="670" spans="1:6">
      <c r="A670" s="264" t="s">
        <v>1202</v>
      </c>
      <c r="B670" s="305"/>
      <c r="C670" s="305">
        <v>31</v>
      </c>
      <c r="D670" s="303"/>
      <c r="E670" s="303">
        <f>C670/F670*100</f>
        <v>35.229999999999997</v>
      </c>
      <c r="F670" s="260">
        <v>88</v>
      </c>
    </row>
    <row r="671" spans="1:6">
      <c r="A671" s="264" t="s">
        <v>1201</v>
      </c>
      <c r="B671" s="305"/>
      <c r="C671" s="305">
        <v>25</v>
      </c>
      <c r="D671" s="303"/>
      <c r="E671" s="303"/>
      <c r="F671" s="260"/>
    </row>
    <row r="672" spans="1:6" hidden="1">
      <c r="A672" s="264" t="s">
        <v>1200</v>
      </c>
      <c r="B672" s="305"/>
      <c r="C672" s="305"/>
      <c r="D672" s="303"/>
      <c r="E672" s="303"/>
      <c r="F672" s="260"/>
    </row>
    <row r="673" spans="1:6">
      <c r="A673" s="264" t="s">
        <v>1199</v>
      </c>
      <c r="B673" s="305"/>
      <c r="C673" s="305">
        <v>1952</v>
      </c>
      <c r="D673" s="303"/>
      <c r="E673" s="303">
        <f t="shared" ref="E673:E704" si="40">C673/F673*100</f>
        <v>943</v>
      </c>
      <c r="F673" s="260">
        <v>207</v>
      </c>
    </row>
    <row r="674" spans="1:6">
      <c r="A674" s="264" t="s">
        <v>1198</v>
      </c>
      <c r="B674" s="305"/>
      <c r="C674" s="305">
        <v>163</v>
      </c>
      <c r="D674" s="303"/>
      <c r="E674" s="303">
        <f t="shared" si="40"/>
        <v>191.76</v>
      </c>
      <c r="F674" s="260">
        <v>85</v>
      </c>
    </row>
    <row r="675" spans="1:6">
      <c r="A675" s="264" t="s">
        <v>1197</v>
      </c>
      <c r="B675" s="305"/>
      <c r="C675" s="305">
        <v>5</v>
      </c>
      <c r="D675" s="303"/>
      <c r="E675" s="303">
        <f t="shared" si="40"/>
        <v>1.2</v>
      </c>
      <c r="F675" s="260">
        <f>870-455</f>
        <v>415</v>
      </c>
    </row>
    <row r="676" spans="1:6">
      <c r="A676" s="261" t="s">
        <v>1196</v>
      </c>
      <c r="B676" s="304">
        <v>1338</v>
      </c>
      <c r="C676" s="304">
        <f>SUM(C677:C683)</f>
        <v>1145</v>
      </c>
      <c r="D676" s="303">
        <f>C676/B676*100</f>
        <v>85.58</v>
      </c>
      <c r="E676" s="303">
        <f t="shared" si="40"/>
        <v>165.46</v>
      </c>
      <c r="F676" s="260">
        <f>SUM(F677:F683)</f>
        <v>692</v>
      </c>
    </row>
    <row r="677" spans="1:6">
      <c r="A677" s="264" t="s">
        <v>647</v>
      </c>
      <c r="B677" s="305"/>
      <c r="C677" s="305">
        <v>75</v>
      </c>
      <c r="D677" s="303"/>
      <c r="E677" s="303">
        <f t="shared" si="40"/>
        <v>115.38</v>
      </c>
      <c r="F677" s="260">
        <v>65</v>
      </c>
    </row>
    <row r="678" spans="1:6" hidden="1">
      <c r="A678" s="264" t="s">
        <v>646</v>
      </c>
      <c r="B678" s="305"/>
      <c r="C678" s="305"/>
      <c r="D678" s="303"/>
      <c r="E678" s="303" t="e">
        <f t="shared" si="40"/>
        <v>#DIV/0!</v>
      </c>
      <c r="F678" s="260"/>
    </row>
    <row r="679" spans="1:6" hidden="1">
      <c r="A679" s="264" t="s">
        <v>645</v>
      </c>
      <c r="B679" s="305"/>
      <c r="C679" s="305"/>
      <c r="D679" s="303"/>
      <c r="E679" s="303">
        <f t="shared" si="40"/>
        <v>0</v>
      </c>
      <c r="F679" s="260">
        <v>101</v>
      </c>
    </row>
    <row r="680" spans="1:6">
      <c r="A680" s="264" t="s">
        <v>1195</v>
      </c>
      <c r="B680" s="305"/>
      <c r="C680" s="305">
        <v>231</v>
      </c>
      <c r="D680" s="303"/>
      <c r="E680" s="303">
        <f t="shared" si="40"/>
        <v>202.63</v>
      </c>
      <c r="F680" s="260">
        <v>114</v>
      </c>
    </row>
    <row r="681" spans="1:6">
      <c r="A681" s="264" t="s">
        <v>1194</v>
      </c>
      <c r="B681" s="305"/>
      <c r="C681" s="305">
        <v>252</v>
      </c>
      <c r="D681" s="303"/>
      <c r="E681" s="303">
        <f t="shared" si="40"/>
        <v>210</v>
      </c>
      <c r="F681" s="260">
        <v>120</v>
      </c>
    </row>
    <row r="682" spans="1:6" hidden="1">
      <c r="A682" s="264" t="s">
        <v>1193</v>
      </c>
      <c r="B682" s="305"/>
      <c r="C682" s="305"/>
      <c r="D682" s="303"/>
      <c r="E682" s="303" t="e">
        <f t="shared" si="40"/>
        <v>#DIV/0!</v>
      </c>
      <c r="F682" s="260"/>
    </row>
    <row r="683" spans="1:6">
      <c r="A683" s="264" t="s">
        <v>1192</v>
      </c>
      <c r="B683" s="305"/>
      <c r="C683" s="305">
        <v>587</v>
      </c>
      <c r="D683" s="303"/>
      <c r="E683" s="303">
        <f t="shared" si="40"/>
        <v>201.03</v>
      </c>
      <c r="F683" s="260">
        <v>292</v>
      </c>
    </row>
    <row r="684" spans="1:6">
      <c r="A684" s="261" t="s">
        <v>1191</v>
      </c>
      <c r="B684" s="304">
        <v>120</v>
      </c>
      <c r="C684" s="304">
        <f>SUM(C685:C688)</f>
        <v>120</v>
      </c>
      <c r="D684" s="303">
        <f>C684/B684*100</f>
        <v>100</v>
      </c>
      <c r="E684" s="303">
        <f t="shared" si="40"/>
        <v>34.880000000000003</v>
      </c>
      <c r="F684" s="260">
        <f>SUM(F685:F688)</f>
        <v>344</v>
      </c>
    </row>
    <row r="685" spans="1:6">
      <c r="A685" s="264" t="s">
        <v>1190</v>
      </c>
      <c r="B685" s="305"/>
      <c r="C685" s="305">
        <v>120</v>
      </c>
      <c r="D685" s="303"/>
      <c r="E685" s="303">
        <f t="shared" si="40"/>
        <v>38.22</v>
      </c>
      <c r="F685" s="260">
        <v>314</v>
      </c>
    </row>
    <row r="686" spans="1:6" hidden="1">
      <c r="A686" s="264" t="s">
        <v>1189</v>
      </c>
      <c r="B686" s="304"/>
      <c r="C686" s="304"/>
      <c r="D686" s="303"/>
      <c r="E686" s="303">
        <f t="shared" si="40"/>
        <v>0</v>
      </c>
      <c r="F686" s="260">
        <v>30</v>
      </c>
    </row>
    <row r="687" spans="1:6" hidden="1">
      <c r="A687" s="264" t="s">
        <v>1188</v>
      </c>
      <c r="B687" s="304"/>
      <c r="C687" s="304"/>
      <c r="D687" s="303"/>
      <c r="E687" s="303" t="e">
        <f t="shared" si="40"/>
        <v>#DIV/0!</v>
      </c>
      <c r="F687" s="260"/>
    </row>
    <row r="688" spans="1:6" hidden="1">
      <c r="A688" s="264" t="s">
        <v>1187</v>
      </c>
      <c r="B688" s="304"/>
      <c r="C688" s="304"/>
      <c r="D688" s="303"/>
      <c r="E688" s="303" t="e">
        <f t="shared" si="40"/>
        <v>#DIV/0!</v>
      </c>
      <c r="F688" s="262"/>
    </row>
    <row r="689" spans="1:6">
      <c r="A689" s="261" t="s">
        <v>1186</v>
      </c>
      <c r="B689" s="304">
        <v>34</v>
      </c>
      <c r="C689" s="304">
        <f>SUM(C690:C693)</f>
        <v>34</v>
      </c>
      <c r="D689" s="303">
        <f>C689/B689*100</f>
        <v>100</v>
      </c>
      <c r="E689" s="303">
        <f t="shared" si="40"/>
        <v>130.77000000000001</v>
      </c>
      <c r="F689" s="263">
        <f>SUM(F690:F693)</f>
        <v>26</v>
      </c>
    </row>
    <row r="690" spans="1:6">
      <c r="A690" s="264" t="s">
        <v>647</v>
      </c>
      <c r="B690" s="305"/>
      <c r="C690" s="305">
        <v>34</v>
      </c>
      <c r="D690" s="303"/>
      <c r="E690" s="303">
        <f t="shared" si="40"/>
        <v>130.77000000000001</v>
      </c>
      <c r="F690" s="266">
        <v>26</v>
      </c>
    </row>
    <row r="691" spans="1:6" hidden="1">
      <c r="A691" s="264" t="s">
        <v>646</v>
      </c>
      <c r="B691" s="304"/>
      <c r="C691" s="304"/>
      <c r="D691" s="303"/>
      <c r="E691" s="303" t="e">
        <f t="shared" si="40"/>
        <v>#DIV/0!</v>
      </c>
      <c r="F691" s="262"/>
    </row>
    <row r="692" spans="1:6" hidden="1">
      <c r="A692" s="264" t="s">
        <v>645</v>
      </c>
      <c r="B692" s="304"/>
      <c r="C692" s="304"/>
      <c r="D692" s="303"/>
      <c r="E692" s="303" t="e">
        <f t="shared" si="40"/>
        <v>#DIV/0!</v>
      </c>
      <c r="F692" s="262"/>
    </row>
    <row r="693" spans="1:6" hidden="1">
      <c r="A693" s="264" t="s">
        <v>1185</v>
      </c>
      <c r="B693" s="304"/>
      <c r="C693" s="304"/>
      <c r="D693" s="303"/>
      <c r="E693" s="303" t="e">
        <f t="shared" si="40"/>
        <v>#DIV/0!</v>
      </c>
      <c r="F693" s="262"/>
    </row>
    <row r="694" spans="1:6">
      <c r="A694" s="261" t="s">
        <v>1184</v>
      </c>
      <c r="B694" s="304">
        <v>5483</v>
      </c>
      <c r="C694" s="304">
        <f>SUM(C695:C696)</f>
        <v>5483</v>
      </c>
      <c r="D694" s="303">
        <f>C694/B694*100</f>
        <v>100</v>
      </c>
      <c r="E694" s="303">
        <f t="shared" si="40"/>
        <v>129.22</v>
      </c>
      <c r="F694" s="263">
        <f>SUM(F695:F696)</f>
        <v>4243</v>
      </c>
    </row>
    <row r="695" spans="1:6">
      <c r="A695" s="264" t="s">
        <v>1183</v>
      </c>
      <c r="B695" s="305"/>
      <c r="C695" s="305">
        <v>991</v>
      </c>
      <c r="D695" s="303"/>
      <c r="E695" s="303">
        <f t="shared" si="40"/>
        <v>130.22</v>
      </c>
      <c r="F695" s="270">
        <v>761</v>
      </c>
    </row>
    <row r="696" spans="1:6">
      <c r="A696" s="264" t="s">
        <v>1182</v>
      </c>
      <c r="B696" s="305"/>
      <c r="C696" s="305">
        <f>5637-1145</f>
        <v>4492</v>
      </c>
      <c r="D696" s="303"/>
      <c r="E696" s="303">
        <f t="shared" si="40"/>
        <v>129.01</v>
      </c>
      <c r="F696" s="270">
        <v>3482</v>
      </c>
    </row>
    <row r="697" spans="1:6">
      <c r="A697" s="261" t="s">
        <v>1181</v>
      </c>
      <c r="B697" s="304">
        <v>511</v>
      </c>
      <c r="C697" s="304">
        <f>SUM(C698:C699)</f>
        <v>422</v>
      </c>
      <c r="D697" s="303">
        <f>C697/B697*100</f>
        <v>82.58</v>
      </c>
      <c r="E697" s="303">
        <f t="shared" si="40"/>
        <v>159.25</v>
      </c>
      <c r="F697" s="260">
        <f>SUM(F698:F699)</f>
        <v>265</v>
      </c>
    </row>
    <row r="698" spans="1:6">
      <c r="A698" s="264" t="s">
        <v>1180</v>
      </c>
      <c r="B698" s="305"/>
      <c r="C698" s="305">
        <v>419</v>
      </c>
      <c r="D698" s="303"/>
      <c r="E698" s="303">
        <f t="shared" si="40"/>
        <v>202.42</v>
      </c>
      <c r="F698" s="260">
        <v>207</v>
      </c>
    </row>
    <row r="699" spans="1:6">
      <c r="A699" s="264" t="s">
        <v>1179</v>
      </c>
      <c r="B699" s="305"/>
      <c r="C699" s="305">
        <v>3</v>
      </c>
      <c r="D699" s="303"/>
      <c r="E699" s="303">
        <f t="shared" si="40"/>
        <v>5.17</v>
      </c>
      <c r="F699" s="260">
        <v>58</v>
      </c>
    </row>
    <row r="700" spans="1:6">
      <c r="A700" s="261" t="s">
        <v>1178</v>
      </c>
      <c r="B700" s="304">
        <v>1736</v>
      </c>
      <c r="C700" s="304">
        <f>SUM(C701:C702)</f>
        <v>1736</v>
      </c>
      <c r="D700" s="303">
        <f>C700/B700*100</f>
        <v>100</v>
      </c>
      <c r="E700" s="303">
        <f t="shared" si="40"/>
        <v>147.74</v>
      </c>
      <c r="F700" s="260">
        <f>SUM(F701:F702)</f>
        <v>1175</v>
      </c>
    </row>
    <row r="701" spans="1:6" hidden="1">
      <c r="A701" s="264" t="s">
        <v>1177</v>
      </c>
      <c r="B701" s="305"/>
      <c r="C701" s="305"/>
      <c r="D701" s="303"/>
      <c r="E701" s="303" t="e">
        <f t="shared" si="40"/>
        <v>#DIV/0!</v>
      </c>
      <c r="F701" s="260"/>
    </row>
    <row r="702" spans="1:6">
      <c r="A702" s="264" t="s">
        <v>1176</v>
      </c>
      <c r="B702" s="305"/>
      <c r="C702" s="305">
        <v>1736</v>
      </c>
      <c r="D702" s="303"/>
      <c r="E702" s="303">
        <f t="shared" si="40"/>
        <v>147.74</v>
      </c>
      <c r="F702" s="265">
        <v>1175</v>
      </c>
    </row>
    <row r="703" spans="1:6" hidden="1">
      <c r="A703" s="271" t="s">
        <v>1175</v>
      </c>
      <c r="B703" s="304"/>
      <c r="C703" s="304">
        <f>SUM(C704:C705)</f>
        <v>0</v>
      </c>
      <c r="D703" s="303"/>
      <c r="E703" s="303" t="e">
        <f t="shared" si="40"/>
        <v>#DIV/0!</v>
      </c>
      <c r="F703" s="263">
        <f>SUM(F704:F705)</f>
        <v>0</v>
      </c>
    </row>
    <row r="704" spans="1:6" hidden="1">
      <c r="A704" s="241" t="s">
        <v>1174</v>
      </c>
      <c r="B704" s="304"/>
      <c r="C704" s="304"/>
      <c r="D704" s="303"/>
      <c r="E704" s="303" t="e">
        <f t="shared" si="40"/>
        <v>#DIV/0!</v>
      </c>
      <c r="F704" s="262"/>
    </row>
    <row r="705" spans="1:6" hidden="1">
      <c r="A705" s="241" t="s">
        <v>1173</v>
      </c>
      <c r="B705" s="304"/>
      <c r="C705" s="304"/>
      <c r="D705" s="303"/>
      <c r="E705" s="303" t="e">
        <f t="shared" ref="E705:E736" si="41">C705/F705*100</f>
        <v>#DIV/0!</v>
      </c>
      <c r="F705" s="262"/>
    </row>
    <row r="706" spans="1:6">
      <c r="A706" s="271" t="s">
        <v>1172</v>
      </c>
      <c r="B706" s="304">
        <v>170</v>
      </c>
      <c r="C706" s="304">
        <f>SUM(C707:C708)</f>
        <v>155</v>
      </c>
      <c r="D706" s="303">
        <f>C706/B706*100</f>
        <v>91.18</v>
      </c>
      <c r="E706" s="303">
        <f t="shared" si="41"/>
        <v>10.79</v>
      </c>
      <c r="F706" s="263">
        <f>SUM(F707:F708)</f>
        <v>1436</v>
      </c>
    </row>
    <row r="707" spans="1:6" hidden="1">
      <c r="A707" s="241" t="s">
        <v>1171</v>
      </c>
      <c r="B707" s="305"/>
      <c r="C707" s="305"/>
      <c r="D707" s="303"/>
      <c r="E707" s="303">
        <f t="shared" si="41"/>
        <v>0</v>
      </c>
      <c r="F707" s="260">
        <v>109</v>
      </c>
    </row>
    <row r="708" spans="1:6">
      <c r="A708" s="241" t="s">
        <v>1170</v>
      </c>
      <c r="B708" s="305"/>
      <c r="C708" s="305">
        <v>155</v>
      </c>
      <c r="D708" s="303"/>
      <c r="E708" s="303">
        <f t="shared" si="41"/>
        <v>11.68</v>
      </c>
      <c r="F708" s="270">
        <v>1327</v>
      </c>
    </row>
    <row r="709" spans="1:6">
      <c r="A709" s="261" t="s">
        <v>1169</v>
      </c>
      <c r="B709" s="304">
        <v>2037</v>
      </c>
      <c r="C709" s="304">
        <f>C710</f>
        <v>2037</v>
      </c>
      <c r="D709" s="303">
        <f>C709/B709*100</f>
        <v>100</v>
      </c>
      <c r="E709" s="303">
        <f t="shared" si="41"/>
        <v>151.9</v>
      </c>
      <c r="F709" s="263">
        <f>F710</f>
        <v>1341</v>
      </c>
    </row>
    <row r="710" spans="1:6">
      <c r="A710" s="264" t="s">
        <v>1168</v>
      </c>
      <c r="B710" s="305"/>
      <c r="C710" s="305">
        <v>2037</v>
      </c>
      <c r="D710" s="303"/>
      <c r="E710" s="303">
        <f t="shared" si="41"/>
        <v>151.9</v>
      </c>
      <c r="F710" s="260">
        <v>1341</v>
      </c>
    </row>
    <row r="711" spans="1:6">
      <c r="A711" s="261" t="s">
        <v>1167</v>
      </c>
      <c r="B711" s="304">
        <f>SUM(B712,B717,B730,B734,B746,B756,B759,B763,B773)</f>
        <v>47189</v>
      </c>
      <c r="C711" s="304">
        <f>SUM(C712,C717,C730,C734,C746,C756,C759,C763,C773)</f>
        <v>46459</v>
      </c>
      <c r="D711" s="303">
        <f>C711/B711*100</f>
        <v>98.45</v>
      </c>
      <c r="E711" s="303">
        <f t="shared" si="41"/>
        <v>122.99</v>
      </c>
      <c r="F711" s="263">
        <f>SUM(F712,F717,F730,F734,F746,F756,F759,F763,F773)</f>
        <v>37775</v>
      </c>
    </row>
    <row r="712" spans="1:6">
      <c r="A712" s="261" t="s">
        <v>1166</v>
      </c>
      <c r="B712" s="304">
        <v>1974</v>
      </c>
      <c r="C712" s="304">
        <f>SUM(C713:C716)</f>
        <v>1928</v>
      </c>
      <c r="D712" s="303">
        <f>C712/B712*100</f>
        <v>97.67</v>
      </c>
      <c r="E712" s="303">
        <f t="shared" si="41"/>
        <v>151.1</v>
      </c>
      <c r="F712" s="263">
        <f>SUM(F713:F716)</f>
        <v>1276</v>
      </c>
    </row>
    <row r="713" spans="1:6">
      <c r="A713" s="264" t="s">
        <v>647</v>
      </c>
      <c r="B713" s="305"/>
      <c r="C713" s="305">
        <v>694</v>
      </c>
      <c r="D713" s="303"/>
      <c r="E713" s="303">
        <f t="shared" si="41"/>
        <v>122.83</v>
      </c>
      <c r="F713" s="265">
        <v>565</v>
      </c>
    </row>
    <row r="714" spans="1:6">
      <c r="A714" s="264" t="s">
        <v>646</v>
      </c>
      <c r="B714" s="305"/>
      <c r="C714" s="305">
        <v>1162</v>
      </c>
      <c r="D714" s="303"/>
      <c r="E714" s="303" t="e">
        <f t="shared" si="41"/>
        <v>#DIV/0!</v>
      </c>
      <c r="F714" s="260"/>
    </row>
    <row r="715" spans="1:6" hidden="1">
      <c r="A715" s="264" t="s">
        <v>645</v>
      </c>
      <c r="B715" s="305"/>
      <c r="C715" s="305"/>
      <c r="D715" s="303"/>
      <c r="E715" s="303" t="e">
        <f t="shared" si="41"/>
        <v>#DIV/0!</v>
      </c>
      <c r="F715" s="270"/>
    </row>
    <row r="716" spans="1:6">
      <c r="A716" s="264" t="s">
        <v>1165</v>
      </c>
      <c r="B716" s="305"/>
      <c r="C716" s="305">
        <v>72</v>
      </c>
      <c r="D716" s="303"/>
      <c r="E716" s="303">
        <f t="shared" si="41"/>
        <v>10.130000000000001</v>
      </c>
      <c r="F716" s="260">
        <v>711</v>
      </c>
    </row>
    <row r="717" spans="1:6">
      <c r="A717" s="261" t="s">
        <v>1164</v>
      </c>
      <c r="B717" s="304">
        <v>7557</v>
      </c>
      <c r="C717" s="304">
        <f>SUM(C718:C729)</f>
        <v>7246</v>
      </c>
      <c r="D717" s="303">
        <f>C717/B717*100</f>
        <v>95.88</v>
      </c>
      <c r="E717" s="303">
        <f t="shared" si="41"/>
        <v>148.06</v>
      </c>
      <c r="F717" s="263">
        <f>SUM(F718:F729)</f>
        <v>4894</v>
      </c>
    </row>
    <row r="718" spans="1:6">
      <c r="A718" s="264" t="s">
        <v>1163</v>
      </c>
      <c r="B718" s="305"/>
      <c r="C718" s="305">
        <v>4926</v>
      </c>
      <c r="D718" s="303"/>
      <c r="E718" s="303">
        <f t="shared" si="41"/>
        <v>166.87</v>
      </c>
      <c r="F718" s="260">
        <v>2952</v>
      </c>
    </row>
    <row r="719" spans="1:6">
      <c r="A719" s="264" t="s">
        <v>1162</v>
      </c>
      <c r="B719" s="305"/>
      <c r="C719" s="305">
        <v>1343</v>
      </c>
      <c r="D719" s="303"/>
      <c r="E719" s="303">
        <f t="shared" si="41"/>
        <v>100.15</v>
      </c>
      <c r="F719" s="260">
        <v>1341</v>
      </c>
    </row>
    <row r="720" spans="1:6" hidden="1">
      <c r="A720" s="264" t="s">
        <v>1161</v>
      </c>
      <c r="B720" s="305"/>
      <c r="C720" s="305"/>
      <c r="D720" s="303"/>
      <c r="E720" s="303" t="e">
        <f t="shared" si="41"/>
        <v>#DIV/0!</v>
      </c>
      <c r="F720" s="260"/>
    </row>
    <row r="721" spans="1:6" hidden="1">
      <c r="A721" s="264" t="s">
        <v>1160</v>
      </c>
      <c r="B721" s="305"/>
      <c r="C721" s="305"/>
      <c r="D721" s="303"/>
      <c r="E721" s="303" t="e">
        <f t="shared" si="41"/>
        <v>#DIV/0!</v>
      </c>
      <c r="F721" s="260"/>
    </row>
    <row r="722" spans="1:6">
      <c r="A722" s="264" t="s">
        <v>1159</v>
      </c>
      <c r="B722" s="305"/>
      <c r="C722" s="305">
        <v>655</v>
      </c>
      <c r="D722" s="303"/>
      <c r="E722" s="303" t="e">
        <f t="shared" si="41"/>
        <v>#DIV/0!</v>
      </c>
      <c r="F722" s="260"/>
    </row>
    <row r="723" spans="1:6" hidden="1">
      <c r="A723" s="264" t="s">
        <v>1158</v>
      </c>
      <c r="B723" s="305"/>
      <c r="C723" s="305"/>
      <c r="D723" s="303"/>
      <c r="E723" s="303" t="e">
        <f t="shared" si="41"/>
        <v>#DIV/0!</v>
      </c>
      <c r="F723" s="260"/>
    </row>
    <row r="724" spans="1:6" hidden="1">
      <c r="A724" s="264" t="s">
        <v>1157</v>
      </c>
      <c r="B724" s="305"/>
      <c r="C724" s="305"/>
      <c r="D724" s="303"/>
      <c r="E724" s="303" t="e">
        <f t="shared" si="41"/>
        <v>#DIV/0!</v>
      </c>
      <c r="F724" s="260"/>
    </row>
    <row r="725" spans="1:6" hidden="1">
      <c r="A725" s="264" t="s">
        <v>1156</v>
      </c>
      <c r="B725" s="305"/>
      <c r="C725" s="305"/>
      <c r="D725" s="303"/>
      <c r="E725" s="303" t="e">
        <f t="shared" si="41"/>
        <v>#DIV/0!</v>
      </c>
      <c r="F725" s="260"/>
    </row>
    <row r="726" spans="1:6" hidden="1">
      <c r="A726" s="264" t="s">
        <v>1155</v>
      </c>
      <c r="B726" s="305"/>
      <c r="C726" s="305"/>
      <c r="D726" s="303"/>
      <c r="E726" s="303" t="e">
        <f t="shared" si="41"/>
        <v>#DIV/0!</v>
      </c>
      <c r="F726" s="260"/>
    </row>
    <row r="727" spans="1:6" hidden="1">
      <c r="A727" s="264" t="s">
        <v>1154</v>
      </c>
      <c r="B727" s="305"/>
      <c r="C727" s="305"/>
      <c r="D727" s="303"/>
      <c r="E727" s="303" t="e">
        <f t="shared" si="41"/>
        <v>#DIV/0!</v>
      </c>
      <c r="F727" s="260"/>
    </row>
    <row r="728" spans="1:6" hidden="1">
      <c r="A728" s="264" t="s">
        <v>1153</v>
      </c>
      <c r="B728" s="305"/>
      <c r="C728" s="305"/>
      <c r="D728" s="303"/>
      <c r="E728" s="303" t="e">
        <f t="shared" si="41"/>
        <v>#DIV/0!</v>
      </c>
      <c r="F728" s="260"/>
    </row>
    <row r="729" spans="1:6">
      <c r="A729" s="264" t="s">
        <v>1152</v>
      </c>
      <c r="B729" s="305"/>
      <c r="C729" s="305">
        <v>322</v>
      </c>
      <c r="D729" s="303"/>
      <c r="E729" s="303">
        <f t="shared" si="41"/>
        <v>53.58</v>
      </c>
      <c r="F729" s="260">
        <v>601</v>
      </c>
    </row>
    <row r="730" spans="1:6">
      <c r="A730" s="261" t="s">
        <v>1151</v>
      </c>
      <c r="B730" s="304">
        <v>8431</v>
      </c>
      <c r="C730" s="304">
        <f>SUM(C731:C733)</f>
        <v>8379</v>
      </c>
      <c r="D730" s="303">
        <f>C730/B730*100</f>
        <v>99.38</v>
      </c>
      <c r="E730" s="303">
        <f t="shared" si="41"/>
        <v>120.67</v>
      </c>
      <c r="F730" s="260">
        <f>SUM(F731:F733)</f>
        <v>6944</v>
      </c>
    </row>
    <row r="731" spans="1:6">
      <c r="A731" s="264" t="s">
        <v>1150</v>
      </c>
      <c r="B731" s="305"/>
      <c r="C731" s="305">
        <v>608</v>
      </c>
      <c r="D731" s="303"/>
      <c r="E731" s="303">
        <f t="shared" si="41"/>
        <v>158.33000000000001</v>
      </c>
      <c r="F731" s="260">
        <v>384</v>
      </c>
    </row>
    <row r="732" spans="1:6">
      <c r="A732" s="264" t="s">
        <v>1149</v>
      </c>
      <c r="B732" s="305"/>
      <c r="C732" s="305">
        <v>6431</v>
      </c>
      <c r="D732" s="303"/>
      <c r="E732" s="303">
        <f t="shared" si="41"/>
        <v>130.74</v>
      </c>
      <c r="F732" s="260">
        <v>4919</v>
      </c>
    </row>
    <row r="733" spans="1:6">
      <c r="A733" s="264" t="s">
        <v>1148</v>
      </c>
      <c r="B733" s="305"/>
      <c r="C733" s="305">
        <v>1340</v>
      </c>
      <c r="D733" s="303"/>
      <c r="E733" s="303">
        <f t="shared" si="41"/>
        <v>81.66</v>
      </c>
      <c r="F733" s="260">
        <v>1641</v>
      </c>
    </row>
    <row r="734" spans="1:6">
      <c r="A734" s="261" t="s">
        <v>1147</v>
      </c>
      <c r="B734" s="304">
        <v>4620</v>
      </c>
      <c r="C734" s="304">
        <f>SUM(C735:C745)</f>
        <v>4603</v>
      </c>
      <c r="D734" s="303">
        <f>C734/B734*100</f>
        <v>99.63</v>
      </c>
      <c r="E734" s="303">
        <f t="shared" si="41"/>
        <v>141.54</v>
      </c>
      <c r="F734" s="260">
        <f>SUM(F735:F745)</f>
        <v>3252</v>
      </c>
    </row>
    <row r="735" spans="1:6">
      <c r="A735" s="264" t="s">
        <v>1146</v>
      </c>
      <c r="B735" s="305"/>
      <c r="C735" s="305">
        <v>914</v>
      </c>
      <c r="D735" s="303"/>
      <c r="E735" s="303">
        <f t="shared" si="41"/>
        <v>300.66000000000003</v>
      </c>
      <c r="F735" s="260">
        <v>304</v>
      </c>
    </row>
    <row r="736" spans="1:6">
      <c r="A736" s="264" t="s">
        <v>1145</v>
      </c>
      <c r="B736" s="305"/>
      <c r="C736" s="305">
        <v>335</v>
      </c>
      <c r="D736" s="303"/>
      <c r="E736" s="303">
        <f t="shared" si="41"/>
        <v>116.32</v>
      </c>
      <c r="F736" s="260">
        <v>288</v>
      </c>
    </row>
    <row r="737" spans="1:6">
      <c r="A737" s="264" t="s">
        <v>1144</v>
      </c>
      <c r="B737" s="305"/>
      <c r="C737" s="305">
        <v>418</v>
      </c>
      <c r="D737" s="303"/>
      <c r="E737" s="303">
        <f t="shared" ref="E737:E768" si="42">C737/F737*100</f>
        <v>160.77000000000001</v>
      </c>
      <c r="F737" s="260">
        <v>260</v>
      </c>
    </row>
    <row r="738" spans="1:6" hidden="1">
      <c r="A738" s="264" t="s">
        <v>1143</v>
      </c>
      <c r="B738" s="305"/>
      <c r="C738" s="305"/>
      <c r="D738" s="303"/>
      <c r="E738" s="303" t="e">
        <f t="shared" si="42"/>
        <v>#DIV/0!</v>
      </c>
      <c r="F738" s="260"/>
    </row>
    <row r="739" spans="1:6" hidden="1">
      <c r="A739" s="264" t="s">
        <v>1142</v>
      </c>
      <c r="B739" s="305"/>
      <c r="C739" s="305"/>
      <c r="D739" s="303"/>
      <c r="E739" s="303" t="e">
        <f t="shared" si="42"/>
        <v>#DIV/0!</v>
      </c>
      <c r="F739" s="260"/>
    </row>
    <row r="740" spans="1:6" hidden="1">
      <c r="A740" s="264" t="s">
        <v>1141</v>
      </c>
      <c r="B740" s="305"/>
      <c r="C740" s="305"/>
      <c r="D740" s="303"/>
      <c r="E740" s="303" t="e">
        <f t="shared" si="42"/>
        <v>#DIV/0!</v>
      </c>
      <c r="F740" s="260"/>
    </row>
    <row r="741" spans="1:6">
      <c r="A741" s="264" t="s">
        <v>1140</v>
      </c>
      <c r="B741" s="305"/>
      <c r="C741" s="305">
        <v>50</v>
      </c>
      <c r="D741" s="303"/>
      <c r="E741" s="303" t="e">
        <f t="shared" si="42"/>
        <v>#DIV/0!</v>
      </c>
      <c r="F741" s="260"/>
    </row>
    <row r="742" spans="1:6">
      <c r="A742" s="264" t="s">
        <v>1139</v>
      </c>
      <c r="B742" s="305"/>
      <c r="C742" s="305">
        <v>1948</v>
      </c>
      <c r="D742" s="303"/>
      <c r="E742" s="303">
        <f t="shared" si="42"/>
        <v>105.87</v>
      </c>
      <c r="F742" s="260">
        <v>1840</v>
      </c>
    </row>
    <row r="743" spans="1:6">
      <c r="A743" s="264" t="s">
        <v>1138</v>
      </c>
      <c r="B743" s="305"/>
      <c r="C743" s="305">
        <v>371</v>
      </c>
      <c r="D743" s="303"/>
      <c r="E743" s="303">
        <f t="shared" si="42"/>
        <v>157.87</v>
      </c>
      <c r="F743" s="260">
        <v>235</v>
      </c>
    </row>
    <row r="744" spans="1:6" hidden="1">
      <c r="A744" s="264" t="s">
        <v>1137</v>
      </c>
      <c r="B744" s="305"/>
      <c r="C744" s="305"/>
      <c r="D744" s="303"/>
      <c r="E744" s="303" t="e">
        <f t="shared" si="42"/>
        <v>#DIV/0!</v>
      </c>
      <c r="F744" s="260"/>
    </row>
    <row r="745" spans="1:6">
      <c r="A745" s="264" t="s">
        <v>1136</v>
      </c>
      <c r="B745" s="305"/>
      <c r="C745" s="305">
        <v>567</v>
      </c>
      <c r="D745" s="303"/>
      <c r="E745" s="303">
        <f t="shared" si="42"/>
        <v>174.46</v>
      </c>
      <c r="F745" s="260">
        <v>325</v>
      </c>
    </row>
    <row r="746" spans="1:6">
      <c r="A746" s="261" t="s">
        <v>1135</v>
      </c>
      <c r="B746" s="304">
        <v>21569</v>
      </c>
      <c r="C746" s="304">
        <f>SUM(C747:C755)</f>
        <v>21509</v>
      </c>
      <c r="D746" s="303">
        <f>C746/B746*100</f>
        <v>99.72</v>
      </c>
      <c r="E746" s="303">
        <f t="shared" si="42"/>
        <v>121.53</v>
      </c>
      <c r="F746" s="260">
        <f>SUM(F747:F755)</f>
        <v>17698</v>
      </c>
    </row>
    <row r="747" spans="1:6">
      <c r="A747" s="264" t="s">
        <v>1134</v>
      </c>
      <c r="B747" s="305"/>
      <c r="C747" s="305"/>
      <c r="D747" s="303"/>
      <c r="E747" s="303" t="e">
        <f t="shared" si="42"/>
        <v>#DIV/0!</v>
      </c>
      <c r="F747" s="260"/>
    </row>
    <row r="748" spans="1:6">
      <c r="A748" s="264" t="s">
        <v>1133</v>
      </c>
      <c r="B748" s="305"/>
      <c r="C748" s="305">
        <v>2006</v>
      </c>
      <c r="D748" s="303"/>
      <c r="E748" s="303" t="e">
        <f t="shared" si="42"/>
        <v>#DIV/0!</v>
      </c>
      <c r="F748" s="260"/>
    </row>
    <row r="749" spans="1:6">
      <c r="A749" s="264" t="s">
        <v>1132</v>
      </c>
      <c r="B749" s="305"/>
      <c r="C749" s="305">
        <v>966</v>
      </c>
      <c r="D749" s="303"/>
      <c r="E749" s="303">
        <f t="shared" si="42"/>
        <v>117.38</v>
      </c>
      <c r="F749" s="260">
        <v>823</v>
      </c>
    </row>
    <row r="750" spans="1:6">
      <c r="A750" s="264" t="s">
        <v>1131</v>
      </c>
      <c r="B750" s="305"/>
      <c r="C750" s="305">
        <v>12</v>
      </c>
      <c r="D750" s="303"/>
      <c r="E750" s="303">
        <f t="shared" si="42"/>
        <v>20.34</v>
      </c>
      <c r="F750" s="260">
        <v>59</v>
      </c>
    </row>
    <row r="751" spans="1:6">
      <c r="A751" s="264" t="s">
        <v>1130</v>
      </c>
      <c r="B751" s="305"/>
      <c r="C751" s="305">
        <v>15326</v>
      </c>
      <c r="D751" s="303"/>
      <c r="E751" s="303">
        <f t="shared" si="42"/>
        <v>108.39</v>
      </c>
      <c r="F751" s="260">
        <f>13844+296</f>
        <v>14140</v>
      </c>
    </row>
    <row r="752" spans="1:6">
      <c r="A752" s="264" t="s">
        <v>1129</v>
      </c>
      <c r="B752" s="305"/>
      <c r="C752" s="305">
        <v>1418</v>
      </c>
      <c r="D752" s="303"/>
      <c r="E752" s="303">
        <f t="shared" si="42"/>
        <v>123.41</v>
      </c>
      <c r="F752" s="260">
        <v>1149</v>
      </c>
    </row>
    <row r="753" spans="1:6">
      <c r="A753" s="264" t="s">
        <v>1128</v>
      </c>
      <c r="B753" s="305"/>
      <c r="C753" s="305">
        <v>1381</v>
      </c>
      <c r="D753" s="303"/>
      <c r="E753" s="303">
        <f t="shared" si="42"/>
        <v>132.53</v>
      </c>
      <c r="F753" s="260">
        <v>1042</v>
      </c>
    </row>
    <row r="754" spans="1:6">
      <c r="A754" s="264" t="s">
        <v>1127</v>
      </c>
      <c r="B754" s="305"/>
      <c r="C754" s="305">
        <v>55</v>
      </c>
      <c r="D754" s="303"/>
      <c r="E754" s="303">
        <f t="shared" si="42"/>
        <v>166.67</v>
      </c>
      <c r="F754" s="260">
        <v>33</v>
      </c>
    </row>
    <row r="755" spans="1:6">
      <c r="A755" s="264" t="s">
        <v>1126</v>
      </c>
      <c r="B755" s="305"/>
      <c r="C755" s="305">
        <v>345</v>
      </c>
      <c r="D755" s="303"/>
      <c r="E755" s="303">
        <f t="shared" si="42"/>
        <v>76.33</v>
      </c>
      <c r="F755" s="260">
        <v>452</v>
      </c>
    </row>
    <row r="756" spans="1:6">
      <c r="A756" s="261" t="s">
        <v>1125</v>
      </c>
      <c r="B756" s="304">
        <v>321</v>
      </c>
      <c r="C756" s="304">
        <f>SUM(C757:C758)</f>
        <v>321</v>
      </c>
      <c r="D756" s="303">
        <f>C756/B756*100</f>
        <v>100</v>
      </c>
      <c r="E756" s="303">
        <f t="shared" si="42"/>
        <v>802.5</v>
      </c>
      <c r="F756" s="260">
        <f>SUM(F757:F758)</f>
        <v>40</v>
      </c>
    </row>
    <row r="757" spans="1:6">
      <c r="A757" s="264" t="s">
        <v>1124</v>
      </c>
      <c r="B757" s="305"/>
      <c r="C757" s="305">
        <v>321</v>
      </c>
      <c r="D757" s="303"/>
      <c r="E757" s="303">
        <f t="shared" si="42"/>
        <v>802.5</v>
      </c>
      <c r="F757" s="265">
        <v>40</v>
      </c>
    </row>
    <row r="758" spans="1:6" hidden="1">
      <c r="A758" s="264" t="s">
        <v>1123</v>
      </c>
      <c r="B758" s="305"/>
      <c r="C758" s="305"/>
      <c r="D758" s="303"/>
      <c r="E758" s="303" t="e">
        <f t="shared" si="42"/>
        <v>#DIV/0!</v>
      </c>
      <c r="F758" s="265"/>
    </row>
    <row r="759" spans="1:6">
      <c r="A759" s="261" t="s">
        <v>1122</v>
      </c>
      <c r="B759" s="304">
        <v>2377</v>
      </c>
      <c r="C759" s="304">
        <f>SUM(C760:C762)</f>
        <v>2220</v>
      </c>
      <c r="D759" s="303">
        <f>C759/B759*100</f>
        <v>93.4</v>
      </c>
      <c r="E759" s="303">
        <f t="shared" si="42"/>
        <v>63.9</v>
      </c>
      <c r="F759" s="265">
        <f>SUM(F760:F762)</f>
        <v>3474</v>
      </c>
    </row>
    <row r="760" spans="1:6" hidden="1">
      <c r="A760" s="264" t="s">
        <v>1121</v>
      </c>
      <c r="B760" s="305"/>
      <c r="C760" s="305"/>
      <c r="D760" s="303"/>
      <c r="E760" s="303" t="e">
        <f t="shared" si="42"/>
        <v>#DIV/0!</v>
      </c>
      <c r="F760" s="260"/>
    </row>
    <row r="761" spans="1:6">
      <c r="A761" s="264" t="s">
        <v>1120</v>
      </c>
      <c r="B761" s="305"/>
      <c r="C761" s="305">
        <v>486</v>
      </c>
      <c r="D761" s="303"/>
      <c r="E761" s="303">
        <f t="shared" si="42"/>
        <v>60.9</v>
      </c>
      <c r="F761" s="270">
        <v>798</v>
      </c>
    </row>
    <row r="762" spans="1:6">
      <c r="A762" s="264" t="s">
        <v>1119</v>
      </c>
      <c r="B762" s="305"/>
      <c r="C762" s="305">
        <v>1734</v>
      </c>
      <c r="D762" s="303"/>
      <c r="E762" s="303">
        <f t="shared" si="42"/>
        <v>64.8</v>
      </c>
      <c r="F762" s="265">
        <v>2676</v>
      </c>
    </row>
    <row r="763" spans="1:6">
      <c r="A763" s="261" t="s">
        <v>1118</v>
      </c>
      <c r="B763" s="304">
        <v>247</v>
      </c>
      <c r="C763" s="304">
        <f>SUM(C764:C772)</f>
        <v>162</v>
      </c>
      <c r="D763" s="303">
        <f>C763/B763*100</f>
        <v>65.59</v>
      </c>
      <c r="E763" s="303">
        <f t="shared" si="42"/>
        <v>90</v>
      </c>
      <c r="F763" s="260">
        <f>SUM(F764:F772)</f>
        <v>180</v>
      </c>
    </row>
    <row r="764" spans="1:6">
      <c r="A764" s="264" t="s">
        <v>647</v>
      </c>
      <c r="B764" s="305"/>
      <c r="C764" s="305">
        <v>1</v>
      </c>
      <c r="D764" s="303"/>
      <c r="E764" s="303">
        <f t="shared" si="42"/>
        <v>0.72</v>
      </c>
      <c r="F764" s="270">
        <v>138</v>
      </c>
    </row>
    <row r="765" spans="1:6">
      <c r="A765" s="264" t="s">
        <v>646</v>
      </c>
      <c r="B765" s="305"/>
      <c r="C765" s="305">
        <v>43</v>
      </c>
      <c r="D765" s="303"/>
      <c r="E765" s="303">
        <f t="shared" si="42"/>
        <v>1433.33</v>
      </c>
      <c r="F765" s="260">
        <v>3</v>
      </c>
    </row>
    <row r="766" spans="1:6" hidden="1">
      <c r="A766" s="264" t="s">
        <v>645</v>
      </c>
      <c r="B766" s="305"/>
      <c r="C766" s="305"/>
      <c r="D766" s="303"/>
      <c r="E766" s="303" t="e">
        <f t="shared" si="42"/>
        <v>#DIV/0!</v>
      </c>
      <c r="F766" s="260"/>
    </row>
    <row r="767" spans="1:6" hidden="1">
      <c r="A767" s="264" t="s">
        <v>1117</v>
      </c>
      <c r="B767" s="305"/>
      <c r="C767" s="305"/>
      <c r="D767" s="303"/>
      <c r="E767" s="303">
        <f t="shared" si="42"/>
        <v>0</v>
      </c>
      <c r="F767" s="260">
        <v>6</v>
      </c>
    </row>
    <row r="768" spans="1:6" hidden="1">
      <c r="A768" s="264" t="s">
        <v>1116</v>
      </c>
      <c r="B768" s="305"/>
      <c r="C768" s="305"/>
      <c r="D768" s="303"/>
      <c r="E768" s="303" t="e">
        <f t="shared" si="42"/>
        <v>#DIV/0!</v>
      </c>
      <c r="F768" s="260"/>
    </row>
    <row r="769" spans="1:6" hidden="1">
      <c r="A769" s="264" t="s">
        <v>1115</v>
      </c>
      <c r="B769" s="305"/>
      <c r="C769" s="305"/>
      <c r="D769" s="303"/>
      <c r="E769" s="303" t="e">
        <f t="shared" ref="E769:E783" si="43">C769/F769*100</f>
        <v>#DIV/0!</v>
      </c>
      <c r="F769" s="260"/>
    </row>
    <row r="770" spans="1:6">
      <c r="A770" s="264" t="s">
        <v>1114</v>
      </c>
      <c r="B770" s="305"/>
      <c r="C770" s="305">
        <v>17</v>
      </c>
      <c r="D770" s="303"/>
      <c r="E770" s="303">
        <f t="shared" si="43"/>
        <v>94.44</v>
      </c>
      <c r="F770" s="260">
        <v>18</v>
      </c>
    </row>
    <row r="771" spans="1:6">
      <c r="A771" s="264" t="s">
        <v>636</v>
      </c>
      <c r="B771" s="305"/>
      <c r="C771" s="305">
        <v>44</v>
      </c>
      <c r="D771" s="303"/>
      <c r="E771" s="303" t="e">
        <f t="shared" si="43"/>
        <v>#DIV/0!</v>
      </c>
      <c r="F771" s="260"/>
    </row>
    <row r="772" spans="1:6">
      <c r="A772" s="264" t="s">
        <v>1113</v>
      </c>
      <c r="B772" s="305"/>
      <c r="C772" s="305">
        <v>57</v>
      </c>
      <c r="D772" s="303"/>
      <c r="E772" s="303">
        <f t="shared" si="43"/>
        <v>380</v>
      </c>
      <c r="F772" s="260">
        <v>15</v>
      </c>
    </row>
    <row r="773" spans="1:6">
      <c r="A773" s="261" t="s">
        <v>1112</v>
      </c>
      <c r="B773" s="304">
        <v>93</v>
      </c>
      <c r="C773" s="304">
        <f>C774</f>
        <v>91</v>
      </c>
      <c r="D773" s="303">
        <f>C773/B773*100</f>
        <v>97.85</v>
      </c>
      <c r="E773" s="303">
        <f t="shared" si="43"/>
        <v>535.29</v>
      </c>
      <c r="F773" s="260">
        <f>F774</f>
        <v>17</v>
      </c>
    </row>
    <row r="774" spans="1:6">
      <c r="A774" s="264" t="s">
        <v>1111</v>
      </c>
      <c r="B774" s="304"/>
      <c r="C774" s="304">
        <v>91</v>
      </c>
      <c r="D774" s="303"/>
      <c r="E774" s="303">
        <f t="shared" si="43"/>
        <v>535.29</v>
      </c>
      <c r="F774" s="260">
        <v>17</v>
      </c>
    </row>
    <row r="775" spans="1:6">
      <c r="A775" s="261" t="s">
        <v>1110</v>
      </c>
      <c r="B775" s="304">
        <f>SUM(B776,B785,B789,B798,B804,B810,B816,B819,B822,B824,B826,B832,B834,B836,B851)</f>
        <v>39103</v>
      </c>
      <c r="C775" s="304">
        <f>SUM(C776,C785,C789,C798,C804,C810,C816,C819,C822,C824,C826,C832,C834,C836,C851)</f>
        <v>36100</v>
      </c>
      <c r="D775" s="303">
        <f>C775/B775*100</f>
        <v>92.32</v>
      </c>
      <c r="E775" s="303">
        <f t="shared" si="43"/>
        <v>584.04999999999995</v>
      </c>
      <c r="F775" s="263">
        <f>SUM(F776,F785,F789,F798,F804,F810,F816,F819,F822,F824,F826,F832,F834,F836,F851)</f>
        <v>6181</v>
      </c>
    </row>
    <row r="776" spans="1:6">
      <c r="A776" s="261" t="s">
        <v>1109</v>
      </c>
      <c r="B776" s="305">
        <v>30666</v>
      </c>
      <c r="C776" s="305">
        <f>SUM(C777:C784)</f>
        <v>30620</v>
      </c>
      <c r="D776" s="303">
        <f>C776/B776*100</f>
        <v>99.85</v>
      </c>
      <c r="E776" s="303">
        <f t="shared" si="43"/>
        <v>21412.59</v>
      </c>
      <c r="F776" s="267">
        <f>SUM(F777:F784)</f>
        <v>143</v>
      </c>
    </row>
    <row r="777" spans="1:6">
      <c r="A777" s="264" t="s">
        <v>647</v>
      </c>
      <c r="B777" s="305"/>
      <c r="C777" s="305">
        <v>96</v>
      </c>
      <c r="D777" s="303"/>
      <c r="E777" s="303">
        <f t="shared" si="43"/>
        <v>107.87</v>
      </c>
      <c r="F777" s="260">
        <v>89</v>
      </c>
    </row>
    <row r="778" spans="1:6">
      <c r="A778" s="264" t="s">
        <v>646</v>
      </c>
      <c r="B778" s="305"/>
      <c r="C778" s="305">
        <v>524</v>
      </c>
      <c r="D778" s="303"/>
      <c r="E778" s="303">
        <f t="shared" si="43"/>
        <v>970.37</v>
      </c>
      <c r="F778" s="260">
        <v>54</v>
      </c>
    </row>
    <row r="779" spans="1:6" hidden="1">
      <c r="A779" s="264" t="s">
        <v>645</v>
      </c>
      <c r="B779" s="305"/>
      <c r="C779" s="305"/>
      <c r="D779" s="303"/>
      <c r="E779" s="303" t="e">
        <f t="shared" si="43"/>
        <v>#DIV/0!</v>
      </c>
      <c r="F779" s="260"/>
    </row>
    <row r="780" spans="1:6" hidden="1">
      <c r="A780" s="264" t="s">
        <v>1108</v>
      </c>
      <c r="B780" s="305"/>
      <c r="C780" s="305"/>
      <c r="D780" s="303"/>
      <c r="E780" s="303" t="e">
        <f t="shared" si="43"/>
        <v>#DIV/0!</v>
      </c>
      <c r="F780" s="260"/>
    </row>
    <row r="781" spans="1:6" hidden="1">
      <c r="A781" s="264" t="s">
        <v>1107</v>
      </c>
      <c r="B781" s="305"/>
      <c r="C781" s="305"/>
      <c r="D781" s="303"/>
      <c r="E781" s="303" t="e">
        <f t="shared" si="43"/>
        <v>#DIV/0!</v>
      </c>
      <c r="F781" s="260"/>
    </row>
    <row r="782" spans="1:6" hidden="1">
      <c r="A782" s="264" t="s">
        <v>1106</v>
      </c>
      <c r="B782" s="305"/>
      <c r="C782" s="305"/>
      <c r="D782" s="303"/>
      <c r="E782" s="303" t="e">
        <f t="shared" si="43"/>
        <v>#DIV/0!</v>
      </c>
      <c r="F782" s="260"/>
    </row>
    <row r="783" spans="1:6" hidden="1">
      <c r="A783" s="264" t="s">
        <v>1105</v>
      </c>
      <c r="B783" s="305"/>
      <c r="C783" s="305"/>
      <c r="D783" s="303"/>
      <c r="E783" s="303" t="e">
        <f t="shared" si="43"/>
        <v>#DIV/0!</v>
      </c>
      <c r="F783" s="260"/>
    </row>
    <row r="784" spans="1:6">
      <c r="A784" s="264" t="s">
        <v>1104</v>
      </c>
      <c r="B784" s="305"/>
      <c r="C784" s="305">
        <v>30000</v>
      </c>
      <c r="D784" s="303"/>
      <c r="E784" s="303"/>
      <c r="F784" s="260"/>
    </row>
    <row r="785" spans="1:6">
      <c r="A785" s="261" t="s">
        <v>1103</v>
      </c>
      <c r="B785" s="304">
        <v>684</v>
      </c>
      <c r="C785" s="304">
        <f>SUM(C786:C788)</f>
        <v>684</v>
      </c>
      <c r="D785" s="303">
        <f>C785/B785*100</f>
        <v>100</v>
      </c>
      <c r="E785" s="303">
        <f t="shared" ref="E785:E816" si="44">C785/F785*100</f>
        <v>3600</v>
      </c>
      <c r="F785" s="260">
        <f>SUM(F786:F788)</f>
        <v>19</v>
      </c>
    </row>
    <row r="786" spans="1:6" hidden="1">
      <c r="A786" s="264" t="s">
        <v>1102</v>
      </c>
      <c r="B786" s="304"/>
      <c r="C786" s="304"/>
      <c r="D786" s="303" t="e">
        <f>C786/B786*100</f>
        <v>#DIV/0!</v>
      </c>
      <c r="E786" s="303" t="e">
        <f t="shared" si="44"/>
        <v>#DIV/0!</v>
      </c>
      <c r="F786" s="260"/>
    </row>
    <row r="787" spans="1:6" hidden="1">
      <c r="A787" s="264" t="s">
        <v>1101</v>
      </c>
      <c r="B787" s="304"/>
      <c r="C787" s="304"/>
      <c r="D787" s="303" t="e">
        <f>C787/B787*100</f>
        <v>#DIV/0!</v>
      </c>
      <c r="E787" s="303" t="e">
        <f t="shared" si="44"/>
        <v>#DIV/0!</v>
      </c>
      <c r="F787" s="260"/>
    </row>
    <row r="788" spans="1:6">
      <c r="A788" s="264" t="s">
        <v>1100</v>
      </c>
      <c r="B788" s="305"/>
      <c r="C788" s="305">
        <v>684</v>
      </c>
      <c r="D788" s="303"/>
      <c r="E788" s="303">
        <f t="shared" si="44"/>
        <v>3600</v>
      </c>
      <c r="F788" s="260">
        <v>19</v>
      </c>
    </row>
    <row r="789" spans="1:6">
      <c r="A789" s="261" t="s">
        <v>1099</v>
      </c>
      <c r="B789" s="304">
        <v>5576</v>
      </c>
      <c r="C789" s="304">
        <f>SUM(C790:C797)</f>
        <v>4794</v>
      </c>
      <c r="D789" s="303">
        <f>C789/B789*100</f>
        <v>85.98</v>
      </c>
      <c r="E789" s="303">
        <f t="shared" si="44"/>
        <v>80.709999999999994</v>
      </c>
      <c r="F789" s="260">
        <f>SUM(F790:F797)</f>
        <v>5940</v>
      </c>
    </row>
    <row r="790" spans="1:6">
      <c r="A790" s="264" t="s">
        <v>1098</v>
      </c>
      <c r="B790" s="305"/>
      <c r="C790" s="305">
        <v>47</v>
      </c>
      <c r="D790" s="303"/>
      <c r="E790" s="303" t="e">
        <f t="shared" si="44"/>
        <v>#DIV/0!</v>
      </c>
      <c r="F790" s="260"/>
    </row>
    <row r="791" spans="1:6">
      <c r="A791" s="264" t="s">
        <v>1097</v>
      </c>
      <c r="B791" s="305"/>
      <c r="C791" s="305">
        <v>1210</v>
      </c>
      <c r="D791" s="303"/>
      <c r="E791" s="303">
        <f t="shared" si="44"/>
        <v>60.5</v>
      </c>
      <c r="F791" s="260">
        <v>2000</v>
      </c>
    </row>
    <row r="792" spans="1:6" hidden="1">
      <c r="A792" s="264" t="s">
        <v>1096</v>
      </c>
      <c r="B792" s="305"/>
      <c r="C792" s="305"/>
      <c r="D792" s="303"/>
      <c r="E792" s="303" t="e">
        <f t="shared" si="44"/>
        <v>#DIV/0!</v>
      </c>
      <c r="F792" s="260"/>
    </row>
    <row r="793" spans="1:6">
      <c r="A793" s="264" t="s">
        <v>1095</v>
      </c>
      <c r="B793" s="305"/>
      <c r="C793" s="305">
        <v>300</v>
      </c>
      <c r="D793" s="303"/>
      <c r="E793" s="303" t="e">
        <f t="shared" si="44"/>
        <v>#DIV/0!</v>
      </c>
      <c r="F793" s="260"/>
    </row>
    <row r="794" spans="1:6" hidden="1">
      <c r="A794" s="264" t="s">
        <v>1094</v>
      </c>
      <c r="B794" s="305"/>
      <c r="C794" s="305"/>
      <c r="D794" s="303"/>
      <c r="E794" s="303" t="e">
        <f t="shared" si="44"/>
        <v>#DIV/0!</v>
      </c>
      <c r="F794" s="260"/>
    </row>
    <row r="795" spans="1:6" hidden="1">
      <c r="A795" s="264" t="s">
        <v>1093</v>
      </c>
      <c r="B795" s="305"/>
      <c r="C795" s="305"/>
      <c r="D795" s="303"/>
      <c r="E795" s="303" t="e">
        <f t="shared" si="44"/>
        <v>#DIV/0!</v>
      </c>
      <c r="F795" s="260"/>
    </row>
    <row r="796" spans="1:6">
      <c r="A796" s="264" t="s">
        <v>1092</v>
      </c>
      <c r="B796" s="305"/>
      <c r="C796" s="305">
        <v>2244</v>
      </c>
      <c r="D796" s="303"/>
      <c r="E796" s="303">
        <f t="shared" si="44"/>
        <v>76.33</v>
      </c>
      <c r="F796" s="260">
        <v>2940</v>
      </c>
    </row>
    <row r="797" spans="1:6">
      <c r="A797" s="264" t="s">
        <v>1091</v>
      </c>
      <c r="B797" s="305"/>
      <c r="C797" s="305">
        <v>993</v>
      </c>
      <c r="D797" s="303"/>
      <c r="E797" s="303">
        <f t="shared" si="44"/>
        <v>99.3</v>
      </c>
      <c r="F797" s="260">
        <v>1000</v>
      </c>
    </row>
    <row r="798" spans="1:6">
      <c r="A798" s="261" t="s">
        <v>1090</v>
      </c>
      <c r="B798" s="304">
        <v>1762</v>
      </c>
      <c r="C798" s="304">
        <f>SUM(C799:C803)</f>
        <v>0</v>
      </c>
      <c r="D798" s="303">
        <f t="shared" ref="D798:D828" si="45">C798/B798*100</f>
        <v>0</v>
      </c>
      <c r="E798" s="303" t="e">
        <f t="shared" si="44"/>
        <v>#DIV/0!</v>
      </c>
      <c r="F798" s="260">
        <f>SUM(F799:F803)</f>
        <v>0</v>
      </c>
    </row>
    <row r="799" spans="1:6" hidden="1">
      <c r="A799" s="264" t="s">
        <v>1089</v>
      </c>
      <c r="B799" s="304"/>
      <c r="C799" s="304"/>
      <c r="D799" s="303" t="e">
        <f t="shared" si="45"/>
        <v>#DIV/0!</v>
      </c>
      <c r="E799" s="303" t="e">
        <f t="shared" si="44"/>
        <v>#DIV/0!</v>
      </c>
      <c r="F799" s="260"/>
    </row>
    <row r="800" spans="1:6" hidden="1">
      <c r="A800" s="264" t="s">
        <v>1088</v>
      </c>
      <c r="B800" s="304"/>
      <c r="C800" s="304"/>
      <c r="D800" s="303" t="e">
        <f t="shared" si="45"/>
        <v>#DIV/0!</v>
      </c>
      <c r="E800" s="303" t="e">
        <f t="shared" si="44"/>
        <v>#DIV/0!</v>
      </c>
      <c r="F800" s="260"/>
    </row>
    <row r="801" spans="1:6" hidden="1">
      <c r="A801" s="264" t="s">
        <v>1087</v>
      </c>
      <c r="B801" s="304"/>
      <c r="C801" s="304"/>
      <c r="D801" s="303" t="e">
        <f t="shared" si="45"/>
        <v>#DIV/0!</v>
      </c>
      <c r="E801" s="303" t="e">
        <f t="shared" si="44"/>
        <v>#DIV/0!</v>
      </c>
      <c r="F801" s="260"/>
    </row>
    <row r="802" spans="1:6" hidden="1">
      <c r="A802" s="264" t="s">
        <v>1086</v>
      </c>
      <c r="B802" s="304"/>
      <c r="C802" s="304"/>
      <c r="D802" s="303" t="e">
        <f t="shared" si="45"/>
        <v>#DIV/0!</v>
      </c>
      <c r="E802" s="303" t="e">
        <f t="shared" si="44"/>
        <v>#DIV/0!</v>
      </c>
      <c r="F802" s="260"/>
    </row>
    <row r="803" spans="1:6" hidden="1">
      <c r="A803" s="264" t="s">
        <v>1085</v>
      </c>
      <c r="B803" s="304"/>
      <c r="C803" s="304"/>
      <c r="D803" s="303" t="e">
        <f t="shared" si="45"/>
        <v>#DIV/0!</v>
      </c>
      <c r="E803" s="303" t="e">
        <f t="shared" si="44"/>
        <v>#DIV/0!</v>
      </c>
      <c r="F803" s="260"/>
    </row>
    <row r="804" spans="1:6" hidden="1">
      <c r="A804" s="261" t="s">
        <v>1084</v>
      </c>
      <c r="B804" s="304"/>
      <c r="C804" s="304">
        <f>SUM(C805:C809)</f>
        <v>0</v>
      </c>
      <c r="D804" s="303" t="e">
        <f t="shared" si="45"/>
        <v>#DIV/0!</v>
      </c>
      <c r="E804" s="303" t="e">
        <f t="shared" si="44"/>
        <v>#DIV/0!</v>
      </c>
      <c r="F804" s="260">
        <f>SUM(F805:F809)</f>
        <v>0</v>
      </c>
    </row>
    <row r="805" spans="1:6" hidden="1">
      <c r="A805" s="264" t="s">
        <v>1083</v>
      </c>
      <c r="B805" s="304"/>
      <c r="C805" s="304"/>
      <c r="D805" s="303" t="e">
        <f t="shared" si="45"/>
        <v>#DIV/0!</v>
      </c>
      <c r="E805" s="303" t="e">
        <f t="shared" si="44"/>
        <v>#DIV/0!</v>
      </c>
      <c r="F805" s="260"/>
    </row>
    <row r="806" spans="1:6" hidden="1">
      <c r="A806" s="264" t="s">
        <v>1082</v>
      </c>
      <c r="B806" s="304"/>
      <c r="C806" s="304"/>
      <c r="D806" s="303" t="e">
        <f t="shared" si="45"/>
        <v>#DIV/0!</v>
      </c>
      <c r="E806" s="303" t="e">
        <f t="shared" si="44"/>
        <v>#DIV/0!</v>
      </c>
      <c r="F806" s="260"/>
    </row>
    <row r="807" spans="1:6" hidden="1">
      <c r="A807" s="264" t="s">
        <v>1081</v>
      </c>
      <c r="B807" s="304"/>
      <c r="C807" s="304"/>
      <c r="D807" s="303" t="e">
        <f t="shared" si="45"/>
        <v>#DIV/0!</v>
      </c>
      <c r="E807" s="303" t="e">
        <f t="shared" si="44"/>
        <v>#DIV/0!</v>
      </c>
      <c r="F807" s="260"/>
    </row>
    <row r="808" spans="1:6" hidden="1">
      <c r="A808" s="264" t="s">
        <v>1080</v>
      </c>
      <c r="B808" s="304"/>
      <c r="C808" s="304"/>
      <c r="D808" s="303" t="e">
        <f t="shared" si="45"/>
        <v>#DIV/0!</v>
      </c>
      <c r="E808" s="303" t="e">
        <f t="shared" si="44"/>
        <v>#DIV/0!</v>
      </c>
      <c r="F808" s="260"/>
    </row>
    <row r="809" spans="1:6" hidden="1">
      <c r="A809" s="264" t="s">
        <v>1079</v>
      </c>
      <c r="B809" s="304"/>
      <c r="C809" s="304"/>
      <c r="D809" s="303" t="e">
        <f t="shared" si="45"/>
        <v>#DIV/0!</v>
      </c>
      <c r="E809" s="303" t="e">
        <f t="shared" si="44"/>
        <v>#DIV/0!</v>
      </c>
      <c r="F809" s="260"/>
    </row>
    <row r="810" spans="1:6" hidden="1">
      <c r="A810" s="261" t="s">
        <v>1078</v>
      </c>
      <c r="B810" s="304"/>
      <c r="C810" s="304">
        <f>SUM(C811:C815)</f>
        <v>0</v>
      </c>
      <c r="D810" s="303" t="e">
        <f t="shared" si="45"/>
        <v>#DIV/0!</v>
      </c>
      <c r="E810" s="303" t="e">
        <f t="shared" si="44"/>
        <v>#DIV/0!</v>
      </c>
      <c r="F810" s="260">
        <f>SUM(F811:F815)</f>
        <v>0</v>
      </c>
    </row>
    <row r="811" spans="1:6" hidden="1">
      <c r="A811" s="264" t="s">
        <v>1077</v>
      </c>
      <c r="B811" s="304"/>
      <c r="C811" s="304"/>
      <c r="D811" s="303" t="e">
        <f t="shared" si="45"/>
        <v>#DIV/0!</v>
      </c>
      <c r="E811" s="303" t="e">
        <f t="shared" si="44"/>
        <v>#DIV/0!</v>
      </c>
      <c r="F811" s="260"/>
    </row>
    <row r="812" spans="1:6" hidden="1">
      <c r="A812" s="264" t="s">
        <v>1076</v>
      </c>
      <c r="B812" s="304"/>
      <c r="C812" s="304"/>
      <c r="D812" s="303" t="e">
        <f t="shared" si="45"/>
        <v>#DIV/0!</v>
      </c>
      <c r="E812" s="303" t="e">
        <f t="shared" si="44"/>
        <v>#DIV/0!</v>
      </c>
      <c r="F812" s="260"/>
    </row>
    <row r="813" spans="1:6" hidden="1">
      <c r="A813" s="264" t="s">
        <v>1075</v>
      </c>
      <c r="B813" s="304"/>
      <c r="C813" s="304"/>
      <c r="D813" s="303" t="e">
        <f t="shared" si="45"/>
        <v>#DIV/0!</v>
      </c>
      <c r="E813" s="303" t="e">
        <f t="shared" si="44"/>
        <v>#DIV/0!</v>
      </c>
      <c r="F813" s="260"/>
    </row>
    <row r="814" spans="1:6" hidden="1">
      <c r="A814" s="264" t="s">
        <v>1074</v>
      </c>
      <c r="B814" s="304"/>
      <c r="C814" s="304"/>
      <c r="D814" s="303" t="e">
        <f t="shared" si="45"/>
        <v>#DIV/0!</v>
      </c>
      <c r="E814" s="303" t="e">
        <f t="shared" si="44"/>
        <v>#DIV/0!</v>
      </c>
      <c r="F814" s="260"/>
    </row>
    <row r="815" spans="1:6" hidden="1">
      <c r="A815" s="264" t="s">
        <v>1073</v>
      </c>
      <c r="B815" s="304"/>
      <c r="C815" s="304"/>
      <c r="D815" s="303" t="e">
        <f t="shared" si="45"/>
        <v>#DIV/0!</v>
      </c>
      <c r="E815" s="303" t="e">
        <f t="shared" si="44"/>
        <v>#DIV/0!</v>
      </c>
      <c r="F815" s="260"/>
    </row>
    <row r="816" spans="1:6" hidden="1">
      <c r="A816" s="261" t="s">
        <v>1072</v>
      </c>
      <c r="B816" s="304"/>
      <c r="C816" s="304">
        <f>SUM(C817:C818)</f>
        <v>0</v>
      </c>
      <c r="D816" s="303" t="e">
        <f t="shared" si="45"/>
        <v>#DIV/0!</v>
      </c>
      <c r="E816" s="303" t="e">
        <f t="shared" si="44"/>
        <v>#DIV/0!</v>
      </c>
      <c r="F816" s="260">
        <f>SUM(F817:F818)</f>
        <v>0</v>
      </c>
    </row>
    <row r="817" spans="1:6" hidden="1">
      <c r="A817" s="264" t="s">
        <v>1071</v>
      </c>
      <c r="B817" s="304"/>
      <c r="C817" s="304"/>
      <c r="D817" s="303" t="e">
        <f t="shared" si="45"/>
        <v>#DIV/0!</v>
      </c>
      <c r="E817" s="303" t="e">
        <f t="shared" ref="E817:E848" si="46">C817/F817*100</f>
        <v>#DIV/0!</v>
      </c>
      <c r="F817" s="260"/>
    </row>
    <row r="818" spans="1:6" hidden="1">
      <c r="A818" s="264" t="s">
        <v>1070</v>
      </c>
      <c r="B818" s="304"/>
      <c r="C818" s="304"/>
      <c r="D818" s="303" t="e">
        <f t="shared" si="45"/>
        <v>#DIV/0!</v>
      </c>
      <c r="E818" s="303" t="e">
        <f t="shared" si="46"/>
        <v>#DIV/0!</v>
      </c>
      <c r="F818" s="260"/>
    </row>
    <row r="819" spans="1:6" hidden="1">
      <c r="A819" s="261" t="s">
        <v>1069</v>
      </c>
      <c r="B819" s="304"/>
      <c r="C819" s="304">
        <f>SUM(C820:C821)</f>
        <v>0</v>
      </c>
      <c r="D819" s="303" t="e">
        <f t="shared" si="45"/>
        <v>#DIV/0!</v>
      </c>
      <c r="E819" s="303" t="e">
        <f t="shared" si="46"/>
        <v>#DIV/0!</v>
      </c>
      <c r="F819" s="260">
        <f>SUM(F820:F821)</f>
        <v>0</v>
      </c>
    </row>
    <row r="820" spans="1:6" hidden="1">
      <c r="A820" s="264" t="s">
        <v>1068</v>
      </c>
      <c r="B820" s="304"/>
      <c r="C820" s="304"/>
      <c r="D820" s="303" t="e">
        <f t="shared" si="45"/>
        <v>#DIV/0!</v>
      </c>
      <c r="E820" s="303" t="e">
        <f t="shared" si="46"/>
        <v>#DIV/0!</v>
      </c>
      <c r="F820" s="260"/>
    </row>
    <row r="821" spans="1:6" hidden="1">
      <c r="A821" s="264" t="s">
        <v>1067</v>
      </c>
      <c r="B821" s="304"/>
      <c r="C821" s="304"/>
      <c r="D821" s="303" t="e">
        <f t="shared" si="45"/>
        <v>#DIV/0!</v>
      </c>
      <c r="E821" s="303" t="e">
        <f t="shared" si="46"/>
        <v>#DIV/0!</v>
      </c>
      <c r="F821" s="260"/>
    </row>
    <row r="822" spans="1:6" hidden="1">
      <c r="A822" s="261" t="s">
        <v>1066</v>
      </c>
      <c r="B822" s="304"/>
      <c r="C822" s="304">
        <f>C823</f>
        <v>0</v>
      </c>
      <c r="D822" s="303" t="e">
        <f t="shared" si="45"/>
        <v>#DIV/0!</v>
      </c>
      <c r="E822" s="303" t="e">
        <f t="shared" si="46"/>
        <v>#DIV/0!</v>
      </c>
      <c r="F822" s="260">
        <f>F823</f>
        <v>0</v>
      </c>
    </row>
    <row r="823" spans="1:6" hidden="1">
      <c r="A823" s="264" t="s">
        <v>1065</v>
      </c>
      <c r="B823" s="304"/>
      <c r="C823" s="304"/>
      <c r="D823" s="303" t="e">
        <f t="shared" si="45"/>
        <v>#DIV/0!</v>
      </c>
      <c r="E823" s="303" t="e">
        <f t="shared" si="46"/>
        <v>#DIV/0!</v>
      </c>
      <c r="F823" s="260"/>
    </row>
    <row r="824" spans="1:6">
      <c r="A824" s="261" t="s">
        <v>1064</v>
      </c>
      <c r="B824" s="304">
        <v>412</v>
      </c>
      <c r="C824" s="304">
        <f>C825</f>
        <v>0</v>
      </c>
      <c r="D824" s="303">
        <f t="shared" si="45"/>
        <v>0</v>
      </c>
      <c r="E824" s="303">
        <f t="shared" si="46"/>
        <v>0</v>
      </c>
      <c r="F824" s="260">
        <f>F825</f>
        <v>79</v>
      </c>
    </row>
    <row r="825" spans="1:6" hidden="1">
      <c r="A825" s="264" t="s">
        <v>1063</v>
      </c>
      <c r="B825" s="304"/>
      <c r="C825" s="304"/>
      <c r="D825" s="303" t="e">
        <f t="shared" si="45"/>
        <v>#DIV/0!</v>
      </c>
      <c r="E825" s="303">
        <f t="shared" si="46"/>
        <v>0</v>
      </c>
      <c r="F825" s="260">
        <v>79</v>
      </c>
    </row>
    <row r="826" spans="1:6">
      <c r="A826" s="261" t="s">
        <v>1062</v>
      </c>
      <c r="B826" s="304">
        <v>3</v>
      </c>
      <c r="C826" s="304">
        <f>SUM(C827:C831)</f>
        <v>2</v>
      </c>
      <c r="D826" s="303">
        <f t="shared" si="45"/>
        <v>66.67</v>
      </c>
      <c r="E826" s="303" t="e">
        <f t="shared" si="46"/>
        <v>#DIV/0!</v>
      </c>
      <c r="F826" s="260">
        <f>SUM(F827:F831)</f>
        <v>0</v>
      </c>
    </row>
    <row r="827" spans="1:6" hidden="1">
      <c r="A827" s="264" t="s">
        <v>1061</v>
      </c>
      <c r="B827" s="305"/>
      <c r="C827" s="305"/>
      <c r="D827" s="303" t="e">
        <f t="shared" si="45"/>
        <v>#DIV/0!</v>
      </c>
      <c r="E827" s="303" t="e">
        <f t="shared" si="46"/>
        <v>#DIV/0!</v>
      </c>
    </row>
    <row r="828" spans="1:6" hidden="1">
      <c r="A828" s="264" t="s">
        <v>1060</v>
      </c>
      <c r="B828" s="305"/>
      <c r="C828" s="305"/>
      <c r="D828" s="303" t="e">
        <f t="shared" si="45"/>
        <v>#DIV/0!</v>
      </c>
      <c r="E828" s="303" t="e">
        <f t="shared" si="46"/>
        <v>#DIV/0!</v>
      </c>
    </row>
    <row r="829" spans="1:6">
      <c r="A829" s="264" t="s">
        <v>1059</v>
      </c>
      <c r="B829" s="305"/>
      <c r="C829" s="305">
        <v>2</v>
      </c>
      <c r="D829" s="303"/>
      <c r="E829" s="303" t="e">
        <f t="shared" si="46"/>
        <v>#DIV/0!</v>
      </c>
    </row>
    <row r="830" spans="1:6" hidden="1">
      <c r="A830" s="264" t="s">
        <v>1058</v>
      </c>
      <c r="B830" s="304"/>
      <c r="C830" s="304"/>
      <c r="D830" s="303" t="e">
        <f t="shared" ref="D830:D854" si="47">C830/B830*100</f>
        <v>#DIV/0!</v>
      </c>
      <c r="E830" s="303" t="e">
        <f t="shared" si="46"/>
        <v>#DIV/0!</v>
      </c>
    </row>
    <row r="831" spans="1:6" hidden="1">
      <c r="A831" s="264" t="s">
        <v>1057</v>
      </c>
      <c r="B831" s="304"/>
      <c r="C831" s="304"/>
      <c r="D831" s="303" t="e">
        <f t="shared" si="47"/>
        <v>#DIV/0!</v>
      </c>
      <c r="E831" s="303" t="e">
        <f t="shared" si="46"/>
        <v>#DIV/0!</v>
      </c>
    </row>
    <row r="832" spans="1:6" hidden="1">
      <c r="A832" s="261" t="s">
        <v>1056</v>
      </c>
      <c r="B832" s="304"/>
      <c r="C832" s="304">
        <f>C833</f>
        <v>0</v>
      </c>
      <c r="D832" s="303" t="e">
        <f t="shared" si="47"/>
        <v>#DIV/0!</v>
      </c>
      <c r="E832" s="303" t="e">
        <f t="shared" si="46"/>
        <v>#DIV/0!</v>
      </c>
    </row>
    <row r="833" spans="1:5" hidden="1">
      <c r="A833" s="264" t="s">
        <v>1055</v>
      </c>
      <c r="B833" s="304"/>
      <c r="C833" s="304"/>
      <c r="D833" s="303" t="e">
        <f t="shared" si="47"/>
        <v>#DIV/0!</v>
      </c>
      <c r="E833" s="303" t="e">
        <f t="shared" si="46"/>
        <v>#DIV/0!</v>
      </c>
    </row>
    <row r="834" spans="1:5" hidden="1">
      <c r="A834" s="261" t="s">
        <v>1054</v>
      </c>
      <c r="B834" s="304"/>
      <c r="C834" s="304">
        <f>C835</f>
        <v>0</v>
      </c>
      <c r="D834" s="303" t="e">
        <f t="shared" si="47"/>
        <v>#DIV/0!</v>
      </c>
      <c r="E834" s="303" t="e">
        <f t="shared" si="46"/>
        <v>#DIV/0!</v>
      </c>
    </row>
    <row r="835" spans="1:5" hidden="1">
      <c r="A835" s="264" t="s">
        <v>1053</v>
      </c>
      <c r="B835" s="304"/>
      <c r="C835" s="304"/>
      <c r="D835" s="303" t="e">
        <f t="shared" si="47"/>
        <v>#DIV/0!</v>
      </c>
      <c r="E835" s="303" t="e">
        <f t="shared" si="46"/>
        <v>#DIV/0!</v>
      </c>
    </row>
    <row r="836" spans="1:5" hidden="1">
      <c r="A836" s="261" t="s">
        <v>1052</v>
      </c>
      <c r="B836" s="304"/>
      <c r="C836" s="304">
        <f>SUM(C837:C850)</f>
        <v>0</v>
      </c>
      <c r="D836" s="303" t="e">
        <f t="shared" si="47"/>
        <v>#DIV/0!</v>
      </c>
      <c r="E836" s="303" t="e">
        <f t="shared" si="46"/>
        <v>#DIV/0!</v>
      </c>
    </row>
    <row r="837" spans="1:5" hidden="1">
      <c r="A837" s="264" t="s">
        <v>647</v>
      </c>
      <c r="B837" s="304"/>
      <c r="C837" s="304"/>
      <c r="D837" s="303" t="e">
        <f t="shared" si="47"/>
        <v>#DIV/0!</v>
      </c>
      <c r="E837" s="303" t="e">
        <f t="shared" si="46"/>
        <v>#DIV/0!</v>
      </c>
    </row>
    <row r="838" spans="1:5" hidden="1">
      <c r="A838" s="264" t="s">
        <v>646</v>
      </c>
      <c r="B838" s="304"/>
      <c r="C838" s="304"/>
      <c r="D838" s="303" t="e">
        <f t="shared" si="47"/>
        <v>#DIV/0!</v>
      </c>
      <c r="E838" s="303" t="e">
        <f t="shared" si="46"/>
        <v>#DIV/0!</v>
      </c>
    </row>
    <row r="839" spans="1:5" hidden="1">
      <c r="A839" s="264" t="s">
        <v>645</v>
      </c>
      <c r="B839" s="304"/>
      <c r="C839" s="304"/>
      <c r="D839" s="303" t="e">
        <f t="shared" si="47"/>
        <v>#DIV/0!</v>
      </c>
      <c r="E839" s="303" t="e">
        <f t="shared" si="46"/>
        <v>#DIV/0!</v>
      </c>
    </row>
    <row r="840" spans="1:5" hidden="1">
      <c r="A840" s="264" t="s">
        <v>1051</v>
      </c>
      <c r="B840" s="304"/>
      <c r="C840" s="304"/>
      <c r="D840" s="303" t="e">
        <f t="shared" si="47"/>
        <v>#DIV/0!</v>
      </c>
      <c r="E840" s="303" t="e">
        <f t="shared" si="46"/>
        <v>#DIV/0!</v>
      </c>
    </row>
    <row r="841" spans="1:5" hidden="1">
      <c r="A841" s="264" t="s">
        <v>1050</v>
      </c>
      <c r="B841" s="304"/>
      <c r="C841" s="304"/>
      <c r="D841" s="303" t="e">
        <f t="shared" si="47"/>
        <v>#DIV/0!</v>
      </c>
      <c r="E841" s="303" t="e">
        <f t="shared" si="46"/>
        <v>#DIV/0!</v>
      </c>
    </row>
    <row r="842" spans="1:5" hidden="1">
      <c r="A842" s="264" t="s">
        <v>1049</v>
      </c>
      <c r="B842" s="304"/>
      <c r="C842" s="304"/>
      <c r="D842" s="303" t="e">
        <f t="shared" si="47"/>
        <v>#DIV/0!</v>
      </c>
      <c r="E842" s="303" t="e">
        <f t="shared" si="46"/>
        <v>#DIV/0!</v>
      </c>
    </row>
    <row r="843" spans="1:5" hidden="1">
      <c r="A843" s="264" t="s">
        <v>1048</v>
      </c>
      <c r="B843" s="304"/>
      <c r="C843" s="304"/>
      <c r="D843" s="303" t="e">
        <f t="shared" si="47"/>
        <v>#DIV/0!</v>
      </c>
      <c r="E843" s="303" t="e">
        <f t="shared" si="46"/>
        <v>#DIV/0!</v>
      </c>
    </row>
    <row r="844" spans="1:5" hidden="1">
      <c r="A844" s="264" t="s">
        <v>1047</v>
      </c>
      <c r="B844" s="304"/>
      <c r="C844" s="304"/>
      <c r="D844" s="303" t="e">
        <f t="shared" si="47"/>
        <v>#DIV/0!</v>
      </c>
      <c r="E844" s="303" t="e">
        <f t="shared" si="46"/>
        <v>#DIV/0!</v>
      </c>
    </row>
    <row r="845" spans="1:5" hidden="1">
      <c r="A845" s="264" t="s">
        <v>1046</v>
      </c>
      <c r="B845" s="304"/>
      <c r="C845" s="304"/>
      <c r="D845" s="303" t="e">
        <f t="shared" si="47"/>
        <v>#DIV/0!</v>
      </c>
      <c r="E845" s="303" t="e">
        <f t="shared" si="46"/>
        <v>#DIV/0!</v>
      </c>
    </row>
    <row r="846" spans="1:5" hidden="1">
      <c r="A846" s="264" t="s">
        <v>1045</v>
      </c>
      <c r="B846" s="304"/>
      <c r="C846" s="304"/>
      <c r="D846" s="303" t="e">
        <f t="shared" si="47"/>
        <v>#DIV/0!</v>
      </c>
      <c r="E846" s="303" t="e">
        <f t="shared" si="46"/>
        <v>#DIV/0!</v>
      </c>
    </row>
    <row r="847" spans="1:5" hidden="1">
      <c r="A847" s="264" t="s">
        <v>1044</v>
      </c>
      <c r="B847" s="304"/>
      <c r="C847" s="304"/>
      <c r="D847" s="303" t="e">
        <f t="shared" si="47"/>
        <v>#DIV/0!</v>
      </c>
      <c r="E847" s="303" t="e">
        <f t="shared" si="46"/>
        <v>#DIV/0!</v>
      </c>
    </row>
    <row r="848" spans="1:5" hidden="1">
      <c r="A848" s="264" t="s">
        <v>1043</v>
      </c>
      <c r="B848" s="304"/>
      <c r="C848" s="304"/>
      <c r="D848" s="303" t="e">
        <f t="shared" si="47"/>
        <v>#DIV/0!</v>
      </c>
      <c r="E848" s="303" t="e">
        <f t="shared" si="46"/>
        <v>#DIV/0!</v>
      </c>
    </row>
    <row r="849" spans="1:6" hidden="1">
      <c r="A849" s="264" t="s">
        <v>636</v>
      </c>
      <c r="B849" s="304"/>
      <c r="C849" s="304"/>
      <c r="D849" s="303" t="e">
        <f t="shared" si="47"/>
        <v>#DIV/0!</v>
      </c>
      <c r="E849" s="303" t="e">
        <f t="shared" ref="E849:E879" si="48">C849/F849*100</f>
        <v>#DIV/0!</v>
      </c>
    </row>
    <row r="850" spans="1:6" hidden="1">
      <c r="A850" s="264" t="s">
        <v>1042</v>
      </c>
      <c r="B850" s="304"/>
      <c r="C850" s="304"/>
      <c r="D850" s="303" t="e">
        <f t="shared" si="47"/>
        <v>#DIV/0!</v>
      </c>
      <c r="E850" s="303" t="e">
        <f t="shared" si="48"/>
        <v>#DIV/0!</v>
      </c>
    </row>
    <row r="851" spans="1:6" hidden="1">
      <c r="A851" s="261" t="s">
        <v>1041</v>
      </c>
      <c r="B851" s="304">
        <f>B852</f>
        <v>0</v>
      </c>
      <c r="C851" s="304">
        <f>C852</f>
        <v>0</v>
      </c>
      <c r="D851" s="303" t="e">
        <f t="shared" si="47"/>
        <v>#DIV/0!</v>
      </c>
      <c r="E851" s="303" t="e">
        <f t="shared" si="48"/>
        <v>#DIV/0!</v>
      </c>
    </row>
    <row r="852" spans="1:6" hidden="1">
      <c r="A852" s="264" t="s">
        <v>1040</v>
      </c>
      <c r="B852" s="304"/>
      <c r="C852" s="304"/>
      <c r="D852" s="303" t="e">
        <f t="shared" si="47"/>
        <v>#DIV/0!</v>
      </c>
      <c r="E852" s="303" t="e">
        <f t="shared" si="48"/>
        <v>#DIV/0!</v>
      </c>
    </row>
    <row r="853" spans="1:6">
      <c r="A853" s="261" t="s">
        <v>1039</v>
      </c>
      <c r="B853" s="304">
        <f>SUM(B854,B866,B868,B871,B873,B875)</f>
        <v>328786</v>
      </c>
      <c r="C853" s="304">
        <f>SUM(C854,C866,C868,C871,C873,C875)</f>
        <v>328753</v>
      </c>
      <c r="D853" s="303">
        <f t="shared" si="47"/>
        <v>99.99</v>
      </c>
      <c r="E853" s="303">
        <f t="shared" si="48"/>
        <v>139.87</v>
      </c>
      <c r="F853" s="263">
        <f>SUM(F854,F866,F868,F871,F873,F875)</f>
        <v>235038</v>
      </c>
    </row>
    <row r="854" spans="1:6">
      <c r="A854" s="261" t="s">
        <v>1038</v>
      </c>
      <c r="B854" s="304">
        <v>7193</v>
      </c>
      <c r="C854" s="304">
        <f>SUM(C855:C865)</f>
        <v>7160</v>
      </c>
      <c r="D854" s="303">
        <f t="shared" si="47"/>
        <v>99.54</v>
      </c>
      <c r="E854" s="303">
        <f t="shared" si="48"/>
        <v>96.98</v>
      </c>
      <c r="F854" s="263">
        <f>SUM(F855:F865)</f>
        <v>7383</v>
      </c>
    </row>
    <row r="855" spans="1:6">
      <c r="A855" s="264" t="s">
        <v>647</v>
      </c>
      <c r="B855" s="305"/>
      <c r="C855" s="305">
        <v>2852</v>
      </c>
      <c r="D855" s="303"/>
      <c r="E855" s="303">
        <f t="shared" si="48"/>
        <v>130.16999999999999</v>
      </c>
      <c r="F855" s="260">
        <v>2191</v>
      </c>
    </row>
    <row r="856" spans="1:6">
      <c r="A856" s="264" t="s">
        <v>646</v>
      </c>
      <c r="B856" s="305"/>
      <c r="C856" s="305">
        <v>149</v>
      </c>
      <c r="D856" s="303"/>
      <c r="E856" s="303">
        <f t="shared" si="48"/>
        <v>15.67</v>
      </c>
      <c r="F856" s="270">
        <v>951</v>
      </c>
    </row>
    <row r="857" spans="1:6">
      <c r="A857" s="264" t="s">
        <v>645</v>
      </c>
      <c r="B857" s="305"/>
      <c r="C857" s="305">
        <v>927</v>
      </c>
      <c r="D857" s="303"/>
      <c r="E857" s="303">
        <f t="shared" si="48"/>
        <v>113.05</v>
      </c>
      <c r="F857" s="260">
        <v>820</v>
      </c>
    </row>
    <row r="858" spans="1:6">
      <c r="A858" s="264" t="s">
        <v>1037</v>
      </c>
      <c r="B858" s="305"/>
      <c r="C858" s="305">
        <v>2289</v>
      </c>
      <c r="D858" s="303"/>
      <c r="E858" s="303">
        <f t="shared" si="48"/>
        <v>140.43</v>
      </c>
      <c r="F858" s="260">
        <v>1630</v>
      </c>
    </row>
    <row r="859" spans="1:6" hidden="1">
      <c r="A859" s="264" t="s">
        <v>1036</v>
      </c>
      <c r="B859" s="305"/>
      <c r="C859" s="305"/>
      <c r="D859" s="303"/>
      <c r="E859" s="303" t="e">
        <f t="shared" si="48"/>
        <v>#DIV/0!</v>
      </c>
      <c r="F859" s="260"/>
    </row>
    <row r="860" spans="1:6" hidden="1">
      <c r="A860" s="264" t="s">
        <v>1035</v>
      </c>
      <c r="B860" s="305"/>
      <c r="C860" s="305"/>
      <c r="D860" s="303"/>
      <c r="E860" s="303" t="e">
        <f t="shared" si="48"/>
        <v>#DIV/0!</v>
      </c>
      <c r="F860" s="260"/>
    </row>
    <row r="861" spans="1:6" hidden="1">
      <c r="A861" s="264" t="s">
        <v>1034</v>
      </c>
      <c r="B861" s="305"/>
      <c r="C861" s="305"/>
      <c r="D861" s="303"/>
      <c r="E861" s="303" t="e">
        <f t="shared" si="48"/>
        <v>#DIV/0!</v>
      </c>
      <c r="F861" s="260"/>
    </row>
    <row r="862" spans="1:6" hidden="1">
      <c r="A862" s="264" t="s">
        <v>1033</v>
      </c>
      <c r="B862" s="305"/>
      <c r="C862" s="305"/>
      <c r="D862" s="303"/>
      <c r="E862" s="303" t="e">
        <f t="shared" si="48"/>
        <v>#DIV/0!</v>
      </c>
      <c r="F862" s="260"/>
    </row>
    <row r="863" spans="1:6" hidden="1">
      <c r="A863" s="264" t="s">
        <v>1032</v>
      </c>
      <c r="B863" s="305"/>
      <c r="C863" s="305"/>
      <c r="D863" s="303"/>
      <c r="E863" s="303" t="e">
        <f t="shared" si="48"/>
        <v>#DIV/0!</v>
      </c>
      <c r="F863" s="260"/>
    </row>
    <row r="864" spans="1:6" hidden="1">
      <c r="A864" s="264" t="s">
        <v>1031</v>
      </c>
      <c r="B864" s="305"/>
      <c r="C864" s="305"/>
      <c r="D864" s="303"/>
      <c r="E864" s="303" t="e">
        <f t="shared" si="48"/>
        <v>#DIV/0!</v>
      </c>
      <c r="F864" s="260"/>
    </row>
    <row r="865" spans="1:6">
      <c r="A865" s="264" t="s">
        <v>1030</v>
      </c>
      <c r="B865" s="305"/>
      <c r="C865" s="305">
        <v>943</v>
      </c>
      <c r="D865" s="303"/>
      <c r="E865" s="303">
        <f t="shared" si="48"/>
        <v>52.65</v>
      </c>
      <c r="F865" s="260">
        <v>1791</v>
      </c>
    </row>
    <row r="866" spans="1:6">
      <c r="A866" s="261" t="s">
        <v>1029</v>
      </c>
      <c r="B866" s="305">
        <v>2788</v>
      </c>
      <c r="C866" s="305">
        <f>C867</f>
        <v>2788</v>
      </c>
      <c r="D866" s="303">
        <f>C866/B866*100</f>
        <v>100</v>
      </c>
      <c r="E866" s="303">
        <f t="shared" si="48"/>
        <v>206.52</v>
      </c>
      <c r="F866" s="260">
        <f>F867</f>
        <v>1350</v>
      </c>
    </row>
    <row r="867" spans="1:6">
      <c r="A867" s="264" t="s">
        <v>1028</v>
      </c>
      <c r="B867" s="305"/>
      <c r="C867" s="305">
        <v>2788</v>
      </c>
      <c r="D867" s="303"/>
      <c r="E867" s="303">
        <f t="shared" si="48"/>
        <v>206.52</v>
      </c>
      <c r="F867" s="260">
        <v>1350</v>
      </c>
    </row>
    <row r="868" spans="1:6">
      <c r="A868" s="261" t="s">
        <v>1027</v>
      </c>
      <c r="B868" s="305">
        <v>241628</v>
      </c>
      <c r="C868" s="305">
        <f>SUM(C869:C870)</f>
        <v>241628</v>
      </c>
      <c r="D868" s="303">
        <f>C868/B868*100</f>
        <v>100</v>
      </c>
      <c r="E868" s="303">
        <f t="shared" si="48"/>
        <v>219.93</v>
      </c>
      <c r="F868" s="260">
        <f>SUM(F869:F870)</f>
        <v>109866</v>
      </c>
    </row>
    <row r="869" spans="1:6">
      <c r="A869" s="264" t="s">
        <v>1026</v>
      </c>
      <c r="B869" s="305"/>
      <c r="C869" s="305">
        <v>21340</v>
      </c>
      <c r="D869" s="303"/>
      <c r="E869" s="303">
        <f t="shared" si="48"/>
        <v>473.17</v>
      </c>
      <c r="F869" s="260">
        <v>4510</v>
      </c>
    </row>
    <row r="870" spans="1:6">
      <c r="A870" s="264" t="s">
        <v>1025</v>
      </c>
      <c r="B870" s="305"/>
      <c r="C870" s="305">
        <v>220288</v>
      </c>
      <c r="D870" s="303"/>
      <c r="E870" s="303">
        <f t="shared" si="48"/>
        <v>209.09</v>
      </c>
      <c r="F870" s="260">
        <v>105356</v>
      </c>
    </row>
    <row r="871" spans="1:6">
      <c r="A871" s="261" t="s">
        <v>1024</v>
      </c>
      <c r="B871" s="305">
        <v>1113</v>
      </c>
      <c r="C871" s="305">
        <f>C872</f>
        <v>1113</v>
      </c>
      <c r="D871" s="303">
        <f>C871/B871*100</f>
        <v>100</v>
      </c>
      <c r="E871" s="303">
        <f t="shared" si="48"/>
        <v>32.31</v>
      </c>
      <c r="F871" s="260">
        <f>F872</f>
        <v>3445</v>
      </c>
    </row>
    <row r="872" spans="1:6">
      <c r="A872" s="264" t="s">
        <v>1023</v>
      </c>
      <c r="B872" s="305"/>
      <c r="C872" s="305">
        <v>1113</v>
      </c>
      <c r="D872" s="303"/>
      <c r="E872" s="303">
        <f t="shared" si="48"/>
        <v>32.31</v>
      </c>
      <c r="F872" s="260">
        <v>3445</v>
      </c>
    </row>
    <row r="873" spans="1:6">
      <c r="A873" s="261" t="s">
        <v>1022</v>
      </c>
      <c r="B873" s="305"/>
      <c r="C873" s="305">
        <f>C874</f>
        <v>0</v>
      </c>
      <c r="D873" s="303"/>
      <c r="E873" s="303">
        <f t="shared" si="48"/>
        <v>0</v>
      </c>
      <c r="F873" s="260">
        <f>F874</f>
        <v>259</v>
      </c>
    </row>
    <row r="874" spans="1:6">
      <c r="A874" s="264" t="s">
        <v>1021</v>
      </c>
      <c r="B874" s="305"/>
      <c r="C874" s="305"/>
      <c r="D874" s="303"/>
      <c r="E874" s="303">
        <f t="shared" si="48"/>
        <v>0</v>
      </c>
      <c r="F874" s="260">
        <v>259</v>
      </c>
    </row>
    <row r="875" spans="1:6">
      <c r="A875" s="261" t="s">
        <v>1020</v>
      </c>
      <c r="B875" s="305">
        <v>76064</v>
      </c>
      <c r="C875" s="305">
        <f>C876</f>
        <v>76064</v>
      </c>
      <c r="D875" s="303">
        <f>C875/B875*100</f>
        <v>100</v>
      </c>
      <c r="E875" s="303">
        <f t="shared" si="48"/>
        <v>67.47</v>
      </c>
      <c r="F875" s="260">
        <f>F876</f>
        <v>112735</v>
      </c>
    </row>
    <row r="876" spans="1:6">
      <c r="A876" s="264" t="s">
        <v>1019</v>
      </c>
      <c r="B876" s="305"/>
      <c r="C876" s="305">
        <v>76064</v>
      </c>
      <c r="D876" s="303"/>
      <c r="E876" s="303">
        <f t="shared" si="48"/>
        <v>67.47</v>
      </c>
      <c r="F876" s="260">
        <v>112735</v>
      </c>
    </row>
    <row r="877" spans="1:6">
      <c r="A877" s="261" t="s">
        <v>1018</v>
      </c>
      <c r="B877" s="304">
        <f>SUM(B878,B904,B932,B960,B971,B982,B988,B995,B1002,B1006)</f>
        <v>35095</v>
      </c>
      <c r="C877" s="304">
        <f>SUM(C878,C904,C932,C960,C971,C982,C988,C995,C1002,C1006)</f>
        <v>24825</v>
      </c>
      <c r="D877" s="303">
        <f>C877/B877*100</f>
        <v>70.739999999999995</v>
      </c>
      <c r="E877" s="303">
        <f t="shared" si="48"/>
        <v>35.67</v>
      </c>
      <c r="F877" s="263">
        <f>SUM(F878,F904,F932,F960,F971,F982,F988,F995,F1002,F1006)</f>
        <v>69601</v>
      </c>
    </row>
    <row r="878" spans="1:6">
      <c r="A878" s="261" t="s">
        <v>744</v>
      </c>
      <c r="B878" s="304">
        <v>13073</v>
      </c>
      <c r="C878" s="304">
        <f>SUM(C879:C903)</f>
        <v>11414</v>
      </c>
      <c r="D878" s="303">
        <f>C878/B878*100</f>
        <v>87.31</v>
      </c>
      <c r="E878" s="303">
        <f t="shared" si="48"/>
        <v>69.56</v>
      </c>
      <c r="F878" s="263">
        <f>SUM(F879:F903)</f>
        <v>16409</v>
      </c>
    </row>
    <row r="879" spans="1:6">
      <c r="A879" s="264" t="s">
        <v>647</v>
      </c>
      <c r="B879" s="305"/>
      <c r="C879" s="305">
        <v>354</v>
      </c>
      <c r="D879" s="303"/>
      <c r="E879" s="303">
        <f t="shared" si="48"/>
        <v>54.13</v>
      </c>
      <c r="F879" s="260">
        <v>654</v>
      </c>
    </row>
    <row r="880" spans="1:6" hidden="1">
      <c r="A880" s="264" t="s">
        <v>646</v>
      </c>
      <c r="B880" s="305"/>
      <c r="C880" s="305"/>
      <c r="D880" s="303"/>
      <c r="E880" s="303"/>
      <c r="F880" s="260"/>
    </row>
    <row r="881" spans="1:6">
      <c r="A881" s="264" t="s">
        <v>645</v>
      </c>
      <c r="B881" s="305"/>
      <c r="C881" s="305">
        <v>242</v>
      </c>
      <c r="D881" s="303"/>
      <c r="E881" s="303">
        <f t="shared" ref="E881:E894" si="49">C881/F881*100</f>
        <v>121</v>
      </c>
      <c r="F881" s="260">
        <v>200</v>
      </c>
    </row>
    <row r="882" spans="1:6">
      <c r="A882" s="264" t="s">
        <v>636</v>
      </c>
      <c r="B882" s="305"/>
      <c r="C882" s="305">
        <v>859</v>
      </c>
      <c r="D882" s="303"/>
      <c r="E882" s="303">
        <f t="shared" si="49"/>
        <v>1507.02</v>
      </c>
      <c r="F882" s="260">
        <v>57</v>
      </c>
    </row>
    <row r="883" spans="1:6">
      <c r="A883" s="264" t="s">
        <v>1017</v>
      </c>
      <c r="B883" s="305"/>
      <c r="C883" s="305"/>
      <c r="D883" s="303"/>
      <c r="E883" s="303">
        <f t="shared" si="49"/>
        <v>0</v>
      </c>
      <c r="F883" s="260">
        <v>33</v>
      </c>
    </row>
    <row r="884" spans="1:6">
      <c r="A884" s="264" t="s">
        <v>1016</v>
      </c>
      <c r="B884" s="305"/>
      <c r="C884" s="305">
        <v>225</v>
      </c>
      <c r="D884" s="303"/>
      <c r="E884" s="303">
        <f t="shared" si="49"/>
        <v>134.72999999999999</v>
      </c>
      <c r="F884" s="260">
        <v>167</v>
      </c>
    </row>
    <row r="885" spans="1:6">
      <c r="A885" s="264" t="s">
        <v>1015</v>
      </c>
      <c r="B885" s="305"/>
      <c r="C885" s="305">
        <v>38</v>
      </c>
      <c r="D885" s="303"/>
      <c r="E885" s="303">
        <f t="shared" si="49"/>
        <v>33.33</v>
      </c>
      <c r="F885" s="260">
        <v>114</v>
      </c>
    </row>
    <row r="886" spans="1:6">
      <c r="A886" s="264" t="s">
        <v>1014</v>
      </c>
      <c r="B886" s="305"/>
      <c r="C886" s="305">
        <v>7</v>
      </c>
      <c r="D886" s="303"/>
      <c r="E886" s="303">
        <f t="shared" si="49"/>
        <v>50</v>
      </c>
      <c r="F886" s="260">
        <v>14</v>
      </c>
    </row>
    <row r="887" spans="1:6">
      <c r="A887" s="264" t="s">
        <v>1013</v>
      </c>
      <c r="B887" s="305"/>
      <c r="C887" s="305">
        <v>153</v>
      </c>
      <c r="D887" s="303"/>
      <c r="E887" s="303">
        <f t="shared" si="49"/>
        <v>14.61</v>
      </c>
      <c r="F887" s="260">
        <v>1047</v>
      </c>
    </row>
    <row r="888" spans="1:6" hidden="1">
      <c r="A888" s="264" t="s">
        <v>1012</v>
      </c>
      <c r="B888" s="305"/>
      <c r="C888" s="305"/>
      <c r="D888" s="303"/>
      <c r="E888" s="303">
        <f t="shared" si="49"/>
        <v>0</v>
      </c>
      <c r="F888" s="260">
        <v>34</v>
      </c>
    </row>
    <row r="889" spans="1:6" hidden="1">
      <c r="A889" s="264" t="s">
        <v>1011</v>
      </c>
      <c r="B889" s="305"/>
      <c r="C889" s="305"/>
      <c r="D889" s="303"/>
      <c r="E889" s="303" t="e">
        <f t="shared" si="49"/>
        <v>#DIV/0!</v>
      </c>
      <c r="F889" s="260"/>
    </row>
    <row r="890" spans="1:6" hidden="1">
      <c r="A890" s="264" t="s">
        <v>1010</v>
      </c>
      <c r="B890" s="305"/>
      <c r="C890" s="305"/>
      <c r="D890" s="303"/>
      <c r="E890" s="303" t="e">
        <f t="shared" si="49"/>
        <v>#DIV/0!</v>
      </c>
      <c r="F890" s="260"/>
    </row>
    <row r="891" spans="1:6" hidden="1">
      <c r="A891" s="264" t="s">
        <v>1009</v>
      </c>
      <c r="B891" s="305"/>
      <c r="C891" s="305"/>
      <c r="D891" s="303"/>
      <c r="E891" s="303">
        <f t="shared" si="49"/>
        <v>0</v>
      </c>
      <c r="F891" s="260">
        <v>300</v>
      </c>
    </row>
    <row r="892" spans="1:6" hidden="1">
      <c r="A892" s="264" t="s">
        <v>1008</v>
      </c>
      <c r="B892" s="305"/>
      <c r="C892" s="305"/>
      <c r="D892" s="303"/>
      <c r="E892" s="303" t="e">
        <f t="shared" si="49"/>
        <v>#DIV/0!</v>
      </c>
      <c r="F892" s="260"/>
    </row>
    <row r="893" spans="1:6" hidden="1">
      <c r="A893" s="264" t="s">
        <v>1007</v>
      </c>
      <c r="B893" s="305"/>
      <c r="C893" s="305"/>
      <c r="D893" s="303"/>
      <c r="E893" s="303" t="e">
        <f t="shared" si="49"/>
        <v>#DIV/0!</v>
      </c>
      <c r="F893" s="260"/>
    </row>
    <row r="894" spans="1:6">
      <c r="A894" s="264" t="s">
        <v>1006</v>
      </c>
      <c r="B894" s="305"/>
      <c r="C894" s="305">
        <v>786</v>
      </c>
      <c r="D894" s="303"/>
      <c r="E894" s="303">
        <f t="shared" si="49"/>
        <v>196.99</v>
      </c>
      <c r="F894" s="260">
        <f>65+334</f>
        <v>399</v>
      </c>
    </row>
    <row r="895" spans="1:6" hidden="1">
      <c r="A895" s="264" t="s">
        <v>1005</v>
      </c>
      <c r="B895" s="305"/>
      <c r="C895" s="305"/>
      <c r="D895" s="303"/>
      <c r="E895" s="303"/>
    </row>
    <row r="896" spans="1:6" hidden="1">
      <c r="A896" s="264" t="s">
        <v>1004</v>
      </c>
      <c r="B896" s="305"/>
      <c r="C896" s="305"/>
      <c r="D896" s="303"/>
      <c r="E896" s="303"/>
    </row>
    <row r="897" spans="1:6" hidden="1">
      <c r="A897" s="264" t="s">
        <v>1003</v>
      </c>
      <c r="B897" s="305"/>
      <c r="C897" s="305"/>
      <c r="D897" s="303"/>
      <c r="E897" s="303"/>
    </row>
    <row r="898" spans="1:6" hidden="1">
      <c r="A898" s="264" t="s">
        <v>1002</v>
      </c>
      <c r="B898" s="305"/>
      <c r="C898" s="305"/>
      <c r="D898" s="303"/>
      <c r="E898" s="303"/>
    </row>
    <row r="899" spans="1:6" hidden="1">
      <c r="A899" s="264" t="s">
        <v>1001</v>
      </c>
      <c r="B899" s="305"/>
      <c r="C899" s="305"/>
      <c r="D899" s="303"/>
      <c r="E899" s="303"/>
    </row>
    <row r="900" spans="1:6" hidden="1">
      <c r="A900" s="264" t="s">
        <v>1000</v>
      </c>
      <c r="B900" s="305"/>
      <c r="C900" s="305"/>
      <c r="D900" s="303"/>
      <c r="E900" s="303"/>
    </row>
    <row r="901" spans="1:6">
      <c r="A901" s="264" t="s">
        <v>999</v>
      </c>
      <c r="B901" s="305"/>
      <c r="C901" s="305">
        <v>8070</v>
      </c>
      <c r="D901" s="303"/>
      <c r="E901" s="303">
        <f t="shared" ref="E901:E909" si="50">C901/F901*100</f>
        <v>83.06</v>
      </c>
      <c r="F901" s="260">
        <f>17786-8070</f>
        <v>9716</v>
      </c>
    </row>
    <row r="902" spans="1:6">
      <c r="A902" s="264" t="s">
        <v>998</v>
      </c>
      <c r="B902" s="305"/>
      <c r="C902" s="305">
        <v>16</v>
      </c>
      <c r="D902" s="303"/>
      <c r="E902" s="303">
        <f t="shared" si="50"/>
        <v>35.56</v>
      </c>
      <c r="F902" s="260">
        <v>45</v>
      </c>
    </row>
    <row r="903" spans="1:6">
      <c r="A903" s="264" t="s">
        <v>997</v>
      </c>
      <c r="B903" s="305"/>
      <c r="C903" s="305">
        <v>664</v>
      </c>
      <c r="D903" s="303"/>
      <c r="E903" s="303">
        <f t="shared" si="50"/>
        <v>18.3</v>
      </c>
      <c r="F903" s="260">
        <v>3629</v>
      </c>
    </row>
    <row r="904" spans="1:6">
      <c r="A904" s="261" t="s">
        <v>996</v>
      </c>
      <c r="B904" s="305">
        <v>9388</v>
      </c>
      <c r="C904" s="305">
        <f>SUM(C905:C931)</f>
        <v>4220</v>
      </c>
      <c r="D904" s="303">
        <f>C904/B904*100</f>
        <v>44.95</v>
      </c>
      <c r="E904" s="303">
        <f t="shared" si="50"/>
        <v>61.23</v>
      </c>
      <c r="F904" s="267">
        <f>SUM(F905:F931)</f>
        <v>6892</v>
      </c>
    </row>
    <row r="905" spans="1:6">
      <c r="A905" s="264" t="s">
        <v>647</v>
      </c>
      <c r="B905" s="305"/>
      <c r="C905" s="305">
        <v>110</v>
      </c>
      <c r="D905" s="303"/>
      <c r="E905" s="303">
        <f t="shared" si="50"/>
        <v>74.319999999999993</v>
      </c>
      <c r="F905" s="260">
        <v>148</v>
      </c>
    </row>
    <row r="906" spans="1:6">
      <c r="A906" s="264" t="s">
        <v>646</v>
      </c>
      <c r="B906" s="305"/>
      <c r="C906" s="305">
        <v>94</v>
      </c>
      <c r="D906" s="303"/>
      <c r="E906" s="303">
        <f t="shared" si="50"/>
        <v>408.7</v>
      </c>
      <c r="F906" s="260">
        <v>23</v>
      </c>
    </row>
    <row r="907" spans="1:6" hidden="1">
      <c r="A907" s="264" t="s">
        <v>645</v>
      </c>
      <c r="B907" s="305"/>
      <c r="C907" s="305"/>
      <c r="D907" s="303"/>
      <c r="E907" s="303" t="e">
        <f t="shared" si="50"/>
        <v>#DIV/0!</v>
      </c>
      <c r="F907" s="260"/>
    </row>
    <row r="908" spans="1:6">
      <c r="A908" s="264" t="s">
        <v>995</v>
      </c>
      <c r="B908" s="305"/>
      <c r="C908" s="305">
        <v>1042</v>
      </c>
      <c r="D908" s="303"/>
      <c r="E908" s="303">
        <f t="shared" si="50"/>
        <v>123.17</v>
      </c>
      <c r="F908" s="260">
        <v>846</v>
      </c>
    </row>
    <row r="909" spans="1:6">
      <c r="A909" s="264" t="s">
        <v>994</v>
      </c>
      <c r="B909" s="305"/>
      <c r="C909" s="305">
        <v>2101</v>
      </c>
      <c r="D909" s="303"/>
      <c r="E909" s="303">
        <f t="shared" si="50"/>
        <v>47.11</v>
      </c>
      <c r="F909" s="260">
        <f>5279-819</f>
        <v>4460</v>
      </c>
    </row>
    <row r="910" spans="1:6">
      <c r="A910" s="264" t="s">
        <v>993</v>
      </c>
      <c r="B910" s="305"/>
      <c r="C910" s="305">
        <v>8</v>
      </c>
      <c r="D910" s="303"/>
      <c r="E910" s="303"/>
      <c r="F910" s="260"/>
    </row>
    <row r="911" spans="1:6">
      <c r="A911" s="264" t="s">
        <v>992</v>
      </c>
      <c r="B911" s="305"/>
      <c r="C911" s="305">
        <v>135</v>
      </c>
      <c r="D911" s="303"/>
      <c r="E911" s="303">
        <f>C911/F911*100</f>
        <v>64.900000000000006</v>
      </c>
      <c r="F911" s="260">
        <v>208</v>
      </c>
    </row>
    <row r="912" spans="1:6" hidden="1">
      <c r="A912" s="264" t="s">
        <v>991</v>
      </c>
      <c r="B912" s="305"/>
      <c r="C912" s="305"/>
      <c r="D912" s="303"/>
      <c r="E912" s="303" t="e">
        <f>C912/F912*100</f>
        <v>#DIV/0!</v>
      </c>
      <c r="F912" s="260"/>
    </row>
    <row r="913" spans="1:6">
      <c r="A913" s="264" t="s">
        <v>990</v>
      </c>
      <c r="B913" s="305"/>
      <c r="C913" s="305">
        <v>452</v>
      </c>
      <c r="D913" s="303"/>
      <c r="E913" s="303">
        <f>C913/F913*100</f>
        <v>229.44</v>
      </c>
      <c r="F913" s="260">
        <v>197</v>
      </c>
    </row>
    <row r="914" spans="1:6" hidden="1">
      <c r="A914" s="264" t="s">
        <v>989</v>
      </c>
      <c r="B914" s="305"/>
      <c r="C914" s="305"/>
      <c r="D914" s="303"/>
      <c r="E914" s="303" t="e">
        <f>C914/F914*100</f>
        <v>#DIV/0!</v>
      </c>
    </row>
    <row r="915" spans="1:6">
      <c r="A915" s="264" t="s">
        <v>988</v>
      </c>
      <c r="B915" s="305"/>
      <c r="C915" s="305">
        <v>30</v>
      </c>
      <c r="D915" s="303"/>
      <c r="E915" s="303"/>
    </row>
    <row r="916" spans="1:6" hidden="1">
      <c r="A916" s="264" t="s">
        <v>987</v>
      </c>
      <c r="B916" s="305"/>
      <c r="C916" s="305"/>
      <c r="D916" s="303"/>
      <c r="E916" s="303" t="e">
        <f t="shared" ref="E916:E947" si="51">C916/F916*100</f>
        <v>#DIV/0!</v>
      </c>
    </row>
    <row r="917" spans="1:6" hidden="1">
      <c r="A917" s="264" t="s">
        <v>986</v>
      </c>
      <c r="B917" s="305"/>
      <c r="C917" s="305"/>
      <c r="D917" s="303"/>
      <c r="E917" s="303" t="e">
        <f t="shared" si="51"/>
        <v>#DIV/0!</v>
      </c>
    </row>
    <row r="918" spans="1:6" hidden="1">
      <c r="A918" s="264" t="s">
        <v>985</v>
      </c>
      <c r="B918" s="305"/>
      <c r="C918" s="305"/>
      <c r="D918" s="303"/>
      <c r="E918" s="303" t="e">
        <f t="shared" si="51"/>
        <v>#DIV/0!</v>
      </c>
    </row>
    <row r="919" spans="1:6" hidden="1">
      <c r="A919" s="264" t="s">
        <v>984</v>
      </c>
      <c r="B919" s="305"/>
      <c r="C919" s="305"/>
      <c r="D919" s="303"/>
      <c r="E919" s="303" t="e">
        <f t="shared" si="51"/>
        <v>#DIV/0!</v>
      </c>
    </row>
    <row r="920" spans="1:6" hidden="1">
      <c r="A920" s="264" t="s">
        <v>983</v>
      </c>
      <c r="B920" s="305"/>
      <c r="C920" s="305"/>
      <c r="D920" s="303"/>
      <c r="E920" s="303" t="e">
        <f t="shared" si="51"/>
        <v>#DIV/0!</v>
      </c>
    </row>
    <row r="921" spans="1:6" hidden="1">
      <c r="A921" s="264" t="s">
        <v>982</v>
      </c>
      <c r="B921" s="305"/>
      <c r="C921" s="305"/>
      <c r="D921" s="303"/>
      <c r="E921" s="303" t="e">
        <f t="shared" si="51"/>
        <v>#DIV/0!</v>
      </c>
    </row>
    <row r="922" spans="1:6" hidden="1">
      <c r="A922" s="264" t="s">
        <v>981</v>
      </c>
      <c r="B922" s="305"/>
      <c r="C922" s="305"/>
      <c r="D922" s="303"/>
      <c r="E922" s="303" t="e">
        <f t="shared" si="51"/>
        <v>#DIV/0!</v>
      </c>
    </row>
    <row r="923" spans="1:6" hidden="1">
      <c r="A923" s="264" t="s">
        <v>980</v>
      </c>
      <c r="B923" s="305"/>
      <c r="C923" s="305"/>
      <c r="D923" s="303"/>
      <c r="E923" s="303" t="e">
        <f t="shared" si="51"/>
        <v>#DIV/0!</v>
      </c>
    </row>
    <row r="924" spans="1:6" hidden="1">
      <c r="A924" s="264" t="s">
        <v>951</v>
      </c>
      <c r="B924" s="305"/>
      <c r="C924" s="305"/>
      <c r="D924" s="303"/>
      <c r="E924" s="303" t="e">
        <f t="shared" si="51"/>
        <v>#DIV/0!</v>
      </c>
    </row>
    <row r="925" spans="1:6" hidden="1">
      <c r="A925" s="264" t="s">
        <v>979</v>
      </c>
      <c r="B925" s="305"/>
      <c r="C925" s="305"/>
      <c r="D925" s="303"/>
      <c r="E925" s="303" t="e">
        <f t="shared" si="51"/>
        <v>#DIV/0!</v>
      </c>
    </row>
    <row r="926" spans="1:6" hidden="1">
      <c r="A926" s="264" t="s">
        <v>978</v>
      </c>
      <c r="B926" s="305"/>
      <c r="C926" s="305"/>
      <c r="D926" s="303"/>
      <c r="E926" s="303" t="e">
        <f t="shared" si="51"/>
        <v>#DIV/0!</v>
      </c>
    </row>
    <row r="927" spans="1:6" hidden="1">
      <c r="A927" s="264" t="s">
        <v>977</v>
      </c>
      <c r="B927" s="305"/>
      <c r="C927" s="305"/>
      <c r="D927" s="303"/>
      <c r="E927" s="303" t="e">
        <f t="shared" si="51"/>
        <v>#DIV/0!</v>
      </c>
    </row>
    <row r="928" spans="1:6" hidden="1">
      <c r="A928" s="264" t="s">
        <v>976</v>
      </c>
      <c r="B928" s="305"/>
      <c r="C928" s="305"/>
      <c r="D928" s="303"/>
      <c r="E928" s="303" t="e">
        <f t="shared" si="51"/>
        <v>#DIV/0!</v>
      </c>
    </row>
    <row r="929" spans="1:6" hidden="1">
      <c r="A929" s="264" t="s">
        <v>975</v>
      </c>
      <c r="B929" s="305"/>
      <c r="C929" s="305"/>
      <c r="D929" s="303"/>
      <c r="E929" s="303" t="e">
        <f t="shared" si="51"/>
        <v>#DIV/0!</v>
      </c>
    </row>
    <row r="930" spans="1:6">
      <c r="A930" s="264" t="s">
        <v>974</v>
      </c>
      <c r="B930" s="305"/>
      <c r="C930" s="305">
        <v>70</v>
      </c>
      <c r="D930" s="303"/>
      <c r="E930" s="303">
        <f t="shared" si="51"/>
        <v>125</v>
      </c>
      <c r="F930" s="260">
        <v>56</v>
      </c>
    </row>
    <row r="931" spans="1:6">
      <c r="A931" s="264" t="s">
        <v>973</v>
      </c>
      <c r="B931" s="305"/>
      <c r="C931" s="305">
        <v>178</v>
      </c>
      <c r="D931" s="303"/>
      <c r="E931" s="303">
        <f t="shared" si="51"/>
        <v>18.66</v>
      </c>
      <c r="F931" s="260">
        <v>954</v>
      </c>
    </row>
    <row r="932" spans="1:6">
      <c r="A932" s="261" t="s">
        <v>972</v>
      </c>
      <c r="B932" s="305">
        <v>8801</v>
      </c>
      <c r="C932" s="305">
        <f>SUM(C933:C959)</f>
        <v>8280</v>
      </c>
      <c r="D932" s="303">
        <f>C932/B932*100</f>
        <v>94.08</v>
      </c>
      <c r="E932" s="303">
        <f t="shared" si="51"/>
        <v>18.75</v>
      </c>
      <c r="F932" s="267">
        <f>SUM(F933:F959)</f>
        <v>44170</v>
      </c>
    </row>
    <row r="933" spans="1:6">
      <c r="A933" s="264" t="s">
        <v>647</v>
      </c>
      <c r="B933" s="305"/>
      <c r="C933" s="305">
        <v>446</v>
      </c>
      <c r="D933" s="303"/>
      <c r="E933" s="303">
        <f t="shared" si="51"/>
        <v>117.06</v>
      </c>
      <c r="F933" s="260">
        <v>381</v>
      </c>
    </row>
    <row r="934" spans="1:6">
      <c r="A934" s="264" t="s">
        <v>646</v>
      </c>
      <c r="B934" s="305"/>
      <c r="C934" s="305">
        <v>342</v>
      </c>
      <c r="D934" s="303"/>
      <c r="E934" s="303">
        <f t="shared" si="51"/>
        <v>146.78</v>
      </c>
      <c r="F934" s="260">
        <v>233</v>
      </c>
    </row>
    <row r="935" spans="1:6">
      <c r="A935" s="264" t="s">
        <v>645</v>
      </c>
      <c r="B935" s="305"/>
      <c r="C935" s="305"/>
      <c r="D935" s="303"/>
      <c r="E935" s="303">
        <f t="shared" si="51"/>
        <v>0</v>
      </c>
      <c r="F935" s="260">
        <v>131</v>
      </c>
    </row>
    <row r="936" spans="1:6">
      <c r="A936" s="264" t="s">
        <v>971</v>
      </c>
      <c r="B936" s="305"/>
      <c r="C936" s="305">
        <v>781</v>
      </c>
      <c r="D936" s="303"/>
      <c r="E936" s="303">
        <f t="shared" si="51"/>
        <v>155.27000000000001</v>
      </c>
      <c r="F936" s="260">
        <v>503</v>
      </c>
    </row>
    <row r="937" spans="1:6">
      <c r="A937" s="264" t="s">
        <v>970</v>
      </c>
      <c r="B937" s="305"/>
      <c r="C937" s="305">
        <v>5090</v>
      </c>
      <c r="D937" s="303"/>
      <c r="E937" s="303">
        <f t="shared" si="51"/>
        <v>13.92</v>
      </c>
      <c r="F937" s="260">
        <v>36561</v>
      </c>
    </row>
    <row r="938" spans="1:6">
      <c r="A938" s="264" t="s">
        <v>969</v>
      </c>
      <c r="B938" s="305"/>
      <c r="C938" s="305">
        <v>588</v>
      </c>
      <c r="D938" s="303"/>
      <c r="E938" s="303">
        <f t="shared" si="51"/>
        <v>588</v>
      </c>
      <c r="F938" s="260">
        <v>100</v>
      </c>
    </row>
    <row r="939" spans="1:6" hidden="1">
      <c r="A939" s="264" t="s">
        <v>968</v>
      </c>
      <c r="B939" s="305"/>
      <c r="C939" s="305"/>
      <c r="D939" s="303"/>
      <c r="E939" s="303" t="e">
        <f t="shared" si="51"/>
        <v>#DIV/0!</v>
      </c>
    </row>
    <row r="940" spans="1:6" hidden="1">
      <c r="A940" s="264" t="s">
        <v>967</v>
      </c>
      <c r="B940" s="305"/>
      <c r="C940" s="305"/>
      <c r="D940" s="303"/>
      <c r="E940" s="303" t="e">
        <f t="shared" si="51"/>
        <v>#DIV/0!</v>
      </c>
    </row>
    <row r="941" spans="1:6" hidden="1">
      <c r="A941" s="264" t="s">
        <v>966</v>
      </c>
      <c r="B941" s="305"/>
      <c r="C941" s="305"/>
      <c r="D941" s="303"/>
      <c r="E941" s="303" t="e">
        <f t="shared" si="51"/>
        <v>#DIV/0!</v>
      </c>
    </row>
    <row r="942" spans="1:6">
      <c r="A942" s="264" t="s">
        <v>965</v>
      </c>
      <c r="B942" s="305"/>
      <c r="C942" s="305">
        <v>520</v>
      </c>
      <c r="D942" s="303"/>
      <c r="E942" s="303">
        <f t="shared" si="51"/>
        <v>211.38</v>
      </c>
      <c r="F942" s="260">
        <v>246</v>
      </c>
    </row>
    <row r="943" spans="1:6" hidden="1">
      <c r="A943" s="264" t="s">
        <v>964</v>
      </c>
      <c r="B943" s="305"/>
      <c r="C943" s="305"/>
      <c r="D943" s="303"/>
      <c r="E943" s="303">
        <f t="shared" si="51"/>
        <v>0</v>
      </c>
      <c r="F943" s="260">
        <v>50</v>
      </c>
    </row>
    <row r="944" spans="1:6" hidden="1">
      <c r="A944" s="264" t="s">
        <v>963</v>
      </c>
      <c r="B944" s="305"/>
      <c r="C944" s="305"/>
      <c r="D944" s="303"/>
      <c r="E944" s="303" t="e">
        <f t="shared" si="51"/>
        <v>#DIV/0!</v>
      </c>
    </row>
    <row r="945" spans="1:6" hidden="1">
      <c r="A945" s="264" t="s">
        <v>962</v>
      </c>
      <c r="B945" s="305"/>
      <c r="C945" s="305"/>
      <c r="D945" s="303"/>
      <c r="E945" s="303" t="e">
        <f t="shared" si="51"/>
        <v>#DIV/0!</v>
      </c>
    </row>
    <row r="946" spans="1:6">
      <c r="A946" s="264" t="s">
        <v>961</v>
      </c>
      <c r="B946" s="305"/>
      <c r="C946" s="305">
        <v>333</v>
      </c>
      <c r="D946" s="303"/>
      <c r="E946" s="303">
        <f t="shared" si="51"/>
        <v>72.55</v>
      </c>
      <c r="F946" s="260">
        <v>459</v>
      </c>
    </row>
    <row r="947" spans="1:6" hidden="1">
      <c r="A947" s="264" t="s">
        <v>960</v>
      </c>
      <c r="B947" s="305"/>
      <c r="C947" s="305"/>
      <c r="D947" s="303"/>
      <c r="E947" s="303" t="e">
        <f t="shared" si="51"/>
        <v>#DIV/0!</v>
      </c>
      <c r="F947" s="260"/>
    </row>
    <row r="948" spans="1:6">
      <c r="A948" s="264" t="s">
        <v>959</v>
      </c>
      <c r="B948" s="305"/>
      <c r="C948" s="305">
        <v>80</v>
      </c>
      <c r="D948" s="303"/>
      <c r="E948" s="303">
        <f t="shared" ref="E948:E979" si="52">C948/F948*100</f>
        <v>16.670000000000002</v>
      </c>
      <c r="F948" s="260">
        <v>480</v>
      </c>
    </row>
    <row r="949" spans="1:6" hidden="1">
      <c r="A949" s="264" t="s">
        <v>958</v>
      </c>
      <c r="B949" s="305"/>
      <c r="C949" s="305"/>
      <c r="D949" s="303"/>
      <c r="E949" s="303" t="e">
        <f t="shared" si="52"/>
        <v>#DIV/0!</v>
      </c>
    </row>
    <row r="950" spans="1:6" hidden="1">
      <c r="A950" s="264" t="s">
        <v>957</v>
      </c>
      <c r="B950" s="305"/>
      <c r="C950" s="305"/>
      <c r="D950" s="303"/>
      <c r="E950" s="303" t="e">
        <f t="shared" si="52"/>
        <v>#DIV/0!</v>
      </c>
    </row>
    <row r="951" spans="1:6" hidden="1">
      <c r="A951" s="264" t="s">
        <v>956</v>
      </c>
      <c r="B951" s="305"/>
      <c r="C951" s="305"/>
      <c r="D951" s="303"/>
      <c r="E951" s="303" t="e">
        <f t="shared" si="52"/>
        <v>#DIV/0!</v>
      </c>
    </row>
    <row r="952" spans="1:6" hidden="1">
      <c r="A952" s="264" t="s">
        <v>955</v>
      </c>
      <c r="B952" s="305"/>
      <c r="C952" s="305"/>
      <c r="D952" s="303"/>
      <c r="E952" s="303">
        <f t="shared" si="52"/>
        <v>0</v>
      </c>
      <c r="F952" s="260">
        <f>33-14</f>
        <v>19</v>
      </c>
    </row>
    <row r="953" spans="1:6" hidden="1">
      <c r="A953" s="264" t="s">
        <v>954</v>
      </c>
      <c r="B953" s="305"/>
      <c r="C953" s="305"/>
      <c r="D953" s="303"/>
      <c r="E953" s="303" t="e">
        <f t="shared" si="52"/>
        <v>#DIV/0!</v>
      </c>
      <c r="F953" s="260"/>
    </row>
    <row r="954" spans="1:6">
      <c r="A954" s="264" t="s">
        <v>953</v>
      </c>
      <c r="B954" s="305"/>
      <c r="C954" s="305">
        <v>100</v>
      </c>
      <c r="D954" s="303"/>
      <c r="E954" s="303">
        <f t="shared" si="52"/>
        <v>333.33</v>
      </c>
      <c r="F954" s="260">
        <f>30</f>
        <v>30</v>
      </c>
    </row>
    <row r="955" spans="1:6" hidden="1">
      <c r="A955" s="264" t="s">
        <v>952</v>
      </c>
      <c r="B955" s="305"/>
      <c r="C955" s="305"/>
      <c r="D955" s="303"/>
      <c r="E955" s="303" t="e">
        <f t="shared" si="52"/>
        <v>#DIV/0!</v>
      </c>
    </row>
    <row r="956" spans="1:6" hidden="1">
      <c r="A956" s="264" t="s">
        <v>951</v>
      </c>
      <c r="B956" s="305"/>
      <c r="C956" s="305"/>
      <c r="D956" s="303"/>
      <c r="E956" s="303" t="e">
        <f t="shared" si="52"/>
        <v>#DIV/0!</v>
      </c>
    </row>
    <row r="957" spans="1:6" hidden="1">
      <c r="A957" s="264" t="s">
        <v>950</v>
      </c>
      <c r="B957" s="305"/>
      <c r="C957" s="305"/>
      <c r="D957" s="303"/>
      <c r="E957" s="303" t="e">
        <f t="shared" si="52"/>
        <v>#DIV/0!</v>
      </c>
    </row>
    <row r="958" spans="1:6" hidden="1">
      <c r="A958" s="264" t="s">
        <v>949</v>
      </c>
      <c r="B958" s="305"/>
      <c r="C958" s="305"/>
      <c r="D958" s="303"/>
      <c r="E958" s="303">
        <f t="shared" si="52"/>
        <v>0</v>
      </c>
      <c r="F958" s="260">
        <v>4622</v>
      </c>
    </row>
    <row r="959" spans="1:6" hidden="1">
      <c r="A959" s="264" t="s">
        <v>948</v>
      </c>
      <c r="B959" s="305"/>
      <c r="C959" s="305"/>
      <c r="D959" s="303"/>
      <c r="E959" s="303">
        <f t="shared" si="52"/>
        <v>0</v>
      </c>
      <c r="F959" s="260">
        <f>385-30</f>
        <v>355</v>
      </c>
    </row>
    <row r="960" spans="1:6" hidden="1">
      <c r="A960" s="261" t="s">
        <v>947</v>
      </c>
      <c r="B960" s="305"/>
      <c r="C960" s="305">
        <f>SUM(C961:C970)</f>
        <v>0</v>
      </c>
      <c r="D960" s="303"/>
      <c r="E960" s="303" t="e">
        <f t="shared" si="52"/>
        <v>#DIV/0!</v>
      </c>
    </row>
    <row r="961" spans="1:6" hidden="1">
      <c r="A961" s="264" t="s">
        <v>647</v>
      </c>
      <c r="B961" s="305"/>
      <c r="C961" s="305"/>
      <c r="D961" s="303"/>
      <c r="E961" s="303" t="e">
        <f t="shared" si="52"/>
        <v>#DIV/0!</v>
      </c>
    </row>
    <row r="962" spans="1:6" hidden="1">
      <c r="A962" s="264" t="s">
        <v>646</v>
      </c>
      <c r="B962" s="305"/>
      <c r="C962" s="305"/>
      <c r="D962" s="303"/>
      <c r="E962" s="303" t="e">
        <f t="shared" si="52"/>
        <v>#DIV/0!</v>
      </c>
    </row>
    <row r="963" spans="1:6" hidden="1">
      <c r="A963" s="264" t="s">
        <v>645</v>
      </c>
      <c r="B963" s="305"/>
      <c r="C963" s="305"/>
      <c r="D963" s="303"/>
      <c r="E963" s="303" t="e">
        <f t="shared" si="52"/>
        <v>#DIV/0!</v>
      </c>
    </row>
    <row r="964" spans="1:6" hidden="1">
      <c r="A964" s="264" t="s">
        <v>946</v>
      </c>
      <c r="B964" s="305"/>
      <c r="C964" s="305"/>
      <c r="D964" s="303"/>
      <c r="E964" s="303" t="e">
        <f t="shared" si="52"/>
        <v>#DIV/0!</v>
      </c>
    </row>
    <row r="965" spans="1:6" hidden="1">
      <c r="A965" s="264" t="s">
        <v>945</v>
      </c>
      <c r="B965" s="305"/>
      <c r="C965" s="305"/>
      <c r="D965" s="303"/>
      <c r="E965" s="303" t="e">
        <f t="shared" si="52"/>
        <v>#DIV/0!</v>
      </c>
    </row>
    <row r="966" spans="1:6" hidden="1">
      <c r="A966" s="264" t="s">
        <v>944</v>
      </c>
      <c r="B966" s="305"/>
      <c r="C966" s="305"/>
      <c r="D966" s="303"/>
      <c r="E966" s="303" t="e">
        <f t="shared" si="52"/>
        <v>#DIV/0!</v>
      </c>
    </row>
    <row r="967" spans="1:6" hidden="1">
      <c r="A967" s="264" t="s">
        <v>943</v>
      </c>
      <c r="B967" s="305"/>
      <c r="C967" s="305"/>
      <c r="D967" s="303"/>
      <c r="E967" s="303" t="e">
        <f t="shared" si="52"/>
        <v>#DIV/0!</v>
      </c>
    </row>
    <row r="968" spans="1:6" hidden="1">
      <c r="A968" s="264" t="s">
        <v>942</v>
      </c>
      <c r="B968" s="305"/>
      <c r="C968" s="305"/>
      <c r="D968" s="303"/>
      <c r="E968" s="303" t="e">
        <f t="shared" si="52"/>
        <v>#DIV/0!</v>
      </c>
    </row>
    <row r="969" spans="1:6" hidden="1">
      <c r="A969" s="264" t="s">
        <v>941</v>
      </c>
      <c r="B969" s="305"/>
      <c r="C969" s="305"/>
      <c r="D969" s="303"/>
      <c r="E969" s="303" t="e">
        <f t="shared" si="52"/>
        <v>#DIV/0!</v>
      </c>
    </row>
    <row r="970" spans="1:6" hidden="1">
      <c r="A970" s="264" t="s">
        <v>940</v>
      </c>
      <c r="B970" s="305"/>
      <c r="C970" s="305"/>
      <c r="D970" s="303"/>
      <c r="E970" s="303" t="e">
        <f t="shared" si="52"/>
        <v>#DIV/0!</v>
      </c>
    </row>
    <row r="971" spans="1:6">
      <c r="A971" s="261" t="s">
        <v>939</v>
      </c>
      <c r="B971" s="305">
        <v>92</v>
      </c>
      <c r="C971" s="305">
        <f>SUM(C972:C981)</f>
        <v>64</v>
      </c>
      <c r="D971" s="303">
        <f>C971/B971*100</f>
        <v>69.569999999999993</v>
      </c>
      <c r="E971" s="303">
        <f t="shared" si="52"/>
        <v>70.33</v>
      </c>
      <c r="F971" s="267">
        <f>SUM(F972:F981)</f>
        <v>91</v>
      </c>
    </row>
    <row r="972" spans="1:6" hidden="1">
      <c r="A972" s="264" t="s">
        <v>647</v>
      </c>
      <c r="B972" s="305"/>
      <c r="C972" s="305"/>
      <c r="D972" s="303"/>
      <c r="E972" s="303" t="e">
        <f t="shared" si="52"/>
        <v>#DIV/0!</v>
      </c>
    </row>
    <row r="973" spans="1:6" hidden="1">
      <c r="A973" s="264" t="s">
        <v>646</v>
      </c>
      <c r="B973" s="305"/>
      <c r="C973" s="305"/>
      <c r="D973" s="303"/>
      <c r="E973" s="303" t="e">
        <f t="shared" si="52"/>
        <v>#DIV/0!</v>
      </c>
    </row>
    <row r="974" spans="1:6" hidden="1">
      <c r="A974" s="264" t="s">
        <v>645</v>
      </c>
      <c r="B974" s="305"/>
      <c r="C974" s="305"/>
      <c r="D974" s="303"/>
      <c r="E974" s="303" t="e">
        <f t="shared" si="52"/>
        <v>#DIV/0!</v>
      </c>
    </row>
    <row r="975" spans="1:6">
      <c r="A975" s="264" t="s">
        <v>938</v>
      </c>
      <c r="B975" s="305"/>
      <c r="C975" s="305">
        <v>42</v>
      </c>
      <c r="D975" s="303"/>
      <c r="E975" s="303">
        <f t="shared" si="52"/>
        <v>135.47999999999999</v>
      </c>
      <c r="F975" s="260">
        <v>31</v>
      </c>
    </row>
    <row r="976" spans="1:6">
      <c r="A976" s="264" t="s">
        <v>937</v>
      </c>
      <c r="B976" s="305"/>
      <c r="C976" s="305">
        <v>2</v>
      </c>
      <c r="D976" s="303"/>
      <c r="E976" s="303">
        <f t="shared" si="52"/>
        <v>10</v>
      </c>
      <c r="F976" s="260">
        <v>20</v>
      </c>
    </row>
    <row r="977" spans="1:6" hidden="1">
      <c r="A977" s="264" t="s">
        <v>936</v>
      </c>
      <c r="B977" s="305"/>
      <c r="C977" s="305"/>
      <c r="D977" s="303"/>
      <c r="E977" s="303">
        <f t="shared" si="52"/>
        <v>0</v>
      </c>
      <c r="F977" s="260">
        <v>20</v>
      </c>
    </row>
    <row r="978" spans="1:6" hidden="1">
      <c r="A978" s="264" t="s">
        <v>935</v>
      </c>
      <c r="B978" s="305"/>
      <c r="C978" s="305"/>
      <c r="D978" s="303"/>
      <c r="E978" s="303" t="e">
        <f t="shared" si="52"/>
        <v>#DIV/0!</v>
      </c>
      <c r="F978" s="260"/>
    </row>
    <row r="979" spans="1:6" hidden="1">
      <c r="A979" s="264" t="s">
        <v>934</v>
      </c>
      <c r="B979" s="305"/>
      <c r="C979" s="305"/>
      <c r="D979" s="303"/>
      <c r="E979" s="303" t="e">
        <f t="shared" si="52"/>
        <v>#DIV/0!</v>
      </c>
      <c r="F979" s="260"/>
    </row>
    <row r="980" spans="1:6" hidden="1">
      <c r="A980" s="264" t="s">
        <v>933</v>
      </c>
      <c r="B980" s="305"/>
      <c r="C980" s="305"/>
      <c r="D980" s="303"/>
      <c r="E980" s="303" t="e">
        <f t="shared" ref="E980:E1011" si="53">C980/F980*100</f>
        <v>#DIV/0!</v>
      </c>
      <c r="F980" s="260"/>
    </row>
    <row r="981" spans="1:6">
      <c r="A981" s="264" t="s">
        <v>932</v>
      </c>
      <c r="B981" s="305"/>
      <c r="C981" s="305">
        <v>20</v>
      </c>
      <c r="D981" s="303"/>
      <c r="E981" s="303">
        <f t="shared" si="53"/>
        <v>100</v>
      </c>
      <c r="F981" s="260">
        <v>20</v>
      </c>
    </row>
    <row r="982" spans="1:6" hidden="1">
      <c r="A982" s="261" t="s">
        <v>931</v>
      </c>
      <c r="B982" s="305"/>
      <c r="C982" s="305">
        <f>SUM(C983:C987)</f>
        <v>0</v>
      </c>
      <c r="D982" s="303"/>
      <c r="E982" s="303" t="e">
        <f t="shared" si="53"/>
        <v>#DIV/0!</v>
      </c>
    </row>
    <row r="983" spans="1:6" hidden="1">
      <c r="A983" s="264" t="s">
        <v>930</v>
      </c>
      <c r="B983" s="305"/>
      <c r="C983" s="305"/>
      <c r="D983" s="303"/>
      <c r="E983" s="303" t="e">
        <f t="shared" si="53"/>
        <v>#DIV/0!</v>
      </c>
    </row>
    <row r="984" spans="1:6" hidden="1">
      <c r="A984" s="264" t="s">
        <v>929</v>
      </c>
      <c r="B984" s="305"/>
      <c r="C984" s="305"/>
      <c r="D984" s="303"/>
      <c r="E984" s="303" t="e">
        <f t="shared" si="53"/>
        <v>#DIV/0!</v>
      </c>
    </row>
    <row r="985" spans="1:6" hidden="1">
      <c r="A985" s="264" t="s">
        <v>928</v>
      </c>
      <c r="B985" s="305"/>
      <c r="C985" s="305"/>
      <c r="D985" s="303"/>
      <c r="E985" s="303" t="e">
        <f t="shared" si="53"/>
        <v>#DIV/0!</v>
      </c>
    </row>
    <row r="986" spans="1:6" hidden="1">
      <c r="A986" s="264" t="s">
        <v>927</v>
      </c>
      <c r="B986" s="305"/>
      <c r="C986" s="305"/>
      <c r="D986" s="303"/>
      <c r="E986" s="303" t="e">
        <f t="shared" si="53"/>
        <v>#DIV/0!</v>
      </c>
    </row>
    <row r="987" spans="1:6" hidden="1">
      <c r="A987" s="264" t="s">
        <v>926</v>
      </c>
      <c r="B987" s="305"/>
      <c r="C987" s="305"/>
      <c r="D987" s="303"/>
      <c r="E987" s="303" t="e">
        <f t="shared" si="53"/>
        <v>#DIV/0!</v>
      </c>
    </row>
    <row r="988" spans="1:6">
      <c r="A988" s="261" t="s">
        <v>925</v>
      </c>
      <c r="B988" s="305">
        <v>515</v>
      </c>
      <c r="C988" s="305">
        <f>SUM(C989:C994)</f>
        <v>438</v>
      </c>
      <c r="D988" s="303">
        <f>C988/B988*100</f>
        <v>85.05</v>
      </c>
      <c r="E988" s="303">
        <f t="shared" si="53"/>
        <v>184.03</v>
      </c>
      <c r="F988" s="260">
        <f>SUM(F989:F994)</f>
        <v>238</v>
      </c>
    </row>
    <row r="989" spans="1:6">
      <c r="A989" s="264" t="s">
        <v>924</v>
      </c>
      <c r="B989" s="305"/>
      <c r="C989" s="305">
        <v>438</v>
      </c>
      <c r="D989" s="303"/>
      <c r="E989" s="303">
        <f t="shared" si="53"/>
        <v>184.03</v>
      </c>
      <c r="F989" s="260">
        <v>238</v>
      </c>
    </row>
    <row r="990" spans="1:6" hidden="1">
      <c r="A990" s="264" t="s">
        <v>923</v>
      </c>
      <c r="B990" s="305"/>
      <c r="C990" s="305"/>
      <c r="D990" s="303"/>
      <c r="E990" s="303" t="e">
        <f t="shared" si="53"/>
        <v>#DIV/0!</v>
      </c>
    </row>
    <row r="991" spans="1:6" hidden="1">
      <c r="A991" s="264" t="s">
        <v>922</v>
      </c>
      <c r="B991" s="305"/>
      <c r="C991" s="305"/>
      <c r="D991" s="303"/>
      <c r="E991" s="303" t="e">
        <f t="shared" si="53"/>
        <v>#DIV/0!</v>
      </c>
    </row>
    <row r="992" spans="1:6" hidden="1">
      <c r="A992" s="264" t="s">
        <v>921</v>
      </c>
      <c r="B992" s="305"/>
      <c r="C992" s="305"/>
      <c r="D992" s="303"/>
      <c r="E992" s="303" t="e">
        <f t="shared" si="53"/>
        <v>#DIV/0!</v>
      </c>
    </row>
    <row r="993" spans="1:6" hidden="1">
      <c r="A993" s="264" t="s">
        <v>920</v>
      </c>
      <c r="B993" s="305"/>
      <c r="C993" s="305"/>
      <c r="D993" s="303"/>
      <c r="E993" s="303" t="e">
        <f t="shared" si="53"/>
        <v>#DIV/0!</v>
      </c>
    </row>
    <row r="994" spans="1:6" hidden="1">
      <c r="A994" s="264" t="s">
        <v>919</v>
      </c>
      <c r="B994" s="305"/>
      <c r="C994" s="305"/>
      <c r="D994" s="303"/>
      <c r="E994" s="303" t="e">
        <f t="shared" si="53"/>
        <v>#DIV/0!</v>
      </c>
    </row>
    <row r="995" spans="1:6">
      <c r="A995" s="261" t="s">
        <v>918</v>
      </c>
      <c r="B995" s="305">
        <v>1284</v>
      </c>
      <c r="C995" s="305">
        <f>SUM(C996:C1001)</f>
        <v>209</v>
      </c>
      <c r="D995" s="303">
        <f>C995/B995*100</f>
        <v>16.28</v>
      </c>
      <c r="E995" s="303">
        <f t="shared" si="53"/>
        <v>18.71</v>
      </c>
      <c r="F995" s="267">
        <f>SUM(F996:F1001)</f>
        <v>1117</v>
      </c>
    </row>
    <row r="996" spans="1:6" hidden="1">
      <c r="A996" s="264" t="s">
        <v>917</v>
      </c>
      <c r="B996" s="305"/>
      <c r="C996" s="305"/>
      <c r="D996" s="303"/>
      <c r="E996" s="303">
        <f t="shared" si="53"/>
        <v>0</v>
      </c>
      <c r="F996" s="260">
        <v>132</v>
      </c>
    </row>
    <row r="997" spans="1:6">
      <c r="A997" s="264" t="s">
        <v>916</v>
      </c>
      <c r="B997" s="305"/>
      <c r="C997" s="305">
        <v>209</v>
      </c>
      <c r="D997" s="303"/>
      <c r="E997" s="303">
        <f t="shared" si="53"/>
        <v>21.22</v>
      </c>
      <c r="F997" s="260">
        <v>985</v>
      </c>
    </row>
    <row r="998" spans="1:6" hidden="1">
      <c r="A998" s="264" t="s">
        <v>915</v>
      </c>
      <c r="B998" s="305"/>
      <c r="C998" s="305"/>
      <c r="D998" s="303"/>
      <c r="E998" s="303" t="e">
        <f t="shared" si="53"/>
        <v>#DIV/0!</v>
      </c>
    </row>
    <row r="999" spans="1:6" hidden="1">
      <c r="A999" s="264" t="s">
        <v>914</v>
      </c>
      <c r="B999" s="305"/>
      <c r="C999" s="305"/>
      <c r="D999" s="303"/>
      <c r="E999" s="303" t="e">
        <f t="shared" si="53"/>
        <v>#DIV/0!</v>
      </c>
    </row>
    <row r="1000" spans="1:6" hidden="1">
      <c r="A1000" s="264" t="s">
        <v>913</v>
      </c>
      <c r="B1000" s="305"/>
      <c r="C1000" s="305"/>
      <c r="D1000" s="303"/>
      <c r="E1000" s="303" t="e">
        <f t="shared" si="53"/>
        <v>#DIV/0!</v>
      </c>
    </row>
    <row r="1001" spans="1:6" hidden="1">
      <c r="A1001" s="264" t="s">
        <v>912</v>
      </c>
      <c r="B1001" s="305"/>
      <c r="C1001" s="305"/>
      <c r="D1001" s="303"/>
      <c r="E1001" s="303" t="e">
        <f t="shared" si="53"/>
        <v>#DIV/0!</v>
      </c>
    </row>
    <row r="1002" spans="1:6" hidden="1">
      <c r="A1002" s="261" t="s">
        <v>911</v>
      </c>
      <c r="B1002" s="305"/>
      <c r="C1002" s="305">
        <f>SUM(C1003:C1005)</f>
        <v>0</v>
      </c>
      <c r="D1002" s="303"/>
      <c r="E1002" s="303" t="e">
        <f t="shared" si="53"/>
        <v>#DIV/0!</v>
      </c>
    </row>
    <row r="1003" spans="1:6" hidden="1">
      <c r="A1003" s="264" t="s">
        <v>910</v>
      </c>
      <c r="B1003" s="305"/>
      <c r="C1003" s="305"/>
      <c r="D1003" s="303"/>
      <c r="E1003" s="303" t="e">
        <f t="shared" si="53"/>
        <v>#DIV/0!</v>
      </c>
    </row>
    <row r="1004" spans="1:6" hidden="1">
      <c r="A1004" s="264" t="s">
        <v>909</v>
      </c>
      <c r="B1004" s="305"/>
      <c r="C1004" s="305"/>
      <c r="D1004" s="303"/>
      <c r="E1004" s="303" t="e">
        <f t="shared" si="53"/>
        <v>#DIV/0!</v>
      </c>
    </row>
    <row r="1005" spans="1:6" hidden="1">
      <c r="A1005" s="264" t="s">
        <v>908</v>
      </c>
      <c r="B1005" s="305"/>
      <c r="C1005" s="305"/>
      <c r="D1005" s="303"/>
      <c r="E1005" s="303" t="e">
        <f t="shared" si="53"/>
        <v>#DIV/0!</v>
      </c>
    </row>
    <row r="1006" spans="1:6">
      <c r="A1006" s="261" t="s">
        <v>907</v>
      </c>
      <c r="B1006" s="305">
        <v>1942</v>
      </c>
      <c r="C1006" s="305">
        <f>SUM(C1007:C1008)</f>
        <v>200</v>
      </c>
      <c r="D1006" s="303">
        <f>C1006/B1006*100</f>
        <v>10.3</v>
      </c>
      <c r="E1006" s="303">
        <f t="shared" si="53"/>
        <v>29.24</v>
      </c>
      <c r="F1006" s="267">
        <f>SUM(F1007:F1008)</f>
        <v>684</v>
      </c>
    </row>
    <row r="1007" spans="1:6" hidden="1">
      <c r="A1007" s="264" t="s">
        <v>906</v>
      </c>
      <c r="B1007" s="305"/>
      <c r="C1007" s="305"/>
      <c r="D1007" s="303"/>
      <c r="E1007" s="303" t="e">
        <f t="shared" si="53"/>
        <v>#DIV/0!</v>
      </c>
      <c r="F1007" s="266"/>
    </row>
    <row r="1008" spans="1:6">
      <c r="A1008" s="264" t="s">
        <v>905</v>
      </c>
      <c r="B1008" s="305"/>
      <c r="C1008" s="305">
        <v>200</v>
      </c>
      <c r="D1008" s="303"/>
      <c r="E1008" s="303">
        <f t="shared" si="53"/>
        <v>29.24</v>
      </c>
      <c r="F1008" s="270">
        <v>684</v>
      </c>
    </row>
    <row r="1009" spans="1:6">
      <c r="A1009" s="261" t="s">
        <v>904</v>
      </c>
      <c r="B1009" s="304">
        <f>SUM(B1010,B1040,B1050,B1060,B1065,B1072,B1077)</f>
        <v>25439</v>
      </c>
      <c r="C1009" s="304">
        <f>SUM(C1010,C1040,C1050,C1060,C1065,C1072,C1077)</f>
        <v>22023</v>
      </c>
      <c r="D1009" s="303">
        <f>C1009/B1009*100</f>
        <v>86.57</v>
      </c>
      <c r="E1009" s="303">
        <f t="shared" si="53"/>
        <v>20.94</v>
      </c>
      <c r="F1009" s="263">
        <f>SUM(F1010,F1040,F1050,F1060,F1065,F1072,F1077)</f>
        <v>105187</v>
      </c>
    </row>
    <row r="1010" spans="1:6">
      <c r="A1010" s="261" t="s">
        <v>903</v>
      </c>
      <c r="B1010" s="304">
        <v>22879</v>
      </c>
      <c r="C1010" s="304">
        <f>SUM(C1011:C1039)</f>
        <v>20199</v>
      </c>
      <c r="D1010" s="303">
        <f>C1010/B1010*100</f>
        <v>88.29</v>
      </c>
      <c r="E1010" s="303">
        <f t="shared" si="53"/>
        <v>21.29</v>
      </c>
      <c r="F1010" s="263">
        <f>SUM(F1011:F1039)</f>
        <v>94855</v>
      </c>
    </row>
    <row r="1011" spans="1:6">
      <c r="A1011" s="264" t="s">
        <v>647</v>
      </c>
      <c r="B1011" s="305"/>
      <c r="C1011" s="305">
        <v>1831</v>
      </c>
      <c r="D1011" s="303"/>
      <c r="E1011" s="303">
        <f t="shared" si="53"/>
        <v>117.37</v>
      </c>
      <c r="F1011" s="260">
        <v>1560</v>
      </c>
    </row>
    <row r="1012" spans="1:6">
      <c r="A1012" s="264" t="s">
        <v>646</v>
      </c>
      <c r="B1012" s="305"/>
      <c r="C1012" s="305">
        <v>236</v>
      </c>
      <c r="D1012" s="303"/>
      <c r="E1012" s="303">
        <f t="shared" ref="E1012:E1043" si="54">C1012/F1012*100</f>
        <v>332.39</v>
      </c>
      <c r="F1012" s="260">
        <v>71</v>
      </c>
    </row>
    <row r="1013" spans="1:6" hidden="1">
      <c r="A1013" s="264" t="s">
        <v>645</v>
      </c>
      <c r="B1013" s="305"/>
      <c r="C1013" s="305"/>
      <c r="D1013" s="303"/>
      <c r="E1013" s="303" t="e">
        <f t="shared" si="54"/>
        <v>#DIV/0!</v>
      </c>
      <c r="F1013" s="260"/>
    </row>
    <row r="1014" spans="1:6">
      <c r="A1014" s="264" t="s">
        <v>902</v>
      </c>
      <c r="B1014" s="305"/>
      <c r="C1014" s="305">
        <v>4900</v>
      </c>
      <c r="D1014" s="303"/>
      <c r="E1014" s="303">
        <f t="shared" si="54"/>
        <v>5.9</v>
      </c>
      <c r="F1014" s="260">
        <v>83000</v>
      </c>
    </row>
    <row r="1015" spans="1:6" hidden="1">
      <c r="A1015" s="264" t="s">
        <v>901</v>
      </c>
      <c r="B1015" s="305"/>
      <c r="C1015" s="305"/>
      <c r="D1015" s="303"/>
      <c r="E1015" s="303" t="e">
        <f t="shared" si="54"/>
        <v>#DIV/0!</v>
      </c>
      <c r="F1015" s="260"/>
    </row>
    <row r="1016" spans="1:6">
      <c r="A1016" s="264" t="s">
        <v>900</v>
      </c>
      <c r="B1016" s="305"/>
      <c r="C1016" s="305">
        <v>714</v>
      </c>
      <c r="D1016" s="303"/>
      <c r="E1016" s="303">
        <f t="shared" si="54"/>
        <v>23800</v>
      </c>
      <c r="F1016" s="260">
        <v>3</v>
      </c>
    </row>
    <row r="1017" spans="1:6" hidden="1">
      <c r="A1017" s="264" t="s">
        <v>899</v>
      </c>
      <c r="B1017" s="305"/>
      <c r="C1017" s="305"/>
      <c r="D1017" s="303"/>
      <c r="E1017" s="303">
        <f t="shared" si="54"/>
        <v>0</v>
      </c>
      <c r="F1017" s="260">
        <v>5000</v>
      </c>
    </row>
    <row r="1018" spans="1:6" hidden="1">
      <c r="A1018" s="264" t="s">
        <v>898</v>
      </c>
      <c r="B1018" s="305"/>
      <c r="C1018" s="305"/>
      <c r="D1018" s="303"/>
      <c r="E1018" s="303" t="e">
        <f t="shared" si="54"/>
        <v>#DIV/0!</v>
      </c>
      <c r="F1018" s="260"/>
    </row>
    <row r="1019" spans="1:6" hidden="1">
      <c r="A1019" s="264" t="s">
        <v>897</v>
      </c>
      <c r="B1019" s="305"/>
      <c r="C1019" s="305"/>
      <c r="D1019" s="303"/>
      <c r="E1019" s="303" t="e">
        <f t="shared" si="54"/>
        <v>#DIV/0!</v>
      </c>
      <c r="F1019" s="260"/>
    </row>
    <row r="1020" spans="1:6" hidden="1">
      <c r="A1020" s="264" t="s">
        <v>896</v>
      </c>
      <c r="B1020" s="305"/>
      <c r="C1020" s="305"/>
      <c r="D1020" s="303"/>
      <c r="E1020" s="303" t="e">
        <f t="shared" si="54"/>
        <v>#DIV/0!</v>
      </c>
      <c r="F1020" s="260"/>
    </row>
    <row r="1021" spans="1:6" hidden="1">
      <c r="A1021" s="264" t="s">
        <v>895</v>
      </c>
      <c r="B1021" s="305"/>
      <c r="C1021" s="305"/>
      <c r="D1021" s="303"/>
      <c r="E1021" s="303" t="e">
        <f t="shared" si="54"/>
        <v>#DIV/0!</v>
      </c>
      <c r="F1021" s="260"/>
    </row>
    <row r="1022" spans="1:6" hidden="1">
      <c r="A1022" s="264" t="s">
        <v>894</v>
      </c>
      <c r="B1022" s="305"/>
      <c r="C1022" s="305"/>
      <c r="D1022" s="303"/>
      <c r="E1022" s="303" t="e">
        <f t="shared" si="54"/>
        <v>#DIV/0!</v>
      </c>
      <c r="F1022" s="260"/>
    </row>
    <row r="1023" spans="1:6" hidden="1">
      <c r="A1023" s="264" t="s">
        <v>893</v>
      </c>
      <c r="B1023" s="305"/>
      <c r="C1023" s="305"/>
      <c r="D1023" s="303"/>
      <c r="E1023" s="303" t="e">
        <f t="shared" si="54"/>
        <v>#DIV/0!</v>
      </c>
      <c r="F1023" s="260"/>
    </row>
    <row r="1024" spans="1:6" hidden="1">
      <c r="A1024" s="264" t="s">
        <v>892</v>
      </c>
      <c r="B1024" s="305"/>
      <c r="C1024" s="305"/>
      <c r="D1024" s="303"/>
      <c r="E1024" s="303" t="e">
        <f t="shared" si="54"/>
        <v>#DIV/0!</v>
      </c>
      <c r="F1024" s="260"/>
    </row>
    <row r="1025" spans="1:6">
      <c r="A1025" s="264" t="s">
        <v>891</v>
      </c>
      <c r="B1025" s="305"/>
      <c r="C1025" s="305">
        <v>6703</v>
      </c>
      <c r="D1025" s="303"/>
      <c r="E1025" s="303">
        <f t="shared" si="54"/>
        <v>517.61</v>
      </c>
      <c r="F1025" s="260">
        <v>1295</v>
      </c>
    </row>
    <row r="1026" spans="1:6" hidden="1">
      <c r="A1026" s="264" t="s">
        <v>890</v>
      </c>
      <c r="B1026" s="305"/>
      <c r="C1026" s="305"/>
      <c r="D1026" s="303"/>
      <c r="E1026" s="303" t="e">
        <f t="shared" si="54"/>
        <v>#DIV/0!</v>
      </c>
      <c r="F1026" s="260"/>
    </row>
    <row r="1027" spans="1:6" hidden="1">
      <c r="A1027" s="264" t="s">
        <v>889</v>
      </c>
      <c r="B1027" s="305"/>
      <c r="C1027" s="305"/>
      <c r="D1027" s="303"/>
      <c r="E1027" s="303" t="e">
        <f t="shared" si="54"/>
        <v>#DIV/0!</v>
      </c>
      <c r="F1027" s="260"/>
    </row>
    <row r="1028" spans="1:6" hidden="1">
      <c r="A1028" s="264" t="s">
        <v>888</v>
      </c>
      <c r="B1028" s="305"/>
      <c r="C1028" s="305"/>
      <c r="D1028" s="303"/>
      <c r="E1028" s="303" t="e">
        <f t="shared" si="54"/>
        <v>#DIV/0!</v>
      </c>
      <c r="F1028" s="260"/>
    </row>
    <row r="1029" spans="1:6" hidden="1">
      <c r="A1029" s="264" t="s">
        <v>887</v>
      </c>
      <c r="B1029" s="305"/>
      <c r="C1029" s="305"/>
      <c r="D1029" s="303"/>
      <c r="E1029" s="303" t="e">
        <f t="shared" si="54"/>
        <v>#DIV/0!</v>
      </c>
      <c r="F1029" s="260"/>
    </row>
    <row r="1030" spans="1:6" hidden="1">
      <c r="A1030" s="264" t="s">
        <v>886</v>
      </c>
      <c r="B1030" s="305"/>
      <c r="C1030" s="305"/>
      <c r="D1030" s="303"/>
      <c r="E1030" s="303" t="e">
        <f t="shared" si="54"/>
        <v>#DIV/0!</v>
      </c>
      <c r="F1030" s="260"/>
    </row>
    <row r="1031" spans="1:6" hidden="1">
      <c r="A1031" s="264" t="s">
        <v>885</v>
      </c>
      <c r="B1031" s="305"/>
      <c r="C1031" s="305"/>
      <c r="D1031" s="303"/>
      <c r="E1031" s="303" t="e">
        <f t="shared" si="54"/>
        <v>#DIV/0!</v>
      </c>
      <c r="F1031" s="260"/>
    </row>
    <row r="1032" spans="1:6" hidden="1">
      <c r="A1032" s="264" t="s">
        <v>884</v>
      </c>
      <c r="B1032" s="305"/>
      <c r="C1032" s="305"/>
      <c r="D1032" s="303"/>
      <c r="E1032" s="303" t="e">
        <f t="shared" si="54"/>
        <v>#DIV/0!</v>
      </c>
      <c r="F1032" s="260"/>
    </row>
    <row r="1033" spans="1:6" hidden="1">
      <c r="A1033" s="264" t="s">
        <v>883</v>
      </c>
      <c r="B1033" s="305"/>
      <c r="C1033" s="305"/>
      <c r="D1033" s="303"/>
      <c r="E1033" s="303" t="e">
        <f t="shared" si="54"/>
        <v>#DIV/0!</v>
      </c>
      <c r="F1033" s="260"/>
    </row>
    <row r="1034" spans="1:6">
      <c r="A1034" s="264" t="s">
        <v>882</v>
      </c>
      <c r="B1034" s="305"/>
      <c r="C1034" s="305">
        <v>298</v>
      </c>
      <c r="D1034" s="303"/>
      <c r="E1034" s="303">
        <f t="shared" si="54"/>
        <v>248.33</v>
      </c>
      <c r="F1034" s="260">
        <v>120</v>
      </c>
    </row>
    <row r="1035" spans="1:6" hidden="1">
      <c r="A1035" s="264" t="s">
        <v>881</v>
      </c>
      <c r="B1035" s="305"/>
      <c r="C1035" s="305"/>
      <c r="D1035" s="303"/>
      <c r="E1035" s="303" t="e">
        <f t="shared" si="54"/>
        <v>#DIV/0!</v>
      </c>
      <c r="F1035" s="260"/>
    </row>
    <row r="1036" spans="1:6" hidden="1">
      <c r="A1036" s="264" t="s">
        <v>880</v>
      </c>
      <c r="B1036" s="305"/>
      <c r="C1036" s="305"/>
      <c r="D1036" s="303"/>
      <c r="E1036" s="303" t="e">
        <f t="shared" si="54"/>
        <v>#DIV/0!</v>
      </c>
      <c r="F1036" s="260"/>
    </row>
    <row r="1037" spans="1:6" hidden="1">
      <c r="A1037" s="264" t="s">
        <v>879</v>
      </c>
      <c r="B1037" s="305"/>
      <c r="C1037" s="305"/>
      <c r="D1037" s="303"/>
      <c r="E1037" s="303">
        <f t="shared" si="54"/>
        <v>0</v>
      </c>
      <c r="F1037" s="260">
        <v>2429</v>
      </c>
    </row>
    <row r="1038" spans="1:6" hidden="1">
      <c r="A1038" s="264" t="s">
        <v>878</v>
      </c>
      <c r="B1038" s="305"/>
      <c r="C1038" s="305"/>
      <c r="D1038" s="303"/>
      <c r="E1038" s="303" t="e">
        <f t="shared" si="54"/>
        <v>#DIV/0!</v>
      </c>
      <c r="F1038" s="260"/>
    </row>
    <row r="1039" spans="1:6">
      <c r="A1039" s="264" t="s">
        <v>877</v>
      </c>
      <c r="B1039" s="305"/>
      <c r="C1039" s="305">
        <v>5517</v>
      </c>
      <c r="D1039" s="303"/>
      <c r="E1039" s="303">
        <f t="shared" si="54"/>
        <v>400.65</v>
      </c>
      <c r="F1039" s="260">
        <v>1377</v>
      </c>
    </row>
    <row r="1040" spans="1:6">
      <c r="A1040" s="261" t="s">
        <v>876</v>
      </c>
      <c r="B1040" s="305">
        <v>47</v>
      </c>
      <c r="C1040" s="305">
        <f>SUM(C1041:C1049)</f>
        <v>47</v>
      </c>
      <c r="D1040" s="303">
        <f>C1040/B1040*100</f>
        <v>100</v>
      </c>
      <c r="E1040" s="303">
        <f t="shared" si="54"/>
        <v>0.57999999999999996</v>
      </c>
      <c r="F1040" s="260">
        <f>SUM(F1041:F1049)</f>
        <v>8164</v>
      </c>
    </row>
    <row r="1041" spans="1:6">
      <c r="A1041" s="264" t="s">
        <v>647</v>
      </c>
      <c r="B1041" s="305"/>
      <c r="C1041" s="305">
        <v>47</v>
      </c>
      <c r="D1041" s="303"/>
      <c r="E1041" s="303">
        <f t="shared" si="54"/>
        <v>73.44</v>
      </c>
      <c r="F1041" s="260">
        <v>64</v>
      </c>
    </row>
    <row r="1042" spans="1:6" hidden="1">
      <c r="A1042" s="264" t="s">
        <v>646</v>
      </c>
      <c r="B1042" s="305"/>
      <c r="C1042" s="305"/>
      <c r="D1042" s="303" t="e">
        <f t="shared" ref="D1042:D1077" si="55">C1042/B1042*100</f>
        <v>#DIV/0!</v>
      </c>
      <c r="E1042" s="303" t="e">
        <f t="shared" si="54"/>
        <v>#DIV/0!</v>
      </c>
      <c r="F1042" s="260"/>
    </row>
    <row r="1043" spans="1:6" hidden="1">
      <c r="A1043" s="264" t="s">
        <v>645</v>
      </c>
      <c r="B1043" s="305"/>
      <c r="C1043" s="305"/>
      <c r="D1043" s="303" t="e">
        <f t="shared" si="55"/>
        <v>#DIV/0!</v>
      </c>
      <c r="E1043" s="303" t="e">
        <f t="shared" si="54"/>
        <v>#DIV/0!</v>
      </c>
      <c r="F1043" s="260"/>
    </row>
    <row r="1044" spans="1:6" hidden="1">
      <c r="A1044" s="264" t="s">
        <v>875</v>
      </c>
      <c r="B1044" s="305"/>
      <c r="C1044" s="305"/>
      <c r="D1044" s="303" t="e">
        <f t="shared" si="55"/>
        <v>#DIV/0!</v>
      </c>
      <c r="E1044" s="303">
        <f t="shared" ref="E1044:E1049" si="56">C1044/F1044*100</f>
        <v>0</v>
      </c>
      <c r="F1044" s="260">
        <v>8100</v>
      </c>
    </row>
    <row r="1045" spans="1:6" hidden="1">
      <c r="A1045" s="264" t="s">
        <v>874</v>
      </c>
      <c r="B1045" s="305"/>
      <c r="C1045" s="305"/>
      <c r="D1045" s="303" t="e">
        <f t="shared" si="55"/>
        <v>#DIV/0!</v>
      </c>
      <c r="E1045" s="303" t="e">
        <f t="shared" si="56"/>
        <v>#DIV/0!</v>
      </c>
      <c r="F1045" s="260"/>
    </row>
    <row r="1046" spans="1:6" hidden="1">
      <c r="A1046" s="264" t="s">
        <v>873</v>
      </c>
      <c r="B1046" s="305"/>
      <c r="C1046" s="305"/>
      <c r="D1046" s="303" t="e">
        <f t="shared" si="55"/>
        <v>#DIV/0!</v>
      </c>
      <c r="E1046" s="303" t="e">
        <f t="shared" si="56"/>
        <v>#DIV/0!</v>
      </c>
      <c r="F1046" s="260"/>
    </row>
    <row r="1047" spans="1:6" hidden="1">
      <c r="A1047" s="264" t="s">
        <v>872</v>
      </c>
      <c r="B1047" s="305"/>
      <c r="C1047" s="305"/>
      <c r="D1047" s="303" t="e">
        <f t="shared" si="55"/>
        <v>#DIV/0!</v>
      </c>
      <c r="E1047" s="303" t="e">
        <f t="shared" si="56"/>
        <v>#DIV/0!</v>
      </c>
      <c r="F1047" s="265"/>
    </row>
    <row r="1048" spans="1:6" hidden="1">
      <c r="A1048" s="264" t="s">
        <v>816</v>
      </c>
      <c r="B1048" s="305"/>
      <c r="C1048" s="305"/>
      <c r="D1048" s="303" t="e">
        <f t="shared" si="55"/>
        <v>#DIV/0!</v>
      </c>
      <c r="E1048" s="303" t="e">
        <f t="shared" si="56"/>
        <v>#DIV/0!</v>
      </c>
      <c r="F1048" s="260"/>
    </row>
    <row r="1049" spans="1:6" hidden="1">
      <c r="A1049" s="264" t="s">
        <v>871</v>
      </c>
      <c r="B1049" s="305"/>
      <c r="C1049" s="305"/>
      <c r="D1049" s="303" t="e">
        <f t="shared" si="55"/>
        <v>#DIV/0!</v>
      </c>
      <c r="E1049" s="303" t="e">
        <f t="shared" si="56"/>
        <v>#DIV/0!</v>
      </c>
      <c r="F1049" s="270"/>
    </row>
    <row r="1050" spans="1:6">
      <c r="A1050" s="261" t="s">
        <v>870</v>
      </c>
      <c r="B1050" s="305">
        <v>50</v>
      </c>
      <c r="C1050" s="305">
        <f>SUM(C1051:C1059)</f>
        <v>0</v>
      </c>
      <c r="D1050" s="303">
        <f t="shared" si="55"/>
        <v>0</v>
      </c>
      <c r="E1050" s="303"/>
      <c r="F1050" s="260">
        <f>SUM(F1051:F1059)</f>
        <v>0</v>
      </c>
    </row>
    <row r="1051" spans="1:6" hidden="1">
      <c r="A1051" s="264" t="s">
        <v>647</v>
      </c>
      <c r="B1051" s="305"/>
      <c r="C1051" s="305"/>
      <c r="D1051" s="303" t="e">
        <f t="shared" si="55"/>
        <v>#DIV/0!</v>
      </c>
      <c r="E1051" s="303" t="e">
        <f t="shared" ref="E1051:E1080" si="57">C1051/F1051*100</f>
        <v>#DIV/0!</v>
      </c>
      <c r="F1051" s="260"/>
    </row>
    <row r="1052" spans="1:6" hidden="1">
      <c r="A1052" s="264" t="s">
        <v>646</v>
      </c>
      <c r="B1052" s="305"/>
      <c r="C1052" s="305"/>
      <c r="D1052" s="303" t="e">
        <f t="shared" si="55"/>
        <v>#DIV/0!</v>
      </c>
      <c r="E1052" s="303" t="e">
        <f t="shared" si="57"/>
        <v>#DIV/0!</v>
      </c>
      <c r="F1052" s="260"/>
    </row>
    <row r="1053" spans="1:6" hidden="1">
      <c r="A1053" s="264" t="s">
        <v>645</v>
      </c>
      <c r="B1053" s="305"/>
      <c r="C1053" s="305"/>
      <c r="D1053" s="303" t="e">
        <f t="shared" si="55"/>
        <v>#DIV/0!</v>
      </c>
      <c r="E1053" s="303" t="e">
        <f t="shared" si="57"/>
        <v>#DIV/0!</v>
      </c>
      <c r="F1053" s="260"/>
    </row>
    <row r="1054" spans="1:6" hidden="1">
      <c r="A1054" s="264" t="s">
        <v>869</v>
      </c>
      <c r="B1054" s="305"/>
      <c r="C1054" s="305"/>
      <c r="D1054" s="303" t="e">
        <f t="shared" si="55"/>
        <v>#DIV/0!</v>
      </c>
      <c r="E1054" s="303" t="e">
        <f t="shared" si="57"/>
        <v>#DIV/0!</v>
      </c>
      <c r="F1054" s="260"/>
    </row>
    <row r="1055" spans="1:6" hidden="1">
      <c r="A1055" s="264" t="s">
        <v>868</v>
      </c>
      <c r="B1055" s="305"/>
      <c r="C1055" s="305"/>
      <c r="D1055" s="303" t="e">
        <f t="shared" si="55"/>
        <v>#DIV/0!</v>
      </c>
      <c r="E1055" s="303" t="e">
        <f t="shared" si="57"/>
        <v>#DIV/0!</v>
      </c>
      <c r="F1055" s="260"/>
    </row>
    <row r="1056" spans="1:6" hidden="1">
      <c r="A1056" s="264" t="s">
        <v>867</v>
      </c>
      <c r="B1056" s="305"/>
      <c r="C1056" s="305"/>
      <c r="D1056" s="303" t="e">
        <f t="shared" si="55"/>
        <v>#DIV/0!</v>
      </c>
      <c r="E1056" s="303" t="e">
        <f t="shared" si="57"/>
        <v>#DIV/0!</v>
      </c>
      <c r="F1056" s="260"/>
    </row>
    <row r="1057" spans="1:6" hidden="1">
      <c r="A1057" s="264" t="s">
        <v>866</v>
      </c>
      <c r="B1057" s="305"/>
      <c r="C1057" s="305"/>
      <c r="D1057" s="303" t="e">
        <f t="shared" si="55"/>
        <v>#DIV/0!</v>
      </c>
      <c r="E1057" s="303" t="e">
        <f t="shared" si="57"/>
        <v>#DIV/0!</v>
      </c>
      <c r="F1057" s="260"/>
    </row>
    <row r="1058" spans="1:6" hidden="1">
      <c r="A1058" s="264" t="s">
        <v>865</v>
      </c>
      <c r="B1058" s="305"/>
      <c r="C1058" s="305"/>
      <c r="D1058" s="303" t="e">
        <f t="shared" si="55"/>
        <v>#DIV/0!</v>
      </c>
      <c r="E1058" s="303" t="e">
        <f t="shared" si="57"/>
        <v>#DIV/0!</v>
      </c>
      <c r="F1058" s="260"/>
    </row>
    <row r="1059" spans="1:6" hidden="1">
      <c r="A1059" s="264" t="s">
        <v>864</v>
      </c>
      <c r="B1059" s="305"/>
      <c r="C1059" s="305"/>
      <c r="D1059" s="303" t="e">
        <f t="shared" si="55"/>
        <v>#DIV/0!</v>
      </c>
      <c r="E1059" s="303" t="e">
        <f t="shared" si="57"/>
        <v>#DIV/0!</v>
      </c>
      <c r="F1059" s="260"/>
    </row>
    <row r="1060" spans="1:6">
      <c r="A1060" s="261" t="s">
        <v>863</v>
      </c>
      <c r="B1060" s="305">
        <v>686</v>
      </c>
      <c r="C1060" s="305">
        <f>SUM(C1061:C1064)</f>
        <v>0</v>
      </c>
      <c r="D1060" s="303">
        <f t="shared" si="55"/>
        <v>0</v>
      </c>
      <c r="E1060" s="303">
        <f t="shared" si="57"/>
        <v>0</v>
      </c>
      <c r="F1060" s="260">
        <f>SUM(F1061:F1064)</f>
        <v>996</v>
      </c>
    </row>
    <row r="1061" spans="1:6" hidden="1">
      <c r="A1061" s="264" t="s">
        <v>862</v>
      </c>
      <c r="B1061" s="305"/>
      <c r="C1061" s="305"/>
      <c r="D1061" s="303" t="e">
        <f t="shared" si="55"/>
        <v>#DIV/0!</v>
      </c>
      <c r="E1061" s="303">
        <f t="shared" si="57"/>
        <v>0</v>
      </c>
      <c r="F1061" s="260">
        <v>252</v>
      </c>
    </row>
    <row r="1062" spans="1:6" hidden="1">
      <c r="A1062" s="264" t="s">
        <v>861</v>
      </c>
      <c r="B1062" s="305"/>
      <c r="C1062" s="305"/>
      <c r="D1062" s="303" t="e">
        <f t="shared" si="55"/>
        <v>#DIV/0!</v>
      </c>
      <c r="E1062" s="303">
        <f t="shared" si="57"/>
        <v>0</v>
      </c>
      <c r="F1062" s="260">
        <v>617</v>
      </c>
    </row>
    <row r="1063" spans="1:6" hidden="1">
      <c r="A1063" s="264" t="s">
        <v>860</v>
      </c>
      <c r="B1063" s="305"/>
      <c r="C1063" s="305"/>
      <c r="D1063" s="303" t="e">
        <f t="shared" si="55"/>
        <v>#DIV/0!</v>
      </c>
      <c r="E1063" s="303">
        <f t="shared" si="57"/>
        <v>0</v>
      </c>
      <c r="F1063" s="260">
        <v>86</v>
      </c>
    </row>
    <row r="1064" spans="1:6" hidden="1">
      <c r="A1064" s="264" t="s">
        <v>859</v>
      </c>
      <c r="B1064" s="305"/>
      <c r="C1064" s="305"/>
      <c r="D1064" s="303" t="e">
        <f t="shared" si="55"/>
        <v>#DIV/0!</v>
      </c>
      <c r="E1064" s="303">
        <f t="shared" si="57"/>
        <v>0</v>
      </c>
      <c r="F1064" s="260">
        <v>41</v>
      </c>
    </row>
    <row r="1065" spans="1:6" hidden="1">
      <c r="A1065" s="261" t="s">
        <v>858</v>
      </c>
      <c r="B1065" s="305"/>
      <c r="C1065" s="305">
        <f>SUM(C1066:C1071)</f>
        <v>0</v>
      </c>
      <c r="D1065" s="303" t="e">
        <f t="shared" si="55"/>
        <v>#DIV/0!</v>
      </c>
      <c r="E1065" s="303" t="e">
        <f t="shared" si="57"/>
        <v>#DIV/0!</v>
      </c>
      <c r="F1065" s="260">
        <f>SUM(F1066:F1071)</f>
        <v>0</v>
      </c>
    </row>
    <row r="1066" spans="1:6" hidden="1">
      <c r="A1066" s="264" t="s">
        <v>647</v>
      </c>
      <c r="B1066" s="305"/>
      <c r="C1066" s="305"/>
      <c r="D1066" s="303" t="e">
        <f t="shared" si="55"/>
        <v>#DIV/0!</v>
      </c>
      <c r="E1066" s="303" t="e">
        <f t="shared" si="57"/>
        <v>#DIV/0!</v>
      </c>
      <c r="F1066" s="260"/>
    </row>
    <row r="1067" spans="1:6" hidden="1">
      <c r="A1067" s="264" t="s">
        <v>646</v>
      </c>
      <c r="B1067" s="305"/>
      <c r="C1067" s="305"/>
      <c r="D1067" s="303" t="e">
        <f t="shared" si="55"/>
        <v>#DIV/0!</v>
      </c>
      <c r="E1067" s="303" t="e">
        <f t="shared" si="57"/>
        <v>#DIV/0!</v>
      </c>
      <c r="F1067" s="260"/>
    </row>
    <row r="1068" spans="1:6" hidden="1">
      <c r="A1068" s="264" t="s">
        <v>645</v>
      </c>
      <c r="B1068" s="305"/>
      <c r="C1068" s="305"/>
      <c r="D1068" s="303" t="e">
        <f t="shared" si="55"/>
        <v>#DIV/0!</v>
      </c>
      <c r="E1068" s="303" t="e">
        <f t="shared" si="57"/>
        <v>#DIV/0!</v>
      </c>
      <c r="F1068" s="260"/>
    </row>
    <row r="1069" spans="1:6" hidden="1">
      <c r="A1069" s="264" t="s">
        <v>816</v>
      </c>
      <c r="B1069" s="305"/>
      <c r="C1069" s="305"/>
      <c r="D1069" s="303" t="e">
        <f t="shared" si="55"/>
        <v>#DIV/0!</v>
      </c>
      <c r="E1069" s="303" t="e">
        <f t="shared" si="57"/>
        <v>#DIV/0!</v>
      </c>
      <c r="F1069" s="260"/>
    </row>
    <row r="1070" spans="1:6" hidden="1">
      <c r="A1070" s="264" t="s">
        <v>857</v>
      </c>
      <c r="B1070" s="305"/>
      <c r="C1070" s="305"/>
      <c r="D1070" s="303" t="e">
        <f t="shared" si="55"/>
        <v>#DIV/0!</v>
      </c>
      <c r="E1070" s="303" t="e">
        <f t="shared" si="57"/>
        <v>#DIV/0!</v>
      </c>
      <c r="F1070" s="260"/>
    </row>
    <row r="1071" spans="1:6" hidden="1">
      <c r="A1071" s="264" t="s">
        <v>856</v>
      </c>
      <c r="B1071" s="305"/>
      <c r="C1071" s="305"/>
      <c r="D1071" s="303" t="e">
        <f t="shared" si="55"/>
        <v>#DIV/0!</v>
      </c>
      <c r="E1071" s="303" t="e">
        <f t="shared" si="57"/>
        <v>#DIV/0!</v>
      </c>
      <c r="F1071" s="260"/>
    </row>
    <row r="1072" spans="1:6" hidden="1">
      <c r="A1072" s="261" t="s">
        <v>855</v>
      </c>
      <c r="B1072" s="305"/>
      <c r="C1072" s="305">
        <f>SUM(C1073:C1076)</f>
        <v>0</v>
      </c>
      <c r="D1072" s="303" t="e">
        <f t="shared" si="55"/>
        <v>#DIV/0!</v>
      </c>
      <c r="E1072" s="303" t="e">
        <f t="shared" si="57"/>
        <v>#DIV/0!</v>
      </c>
      <c r="F1072" s="260">
        <f>SUM(F1073:F1076)</f>
        <v>0</v>
      </c>
    </row>
    <row r="1073" spans="1:6" hidden="1">
      <c r="A1073" s="264" t="s">
        <v>854</v>
      </c>
      <c r="B1073" s="305"/>
      <c r="C1073" s="305"/>
      <c r="D1073" s="303" t="e">
        <f t="shared" si="55"/>
        <v>#DIV/0!</v>
      </c>
      <c r="E1073" s="303" t="e">
        <f t="shared" si="57"/>
        <v>#DIV/0!</v>
      </c>
      <c r="F1073" s="260"/>
    </row>
    <row r="1074" spans="1:6" hidden="1">
      <c r="A1074" s="264" t="s">
        <v>853</v>
      </c>
      <c r="B1074" s="305"/>
      <c r="C1074" s="305"/>
      <c r="D1074" s="303" t="e">
        <f t="shared" si="55"/>
        <v>#DIV/0!</v>
      </c>
      <c r="E1074" s="303" t="e">
        <f t="shared" si="57"/>
        <v>#DIV/0!</v>
      </c>
      <c r="F1074" s="260"/>
    </row>
    <row r="1075" spans="1:6" hidden="1">
      <c r="A1075" s="264" t="s">
        <v>852</v>
      </c>
      <c r="B1075" s="305"/>
      <c r="C1075" s="305"/>
      <c r="D1075" s="303" t="e">
        <f t="shared" si="55"/>
        <v>#DIV/0!</v>
      </c>
      <c r="E1075" s="303" t="e">
        <f t="shared" si="57"/>
        <v>#DIV/0!</v>
      </c>
      <c r="F1075" s="260"/>
    </row>
    <row r="1076" spans="1:6" hidden="1">
      <c r="A1076" s="264" t="s">
        <v>851</v>
      </c>
      <c r="B1076" s="305"/>
      <c r="C1076" s="305"/>
      <c r="D1076" s="303" t="e">
        <f t="shared" si="55"/>
        <v>#DIV/0!</v>
      </c>
      <c r="E1076" s="303" t="e">
        <f t="shared" si="57"/>
        <v>#DIV/0!</v>
      </c>
      <c r="F1076" s="260"/>
    </row>
    <row r="1077" spans="1:6">
      <c r="A1077" s="261" t="s">
        <v>850</v>
      </c>
      <c r="B1077" s="305">
        <v>1777</v>
      </c>
      <c r="C1077" s="305">
        <f>SUM(C1078:C1079)</f>
        <v>1777</v>
      </c>
      <c r="D1077" s="303">
        <f t="shared" si="55"/>
        <v>100</v>
      </c>
      <c r="E1077" s="303">
        <f t="shared" si="57"/>
        <v>151.62</v>
      </c>
      <c r="F1077" s="260">
        <f>SUM(F1078:F1079)</f>
        <v>1172</v>
      </c>
    </row>
    <row r="1078" spans="1:6">
      <c r="A1078" s="264" t="s">
        <v>849</v>
      </c>
      <c r="B1078" s="305"/>
      <c r="C1078" s="305">
        <v>1777</v>
      </c>
      <c r="D1078" s="303"/>
      <c r="E1078" s="303">
        <f t="shared" si="57"/>
        <v>151.62</v>
      </c>
      <c r="F1078" s="260">
        <v>1172</v>
      </c>
    </row>
    <row r="1079" spans="1:6" hidden="1">
      <c r="A1079" s="264" t="s">
        <v>848</v>
      </c>
      <c r="B1079" s="305"/>
      <c r="C1079" s="305"/>
      <c r="D1079" s="303" t="e">
        <f t="shared" ref="D1079:D1105" si="58">C1079/B1079*100</f>
        <v>#DIV/0!</v>
      </c>
      <c r="E1079" s="303" t="e">
        <f t="shared" si="57"/>
        <v>#DIV/0!</v>
      </c>
      <c r="F1079" s="260"/>
    </row>
    <row r="1080" spans="1:6">
      <c r="A1080" s="261" t="s">
        <v>847</v>
      </c>
      <c r="B1080" s="304">
        <f>SUM(B1081,B1091,B1107,B1112,B1126,B1135,B1142,B1149)</f>
        <v>66541</v>
      </c>
      <c r="C1080" s="304">
        <f>SUM(C1081,C1091,C1107,C1112,C1126,C1135,C1142,C1149)</f>
        <v>64576</v>
      </c>
      <c r="D1080" s="303">
        <f t="shared" si="58"/>
        <v>97.05</v>
      </c>
      <c r="E1080" s="303">
        <f t="shared" si="57"/>
        <v>162.41999999999999</v>
      </c>
      <c r="F1080" s="260">
        <f>F1081+F1091+F1107+F1112+F1126+F1135+F1142+F1149</f>
        <v>39758</v>
      </c>
    </row>
    <row r="1081" spans="1:6">
      <c r="A1081" s="261" t="s">
        <v>846</v>
      </c>
      <c r="B1081" s="304">
        <v>100</v>
      </c>
      <c r="C1081" s="304">
        <f>SUM(C1082:C1090)</f>
        <v>0</v>
      </c>
      <c r="D1081" s="303">
        <f t="shared" si="58"/>
        <v>0</v>
      </c>
      <c r="E1081" s="303"/>
      <c r="F1081" s="260">
        <f>SUM(F1082:F1090)</f>
        <v>0</v>
      </c>
    </row>
    <row r="1082" spans="1:6" hidden="1">
      <c r="A1082" s="264" t="s">
        <v>647</v>
      </c>
      <c r="B1082" s="305"/>
      <c r="C1082" s="305"/>
      <c r="D1082" s="303" t="e">
        <f t="shared" si="58"/>
        <v>#DIV/0!</v>
      </c>
      <c r="E1082" s="303" t="e">
        <f t="shared" ref="E1082:E1111" si="59">C1082/F1082*100</f>
        <v>#DIV/0!</v>
      </c>
      <c r="F1082" s="260"/>
    </row>
    <row r="1083" spans="1:6" hidden="1">
      <c r="A1083" s="264" t="s">
        <v>646</v>
      </c>
      <c r="B1083" s="305"/>
      <c r="C1083" s="305"/>
      <c r="D1083" s="303" t="e">
        <f t="shared" si="58"/>
        <v>#DIV/0!</v>
      </c>
      <c r="E1083" s="303" t="e">
        <f t="shared" si="59"/>
        <v>#DIV/0!</v>
      </c>
      <c r="F1083" s="260"/>
    </row>
    <row r="1084" spans="1:6" hidden="1">
      <c r="A1084" s="264" t="s">
        <v>645</v>
      </c>
      <c r="B1084" s="305"/>
      <c r="C1084" s="305"/>
      <c r="D1084" s="303" t="e">
        <f t="shared" si="58"/>
        <v>#DIV/0!</v>
      </c>
      <c r="E1084" s="303" t="e">
        <f t="shared" si="59"/>
        <v>#DIV/0!</v>
      </c>
      <c r="F1084" s="260"/>
    </row>
    <row r="1085" spans="1:6" hidden="1">
      <c r="A1085" s="264" t="s">
        <v>845</v>
      </c>
      <c r="B1085" s="305"/>
      <c r="C1085" s="305"/>
      <c r="D1085" s="303" t="e">
        <f t="shared" si="58"/>
        <v>#DIV/0!</v>
      </c>
      <c r="E1085" s="303" t="e">
        <f t="shared" si="59"/>
        <v>#DIV/0!</v>
      </c>
      <c r="F1085" s="260"/>
    </row>
    <row r="1086" spans="1:6" hidden="1">
      <c r="A1086" s="264" t="s">
        <v>844</v>
      </c>
      <c r="B1086" s="305"/>
      <c r="C1086" s="305"/>
      <c r="D1086" s="303" t="e">
        <f t="shared" si="58"/>
        <v>#DIV/0!</v>
      </c>
      <c r="E1086" s="303" t="e">
        <f t="shared" si="59"/>
        <v>#DIV/0!</v>
      </c>
      <c r="F1086" s="260"/>
    </row>
    <row r="1087" spans="1:6" hidden="1">
      <c r="A1087" s="264" t="s">
        <v>843</v>
      </c>
      <c r="B1087" s="305"/>
      <c r="C1087" s="305"/>
      <c r="D1087" s="303" t="e">
        <f t="shared" si="58"/>
        <v>#DIV/0!</v>
      </c>
      <c r="E1087" s="303" t="e">
        <f t="shared" si="59"/>
        <v>#DIV/0!</v>
      </c>
      <c r="F1087" s="260"/>
    </row>
    <row r="1088" spans="1:6" hidden="1">
      <c r="A1088" s="264" t="s">
        <v>842</v>
      </c>
      <c r="B1088" s="305"/>
      <c r="C1088" s="305"/>
      <c r="D1088" s="303" t="e">
        <f t="shared" si="58"/>
        <v>#DIV/0!</v>
      </c>
      <c r="E1088" s="303" t="e">
        <f t="shared" si="59"/>
        <v>#DIV/0!</v>
      </c>
      <c r="F1088" s="260"/>
    </row>
    <row r="1089" spans="1:6" hidden="1">
      <c r="A1089" s="264" t="s">
        <v>841</v>
      </c>
      <c r="B1089" s="305"/>
      <c r="C1089" s="305"/>
      <c r="D1089" s="303" t="e">
        <f t="shared" si="58"/>
        <v>#DIV/0!</v>
      </c>
      <c r="E1089" s="303" t="e">
        <f t="shared" si="59"/>
        <v>#DIV/0!</v>
      </c>
      <c r="F1089" s="260"/>
    </row>
    <row r="1090" spans="1:6" hidden="1">
      <c r="A1090" s="264" t="s">
        <v>840</v>
      </c>
      <c r="B1090" s="305"/>
      <c r="C1090" s="305"/>
      <c r="D1090" s="303" t="e">
        <f t="shared" si="58"/>
        <v>#DIV/0!</v>
      </c>
      <c r="E1090" s="303" t="e">
        <f t="shared" si="59"/>
        <v>#DIV/0!</v>
      </c>
      <c r="F1090" s="260"/>
    </row>
    <row r="1091" spans="1:6">
      <c r="A1091" s="261" t="s">
        <v>839</v>
      </c>
      <c r="B1091" s="305">
        <v>1515</v>
      </c>
      <c r="C1091" s="305">
        <f>SUM(C1092:C1106)</f>
        <v>266</v>
      </c>
      <c r="D1091" s="303">
        <f t="shared" si="58"/>
        <v>17.559999999999999</v>
      </c>
      <c r="E1091" s="303">
        <f t="shared" si="59"/>
        <v>443.33</v>
      </c>
      <c r="F1091" s="260">
        <f>SUM(F1092:F1106)</f>
        <v>60</v>
      </c>
    </row>
    <row r="1092" spans="1:6" hidden="1">
      <c r="A1092" s="264" t="s">
        <v>647</v>
      </c>
      <c r="B1092" s="305"/>
      <c r="C1092" s="305"/>
      <c r="D1092" s="303" t="e">
        <f t="shared" si="58"/>
        <v>#DIV/0!</v>
      </c>
      <c r="E1092" s="303" t="e">
        <f t="shared" si="59"/>
        <v>#DIV/0!</v>
      </c>
      <c r="F1092" s="260"/>
    </row>
    <row r="1093" spans="1:6" hidden="1">
      <c r="A1093" s="264" t="s">
        <v>646</v>
      </c>
      <c r="B1093" s="305"/>
      <c r="C1093" s="305"/>
      <c r="D1093" s="303" t="e">
        <f t="shared" si="58"/>
        <v>#DIV/0!</v>
      </c>
      <c r="E1093" s="303" t="e">
        <f t="shared" si="59"/>
        <v>#DIV/0!</v>
      </c>
      <c r="F1093" s="260"/>
    </row>
    <row r="1094" spans="1:6" hidden="1">
      <c r="A1094" s="264" t="s">
        <v>645</v>
      </c>
      <c r="B1094" s="305"/>
      <c r="C1094" s="305"/>
      <c r="D1094" s="303" t="e">
        <f t="shared" si="58"/>
        <v>#DIV/0!</v>
      </c>
      <c r="E1094" s="303" t="e">
        <f t="shared" si="59"/>
        <v>#DIV/0!</v>
      </c>
      <c r="F1094" s="260"/>
    </row>
    <row r="1095" spans="1:6" hidden="1">
      <c r="A1095" s="264" t="s">
        <v>838</v>
      </c>
      <c r="B1095" s="305"/>
      <c r="C1095" s="305"/>
      <c r="D1095" s="303" t="e">
        <f t="shared" si="58"/>
        <v>#DIV/0!</v>
      </c>
      <c r="E1095" s="303" t="e">
        <f t="shared" si="59"/>
        <v>#DIV/0!</v>
      </c>
      <c r="F1095" s="260"/>
    </row>
    <row r="1096" spans="1:6" hidden="1">
      <c r="A1096" s="264" t="s">
        <v>837</v>
      </c>
      <c r="B1096" s="305"/>
      <c r="C1096" s="305"/>
      <c r="D1096" s="303" t="e">
        <f t="shared" si="58"/>
        <v>#DIV/0!</v>
      </c>
      <c r="E1096" s="303" t="e">
        <f t="shared" si="59"/>
        <v>#DIV/0!</v>
      </c>
      <c r="F1096" s="260"/>
    </row>
    <row r="1097" spans="1:6" hidden="1">
      <c r="A1097" s="264" t="s">
        <v>836</v>
      </c>
      <c r="B1097" s="305"/>
      <c r="C1097" s="305"/>
      <c r="D1097" s="303" t="e">
        <f t="shared" si="58"/>
        <v>#DIV/0!</v>
      </c>
      <c r="E1097" s="303" t="e">
        <f t="shared" si="59"/>
        <v>#DIV/0!</v>
      </c>
      <c r="F1097" s="260"/>
    </row>
    <row r="1098" spans="1:6" hidden="1">
      <c r="A1098" s="264" t="s">
        <v>835</v>
      </c>
      <c r="B1098" s="305"/>
      <c r="C1098" s="305"/>
      <c r="D1098" s="303" t="e">
        <f t="shared" si="58"/>
        <v>#DIV/0!</v>
      </c>
      <c r="E1098" s="303" t="e">
        <f t="shared" si="59"/>
        <v>#DIV/0!</v>
      </c>
      <c r="F1098" s="260"/>
    </row>
    <row r="1099" spans="1:6" hidden="1">
      <c r="A1099" s="264" t="s">
        <v>834</v>
      </c>
      <c r="B1099" s="305"/>
      <c r="C1099" s="305"/>
      <c r="D1099" s="303" t="e">
        <f t="shared" si="58"/>
        <v>#DIV/0!</v>
      </c>
      <c r="E1099" s="303" t="e">
        <f t="shared" si="59"/>
        <v>#DIV/0!</v>
      </c>
      <c r="F1099" s="260"/>
    </row>
    <row r="1100" spans="1:6" hidden="1">
      <c r="A1100" s="264" t="s">
        <v>833</v>
      </c>
      <c r="B1100" s="305"/>
      <c r="C1100" s="305"/>
      <c r="D1100" s="303" t="e">
        <f t="shared" si="58"/>
        <v>#DIV/0!</v>
      </c>
      <c r="E1100" s="303" t="e">
        <f t="shared" si="59"/>
        <v>#DIV/0!</v>
      </c>
      <c r="F1100" s="260"/>
    </row>
    <row r="1101" spans="1:6" hidden="1">
      <c r="A1101" s="264" t="s">
        <v>832</v>
      </c>
      <c r="B1101" s="305"/>
      <c r="C1101" s="305"/>
      <c r="D1101" s="303" t="e">
        <f t="shared" si="58"/>
        <v>#DIV/0!</v>
      </c>
      <c r="E1101" s="303" t="e">
        <f t="shared" si="59"/>
        <v>#DIV/0!</v>
      </c>
      <c r="F1101" s="260"/>
    </row>
    <row r="1102" spans="1:6" hidden="1">
      <c r="A1102" s="264" t="s">
        <v>831</v>
      </c>
      <c r="B1102" s="305"/>
      <c r="C1102" s="305"/>
      <c r="D1102" s="303" t="e">
        <f t="shared" si="58"/>
        <v>#DIV/0!</v>
      </c>
      <c r="E1102" s="303" t="e">
        <f t="shared" si="59"/>
        <v>#DIV/0!</v>
      </c>
      <c r="F1102" s="260"/>
    </row>
    <row r="1103" spans="1:6" hidden="1">
      <c r="A1103" s="264" t="s">
        <v>830</v>
      </c>
      <c r="B1103" s="305"/>
      <c r="C1103" s="305"/>
      <c r="D1103" s="303" t="e">
        <f t="shared" si="58"/>
        <v>#DIV/0!</v>
      </c>
      <c r="E1103" s="303" t="e">
        <f t="shared" si="59"/>
        <v>#DIV/0!</v>
      </c>
      <c r="F1103" s="260"/>
    </row>
    <row r="1104" spans="1:6" hidden="1">
      <c r="A1104" s="264" t="s">
        <v>829</v>
      </c>
      <c r="B1104" s="305"/>
      <c r="C1104" s="305"/>
      <c r="D1104" s="303" t="e">
        <f t="shared" si="58"/>
        <v>#DIV/0!</v>
      </c>
      <c r="E1104" s="303" t="e">
        <f t="shared" si="59"/>
        <v>#DIV/0!</v>
      </c>
      <c r="F1104" s="260"/>
    </row>
    <row r="1105" spans="1:6" hidden="1">
      <c r="A1105" s="264" t="s">
        <v>828</v>
      </c>
      <c r="B1105" s="305"/>
      <c r="C1105" s="305"/>
      <c r="D1105" s="303" t="e">
        <f t="shared" si="58"/>
        <v>#DIV/0!</v>
      </c>
      <c r="E1105" s="303" t="e">
        <f t="shared" si="59"/>
        <v>#DIV/0!</v>
      </c>
      <c r="F1105" s="260"/>
    </row>
    <row r="1106" spans="1:6">
      <c r="A1106" s="264" t="s">
        <v>827</v>
      </c>
      <c r="B1106" s="305"/>
      <c r="C1106" s="305">
        <v>266</v>
      </c>
      <c r="D1106" s="303"/>
      <c r="E1106" s="303">
        <f t="shared" si="59"/>
        <v>443.33</v>
      </c>
      <c r="F1106" s="260">
        <v>60</v>
      </c>
    </row>
    <row r="1107" spans="1:6" hidden="1">
      <c r="A1107" s="261" t="s">
        <v>826</v>
      </c>
      <c r="B1107" s="305"/>
      <c r="C1107" s="305">
        <f>SUM(C1108:C1111)</f>
        <v>0</v>
      </c>
      <c r="D1107" s="303" t="e">
        <f t="shared" ref="D1107:D1126" si="60">C1107/B1107*100</f>
        <v>#DIV/0!</v>
      </c>
      <c r="E1107" s="303" t="e">
        <f t="shared" si="59"/>
        <v>#DIV/0!</v>
      </c>
      <c r="F1107" s="260">
        <f>SUM(F1108:F1111)</f>
        <v>0</v>
      </c>
    </row>
    <row r="1108" spans="1:6" hidden="1">
      <c r="A1108" s="264" t="s">
        <v>647</v>
      </c>
      <c r="B1108" s="305"/>
      <c r="C1108" s="305"/>
      <c r="D1108" s="303" t="e">
        <f t="shared" si="60"/>
        <v>#DIV/0!</v>
      </c>
      <c r="E1108" s="303" t="e">
        <f t="shared" si="59"/>
        <v>#DIV/0!</v>
      </c>
      <c r="F1108" s="260"/>
    </row>
    <row r="1109" spans="1:6" hidden="1">
      <c r="A1109" s="264" t="s">
        <v>646</v>
      </c>
      <c r="B1109" s="305"/>
      <c r="C1109" s="305"/>
      <c r="D1109" s="303" t="e">
        <f t="shared" si="60"/>
        <v>#DIV/0!</v>
      </c>
      <c r="E1109" s="303" t="e">
        <f t="shared" si="59"/>
        <v>#DIV/0!</v>
      </c>
      <c r="F1109" s="260"/>
    </row>
    <row r="1110" spans="1:6" hidden="1">
      <c r="A1110" s="264" t="s">
        <v>645</v>
      </c>
      <c r="B1110" s="305"/>
      <c r="C1110" s="305"/>
      <c r="D1110" s="303" t="e">
        <f t="shared" si="60"/>
        <v>#DIV/0!</v>
      </c>
      <c r="E1110" s="303" t="e">
        <f t="shared" si="59"/>
        <v>#DIV/0!</v>
      </c>
      <c r="F1110" s="260"/>
    </row>
    <row r="1111" spans="1:6" hidden="1">
      <c r="A1111" s="264" t="s">
        <v>825</v>
      </c>
      <c r="B1111" s="305"/>
      <c r="C1111" s="305"/>
      <c r="D1111" s="303" t="e">
        <f t="shared" si="60"/>
        <v>#DIV/0!</v>
      </c>
      <c r="E1111" s="303" t="e">
        <f t="shared" si="59"/>
        <v>#DIV/0!</v>
      </c>
      <c r="F1111" s="260"/>
    </row>
    <row r="1112" spans="1:6">
      <c r="A1112" s="261" t="s">
        <v>824</v>
      </c>
      <c r="B1112" s="305">
        <v>80</v>
      </c>
      <c r="C1112" s="305">
        <f>SUM(C1113:C1125)</f>
        <v>0</v>
      </c>
      <c r="D1112" s="303">
        <f t="shared" si="60"/>
        <v>0</v>
      </c>
      <c r="E1112" s="303"/>
      <c r="F1112" s="260">
        <f>SUM(F1113:F1125)</f>
        <v>0</v>
      </c>
    </row>
    <row r="1113" spans="1:6" hidden="1">
      <c r="A1113" s="264" t="s">
        <v>647</v>
      </c>
      <c r="B1113" s="305"/>
      <c r="C1113" s="305"/>
      <c r="D1113" s="303" t="e">
        <f t="shared" si="60"/>
        <v>#DIV/0!</v>
      </c>
      <c r="E1113" s="303" t="e">
        <f t="shared" ref="E1113:E1128" si="61">C1113/F1113*100</f>
        <v>#DIV/0!</v>
      </c>
      <c r="F1113" s="260"/>
    </row>
    <row r="1114" spans="1:6" hidden="1">
      <c r="A1114" s="264" t="s">
        <v>646</v>
      </c>
      <c r="B1114" s="305"/>
      <c r="C1114" s="305"/>
      <c r="D1114" s="303" t="e">
        <f t="shared" si="60"/>
        <v>#DIV/0!</v>
      </c>
      <c r="E1114" s="303" t="e">
        <f t="shared" si="61"/>
        <v>#DIV/0!</v>
      </c>
      <c r="F1114" s="260"/>
    </row>
    <row r="1115" spans="1:6" hidden="1">
      <c r="A1115" s="264" t="s">
        <v>645</v>
      </c>
      <c r="B1115" s="305"/>
      <c r="C1115" s="305"/>
      <c r="D1115" s="303" t="e">
        <f t="shared" si="60"/>
        <v>#DIV/0!</v>
      </c>
      <c r="E1115" s="303" t="e">
        <f t="shared" si="61"/>
        <v>#DIV/0!</v>
      </c>
      <c r="F1115" s="260"/>
    </row>
    <row r="1116" spans="1:6" hidden="1">
      <c r="A1116" s="264" t="s">
        <v>823</v>
      </c>
      <c r="B1116" s="305"/>
      <c r="C1116" s="305"/>
      <c r="D1116" s="303" t="e">
        <f t="shared" si="60"/>
        <v>#DIV/0!</v>
      </c>
      <c r="E1116" s="303" t="e">
        <f t="shared" si="61"/>
        <v>#DIV/0!</v>
      </c>
      <c r="F1116" s="260"/>
    </row>
    <row r="1117" spans="1:6" hidden="1">
      <c r="A1117" s="264" t="s">
        <v>822</v>
      </c>
      <c r="B1117" s="305"/>
      <c r="C1117" s="305"/>
      <c r="D1117" s="303" t="e">
        <f t="shared" si="60"/>
        <v>#DIV/0!</v>
      </c>
      <c r="E1117" s="303" t="e">
        <f t="shared" si="61"/>
        <v>#DIV/0!</v>
      </c>
      <c r="F1117" s="260"/>
    </row>
    <row r="1118" spans="1:6" hidden="1">
      <c r="A1118" s="264" t="s">
        <v>821</v>
      </c>
      <c r="B1118" s="305"/>
      <c r="C1118" s="305"/>
      <c r="D1118" s="303" t="e">
        <f t="shared" si="60"/>
        <v>#DIV/0!</v>
      </c>
      <c r="E1118" s="303" t="e">
        <f t="shared" si="61"/>
        <v>#DIV/0!</v>
      </c>
      <c r="F1118" s="260"/>
    </row>
    <row r="1119" spans="1:6" hidden="1">
      <c r="A1119" s="264" t="s">
        <v>820</v>
      </c>
      <c r="B1119" s="305"/>
      <c r="C1119" s="305"/>
      <c r="D1119" s="303" t="e">
        <f t="shared" si="60"/>
        <v>#DIV/0!</v>
      </c>
      <c r="E1119" s="303" t="e">
        <f t="shared" si="61"/>
        <v>#DIV/0!</v>
      </c>
      <c r="F1119" s="260"/>
    </row>
    <row r="1120" spans="1:6" hidden="1">
      <c r="A1120" s="264" t="s">
        <v>819</v>
      </c>
      <c r="B1120" s="305"/>
      <c r="C1120" s="305"/>
      <c r="D1120" s="303" t="e">
        <f t="shared" si="60"/>
        <v>#DIV/0!</v>
      </c>
      <c r="E1120" s="303" t="e">
        <f t="shared" si="61"/>
        <v>#DIV/0!</v>
      </c>
      <c r="F1120" s="260"/>
    </row>
    <row r="1121" spans="1:6" hidden="1">
      <c r="A1121" s="264" t="s">
        <v>818</v>
      </c>
      <c r="B1121" s="305"/>
      <c r="C1121" s="305"/>
      <c r="D1121" s="303" t="e">
        <f t="shared" si="60"/>
        <v>#DIV/0!</v>
      </c>
      <c r="E1121" s="303" t="e">
        <f t="shared" si="61"/>
        <v>#DIV/0!</v>
      </c>
      <c r="F1121" s="260"/>
    </row>
    <row r="1122" spans="1:6" hidden="1">
      <c r="A1122" s="264" t="s">
        <v>817</v>
      </c>
      <c r="B1122" s="305"/>
      <c r="C1122" s="305"/>
      <c r="D1122" s="303" t="e">
        <f t="shared" si="60"/>
        <v>#DIV/0!</v>
      </c>
      <c r="E1122" s="303" t="e">
        <f t="shared" si="61"/>
        <v>#DIV/0!</v>
      </c>
      <c r="F1122" s="260"/>
    </row>
    <row r="1123" spans="1:6" hidden="1">
      <c r="A1123" s="264" t="s">
        <v>816</v>
      </c>
      <c r="B1123" s="305"/>
      <c r="C1123" s="305"/>
      <c r="D1123" s="303" t="e">
        <f t="shared" si="60"/>
        <v>#DIV/0!</v>
      </c>
      <c r="E1123" s="303" t="e">
        <f t="shared" si="61"/>
        <v>#DIV/0!</v>
      </c>
      <c r="F1123" s="260"/>
    </row>
    <row r="1124" spans="1:6" hidden="1">
      <c r="A1124" s="264" t="s">
        <v>815</v>
      </c>
      <c r="B1124" s="305"/>
      <c r="C1124" s="305"/>
      <c r="D1124" s="303" t="e">
        <f t="shared" si="60"/>
        <v>#DIV/0!</v>
      </c>
      <c r="E1124" s="303" t="e">
        <f t="shared" si="61"/>
        <v>#DIV/0!</v>
      </c>
      <c r="F1124" s="260"/>
    </row>
    <row r="1125" spans="1:6" hidden="1">
      <c r="A1125" s="264" t="s">
        <v>814</v>
      </c>
      <c r="B1125" s="305"/>
      <c r="C1125" s="305"/>
      <c r="D1125" s="303" t="e">
        <f t="shared" si="60"/>
        <v>#DIV/0!</v>
      </c>
      <c r="E1125" s="303" t="e">
        <f t="shared" si="61"/>
        <v>#DIV/0!</v>
      </c>
      <c r="F1125" s="260"/>
    </row>
    <row r="1126" spans="1:6">
      <c r="A1126" s="261" t="s">
        <v>813</v>
      </c>
      <c r="B1126" s="305">
        <v>345</v>
      </c>
      <c r="C1126" s="305">
        <f>SUM(C1127:C1134)</f>
        <v>345</v>
      </c>
      <c r="D1126" s="303">
        <f t="shared" si="60"/>
        <v>100</v>
      </c>
      <c r="E1126" s="303">
        <f t="shared" si="61"/>
        <v>138.55000000000001</v>
      </c>
      <c r="F1126" s="260">
        <f>SUM(F1127:F1134)</f>
        <v>249</v>
      </c>
    </row>
    <row r="1127" spans="1:6">
      <c r="A1127" s="264" t="s">
        <v>647</v>
      </c>
      <c r="B1127" s="305"/>
      <c r="C1127" s="305">
        <v>292</v>
      </c>
      <c r="D1127" s="303"/>
      <c r="E1127" s="303">
        <f t="shared" si="61"/>
        <v>131.53</v>
      </c>
      <c r="F1127" s="260">
        <v>222</v>
      </c>
    </row>
    <row r="1128" spans="1:6" hidden="1">
      <c r="A1128" s="264" t="s">
        <v>646</v>
      </c>
      <c r="B1128" s="305"/>
      <c r="C1128" s="305"/>
      <c r="D1128" s="303"/>
      <c r="E1128" s="303" t="e">
        <f t="shared" si="61"/>
        <v>#DIV/0!</v>
      </c>
      <c r="F1128" s="260"/>
    </row>
    <row r="1129" spans="1:6">
      <c r="A1129" s="264" t="s">
        <v>645</v>
      </c>
      <c r="B1129" s="305"/>
      <c r="C1129" s="305">
        <v>4</v>
      </c>
      <c r="D1129" s="303"/>
      <c r="E1129" s="303"/>
      <c r="F1129" s="260">
        <v>0</v>
      </c>
    </row>
    <row r="1130" spans="1:6" hidden="1">
      <c r="A1130" s="264" t="s">
        <v>812</v>
      </c>
      <c r="B1130" s="305"/>
      <c r="C1130" s="305"/>
      <c r="D1130" s="303"/>
      <c r="E1130" s="303" t="e">
        <f t="shared" ref="E1130:E1158" si="62">C1130/F1130*100</f>
        <v>#DIV/0!</v>
      </c>
      <c r="F1130" s="260"/>
    </row>
    <row r="1131" spans="1:6" hidden="1">
      <c r="A1131" s="264" t="s">
        <v>811</v>
      </c>
      <c r="B1131" s="305"/>
      <c r="C1131" s="305"/>
      <c r="D1131" s="303"/>
      <c r="E1131" s="303" t="e">
        <f t="shared" si="62"/>
        <v>#DIV/0!</v>
      </c>
      <c r="F1131" s="260"/>
    </row>
    <row r="1132" spans="1:6" hidden="1">
      <c r="A1132" s="264" t="s">
        <v>810</v>
      </c>
      <c r="B1132" s="305"/>
      <c r="C1132" s="305"/>
      <c r="D1132" s="303"/>
      <c r="E1132" s="303" t="e">
        <f t="shared" si="62"/>
        <v>#DIV/0!</v>
      </c>
      <c r="F1132" s="260"/>
    </row>
    <row r="1133" spans="1:6" hidden="1">
      <c r="A1133" s="264" t="s">
        <v>809</v>
      </c>
      <c r="B1133" s="305"/>
      <c r="C1133" s="305"/>
      <c r="D1133" s="303"/>
      <c r="E1133" s="303" t="e">
        <f t="shared" si="62"/>
        <v>#DIV/0!</v>
      </c>
      <c r="F1133" s="260"/>
    </row>
    <row r="1134" spans="1:6">
      <c r="A1134" s="264" t="s">
        <v>808</v>
      </c>
      <c r="B1134" s="305"/>
      <c r="C1134" s="305">
        <v>49</v>
      </c>
      <c r="D1134" s="303"/>
      <c r="E1134" s="303">
        <f t="shared" si="62"/>
        <v>181.48</v>
      </c>
      <c r="F1134" s="260">
        <v>27</v>
      </c>
    </row>
    <row r="1135" spans="1:6">
      <c r="A1135" s="261" t="s">
        <v>807</v>
      </c>
      <c r="B1135" s="305">
        <v>33</v>
      </c>
      <c r="C1135" s="305">
        <f>SUM(C1136:C1141)</f>
        <v>33</v>
      </c>
      <c r="D1135" s="303">
        <f>C1135/B1135*100</f>
        <v>100</v>
      </c>
      <c r="E1135" s="303">
        <f t="shared" si="62"/>
        <v>150</v>
      </c>
      <c r="F1135" s="260">
        <f>SUM(F1136:F1141)</f>
        <v>22</v>
      </c>
    </row>
    <row r="1136" spans="1:6">
      <c r="A1136" s="264" t="s">
        <v>647</v>
      </c>
      <c r="B1136" s="305"/>
      <c r="C1136" s="305">
        <v>33</v>
      </c>
      <c r="D1136" s="303"/>
      <c r="E1136" s="303">
        <f t="shared" si="62"/>
        <v>150</v>
      </c>
      <c r="F1136" s="260">
        <v>22</v>
      </c>
    </row>
    <row r="1137" spans="1:6" hidden="1">
      <c r="A1137" s="264" t="s">
        <v>646</v>
      </c>
      <c r="B1137" s="305"/>
      <c r="C1137" s="305"/>
      <c r="D1137" s="303" t="e">
        <f t="shared" ref="D1137:D1142" si="63">C1137/B1137*100</f>
        <v>#DIV/0!</v>
      </c>
      <c r="E1137" s="303" t="e">
        <f t="shared" si="62"/>
        <v>#DIV/0!</v>
      </c>
      <c r="F1137" s="260"/>
    </row>
    <row r="1138" spans="1:6" hidden="1">
      <c r="A1138" s="264" t="s">
        <v>645</v>
      </c>
      <c r="B1138" s="305"/>
      <c r="C1138" s="305"/>
      <c r="D1138" s="303" t="e">
        <f t="shared" si="63"/>
        <v>#DIV/0!</v>
      </c>
      <c r="E1138" s="303" t="e">
        <f t="shared" si="62"/>
        <v>#DIV/0!</v>
      </c>
      <c r="F1138" s="260"/>
    </row>
    <row r="1139" spans="1:6" hidden="1">
      <c r="A1139" s="264" t="s">
        <v>806</v>
      </c>
      <c r="B1139" s="305"/>
      <c r="C1139" s="305"/>
      <c r="D1139" s="303" t="e">
        <f t="shared" si="63"/>
        <v>#DIV/0!</v>
      </c>
      <c r="E1139" s="303" t="e">
        <f t="shared" si="62"/>
        <v>#DIV/0!</v>
      </c>
      <c r="F1139" s="260"/>
    </row>
    <row r="1140" spans="1:6" hidden="1">
      <c r="A1140" s="264" t="s">
        <v>805</v>
      </c>
      <c r="B1140" s="305"/>
      <c r="C1140" s="305"/>
      <c r="D1140" s="303" t="e">
        <f t="shared" si="63"/>
        <v>#DIV/0!</v>
      </c>
      <c r="E1140" s="303" t="e">
        <f t="shared" si="62"/>
        <v>#DIV/0!</v>
      </c>
      <c r="F1140" s="260"/>
    </row>
    <row r="1141" spans="1:6" hidden="1">
      <c r="A1141" s="264" t="s">
        <v>804</v>
      </c>
      <c r="B1141" s="305"/>
      <c r="C1141" s="305"/>
      <c r="D1141" s="303" t="e">
        <f t="shared" si="63"/>
        <v>#DIV/0!</v>
      </c>
      <c r="E1141" s="303" t="e">
        <f t="shared" si="62"/>
        <v>#DIV/0!</v>
      </c>
      <c r="F1141" s="260"/>
    </row>
    <row r="1142" spans="1:6">
      <c r="A1142" s="261" t="s">
        <v>803</v>
      </c>
      <c r="B1142" s="305">
        <v>63657</v>
      </c>
      <c r="C1142" s="305">
        <f>SUM(C1143:C1148)</f>
        <v>63627</v>
      </c>
      <c r="D1142" s="303">
        <f t="shared" si="63"/>
        <v>99.95</v>
      </c>
      <c r="E1142" s="303">
        <f t="shared" si="62"/>
        <v>187.77</v>
      </c>
      <c r="F1142" s="260">
        <f>SUM(F1143:F1148)</f>
        <v>33885</v>
      </c>
    </row>
    <row r="1143" spans="1:6" hidden="1">
      <c r="A1143" s="264" t="s">
        <v>647</v>
      </c>
      <c r="B1143" s="305"/>
      <c r="C1143" s="305"/>
      <c r="D1143" s="303"/>
      <c r="E1143" s="303" t="e">
        <f t="shared" si="62"/>
        <v>#DIV/0!</v>
      </c>
      <c r="F1143" s="260"/>
    </row>
    <row r="1144" spans="1:6" hidden="1">
      <c r="A1144" s="264" t="s">
        <v>646</v>
      </c>
      <c r="B1144" s="305"/>
      <c r="C1144" s="305"/>
      <c r="D1144" s="303"/>
      <c r="E1144" s="303" t="e">
        <f t="shared" si="62"/>
        <v>#DIV/0!</v>
      </c>
      <c r="F1144" s="260"/>
    </row>
    <row r="1145" spans="1:6" hidden="1">
      <c r="A1145" s="264" t="s">
        <v>645</v>
      </c>
      <c r="B1145" s="305"/>
      <c r="C1145" s="305"/>
      <c r="D1145" s="303"/>
      <c r="E1145" s="303" t="e">
        <f t="shared" si="62"/>
        <v>#DIV/0!</v>
      </c>
      <c r="F1145" s="260"/>
    </row>
    <row r="1146" spans="1:6" hidden="1">
      <c r="A1146" s="264" t="s">
        <v>802</v>
      </c>
      <c r="B1146" s="305"/>
      <c r="C1146" s="305"/>
      <c r="D1146" s="303"/>
      <c r="E1146" s="303" t="e">
        <f t="shared" si="62"/>
        <v>#DIV/0!</v>
      </c>
      <c r="F1146" s="260"/>
    </row>
    <row r="1147" spans="1:6">
      <c r="A1147" s="264" t="s">
        <v>801</v>
      </c>
      <c r="B1147" s="305"/>
      <c r="C1147" s="305">
        <v>63627</v>
      </c>
      <c r="D1147" s="303"/>
      <c r="E1147" s="303">
        <f t="shared" si="62"/>
        <v>187.81</v>
      </c>
      <c r="F1147" s="260">
        <v>33878</v>
      </c>
    </row>
    <row r="1148" spans="1:6" hidden="1">
      <c r="A1148" s="264" t="s">
        <v>800</v>
      </c>
      <c r="B1148" s="305"/>
      <c r="C1148" s="305"/>
      <c r="D1148" s="303"/>
      <c r="E1148" s="303">
        <f t="shared" si="62"/>
        <v>0</v>
      </c>
      <c r="F1148" s="260">
        <v>7</v>
      </c>
    </row>
    <row r="1149" spans="1:6">
      <c r="A1149" s="261" t="s">
        <v>799</v>
      </c>
      <c r="B1149" s="305">
        <v>811</v>
      </c>
      <c r="C1149" s="305">
        <f>SUM(C1150:C1155)</f>
        <v>305</v>
      </c>
      <c r="D1149" s="303">
        <f t="shared" ref="D1149:D1154" si="64">C1149/B1149*100</f>
        <v>37.61</v>
      </c>
      <c r="E1149" s="303">
        <f t="shared" si="62"/>
        <v>5.5</v>
      </c>
      <c r="F1149" s="260">
        <f>SUM(F1150:F1155)</f>
        <v>5542</v>
      </c>
    </row>
    <row r="1150" spans="1:6" hidden="1">
      <c r="A1150" s="264" t="s">
        <v>798</v>
      </c>
      <c r="B1150" s="305"/>
      <c r="C1150" s="305"/>
      <c r="D1150" s="303" t="e">
        <f t="shared" si="64"/>
        <v>#DIV/0!</v>
      </c>
      <c r="E1150" s="303" t="e">
        <f t="shared" si="62"/>
        <v>#DIV/0!</v>
      </c>
      <c r="F1150" s="260"/>
    </row>
    <row r="1151" spans="1:6" hidden="1">
      <c r="A1151" s="264" t="s">
        <v>797</v>
      </c>
      <c r="B1151" s="305"/>
      <c r="C1151" s="305"/>
      <c r="D1151" s="303" t="e">
        <f t="shared" si="64"/>
        <v>#DIV/0!</v>
      </c>
      <c r="E1151" s="303" t="e">
        <f t="shared" si="62"/>
        <v>#DIV/0!</v>
      </c>
      <c r="F1151" s="260"/>
    </row>
    <row r="1152" spans="1:6" hidden="1">
      <c r="A1152" s="264" t="s">
        <v>796</v>
      </c>
      <c r="B1152" s="305"/>
      <c r="C1152" s="305"/>
      <c r="D1152" s="303" t="e">
        <f t="shared" si="64"/>
        <v>#DIV/0!</v>
      </c>
      <c r="E1152" s="303" t="e">
        <f t="shared" si="62"/>
        <v>#DIV/0!</v>
      </c>
      <c r="F1152" s="260"/>
    </row>
    <row r="1153" spans="1:6" hidden="1">
      <c r="A1153" s="264" t="s">
        <v>795</v>
      </c>
      <c r="B1153" s="305"/>
      <c r="C1153" s="305"/>
      <c r="D1153" s="303" t="e">
        <f t="shared" si="64"/>
        <v>#DIV/0!</v>
      </c>
      <c r="E1153" s="303" t="e">
        <f t="shared" si="62"/>
        <v>#DIV/0!</v>
      </c>
      <c r="F1153" s="260"/>
    </row>
    <row r="1154" spans="1:6" hidden="1">
      <c r="A1154" s="264" t="s">
        <v>794</v>
      </c>
      <c r="B1154" s="305"/>
      <c r="C1154" s="305"/>
      <c r="D1154" s="303" t="e">
        <f t="shared" si="64"/>
        <v>#DIV/0!</v>
      </c>
      <c r="E1154" s="303" t="e">
        <f t="shared" si="62"/>
        <v>#DIV/0!</v>
      </c>
      <c r="F1154" s="260"/>
    </row>
    <row r="1155" spans="1:6">
      <c r="A1155" s="264" t="s">
        <v>793</v>
      </c>
      <c r="B1155" s="305"/>
      <c r="C1155" s="305">
        <v>305</v>
      </c>
      <c r="D1155" s="303"/>
      <c r="E1155" s="303">
        <f t="shared" si="62"/>
        <v>5.5</v>
      </c>
      <c r="F1155" s="260">
        <v>5542</v>
      </c>
    </row>
    <row r="1156" spans="1:6">
      <c r="A1156" s="261" t="s">
        <v>792</v>
      </c>
      <c r="B1156" s="305">
        <f>B1157+B1167+B1174+B1180</f>
        <v>19214</v>
      </c>
      <c r="C1156" s="305">
        <f>C1157+C1167+C1174+C1180</f>
        <v>16633</v>
      </c>
      <c r="D1156" s="303">
        <f>C1156/B1156*100</f>
        <v>86.57</v>
      </c>
      <c r="E1156" s="303">
        <f t="shared" si="62"/>
        <v>89.55</v>
      </c>
      <c r="F1156" s="260">
        <f>F1157+F1167+F1174+F1180</f>
        <v>18573</v>
      </c>
    </row>
    <row r="1157" spans="1:6">
      <c r="A1157" s="261" t="s">
        <v>791</v>
      </c>
      <c r="B1157" s="305">
        <v>2211</v>
      </c>
      <c r="C1157" s="305">
        <f>SUM(C1158:C1166)</f>
        <v>1771</v>
      </c>
      <c r="D1157" s="303">
        <f>C1157/B1157*100</f>
        <v>80.099999999999994</v>
      </c>
      <c r="E1157" s="303">
        <f t="shared" si="62"/>
        <v>107.27</v>
      </c>
      <c r="F1157" s="260">
        <f>SUM(F1158:F1166)</f>
        <v>1651</v>
      </c>
    </row>
    <row r="1158" spans="1:6">
      <c r="A1158" s="264" t="s">
        <v>647</v>
      </c>
      <c r="B1158" s="305"/>
      <c r="C1158" s="305">
        <v>236</v>
      </c>
      <c r="D1158" s="303"/>
      <c r="E1158" s="303">
        <f t="shared" si="62"/>
        <v>72.39</v>
      </c>
      <c r="F1158" s="260">
        <v>326</v>
      </c>
    </row>
    <row r="1159" spans="1:6">
      <c r="A1159" s="264" t="s">
        <v>646</v>
      </c>
      <c r="B1159" s="305"/>
      <c r="C1159" s="305">
        <v>15</v>
      </c>
      <c r="D1159" s="303"/>
      <c r="E1159" s="303"/>
      <c r="F1159" s="260"/>
    </row>
    <row r="1160" spans="1:6" hidden="1">
      <c r="A1160" s="264" t="s">
        <v>645</v>
      </c>
      <c r="B1160" s="305"/>
      <c r="C1160" s="305"/>
      <c r="D1160" s="303"/>
      <c r="E1160" s="303" t="e">
        <f t="shared" ref="E1160:E1169" si="65">C1160/F1160*100</f>
        <v>#DIV/0!</v>
      </c>
      <c r="F1160" s="260"/>
    </row>
    <row r="1161" spans="1:6" hidden="1">
      <c r="A1161" s="264" t="s">
        <v>790</v>
      </c>
      <c r="B1161" s="305"/>
      <c r="C1161" s="305"/>
      <c r="D1161" s="303"/>
      <c r="E1161" s="303" t="e">
        <f t="shared" si="65"/>
        <v>#DIV/0!</v>
      </c>
      <c r="F1161" s="260"/>
    </row>
    <row r="1162" spans="1:6" hidden="1">
      <c r="A1162" s="264" t="s">
        <v>789</v>
      </c>
      <c r="B1162" s="305"/>
      <c r="C1162" s="305"/>
      <c r="D1162" s="303"/>
      <c r="E1162" s="303" t="e">
        <f t="shared" si="65"/>
        <v>#DIV/0!</v>
      </c>
      <c r="F1162" s="260"/>
    </row>
    <row r="1163" spans="1:6" hidden="1">
      <c r="A1163" s="264" t="s">
        <v>788</v>
      </c>
      <c r="B1163" s="305"/>
      <c r="C1163" s="305"/>
      <c r="D1163" s="303"/>
      <c r="E1163" s="303" t="e">
        <f t="shared" si="65"/>
        <v>#DIV/0!</v>
      </c>
      <c r="F1163" s="260"/>
    </row>
    <row r="1164" spans="1:6" hidden="1">
      <c r="A1164" s="264" t="s">
        <v>787</v>
      </c>
      <c r="B1164" s="305"/>
      <c r="C1164" s="305"/>
      <c r="D1164" s="303"/>
      <c r="E1164" s="303" t="e">
        <f t="shared" si="65"/>
        <v>#DIV/0!</v>
      </c>
      <c r="F1164" s="260"/>
    </row>
    <row r="1165" spans="1:6" hidden="1">
      <c r="A1165" s="264" t="s">
        <v>636</v>
      </c>
      <c r="B1165" s="305"/>
      <c r="C1165" s="305"/>
      <c r="D1165" s="303"/>
      <c r="E1165" s="303" t="e">
        <f t="shared" si="65"/>
        <v>#DIV/0!</v>
      </c>
      <c r="F1165" s="260"/>
    </row>
    <row r="1166" spans="1:6">
      <c r="A1166" s="264" t="s">
        <v>786</v>
      </c>
      <c r="B1166" s="305"/>
      <c r="C1166" s="305">
        <v>1520</v>
      </c>
      <c r="D1166" s="303"/>
      <c r="E1166" s="303">
        <f t="shared" si="65"/>
        <v>114.72</v>
      </c>
      <c r="F1166" s="260">
        <v>1325</v>
      </c>
    </row>
    <row r="1167" spans="1:6">
      <c r="A1167" s="261" t="s">
        <v>785</v>
      </c>
      <c r="B1167" s="305">
        <v>15002</v>
      </c>
      <c r="C1167" s="305">
        <f>SUM(C1168:C1173)</f>
        <v>13522</v>
      </c>
      <c r="D1167" s="303">
        <f>C1167/B1167*100</f>
        <v>90.13</v>
      </c>
      <c r="E1167" s="303">
        <f t="shared" si="65"/>
        <v>656.73</v>
      </c>
      <c r="F1167" s="260">
        <f>SUM(F1168:F1173)</f>
        <v>2059</v>
      </c>
    </row>
    <row r="1168" spans="1:6">
      <c r="A1168" s="264" t="s">
        <v>647</v>
      </c>
      <c r="B1168" s="305"/>
      <c r="C1168" s="305">
        <v>10</v>
      </c>
      <c r="D1168" s="303"/>
      <c r="E1168" s="303">
        <f t="shared" si="65"/>
        <v>3.37</v>
      </c>
      <c r="F1168" s="260">
        <v>297</v>
      </c>
    </row>
    <row r="1169" spans="1:6">
      <c r="A1169" s="264" t="s">
        <v>646</v>
      </c>
      <c r="B1169" s="305"/>
      <c r="C1169" s="305">
        <v>9025</v>
      </c>
      <c r="D1169" s="303"/>
      <c r="E1169" s="303">
        <f t="shared" si="65"/>
        <v>3008.33</v>
      </c>
      <c r="F1169" s="260">
        <v>300</v>
      </c>
    </row>
    <row r="1170" spans="1:6">
      <c r="A1170" s="264" t="s">
        <v>645</v>
      </c>
      <c r="B1170" s="305"/>
      <c r="C1170" s="305">
        <v>227</v>
      </c>
      <c r="D1170" s="303"/>
      <c r="E1170" s="303"/>
      <c r="F1170" s="260"/>
    </row>
    <row r="1171" spans="1:6">
      <c r="A1171" s="264" t="s">
        <v>784</v>
      </c>
      <c r="B1171" s="305"/>
      <c r="C1171" s="305">
        <v>21</v>
      </c>
      <c r="D1171" s="303"/>
      <c r="E1171" s="303">
        <f t="shared" ref="E1171:E1179" si="66">C1171/F1171*100</f>
        <v>35</v>
      </c>
      <c r="F1171" s="260">
        <v>60</v>
      </c>
    </row>
    <row r="1172" spans="1:6" hidden="1">
      <c r="A1172" s="264" t="s">
        <v>783</v>
      </c>
      <c r="B1172" s="305"/>
      <c r="C1172" s="305"/>
      <c r="D1172" s="303"/>
      <c r="E1172" s="303" t="e">
        <f t="shared" si="66"/>
        <v>#DIV/0!</v>
      </c>
      <c r="F1172" s="260"/>
    </row>
    <row r="1173" spans="1:6">
      <c r="A1173" s="264" t="s">
        <v>782</v>
      </c>
      <c r="B1173" s="305"/>
      <c r="C1173" s="305">
        <v>4239</v>
      </c>
      <c r="D1173" s="303"/>
      <c r="E1173" s="303">
        <f t="shared" si="66"/>
        <v>302.35000000000002</v>
      </c>
      <c r="F1173" s="260">
        <v>1402</v>
      </c>
    </row>
    <row r="1174" spans="1:6">
      <c r="A1174" s="261" t="s">
        <v>781</v>
      </c>
      <c r="B1174" s="305">
        <v>1606</v>
      </c>
      <c r="C1174" s="305">
        <f>SUM(C1175:C1179)</f>
        <v>952</v>
      </c>
      <c r="D1174" s="303">
        <f>C1174/B1174*100</f>
        <v>59.28</v>
      </c>
      <c r="E1174" s="303">
        <f t="shared" si="66"/>
        <v>6.41</v>
      </c>
      <c r="F1174" s="260">
        <f>SUM(F1175:F1179)</f>
        <v>14863</v>
      </c>
    </row>
    <row r="1175" spans="1:6" hidden="1">
      <c r="A1175" s="264" t="s">
        <v>647</v>
      </c>
      <c r="B1175" s="305"/>
      <c r="C1175" s="305"/>
      <c r="D1175" s="303" t="e">
        <f>C1175/B1175*100</f>
        <v>#DIV/0!</v>
      </c>
      <c r="E1175" s="303">
        <f t="shared" si="66"/>
        <v>0</v>
      </c>
      <c r="F1175" s="260">
        <v>50</v>
      </c>
    </row>
    <row r="1176" spans="1:6" hidden="1">
      <c r="A1176" s="264" t="s">
        <v>646</v>
      </c>
      <c r="B1176" s="305"/>
      <c r="C1176" s="305"/>
      <c r="D1176" s="303" t="e">
        <f>C1176/B1176*100</f>
        <v>#DIV/0!</v>
      </c>
      <c r="E1176" s="303" t="e">
        <f t="shared" si="66"/>
        <v>#DIV/0!</v>
      </c>
      <c r="F1176" s="260"/>
    </row>
    <row r="1177" spans="1:6" hidden="1">
      <c r="A1177" s="264" t="s">
        <v>645</v>
      </c>
      <c r="B1177" s="305"/>
      <c r="C1177" s="305"/>
      <c r="D1177" s="303" t="e">
        <f>C1177/B1177*100</f>
        <v>#DIV/0!</v>
      </c>
      <c r="E1177" s="303" t="e">
        <f t="shared" si="66"/>
        <v>#DIV/0!</v>
      </c>
      <c r="F1177" s="260"/>
    </row>
    <row r="1178" spans="1:6" hidden="1">
      <c r="A1178" s="264" t="s">
        <v>780</v>
      </c>
      <c r="B1178" s="305"/>
      <c r="C1178" s="305"/>
      <c r="D1178" s="303" t="e">
        <f>C1178/B1178*100</f>
        <v>#DIV/0!</v>
      </c>
      <c r="E1178" s="303" t="e">
        <f t="shared" si="66"/>
        <v>#DIV/0!</v>
      </c>
      <c r="F1178" s="260"/>
    </row>
    <row r="1179" spans="1:6">
      <c r="A1179" s="264" t="s">
        <v>779</v>
      </c>
      <c r="B1179" s="305"/>
      <c r="C1179" s="305">
        <v>952</v>
      </c>
      <c r="D1179" s="303"/>
      <c r="E1179" s="303">
        <f t="shared" si="66"/>
        <v>6.43</v>
      </c>
      <c r="F1179" s="260">
        <v>14813</v>
      </c>
    </row>
    <row r="1180" spans="1:6">
      <c r="A1180" s="261" t="s">
        <v>778</v>
      </c>
      <c r="B1180" s="305">
        <v>395</v>
      </c>
      <c r="C1180" s="305">
        <f>SUM(C1181:C1182)</f>
        <v>388</v>
      </c>
      <c r="D1180" s="303">
        <f>C1180/B1180*100</f>
        <v>98.23</v>
      </c>
      <c r="E1180" s="303"/>
      <c r="F1180" s="260">
        <f>SUM(F1181:F1182)</f>
        <v>0</v>
      </c>
    </row>
    <row r="1181" spans="1:6">
      <c r="A1181" s="264" t="s">
        <v>777</v>
      </c>
      <c r="B1181" s="305"/>
      <c r="C1181" s="305">
        <v>50</v>
      </c>
      <c r="D1181" s="303"/>
      <c r="E1181" s="303"/>
      <c r="F1181" s="260"/>
    </row>
    <row r="1182" spans="1:6">
      <c r="A1182" s="264" t="s">
        <v>776</v>
      </c>
      <c r="B1182" s="305"/>
      <c r="C1182" s="305">
        <v>338</v>
      </c>
      <c r="D1182" s="303"/>
      <c r="E1182" s="303"/>
      <c r="F1182" s="260"/>
    </row>
    <row r="1183" spans="1:6">
      <c r="A1183" s="261" t="s">
        <v>775</v>
      </c>
      <c r="B1183" s="305">
        <f>B1184+B1191+B1201+B1207+B1210</f>
        <v>285</v>
      </c>
      <c r="C1183" s="305">
        <f>C1184+C1191+C1201+C1207+C1210</f>
        <v>285</v>
      </c>
      <c r="D1183" s="303">
        <f t="shared" ref="D1183:D1189" si="67">C1183/B1183*100</f>
        <v>100</v>
      </c>
      <c r="E1183" s="303">
        <f t="shared" ref="E1183:E1189" si="68">C1183/F1183*100</f>
        <v>162.86000000000001</v>
      </c>
      <c r="F1183" s="260">
        <f>F1184+F1191+F1201+F1207+F1210</f>
        <v>175</v>
      </c>
    </row>
    <row r="1184" spans="1:6">
      <c r="A1184" s="261" t="s">
        <v>774</v>
      </c>
      <c r="B1184" s="305">
        <v>45</v>
      </c>
      <c r="C1184" s="305">
        <f>SUM(C1185:C1190)</f>
        <v>45</v>
      </c>
      <c r="D1184" s="303">
        <f t="shared" si="67"/>
        <v>100</v>
      </c>
      <c r="E1184" s="303">
        <f t="shared" si="68"/>
        <v>32.14</v>
      </c>
      <c r="F1184" s="260">
        <f>SUM(F1185:F1190)</f>
        <v>140</v>
      </c>
    </row>
    <row r="1185" spans="1:6" hidden="1">
      <c r="A1185" s="264" t="s">
        <v>647</v>
      </c>
      <c r="B1185" s="305"/>
      <c r="C1185" s="305"/>
      <c r="D1185" s="303" t="e">
        <f t="shared" si="67"/>
        <v>#DIV/0!</v>
      </c>
      <c r="E1185" s="303">
        <f t="shared" si="68"/>
        <v>0</v>
      </c>
      <c r="F1185" s="260">
        <v>140</v>
      </c>
    </row>
    <row r="1186" spans="1:6" hidden="1">
      <c r="A1186" s="264" t="s">
        <v>646</v>
      </c>
      <c r="B1186" s="305"/>
      <c r="C1186" s="305"/>
      <c r="D1186" s="303" t="e">
        <f t="shared" si="67"/>
        <v>#DIV/0!</v>
      </c>
      <c r="E1186" s="303" t="e">
        <f t="shared" si="68"/>
        <v>#DIV/0!</v>
      </c>
      <c r="F1186" s="260"/>
    </row>
    <row r="1187" spans="1:6" hidden="1">
      <c r="A1187" s="264" t="s">
        <v>645</v>
      </c>
      <c r="B1187" s="305"/>
      <c r="C1187" s="305"/>
      <c r="D1187" s="303" t="e">
        <f t="shared" si="67"/>
        <v>#DIV/0!</v>
      </c>
      <c r="E1187" s="303" t="e">
        <f t="shared" si="68"/>
        <v>#DIV/0!</v>
      </c>
      <c r="F1187" s="260"/>
    </row>
    <row r="1188" spans="1:6" hidden="1">
      <c r="A1188" s="264" t="s">
        <v>773</v>
      </c>
      <c r="B1188" s="305"/>
      <c r="C1188" s="305"/>
      <c r="D1188" s="303" t="e">
        <f t="shared" si="67"/>
        <v>#DIV/0!</v>
      </c>
      <c r="E1188" s="303" t="e">
        <f t="shared" si="68"/>
        <v>#DIV/0!</v>
      </c>
      <c r="F1188" s="260"/>
    </row>
    <row r="1189" spans="1:6" hidden="1">
      <c r="A1189" s="264" t="s">
        <v>636</v>
      </c>
      <c r="B1189" s="305"/>
      <c r="C1189" s="305"/>
      <c r="D1189" s="303" t="e">
        <f t="shared" si="67"/>
        <v>#DIV/0!</v>
      </c>
      <c r="E1189" s="303" t="e">
        <f t="shared" si="68"/>
        <v>#DIV/0!</v>
      </c>
      <c r="F1189" s="260"/>
    </row>
    <row r="1190" spans="1:6">
      <c r="A1190" s="264" t="s">
        <v>772</v>
      </c>
      <c r="B1190" s="305"/>
      <c r="C1190" s="305">
        <v>45</v>
      </c>
      <c r="D1190" s="303"/>
      <c r="E1190" s="303"/>
      <c r="F1190" s="260"/>
    </row>
    <row r="1191" spans="1:6">
      <c r="A1191" s="261" t="s">
        <v>771</v>
      </c>
      <c r="B1191" s="305">
        <v>240</v>
      </c>
      <c r="C1191" s="305">
        <f>SUM(C1192:C1200)</f>
        <v>240</v>
      </c>
      <c r="D1191" s="303">
        <f t="shared" ref="D1191:D1199" si="69">C1191/B1191*100</f>
        <v>100</v>
      </c>
      <c r="E1191" s="303">
        <f t="shared" ref="E1191:E1222" si="70">C1191/F1191*100</f>
        <v>685.71</v>
      </c>
      <c r="F1191" s="260">
        <f>SUM(F1192:F1200)</f>
        <v>35</v>
      </c>
    </row>
    <row r="1192" spans="1:6" hidden="1">
      <c r="A1192" s="264" t="s">
        <v>770</v>
      </c>
      <c r="B1192" s="305"/>
      <c r="C1192" s="305"/>
      <c r="D1192" s="303" t="e">
        <f t="shared" si="69"/>
        <v>#DIV/0!</v>
      </c>
      <c r="E1192" s="303" t="e">
        <f t="shared" si="70"/>
        <v>#DIV/0!</v>
      </c>
      <c r="F1192" s="260"/>
    </row>
    <row r="1193" spans="1:6" hidden="1">
      <c r="A1193" s="264" t="s">
        <v>769</v>
      </c>
      <c r="B1193" s="305"/>
      <c r="C1193" s="305"/>
      <c r="D1193" s="303" t="e">
        <f t="shared" si="69"/>
        <v>#DIV/0!</v>
      </c>
      <c r="E1193" s="303" t="e">
        <f t="shared" si="70"/>
        <v>#DIV/0!</v>
      </c>
      <c r="F1193" s="260"/>
    </row>
    <row r="1194" spans="1:6" hidden="1">
      <c r="A1194" s="264" t="s">
        <v>768</v>
      </c>
      <c r="B1194" s="305"/>
      <c r="C1194" s="305"/>
      <c r="D1194" s="303" t="e">
        <f t="shared" si="69"/>
        <v>#DIV/0!</v>
      </c>
      <c r="E1194" s="303" t="e">
        <f t="shared" si="70"/>
        <v>#DIV/0!</v>
      </c>
      <c r="F1194" s="260"/>
    </row>
    <row r="1195" spans="1:6" hidden="1">
      <c r="A1195" s="264" t="s">
        <v>767</v>
      </c>
      <c r="B1195" s="305"/>
      <c r="C1195" s="305"/>
      <c r="D1195" s="303" t="e">
        <f t="shared" si="69"/>
        <v>#DIV/0!</v>
      </c>
      <c r="E1195" s="303" t="e">
        <f t="shared" si="70"/>
        <v>#DIV/0!</v>
      </c>
      <c r="F1195" s="260"/>
    </row>
    <row r="1196" spans="1:6" hidden="1">
      <c r="A1196" s="264" t="s">
        <v>766</v>
      </c>
      <c r="B1196" s="305"/>
      <c r="C1196" s="305"/>
      <c r="D1196" s="303" t="e">
        <f t="shared" si="69"/>
        <v>#DIV/0!</v>
      </c>
      <c r="E1196" s="303" t="e">
        <f t="shared" si="70"/>
        <v>#DIV/0!</v>
      </c>
      <c r="F1196" s="260"/>
    </row>
    <row r="1197" spans="1:6" hidden="1">
      <c r="A1197" s="264" t="s">
        <v>765</v>
      </c>
      <c r="B1197" s="305"/>
      <c r="C1197" s="305"/>
      <c r="D1197" s="303" t="e">
        <f t="shared" si="69"/>
        <v>#DIV/0!</v>
      </c>
      <c r="E1197" s="303" t="e">
        <f t="shared" si="70"/>
        <v>#DIV/0!</v>
      </c>
      <c r="F1197" s="260"/>
    </row>
    <row r="1198" spans="1:6" hidden="1">
      <c r="A1198" s="264" t="s">
        <v>764</v>
      </c>
      <c r="B1198" s="305"/>
      <c r="C1198" s="305"/>
      <c r="D1198" s="303" t="e">
        <f t="shared" si="69"/>
        <v>#DIV/0!</v>
      </c>
      <c r="E1198" s="303" t="e">
        <f t="shared" si="70"/>
        <v>#DIV/0!</v>
      </c>
      <c r="F1198" s="265"/>
    </row>
    <row r="1199" spans="1:6" hidden="1">
      <c r="A1199" s="264" t="s">
        <v>763</v>
      </c>
      <c r="B1199" s="305"/>
      <c r="C1199" s="305"/>
      <c r="D1199" s="303" t="e">
        <f t="shared" si="69"/>
        <v>#DIV/0!</v>
      </c>
      <c r="E1199" s="303" t="e">
        <f t="shared" si="70"/>
        <v>#DIV/0!</v>
      </c>
      <c r="F1199" s="265"/>
    </row>
    <row r="1200" spans="1:6">
      <c r="A1200" s="264" t="s">
        <v>762</v>
      </c>
      <c r="B1200" s="305"/>
      <c r="C1200" s="305">
        <v>240</v>
      </c>
      <c r="D1200" s="303"/>
      <c r="E1200" s="303">
        <f t="shared" si="70"/>
        <v>685.71</v>
      </c>
      <c r="F1200" s="260">
        <v>35</v>
      </c>
    </row>
    <row r="1201" spans="1:6" hidden="1">
      <c r="A1201" s="261" t="s">
        <v>761</v>
      </c>
      <c r="B1201" s="305"/>
      <c r="C1201" s="305">
        <f>SUM(C1202:C1206)</f>
        <v>0</v>
      </c>
      <c r="D1201" s="303" t="e">
        <f t="shared" ref="D1201:D1223" si="71">C1201/B1201*100</f>
        <v>#DIV/0!</v>
      </c>
      <c r="E1201" s="303" t="e">
        <f t="shared" si="70"/>
        <v>#DIV/0!</v>
      </c>
      <c r="F1201" s="270">
        <f>SUM(F1202:F1206)</f>
        <v>0</v>
      </c>
    </row>
    <row r="1202" spans="1:6" hidden="1">
      <c r="A1202" s="264" t="s">
        <v>760</v>
      </c>
      <c r="B1202" s="305"/>
      <c r="C1202" s="305"/>
      <c r="D1202" s="303" t="e">
        <f t="shared" si="71"/>
        <v>#DIV/0!</v>
      </c>
      <c r="E1202" s="303" t="e">
        <f t="shared" si="70"/>
        <v>#DIV/0!</v>
      </c>
      <c r="F1202" s="260"/>
    </row>
    <row r="1203" spans="1:6" hidden="1">
      <c r="A1203" s="264" t="s">
        <v>759</v>
      </c>
      <c r="B1203" s="305"/>
      <c r="C1203" s="305"/>
      <c r="D1203" s="303" t="e">
        <f t="shared" si="71"/>
        <v>#DIV/0!</v>
      </c>
      <c r="E1203" s="303" t="e">
        <f t="shared" si="70"/>
        <v>#DIV/0!</v>
      </c>
      <c r="F1203" s="260"/>
    </row>
    <row r="1204" spans="1:6" hidden="1">
      <c r="A1204" s="264" t="s">
        <v>758</v>
      </c>
      <c r="B1204" s="305"/>
      <c r="C1204" s="305"/>
      <c r="D1204" s="303" t="e">
        <f t="shared" si="71"/>
        <v>#DIV/0!</v>
      </c>
      <c r="E1204" s="303" t="e">
        <f t="shared" si="70"/>
        <v>#DIV/0!</v>
      </c>
      <c r="F1204" s="260"/>
    </row>
    <row r="1205" spans="1:6" hidden="1">
      <c r="A1205" s="264" t="s">
        <v>757</v>
      </c>
      <c r="B1205" s="305"/>
      <c r="C1205" s="305"/>
      <c r="D1205" s="303" t="e">
        <f t="shared" si="71"/>
        <v>#DIV/0!</v>
      </c>
      <c r="E1205" s="303" t="e">
        <f t="shared" si="70"/>
        <v>#DIV/0!</v>
      </c>
      <c r="F1205" s="260"/>
    </row>
    <row r="1206" spans="1:6" hidden="1">
      <c r="A1206" s="264" t="s">
        <v>756</v>
      </c>
      <c r="B1206" s="305"/>
      <c r="C1206" s="305"/>
      <c r="D1206" s="303" t="e">
        <f t="shared" si="71"/>
        <v>#DIV/0!</v>
      </c>
      <c r="E1206" s="303" t="e">
        <f t="shared" si="70"/>
        <v>#DIV/0!</v>
      </c>
      <c r="F1206" s="260"/>
    </row>
    <row r="1207" spans="1:6" hidden="1">
      <c r="A1207" s="261" t="s">
        <v>755</v>
      </c>
      <c r="B1207" s="304"/>
      <c r="C1207" s="304">
        <f>SUM(C1208:C1209)</f>
        <v>0</v>
      </c>
      <c r="D1207" s="303" t="e">
        <f t="shared" si="71"/>
        <v>#DIV/0!</v>
      </c>
      <c r="E1207" s="303" t="e">
        <f t="shared" si="70"/>
        <v>#DIV/0!</v>
      </c>
      <c r="F1207" s="260">
        <f>SUM(F1208:F1209)</f>
        <v>0</v>
      </c>
    </row>
    <row r="1208" spans="1:6" hidden="1">
      <c r="A1208" s="264" t="s">
        <v>754</v>
      </c>
      <c r="B1208" s="304"/>
      <c r="C1208" s="304"/>
      <c r="D1208" s="303" t="e">
        <f t="shared" si="71"/>
        <v>#DIV/0!</v>
      </c>
      <c r="E1208" s="303" t="e">
        <f t="shared" si="70"/>
        <v>#DIV/0!</v>
      </c>
      <c r="F1208" s="260"/>
    </row>
    <row r="1209" spans="1:6" hidden="1">
      <c r="A1209" s="264" t="s">
        <v>753</v>
      </c>
      <c r="B1209" s="304"/>
      <c r="C1209" s="304"/>
      <c r="D1209" s="303" t="e">
        <f t="shared" si="71"/>
        <v>#DIV/0!</v>
      </c>
      <c r="E1209" s="303" t="e">
        <f t="shared" si="70"/>
        <v>#DIV/0!</v>
      </c>
      <c r="F1209" s="260"/>
    </row>
    <row r="1210" spans="1:6" hidden="1">
      <c r="A1210" s="261" t="s">
        <v>752</v>
      </c>
      <c r="B1210" s="304"/>
      <c r="C1210" s="304">
        <f>C1211</f>
        <v>0</v>
      </c>
      <c r="D1210" s="303" t="e">
        <f t="shared" si="71"/>
        <v>#DIV/0!</v>
      </c>
      <c r="E1210" s="303" t="e">
        <f t="shared" si="70"/>
        <v>#DIV/0!</v>
      </c>
      <c r="F1210" s="260">
        <f>F1211</f>
        <v>0</v>
      </c>
    </row>
    <row r="1211" spans="1:6" hidden="1">
      <c r="A1211" s="264" t="s">
        <v>751</v>
      </c>
      <c r="B1211" s="304"/>
      <c r="C1211" s="304"/>
      <c r="D1211" s="303" t="e">
        <f t="shared" si="71"/>
        <v>#DIV/0!</v>
      </c>
      <c r="E1211" s="303" t="e">
        <f t="shared" si="70"/>
        <v>#DIV/0!</v>
      </c>
      <c r="F1211" s="260"/>
    </row>
    <row r="1212" spans="1:6" hidden="1">
      <c r="A1212" s="261" t="s">
        <v>750</v>
      </c>
      <c r="B1212" s="304"/>
      <c r="C1212" s="304">
        <f>SUM(C1213:C1221)</f>
        <v>0</v>
      </c>
      <c r="D1212" s="303" t="e">
        <f t="shared" si="71"/>
        <v>#DIV/0!</v>
      </c>
      <c r="E1212" s="303" t="e">
        <f t="shared" si="70"/>
        <v>#DIV/0!</v>
      </c>
    </row>
    <row r="1213" spans="1:6" hidden="1">
      <c r="A1213" s="261" t="s">
        <v>749</v>
      </c>
      <c r="B1213" s="304"/>
      <c r="C1213" s="304"/>
      <c r="D1213" s="303" t="e">
        <f t="shared" si="71"/>
        <v>#DIV/0!</v>
      </c>
      <c r="E1213" s="303" t="e">
        <f t="shared" si="70"/>
        <v>#DIV/0!</v>
      </c>
    </row>
    <row r="1214" spans="1:6" hidden="1">
      <c r="A1214" s="261" t="s">
        <v>748</v>
      </c>
      <c r="B1214" s="304"/>
      <c r="C1214" s="304"/>
      <c r="D1214" s="303" t="e">
        <f t="shared" si="71"/>
        <v>#DIV/0!</v>
      </c>
      <c r="E1214" s="303" t="e">
        <f t="shared" si="70"/>
        <v>#DIV/0!</v>
      </c>
    </row>
    <row r="1215" spans="1:6" hidden="1">
      <c r="A1215" s="261" t="s">
        <v>747</v>
      </c>
      <c r="B1215" s="304"/>
      <c r="C1215" s="304"/>
      <c r="D1215" s="303" t="e">
        <f t="shared" si="71"/>
        <v>#DIV/0!</v>
      </c>
      <c r="E1215" s="303" t="e">
        <f t="shared" si="70"/>
        <v>#DIV/0!</v>
      </c>
    </row>
    <row r="1216" spans="1:6" hidden="1">
      <c r="A1216" s="261" t="s">
        <v>746</v>
      </c>
      <c r="B1216" s="304"/>
      <c r="C1216" s="304"/>
      <c r="D1216" s="303" t="e">
        <f t="shared" si="71"/>
        <v>#DIV/0!</v>
      </c>
      <c r="E1216" s="303" t="e">
        <f t="shared" si="70"/>
        <v>#DIV/0!</v>
      </c>
    </row>
    <row r="1217" spans="1:6" hidden="1">
      <c r="A1217" s="261" t="s">
        <v>745</v>
      </c>
      <c r="B1217" s="304"/>
      <c r="C1217" s="304"/>
      <c r="D1217" s="303" t="e">
        <f t="shared" si="71"/>
        <v>#DIV/0!</v>
      </c>
      <c r="E1217" s="303" t="e">
        <f t="shared" si="70"/>
        <v>#DIV/0!</v>
      </c>
    </row>
    <row r="1218" spans="1:6" hidden="1">
      <c r="A1218" s="261" t="s">
        <v>744</v>
      </c>
      <c r="B1218" s="304"/>
      <c r="C1218" s="304"/>
      <c r="D1218" s="303" t="e">
        <f t="shared" si="71"/>
        <v>#DIV/0!</v>
      </c>
      <c r="E1218" s="303" t="e">
        <f t="shared" si="70"/>
        <v>#DIV/0!</v>
      </c>
    </row>
    <row r="1219" spans="1:6" hidden="1">
      <c r="A1219" s="261" t="s">
        <v>743</v>
      </c>
      <c r="B1219" s="304"/>
      <c r="C1219" s="304"/>
      <c r="D1219" s="303" t="e">
        <f t="shared" si="71"/>
        <v>#DIV/0!</v>
      </c>
      <c r="E1219" s="303" t="e">
        <f t="shared" si="70"/>
        <v>#DIV/0!</v>
      </c>
    </row>
    <row r="1220" spans="1:6" hidden="1">
      <c r="A1220" s="261" t="s">
        <v>742</v>
      </c>
      <c r="B1220" s="304"/>
      <c r="C1220" s="304"/>
      <c r="D1220" s="303" t="e">
        <f t="shared" si="71"/>
        <v>#DIV/0!</v>
      </c>
      <c r="E1220" s="303" t="e">
        <f t="shared" si="70"/>
        <v>#DIV/0!</v>
      </c>
    </row>
    <row r="1221" spans="1:6" hidden="1">
      <c r="A1221" s="261" t="s">
        <v>741</v>
      </c>
      <c r="B1221" s="304"/>
      <c r="C1221" s="304"/>
      <c r="D1221" s="303" t="e">
        <f t="shared" si="71"/>
        <v>#DIV/0!</v>
      </c>
      <c r="E1221" s="303" t="e">
        <f t="shared" si="70"/>
        <v>#DIV/0!</v>
      </c>
    </row>
    <row r="1222" spans="1:6">
      <c r="A1222" s="261" t="s">
        <v>740</v>
      </c>
      <c r="B1222" s="304">
        <f>SUM(B1223,B1243,B1263,B1272,B1285,B1300)</f>
        <v>27339</v>
      </c>
      <c r="C1222" s="304">
        <f>SUM(C1223,C1243,C1263,C1272,C1285,C1300)</f>
        <v>21030</v>
      </c>
      <c r="D1222" s="303">
        <f t="shared" si="71"/>
        <v>76.92</v>
      </c>
      <c r="E1222" s="303">
        <f t="shared" si="70"/>
        <v>79.12</v>
      </c>
      <c r="F1222" s="263">
        <f>SUM(F1223,F1243,F1263,F1272,F1285,F1300)</f>
        <v>26580</v>
      </c>
    </row>
    <row r="1223" spans="1:6">
      <c r="A1223" s="261" t="s">
        <v>739</v>
      </c>
      <c r="B1223" s="304">
        <v>9120</v>
      </c>
      <c r="C1223" s="304">
        <f>SUM(C1224:C1242)</f>
        <v>2872</v>
      </c>
      <c r="D1223" s="303">
        <f t="shared" si="71"/>
        <v>31.49</v>
      </c>
      <c r="E1223" s="303">
        <f t="shared" ref="E1223:E1249" si="72">C1223/F1223*100</f>
        <v>97.85</v>
      </c>
      <c r="F1223" s="263">
        <f>SUM(F1224:F1242)</f>
        <v>2935</v>
      </c>
    </row>
    <row r="1224" spans="1:6">
      <c r="A1224" s="264" t="s">
        <v>647</v>
      </c>
      <c r="B1224" s="305"/>
      <c r="C1224" s="305">
        <v>1617</v>
      </c>
      <c r="D1224" s="303"/>
      <c r="E1224" s="303">
        <f t="shared" si="72"/>
        <v>96.88</v>
      </c>
      <c r="F1224" s="260">
        <v>1669</v>
      </c>
    </row>
    <row r="1225" spans="1:6">
      <c r="A1225" s="264" t="s">
        <v>646</v>
      </c>
      <c r="B1225" s="305"/>
      <c r="C1225" s="305">
        <v>1070</v>
      </c>
      <c r="D1225" s="303"/>
      <c r="E1225" s="303">
        <f t="shared" si="72"/>
        <v>594.44000000000005</v>
      </c>
      <c r="F1225" s="260">
        <v>180</v>
      </c>
    </row>
    <row r="1226" spans="1:6" hidden="1">
      <c r="A1226" s="264" t="s">
        <v>645</v>
      </c>
      <c r="B1226" s="305"/>
      <c r="C1226" s="305"/>
      <c r="D1226" s="303"/>
      <c r="E1226" s="303" t="e">
        <f t="shared" si="72"/>
        <v>#DIV/0!</v>
      </c>
      <c r="F1226" s="260"/>
    </row>
    <row r="1227" spans="1:6" hidden="1">
      <c r="A1227" s="264" t="s">
        <v>738</v>
      </c>
      <c r="B1227" s="305"/>
      <c r="C1227" s="305"/>
      <c r="D1227" s="303"/>
      <c r="E1227" s="303" t="e">
        <f t="shared" si="72"/>
        <v>#DIV/0!</v>
      </c>
      <c r="F1227" s="260"/>
    </row>
    <row r="1228" spans="1:6" hidden="1">
      <c r="A1228" s="264" t="s">
        <v>737</v>
      </c>
      <c r="B1228" s="305"/>
      <c r="C1228" s="305"/>
      <c r="D1228" s="303"/>
      <c r="E1228" s="303" t="e">
        <f t="shared" si="72"/>
        <v>#DIV/0!</v>
      </c>
      <c r="F1228" s="260"/>
    </row>
    <row r="1229" spans="1:6" hidden="1">
      <c r="A1229" s="264" t="s">
        <v>736</v>
      </c>
      <c r="B1229" s="305"/>
      <c r="C1229" s="305"/>
      <c r="D1229" s="303"/>
      <c r="E1229" s="303" t="e">
        <f t="shared" si="72"/>
        <v>#DIV/0!</v>
      </c>
      <c r="F1229" s="260"/>
    </row>
    <row r="1230" spans="1:6" hidden="1">
      <c r="A1230" s="264" t="s">
        <v>735</v>
      </c>
      <c r="B1230" s="305"/>
      <c r="C1230" s="305"/>
      <c r="D1230" s="303"/>
      <c r="E1230" s="303" t="e">
        <f t="shared" si="72"/>
        <v>#DIV/0!</v>
      </c>
      <c r="F1230" s="260"/>
    </row>
    <row r="1231" spans="1:6" hidden="1">
      <c r="A1231" s="264" t="s">
        <v>734</v>
      </c>
      <c r="B1231" s="305"/>
      <c r="C1231" s="305"/>
      <c r="D1231" s="303"/>
      <c r="E1231" s="303" t="e">
        <f t="shared" si="72"/>
        <v>#DIV/0!</v>
      </c>
      <c r="F1231" s="260"/>
    </row>
    <row r="1232" spans="1:6" hidden="1">
      <c r="A1232" s="264" t="s">
        <v>733</v>
      </c>
      <c r="B1232" s="305"/>
      <c r="C1232" s="305"/>
      <c r="D1232" s="303"/>
      <c r="E1232" s="303" t="e">
        <f t="shared" si="72"/>
        <v>#DIV/0!</v>
      </c>
      <c r="F1232" s="260"/>
    </row>
    <row r="1233" spans="1:6" hidden="1">
      <c r="A1233" s="264" t="s">
        <v>732</v>
      </c>
      <c r="B1233" s="305"/>
      <c r="C1233" s="305"/>
      <c r="D1233" s="303"/>
      <c r="E1233" s="303">
        <f t="shared" si="72"/>
        <v>0</v>
      </c>
      <c r="F1233" s="260">
        <v>989</v>
      </c>
    </row>
    <row r="1234" spans="1:6" hidden="1">
      <c r="A1234" s="264" t="s">
        <v>731</v>
      </c>
      <c r="B1234" s="305"/>
      <c r="C1234" s="305"/>
      <c r="D1234" s="303"/>
      <c r="E1234" s="303" t="e">
        <f t="shared" si="72"/>
        <v>#DIV/0!</v>
      </c>
      <c r="F1234" s="260"/>
    </row>
    <row r="1235" spans="1:6" hidden="1">
      <c r="A1235" s="264" t="s">
        <v>730</v>
      </c>
      <c r="B1235" s="305"/>
      <c r="C1235" s="305">
        <v>0</v>
      </c>
      <c r="D1235" s="303"/>
      <c r="E1235" s="303">
        <f t="shared" si="72"/>
        <v>0</v>
      </c>
      <c r="F1235" s="260">
        <v>83</v>
      </c>
    </row>
    <row r="1236" spans="1:6" hidden="1">
      <c r="A1236" s="264" t="s">
        <v>729</v>
      </c>
      <c r="B1236" s="305"/>
      <c r="C1236" s="305"/>
      <c r="D1236" s="303"/>
      <c r="E1236" s="303" t="e">
        <f t="shared" si="72"/>
        <v>#DIV/0!</v>
      </c>
    </row>
    <row r="1237" spans="1:6" hidden="1">
      <c r="A1237" s="264" t="s">
        <v>728</v>
      </c>
      <c r="B1237" s="305"/>
      <c r="C1237" s="305"/>
      <c r="D1237" s="303"/>
      <c r="E1237" s="303" t="e">
        <f t="shared" si="72"/>
        <v>#DIV/0!</v>
      </c>
    </row>
    <row r="1238" spans="1:6" hidden="1">
      <c r="A1238" s="264" t="s">
        <v>727</v>
      </c>
      <c r="B1238" s="305"/>
      <c r="C1238" s="305"/>
      <c r="D1238" s="303"/>
      <c r="E1238" s="303" t="e">
        <f t="shared" si="72"/>
        <v>#DIV/0!</v>
      </c>
    </row>
    <row r="1239" spans="1:6" hidden="1">
      <c r="A1239" s="264" t="s">
        <v>726</v>
      </c>
      <c r="B1239" s="305"/>
      <c r="C1239" s="305"/>
      <c r="D1239" s="303"/>
      <c r="E1239" s="303" t="e">
        <f t="shared" si="72"/>
        <v>#DIV/0!</v>
      </c>
    </row>
    <row r="1240" spans="1:6" hidden="1">
      <c r="A1240" s="264" t="s">
        <v>725</v>
      </c>
      <c r="B1240" s="305"/>
      <c r="C1240" s="305"/>
      <c r="D1240" s="303"/>
      <c r="E1240" s="303" t="e">
        <f t="shared" si="72"/>
        <v>#DIV/0!</v>
      </c>
    </row>
    <row r="1241" spans="1:6">
      <c r="A1241" s="264" t="s">
        <v>636</v>
      </c>
      <c r="B1241" s="305"/>
      <c r="C1241" s="305">
        <v>185</v>
      </c>
      <c r="D1241" s="303"/>
      <c r="E1241" s="303">
        <f t="shared" si="72"/>
        <v>1321.43</v>
      </c>
      <c r="F1241" s="260">
        <v>14</v>
      </c>
    </row>
    <row r="1242" spans="1:6" hidden="1">
      <c r="A1242" s="264" t="s">
        <v>724</v>
      </c>
      <c r="B1242" s="305"/>
      <c r="C1242" s="305"/>
      <c r="D1242" s="303" t="e">
        <f>C1242/B1242*100</f>
        <v>#DIV/0!</v>
      </c>
      <c r="E1242" s="303" t="e">
        <f t="shared" si="72"/>
        <v>#DIV/0!</v>
      </c>
    </row>
    <row r="1243" spans="1:6">
      <c r="A1243" s="261" t="s">
        <v>723</v>
      </c>
      <c r="B1243" s="305">
        <v>17315</v>
      </c>
      <c r="C1243" s="305">
        <f>SUM(C1244:C1262)</f>
        <v>17258</v>
      </c>
      <c r="D1243" s="303">
        <f>C1243/B1243*100</f>
        <v>99.67</v>
      </c>
      <c r="E1243" s="303">
        <f t="shared" si="72"/>
        <v>74.64</v>
      </c>
      <c r="F1243" s="267">
        <f>SUM(F1244:F1262)</f>
        <v>23121</v>
      </c>
    </row>
    <row r="1244" spans="1:6">
      <c r="A1244" s="264" t="s">
        <v>647</v>
      </c>
      <c r="B1244" s="305"/>
      <c r="C1244" s="305">
        <v>1122</v>
      </c>
      <c r="D1244" s="303"/>
      <c r="E1244" s="303">
        <f t="shared" si="72"/>
        <v>115.67</v>
      </c>
      <c r="F1244" s="260">
        <v>970</v>
      </c>
    </row>
    <row r="1245" spans="1:6">
      <c r="A1245" s="264" t="s">
        <v>646</v>
      </c>
      <c r="B1245" s="305"/>
      <c r="C1245" s="305">
        <v>354</v>
      </c>
      <c r="D1245" s="303"/>
      <c r="E1245" s="303">
        <f t="shared" si="72"/>
        <v>324.77</v>
      </c>
      <c r="F1245" s="260">
        <v>109</v>
      </c>
    </row>
    <row r="1246" spans="1:6">
      <c r="A1246" s="264" t="s">
        <v>645</v>
      </c>
      <c r="B1246" s="305"/>
      <c r="C1246" s="305">
        <v>4</v>
      </c>
      <c r="D1246" s="303"/>
      <c r="E1246" s="303">
        <f t="shared" si="72"/>
        <v>200</v>
      </c>
      <c r="F1246" s="260">
        <v>2</v>
      </c>
    </row>
    <row r="1247" spans="1:6" hidden="1">
      <c r="A1247" s="264" t="s">
        <v>722</v>
      </c>
      <c r="B1247" s="305"/>
      <c r="C1247" s="305"/>
      <c r="D1247" s="303"/>
      <c r="E1247" s="303" t="e">
        <f t="shared" si="72"/>
        <v>#DIV/0!</v>
      </c>
      <c r="F1247" s="260"/>
    </row>
    <row r="1248" spans="1:6" hidden="1">
      <c r="A1248" s="264" t="s">
        <v>721</v>
      </c>
      <c r="B1248" s="305"/>
      <c r="C1248" s="305"/>
      <c r="D1248" s="303"/>
      <c r="E1248" s="303" t="e">
        <f t="shared" si="72"/>
        <v>#DIV/0!</v>
      </c>
      <c r="F1248" s="260"/>
    </row>
    <row r="1249" spans="1:6" hidden="1">
      <c r="A1249" s="264" t="s">
        <v>720</v>
      </c>
      <c r="B1249" s="305"/>
      <c r="C1249" s="305"/>
      <c r="D1249" s="303"/>
      <c r="E1249" s="303" t="e">
        <f t="shared" si="72"/>
        <v>#DIV/0!</v>
      </c>
      <c r="F1249" s="260"/>
    </row>
    <row r="1250" spans="1:6">
      <c r="A1250" s="264" t="s">
        <v>719</v>
      </c>
      <c r="B1250" s="305"/>
      <c r="C1250" s="305">
        <v>9</v>
      </c>
      <c r="D1250" s="303"/>
      <c r="E1250" s="303"/>
      <c r="F1250" s="260"/>
    </row>
    <row r="1251" spans="1:6">
      <c r="A1251" s="264" t="s">
        <v>718</v>
      </c>
      <c r="B1251" s="305"/>
      <c r="C1251" s="305">
        <v>476</v>
      </c>
      <c r="D1251" s="303"/>
      <c r="E1251" s="303">
        <f t="shared" ref="E1251:E1259" si="73">C1251/F1251*100</f>
        <v>67.42</v>
      </c>
      <c r="F1251" s="260">
        <v>706</v>
      </c>
    </row>
    <row r="1252" spans="1:6" hidden="1">
      <c r="A1252" s="264" t="s">
        <v>717</v>
      </c>
      <c r="B1252" s="305"/>
      <c r="C1252" s="305"/>
      <c r="D1252" s="303"/>
      <c r="E1252" s="303">
        <f t="shared" si="73"/>
        <v>0</v>
      </c>
      <c r="F1252" s="269">
        <v>143</v>
      </c>
    </row>
    <row r="1253" spans="1:6" hidden="1">
      <c r="A1253" s="264" t="s">
        <v>716</v>
      </c>
      <c r="B1253" s="305"/>
      <c r="C1253" s="305"/>
      <c r="D1253" s="303"/>
      <c r="E1253" s="303" t="e">
        <f t="shared" si="73"/>
        <v>#DIV/0!</v>
      </c>
      <c r="F1253" s="268">
        <f>143-143</f>
        <v>0</v>
      </c>
    </row>
    <row r="1254" spans="1:6" hidden="1">
      <c r="A1254" s="264" t="s">
        <v>715</v>
      </c>
      <c r="B1254" s="305"/>
      <c r="C1254" s="305"/>
      <c r="D1254" s="303"/>
      <c r="E1254" s="303" t="e">
        <f t="shared" si="73"/>
        <v>#DIV/0!</v>
      </c>
      <c r="F1254" s="260"/>
    </row>
    <row r="1255" spans="1:6" hidden="1">
      <c r="A1255" s="264" t="s">
        <v>714</v>
      </c>
      <c r="B1255" s="305"/>
      <c r="C1255" s="305"/>
      <c r="D1255" s="303"/>
      <c r="E1255" s="303" t="e">
        <f t="shared" si="73"/>
        <v>#DIV/0!</v>
      </c>
      <c r="F1255" s="260"/>
    </row>
    <row r="1256" spans="1:6" hidden="1">
      <c r="A1256" s="264" t="s">
        <v>713</v>
      </c>
      <c r="B1256" s="305"/>
      <c r="C1256" s="305"/>
      <c r="D1256" s="303"/>
      <c r="E1256" s="303" t="e">
        <f t="shared" si="73"/>
        <v>#DIV/0!</v>
      </c>
      <c r="F1256" s="260"/>
    </row>
    <row r="1257" spans="1:6" hidden="1">
      <c r="A1257" s="264" t="s">
        <v>712</v>
      </c>
      <c r="B1257" s="305"/>
      <c r="C1257" s="305"/>
      <c r="D1257" s="303"/>
      <c r="E1257" s="303">
        <f t="shared" si="73"/>
        <v>0</v>
      </c>
      <c r="F1257" s="260">
        <f>20562</f>
        <v>20562</v>
      </c>
    </row>
    <row r="1258" spans="1:6" hidden="1">
      <c r="A1258" s="264" t="s">
        <v>711</v>
      </c>
      <c r="B1258" s="305"/>
      <c r="C1258" s="305"/>
      <c r="D1258" s="303"/>
      <c r="E1258" s="303" t="e">
        <f t="shared" si="73"/>
        <v>#DIV/0!</v>
      </c>
      <c r="F1258" s="260"/>
    </row>
    <row r="1259" spans="1:6" hidden="1">
      <c r="A1259" s="264" t="s">
        <v>710</v>
      </c>
      <c r="B1259" s="305"/>
      <c r="C1259" s="305"/>
      <c r="D1259" s="303"/>
      <c r="E1259" s="303" t="e">
        <f t="shared" si="73"/>
        <v>#DIV/0!</v>
      </c>
      <c r="F1259" s="260"/>
    </row>
    <row r="1260" spans="1:6">
      <c r="A1260" s="264" t="s">
        <v>709</v>
      </c>
      <c r="B1260" s="305"/>
      <c r="C1260" s="305">
        <v>15101</v>
      </c>
      <c r="D1260" s="303"/>
      <c r="E1260" s="303"/>
      <c r="F1260" s="260"/>
    </row>
    <row r="1261" spans="1:6">
      <c r="A1261" s="264" t="s">
        <v>636</v>
      </c>
      <c r="B1261" s="305"/>
      <c r="C1261" s="305">
        <v>187</v>
      </c>
      <c r="D1261" s="303"/>
      <c r="E1261" s="303">
        <f t="shared" ref="E1261:E1273" si="74">C1261/F1261*100</f>
        <v>164.04</v>
      </c>
      <c r="F1261" s="260">
        <v>114</v>
      </c>
    </row>
    <row r="1262" spans="1:6">
      <c r="A1262" s="264" t="s">
        <v>708</v>
      </c>
      <c r="B1262" s="305"/>
      <c r="C1262" s="305">
        <v>5</v>
      </c>
      <c r="D1262" s="303"/>
      <c r="E1262" s="303">
        <f t="shared" si="74"/>
        <v>0.97</v>
      </c>
      <c r="F1262" s="260">
        <f>515</f>
        <v>515</v>
      </c>
    </row>
    <row r="1263" spans="1:6" hidden="1">
      <c r="A1263" s="261" t="s">
        <v>707</v>
      </c>
      <c r="B1263" s="305"/>
      <c r="C1263" s="305">
        <f>SUM(C1264:C1271)</f>
        <v>0</v>
      </c>
      <c r="D1263" s="303" t="e">
        <f t="shared" ref="D1263:D1272" si="75">C1263/B1263*100</f>
        <v>#DIV/0!</v>
      </c>
      <c r="E1263" s="303" t="e">
        <f t="shared" si="74"/>
        <v>#DIV/0!</v>
      </c>
      <c r="F1263" s="260">
        <f>SUM(F1264:F1271)</f>
        <v>0</v>
      </c>
    </row>
    <row r="1264" spans="1:6" hidden="1">
      <c r="A1264" s="264" t="s">
        <v>647</v>
      </c>
      <c r="B1264" s="305"/>
      <c r="C1264" s="305"/>
      <c r="D1264" s="303" t="e">
        <f t="shared" si="75"/>
        <v>#DIV/0!</v>
      </c>
      <c r="E1264" s="303" t="e">
        <f t="shared" si="74"/>
        <v>#DIV/0!</v>
      </c>
      <c r="F1264" s="260"/>
    </row>
    <row r="1265" spans="1:6" hidden="1">
      <c r="A1265" s="264" t="s">
        <v>646</v>
      </c>
      <c r="B1265" s="305"/>
      <c r="C1265" s="305"/>
      <c r="D1265" s="303" t="e">
        <f t="shared" si="75"/>
        <v>#DIV/0!</v>
      </c>
      <c r="E1265" s="303" t="e">
        <f t="shared" si="74"/>
        <v>#DIV/0!</v>
      </c>
      <c r="F1265" s="260"/>
    </row>
    <row r="1266" spans="1:6" hidden="1">
      <c r="A1266" s="264" t="s">
        <v>645</v>
      </c>
      <c r="B1266" s="305"/>
      <c r="C1266" s="305"/>
      <c r="D1266" s="303" t="e">
        <f t="shared" si="75"/>
        <v>#DIV/0!</v>
      </c>
      <c r="E1266" s="303" t="e">
        <f t="shared" si="74"/>
        <v>#DIV/0!</v>
      </c>
      <c r="F1266" s="260"/>
    </row>
    <row r="1267" spans="1:6" hidden="1">
      <c r="A1267" s="264" t="s">
        <v>706</v>
      </c>
      <c r="B1267" s="305"/>
      <c r="C1267" s="305"/>
      <c r="D1267" s="303" t="e">
        <f t="shared" si="75"/>
        <v>#DIV/0!</v>
      </c>
      <c r="E1267" s="303" t="e">
        <f t="shared" si="74"/>
        <v>#DIV/0!</v>
      </c>
      <c r="F1267" s="260"/>
    </row>
    <row r="1268" spans="1:6" hidden="1">
      <c r="A1268" s="264" t="s">
        <v>705</v>
      </c>
      <c r="B1268" s="305"/>
      <c r="C1268" s="305"/>
      <c r="D1268" s="303" t="e">
        <f t="shared" si="75"/>
        <v>#DIV/0!</v>
      </c>
      <c r="E1268" s="303" t="e">
        <f t="shared" si="74"/>
        <v>#DIV/0!</v>
      </c>
      <c r="F1268" s="260"/>
    </row>
    <row r="1269" spans="1:6" hidden="1">
      <c r="A1269" s="264" t="s">
        <v>704</v>
      </c>
      <c r="B1269" s="305"/>
      <c r="C1269" s="305"/>
      <c r="D1269" s="303" t="e">
        <f t="shared" si="75"/>
        <v>#DIV/0!</v>
      </c>
      <c r="E1269" s="303" t="e">
        <f t="shared" si="74"/>
        <v>#DIV/0!</v>
      </c>
      <c r="F1269" s="260"/>
    </row>
    <row r="1270" spans="1:6" hidden="1">
      <c r="A1270" s="264" t="s">
        <v>636</v>
      </c>
      <c r="B1270" s="305"/>
      <c r="C1270" s="305"/>
      <c r="D1270" s="303" t="e">
        <f t="shared" si="75"/>
        <v>#DIV/0!</v>
      </c>
      <c r="E1270" s="303" t="e">
        <f t="shared" si="74"/>
        <v>#DIV/0!</v>
      </c>
      <c r="F1270" s="260"/>
    </row>
    <row r="1271" spans="1:6" hidden="1">
      <c r="A1271" s="264" t="s">
        <v>703</v>
      </c>
      <c r="B1271" s="305"/>
      <c r="C1271" s="305"/>
      <c r="D1271" s="303" t="e">
        <f t="shared" si="75"/>
        <v>#DIV/0!</v>
      </c>
      <c r="E1271" s="303" t="e">
        <f t="shared" si="74"/>
        <v>#DIV/0!</v>
      </c>
      <c r="F1271" s="260"/>
    </row>
    <row r="1272" spans="1:6">
      <c r="A1272" s="261" t="s">
        <v>702</v>
      </c>
      <c r="B1272" s="305">
        <v>297</v>
      </c>
      <c r="C1272" s="305">
        <f>SUM(C1273:C1284)</f>
        <v>293</v>
      </c>
      <c r="D1272" s="303">
        <f t="shared" si="75"/>
        <v>98.65</v>
      </c>
      <c r="E1272" s="303">
        <f t="shared" si="74"/>
        <v>623.4</v>
      </c>
      <c r="F1272" s="260">
        <f>SUM(F1273:F1284)</f>
        <v>47</v>
      </c>
    </row>
    <row r="1273" spans="1:6">
      <c r="A1273" s="264" t="s">
        <v>647</v>
      </c>
      <c r="B1273" s="305"/>
      <c r="C1273" s="305">
        <v>61</v>
      </c>
      <c r="D1273" s="303"/>
      <c r="E1273" s="303">
        <f t="shared" si="74"/>
        <v>138.63999999999999</v>
      </c>
      <c r="F1273" s="260">
        <v>44</v>
      </c>
    </row>
    <row r="1274" spans="1:6">
      <c r="A1274" s="264" t="s">
        <v>646</v>
      </c>
      <c r="B1274" s="305"/>
      <c r="C1274" s="305">
        <v>2</v>
      </c>
      <c r="D1274" s="303"/>
      <c r="E1274" s="303"/>
      <c r="F1274" s="260"/>
    </row>
    <row r="1275" spans="1:6" hidden="1">
      <c r="A1275" s="264" t="s">
        <v>645</v>
      </c>
      <c r="B1275" s="305"/>
      <c r="C1275" s="305"/>
      <c r="D1275" s="303"/>
      <c r="E1275" s="303"/>
      <c r="F1275" s="260"/>
    </row>
    <row r="1276" spans="1:6" hidden="1">
      <c r="A1276" s="264" t="s">
        <v>701</v>
      </c>
      <c r="B1276" s="305"/>
      <c r="C1276" s="305"/>
      <c r="D1276" s="303"/>
      <c r="E1276" s="303"/>
      <c r="F1276" s="260"/>
    </row>
    <row r="1277" spans="1:6" hidden="1">
      <c r="A1277" s="264" t="s">
        <v>700</v>
      </c>
      <c r="B1277" s="305"/>
      <c r="C1277" s="305"/>
      <c r="D1277" s="303"/>
      <c r="E1277" s="303"/>
      <c r="F1277" s="260"/>
    </row>
    <row r="1278" spans="1:6">
      <c r="A1278" s="264" t="s">
        <v>699</v>
      </c>
      <c r="B1278" s="305"/>
      <c r="C1278" s="305">
        <v>12</v>
      </c>
      <c r="D1278" s="303"/>
      <c r="E1278" s="303"/>
      <c r="F1278" s="260"/>
    </row>
    <row r="1279" spans="1:6" hidden="1">
      <c r="A1279" s="264" t="s">
        <v>698</v>
      </c>
      <c r="B1279" s="305"/>
      <c r="C1279" s="305"/>
      <c r="D1279" s="303"/>
      <c r="E1279" s="303" t="e">
        <f t="shared" ref="E1279:E1292" si="76">C1279/F1279*100</f>
        <v>#DIV/0!</v>
      </c>
      <c r="F1279" s="260"/>
    </row>
    <row r="1280" spans="1:6" hidden="1">
      <c r="A1280" s="264" t="s">
        <v>697</v>
      </c>
      <c r="B1280" s="305"/>
      <c r="C1280" s="305"/>
      <c r="D1280" s="303"/>
      <c r="E1280" s="303" t="e">
        <f t="shared" si="76"/>
        <v>#DIV/0!</v>
      </c>
      <c r="F1280" s="260"/>
    </row>
    <row r="1281" spans="1:6" hidden="1">
      <c r="A1281" s="264" t="s">
        <v>696</v>
      </c>
      <c r="B1281" s="305"/>
      <c r="C1281" s="305"/>
      <c r="D1281" s="303"/>
      <c r="E1281" s="303" t="e">
        <f t="shared" si="76"/>
        <v>#DIV/0!</v>
      </c>
      <c r="F1281" s="260"/>
    </row>
    <row r="1282" spans="1:6" hidden="1">
      <c r="A1282" s="264" t="s">
        <v>695</v>
      </c>
      <c r="B1282" s="305"/>
      <c r="C1282" s="305"/>
      <c r="D1282" s="303"/>
      <c r="E1282" s="303" t="e">
        <f t="shared" si="76"/>
        <v>#DIV/0!</v>
      </c>
      <c r="F1282" s="260"/>
    </row>
    <row r="1283" spans="1:6" hidden="1">
      <c r="A1283" s="264" t="s">
        <v>694</v>
      </c>
      <c r="B1283" s="305"/>
      <c r="C1283" s="305"/>
      <c r="D1283" s="303"/>
      <c r="E1283" s="303" t="e">
        <f t="shared" si="76"/>
        <v>#DIV/0!</v>
      </c>
      <c r="F1283" s="260"/>
    </row>
    <row r="1284" spans="1:6">
      <c r="A1284" s="264" t="s">
        <v>693</v>
      </c>
      <c r="B1284" s="305"/>
      <c r="C1284" s="305">
        <v>218</v>
      </c>
      <c r="D1284" s="303"/>
      <c r="E1284" s="303">
        <f t="shared" si="76"/>
        <v>7266.67</v>
      </c>
      <c r="F1284" s="260">
        <v>3</v>
      </c>
    </row>
    <row r="1285" spans="1:6">
      <c r="A1285" s="261" t="s">
        <v>692</v>
      </c>
      <c r="B1285" s="305">
        <v>607</v>
      </c>
      <c r="C1285" s="305">
        <f>SUM(C1286:C1299)</f>
        <v>607</v>
      </c>
      <c r="D1285" s="303">
        <f>C1285/B1285*100</f>
        <v>100</v>
      </c>
      <c r="E1285" s="303">
        <f t="shared" si="76"/>
        <v>127.25</v>
      </c>
      <c r="F1285" s="260">
        <f>SUM(F1286:F1300)</f>
        <v>477</v>
      </c>
    </row>
    <row r="1286" spans="1:6">
      <c r="A1286" s="264" t="s">
        <v>647</v>
      </c>
      <c r="B1286" s="305"/>
      <c r="C1286" s="305">
        <v>216</v>
      </c>
      <c r="D1286" s="303"/>
      <c r="E1286" s="303">
        <f t="shared" si="76"/>
        <v>108.54</v>
      </c>
      <c r="F1286" s="260">
        <v>199</v>
      </c>
    </row>
    <row r="1287" spans="1:6">
      <c r="A1287" s="264" t="s">
        <v>646</v>
      </c>
      <c r="B1287" s="305"/>
      <c r="C1287" s="305">
        <v>381</v>
      </c>
      <c r="D1287" s="303"/>
      <c r="E1287" s="303">
        <f t="shared" si="76"/>
        <v>3810</v>
      </c>
      <c r="F1287" s="260">
        <v>10</v>
      </c>
    </row>
    <row r="1288" spans="1:6" hidden="1">
      <c r="A1288" s="264" t="s">
        <v>645</v>
      </c>
      <c r="B1288" s="305"/>
      <c r="C1288" s="305"/>
      <c r="D1288" s="303"/>
      <c r="E1288" s="303" t="e">
        <f t="shared" si="76"/>
        <v>#DIV/0!</v>
      </c>
      <c r="F1288" s="260"/>
    </row>
    <row r="1289" spans="1:6" hidden="1">
      <c r="A1289" s="264" t="s">
        <v>691</v>
      </c>
      <c r="B1289" s="305"/>
      <c r="C1289" s="305"/>
      <c r="D1289" s="303"/>
      <c r="E1289" s="303" t="e">
        <f t="shared" si="76"/>
        <v>#DIV/0!</v>
      </c>
      <c r="F1289" s="260"/>
    </row>
    <row r="1290" spans="1:6" hidden="1">
      <c r="A1290" s="264" t="s">
        <v>690</v>
      </c>
      <c r="B1290" s="305"/>
      <c r="C1290" s="305"/>
      <c r="D1290" s="303"/>
      <c r="E1290" s="303" t="e">
        <f t="shared" si="76"/>
        <v>#DIV/0!</v>
      </c>
      <c r="F1290" s="260"/>
    </row>
    <row r="1291" spans="1:6" hidden="1">
      <c r="A1291" s="264" t="s">
        <v>689</v>
      </c>
      <c r="B1291" s="305"/>
      <c r="C1291" s="305"/>
      <c r="D1291" s="303"/>
      <c r="E1291" s="303" t="e">
        <f t="shared" si="76"/>
        <v>#DIV/0!</v>
      </c>
      <c r="F1291" s="260"/>
    </row>
    <row r="1292" spans="1:6" hidden="1">
      <c r="A1292" s="264" t="s">
        <v>688</v>
      </c>
      <c r="B1292" s="305"/>
      <c r="C1292" s="305"/>
      <c r="D1292" s="303"/>
      <c r="E1292" s="303" t="e">
        <f t="shared" si="76"/>
        <v>#DIV/0!</v>
      </c>
      <c r="F1292" s="260"/>
    </row>
    <row r="1293" spans="1:6">
      <c r="A1293" s="264" t="s">
        <v>687</v>
      </c>
      <c r="B1293" s="305"/>
      <c r="C1293" s="305">
        <v>10</v>
      </c>
      <c r="D1293" s="303"/>
      <c r="E1293" s="303"/>
      <c r="F1293" s="260"/>
    </row>
    <row r="1294" spans="1:6" hidden="1">
      <c r="A1294" s="264" t="s">
        <v>686</v>
      </c>
      <c r="B1294" s="305"/>
      <c r="C1294" s="305"/>
      <c r="D1294" s="303" t="e">
        <f t="shared" ref="D1294:D1305" si="77">C1294/B1294*100</f>
        <v>#DIV/0!</v>
      </c>
      <c r="E1294" s="303">
        <f t="shared" ref="E1294:E1328" si="78">C1294/F1294*100</f>
        <v>0</v>
      </c>
      <c r="F1294" s="260">
        <v>268</v>
      </c>
    </row>
    <row r="1295" spans="1:6" hidden="1">
      <c r="A1295" s="264" t="s">
        <v>685</v>
      </c>
      <c r="B1295" s="305"/>
      <c r="C1295" s="305"/>
      <c r="D1295" s="303" t="e">
        <f t="shared" si="77"/>
        <v>#DIV/0!</v>
      </c>
      <c r="E1295" s="303" t="e">
        <f t="shared" si="78"/>
        <v>#DIV/0!</v>
      </c>
      <c r="F1295" s="260"/>
    </row>
    <row r="1296" spans="1:6" hidden="1">
      <c r="A1296" s="264" t="s">
        <v>684</v>
      </c>
      <c r="B1296" s="305"/>
      <c r="C1296" s="305"/>
      <c r="D1296" s="303" t="e">
        <f t="shared" si="77"/>
        <v>#DIV/0!</v>
      </c>
      <c r="E1296" s="303" t="e">
        <f t="shared" si="78"/>
        <v>#DIV/0!</v>
      </c>
      <c r="F1296" s="260"/>
    </row>
    <row r="1297" spans="1:6" hidden="1">
      <c r="A1297" s="264" t="s">
        <v>683</v>
      </c>
      <c r="B1297" s="305"/>
      <c r="C1297" s="305"/>
      <c r="D1297" s="303" t="e">
        <f t="shared" si="77"/>
        <v>#DIV/0!</v>
      </c>
      <c r="E1297" s="303" t="e">
        <f t="shared" si="78"/>
        <v>#DIV/0!</v>
      </c>
      <c r="F1297" s="260"/>
    </row>
    <row r="1298" spans="1:6" hidden="1">
      <c r="A1298" s="264" t="s">
        <v>682</v>
      </c>
      <c r="B1298" s="305"/>
      <c r="C1298" s="305"/>
      <c r="D1298" s="303" t="e">
        <f t="shared" si="77"/>
        <v>#DIV/0!</v>
      </c>
      <c r="E1298" s="303" t="e">
        <f t="shared" si="78"/>
        <v>#DIV/0!</v>
      </c>
      <c r="F1298" s="260"/>
    </row>
    <row r="1299" spans="1:6" hidden="1">
      <c r="A1299" s="264" t="s">
        <v>681</v>
      </c>
      <c r="B1299" s="305"/>
      <c r="C1299" s="305"/>
      <c r="D1299" s="303" t="e">
        <f t="shared" si="77"/>
        <v>#DIV/0!</v>
      </c>
      <c r="E1299" s="303" t="e">
        <f t="shared" si="78"/>
        <v>#DIV/0!</v>
      </c>
      <c r="F1299" s="260"/>
    </row>
    <row r="1300" spans="1:6" hidden="1">
      <c r="A1300" s="261" t="s">
        <v>680</v>
      </c>
      <c r="B1300" s="305"/>
      <c r="C1300" s="305">
        <f>C1301</f>
        <v>0</v>
      </c>
      <c r="D1300" s="303" t="e">
        <f t="shared" si="77"/>
        <v>#DIV/0!</v>
      </c>
      <c r="E1300" s="303" t="e">
        <f t="shared" si="78"/>
        <v>#DIV/0!</v>
      </c>
      <c r="F1300" s="260"/>
    </row>
    <row r="1301" spans="1:6" hidden="1">
      <c r="A1301" s="264" t="s">
        <v>679</v>
      </c>
      <c r="B1301" s="305"/>
      <c r="C1301" s="305"/>
      <c r="D1301" s="303" t="e">
        <f t="shared" si="77"/>
        <v>#DIV/0!</v>
      </c>
      <c r="E1301" s="303" t="e">
        <f t="shared" si="78"/>
        <v>#DIV/0!</v>
      </c>
      <c r="F1301" s="260"/>
    </row>
    <row r="1302" spans="1:6">
      <c r="A1302" s="261" t="s">
        <v>678</v>
      </c>
      <c r="B1302" s="304">
        <f>SUM(B1303,B1312,B1316)</f>
        <v>25159</v>
      </c>
      <c r="C1302" s="304">
        <f>SUM(C1303,C1312,C1316)</f>
        <v>25118</v>
      </c>
      <c r="D1302" s="303">
        <f t="shared" si="77"/>
        <v>99.84</v>
      </c>
      <c r="E1302" s="303">
        <f t="shared" si="78"/>
        <v>95.59</v>
      </c>
      <c r="F1302" s="263">
        <f>SUM(F1303,F1312,F1316)</f>
        <v>26278</v>
      </c>
    </row>
    <row r="1303" spans="1:6">
      <c r="A1303" s="261" t="s">
        <v>677</v>
      </c>
      <c r="B1303" s="304">
        <v>15513</v>
      </c>
      <c r="C1303" s="304">
        <f>SUM(C1304:C1311)</f>
        <v>15472</v>
      </c>
      <c r="D1303" s="303">
        <f t="shared" si="77"/>
        <v>99.74</v>
      </c>
      <c r="E1303" s="303">
        <f t="shared" si="78"/>
        <v>92.04</v>
      </c>
      <c r="F1303" s="263">
        <f>SUM(F1304:F1311)</f>
        <v>16810</v>
      </c>
    </row>
    <row r="1304" spans="1:6" hidden="1">
      <c r="A1304" s="264" t="s">
        <v>676</v>
      </c>
      <c r="B1304" s="305"/>
      <c r="C1304" s="305"/>
      <c r="D1304" s="303" t="e">
        <f t="shared" si="77"/>
        <v>#DIV/0!</v>
      </c>
      <c r="E1304" s="303" t="e">
        <f t="shared" si="78"/>
        <v>#DIV/0!</v>
      </c>
      <c r="F1304" s="260"/>
    </row>
    <row r="1305" spans="1:6" hidden="1">
      <c r="A1305" s="264" t="s">
        <v>675</v>
      </c>
      <c r="B1305" s="305"/>
      <c r="C1305" s="305"/>
      <c r="D1305" s="303" t="e">
        <f t="shared" si="77"/>
        <v>#DIV/0!</v>
      </c>
      <c r="E1305" s="303" t="e">
        <f t="shared" si="78"/>
        <v>#DIV/0!</v>
      </c>
      <c r="F1305" s="260"/>
    </row>
    <row r="1306" spans="1:6">
      <c r="A1306" s="264" t="s">
        <v>674</v>
      </c>
      <c r="B1306" s="305"/>
      <c r="C1306" s="305">
        <v>9519</v>
      </c>
      <c r="D1306" s="303"/>
      <c r="E1306" s="303">
        <f t="shared" si="78"/>
        <v>115.96</v>
      </c>
      <c r="F1306" s="260">
        <v>8209</v>
      </c>
    </row>
    <row r="1307" spans="1:6" hidden="1">
      <c r="A1307" s="264" t="s">
        <v>673</v>
      </c>
      <c r="B1307" s="305"/>
      <c r="C1307" s="305"/>
      <c r="D1307" s="303"/>
      <c r="E1307" s="303" t="e">
        <f t="shared" si="78"/>
        <v>#DIV/0!</v>
      </c>
      <c r="F1307" s="260"/>
    </row>
    <row r="1308" spans="1:6" hidden="1">
      <c r="A1308" s="264" t="s">
        <v>672</v>
      </c>
      <c r="B1308" s="305"/>
      <c r="C1308" s="305"/>
      <c r="D1308" s="303"/>
      <c r="E1308" s="303" t="e">
        <f t="shared" si="78"/>
        <v>#DIV/0!</v>
      </c>
      <c r="F1308" s="260"/>
    </row>
    <row r="1309" spans="1:6" hidden="1">
      <c r="A1309" s="264" t="s">
        <v>671</v>
      </c>
      <c r="B1309" s="305"/>
      <c r="C1309" s="305"/>
      <c r="D1309" s="303"/>
      <c r="E1309" s="303">
        <f t="shared" si="78"/>
        <v>0</v>
      </c>
      <c r="F1309" s="260">
        <v>1693</v>
      </c>
    </row>
    <row r="1310" spans="1:6" hidden="1">
      <c r="A1310" s="264" t="s">
        <v>670</v>
      </c>
      <c r="B1310" s="305"/>
      <c r="C1310" s="305"/>
      <c r="D1310" s="303"/>
      <c r="E1310" s="303" t="e">
        <f t="shared" si="78"/>
        <v>#DIV/0!</v>
      </c>
      <c r="F1310" s="260"/>
    </row>
    <row r="1311" spans="1:6">
      <c r="A1311" s="264" t="s">
        <v>669</v>
      </c>
      <c r="B1311" s="305"/>
      <c r="C1311" s="305">
        <v>5953</v>
      </c>
      <c r="D1311" s="303"/>
      <c r="E1311" s="303">
        <f t="shared" si="78"/>
        <v>86.18</v>
      </c>
      <c r="F1311" s="260">
        <v>6908</v>
      </c>
    </row>
    <row r="1312" spans="1:6">
      <c r="A1312" s="261" t="s">
        <v>668</v>
      </c>
      <c r="B1312" s="305">
        <v>9646</v>
      </c>
      <c r="C1312" s="305">
        <f>SUM(C1313:C1315)</f>
        <v>9646</v>
      </c>
      <c r="D1312" s="303">
        <f>C1312/B1312*100</f>
        <v>100</v>
      </c>
      <c r="E1312" s="303">
        <f t="shared" si="78"/>
        <v>108.43</v>
      </c>
      <c r="F1312" s="267">
        <f>SUM(F1313:F1315)</f>
        <v>8896</v>
      </c>
    </row>
    <row r="1313" spans="1:6">
      <c r="A1313" s="264" t="s">
        <v>667</v>
      </c>
      <c r="B1313" s="305"/>
      <c r="C1313" s="305">
        <v>7636</v>
      </c>
      <c r="D1313" s="303"/>
      <c r="E1313" s="303">
        <f t="shared" si="78"/>
        <v>109.16</v>
      </c>
      <c r="F1313" s="260">
        <v>6995</v>
      </c>
    </row>
    <row r="1314" spans="1:6">
      <c r="A1314" s="264" t="s">
        <v>666</v>
      </c>
      <c r="B1314" s="305"/>
      <c r="C1314" s="305">
        <v>2010</v>
      </c>
      <c r="D1314" s="303"/>
      <c r="E1314" s="303">
        <f t="shared" si="78"/>
        <v>105.73</v>
      </c>
      <c r="F1314" s="260">
        <v>1901</v>
      </c>
    </row>
    <row r="1315" spans="1:6" hidden="1">
      <c r="A1315" s="264" t="s">
        <v>665</v>
      </c>
      <c r="B1315" s="305"/>
      <c r="C1315" s="305"/>
      <c r="D1315" s="303"/>
      <c r="E1315" s="303" t="e">
        <f t="shared" si="78"/>
        <v>#DIV/0!</v>
      </c>
      <c r="F1315" s="266"/>
    </row>
    <row r="1316" spans="1:6" hidden="1">
      <c r="A1316" s="261" t="s">
        <v>664</v>
      </c>
      <c r="B1316" s="304"/>
      <c r="C1316" s="304">
        <f>SUM(C1317:C1319)</f>
        <v>0</v>
      </c>
      <c r="D1316" s="303"/>
      <c r="E1316" s="303">
        <f t="shared" si="78"/>
        <v>0</v>
      </c>
      <c r="F1316" s="263">
        <f>SUM(F1317:F1319)</f>
        <v>572</v>
      </c>
    </row>
    <row r="1317" spans="1:6" hidden="1">
      <c r="A1317" s="264" t="s">
        <v>663</v>
      </c>
      <c r="B1317" s="304"/>
      <c r="C1317" s="304"/>
      <c r="D1317" s="303"/>
      <c r="E1317" s="303" t="e">
        <f t="shared" si="78"/>
        <v>#DIV/0!</v>
      </c>
      <c r="F1317" s="262"/>
    </row>
    <row r="1318" spans="1:6" hidden="1">
      <c r="A1318" s="264" t="s">
        <v>662</v>
      </c>
      <c r="B1318" s="304"/>
      <c r="C1318" s="304"/>
      <c r="D1318" s="303"/>
      <c r="E1318" s="303" t="e">
        <f t="shared" si="78"/>
        <v>#DIV/0!</v>
      </c>
      <c r="F1318" s="262"/>
    </row>
    <row r="1319" spans="1:6" hidden="1">
      <c r="A1319" s="264" t="s">
        <v>661</v>
      </c>
      <c r="B1319" s="304"/>
      <c r="C1319" s="304"/>
      <c r="D1319" s="303"/>
      <c r="E1319" s="303">
        <f t="shared" si="78"/>
        <v>0</v>
      </c>
      <c r="F1319" s="260">
        <v>572</v>
      </c>
    </row>
    <row r="1320" spans="1:6">
      <c r="A1320" s="261" t="s">
        <v>660</v>
      </c>
      <c r="B1320" s="304">
        <f>SUM(B1321,B1336,B1350,B1356,B1362)</f>
        <v>3419</v>
      </c>
      <c r="C1320" s="304">
        <f>SUM(C1321,C1336,C1350,C1356,C1362)</f>
        <v>3225</v>
      </c>
      <c r="D1320" s="303">
        <f>C1320/B1320*100</f>
        <v>94.33</v>
      </c>
      <c r="E1320" s="303">
        <f t="shared" si="78"/>
        <v>179.67</v>
      </c>
      <c r="F1320" s="263">
        <f>SUM(F1321,F1336,F1350,F1356,F1362)</f>
        <v>1795</v>
      </c>
    </row>
    <row r="1321" spans="1:6">
      <c r="A1321" s="261" t="s">
        <v>659</v>
      </c>
      <c r="B1321" s="304">
        <v>1969</v>
      </c>
      <c r="C1321" s="304">
        <f>SUM(C1322:C1335)</f>
        <v>1969</v>
      </c>
      <c r="D1321" s="303">
        <f>C1321/B1321*100</f>
        <v>100</v>
      </c>
      <c r="E1321" s="303">
        <f t="shared" si="78"/>
        <v>132.15</v>
      </c>
      <c r="F1321" s="263">
        <f>SUM(F1322:F1335)</f>
        <v>1490</v>
      </c>
    </row>
    <row r="1322" spans="1:6">
      <c r="A1322" s="264" t="s">
        <v>647</v>
      </c>
      <c r="B1322" s="304"/>
      <c r="C1322" s="304">
        <v>315</v>
      </c>
      <c r="D1322" s="303"/>
      <c r="E1322" s="303">
        <f t="shared" si="78"/>
        <v>29.09</v>
      </c>
      <c r="F1322" s="260">
        <v>1083</v>
      </c>
    </row>
    <row r="1323" spans="1:6">
      <c r="A1323" s="264" t="s">
        <v>646</v>
      </c>
      <c r="B1323" s="304"/>
      <c r="C1323" s="304">
        <v>792</v>
      </c>
      <c r="D1323" s="303"/>
      <c r="E1323" s="303">
        <f t="shared" si="78"/>
        <v>194.59</v>
      </c>
      <c r="F1323" s="260">
        <v>407</v>
      </c>
    </row>
    <row r="1324" spans="1:6" hidden="1">
      <c r="A1324" s="264" t="s">
        <v>645</v>
      </c>
      <c r="B1324" s="304"/>
      <c r="C1324" s="304"/>
      <c r="D1324" s="303"/>
      <c r="E1324" s="303" t="e">
        <f t="shared" si="78"/>
        <v>#DIV/0!</v>
      </c>
      <c r="F1324" s="260"/>
    </row>
    <row r="1325" spans="1:6" hidden="1">
      <c r="A1325" s="264" t="s">
        <v>658</v>
      </c>
      <c r="B1325" s="304"/>
      <c r="C1325" s="304"/>
      <c r="D1325" s="303"/>
      <c r="E1325" s="303" t="e">
        <f t="shared" si="78"/>
        <v>#DIV/0!</v>
      </c>
      <c r="F1325" s="260"/>
    </row>
    <row r="1326" spans="1:6" hidden="1">
      <c r="A1326" s="264" t="s">
        <v>657</v>
      </c>
      <c r="B1326" s="304"/>
      <c r="C1326" s="304"/>
      <c r="D1326" s="303"/>
      <c r="E1326" s="303" t="e">
        <f t="shared" si="78"/>
        <v>#DIV/0!</v>
      </c>
      <c r="F1326" s="260"/>
    </row>
    <row r="1327" spans="1:6" hidden="1">
      <c r="A1327" s="264" t="s">
        <v>656</v>
      </c>
      <c r="B1327" s="304"/>
      <c r="C1327" s="304"/>
      <c r="D1327" s="303"/>
      <c r="E1327" s="303" t="e">
        <f t="shared" si="78"/>
        <v>#DIV/0!</v>
      </c>
      <c r="F1327" s="260"/>
    </row>
    <row r="1328" spans="1:6" hidden="1">
      <c r="A1328" s="264" t="s">
        <v>655</v>
      </c>
      <c r="B1328" s="304"/>
      <c r="C1328" s="304"/>
      <c r="D1328" s="303"/>
      <c r="E1328" s="303" t="e">
        <f t="shared" si="78"/>
        <v>#DIV/0!</v>
      </c>
      <c r="F1328" s="260"/>
    </row>
    <row r="1329" spans="1:6">
      <c r="A1329" s="264" t="s">
        <v>654</v>
      </c>
      <c r="B1329" s="304"/>
      <c r="C1329" s="304">
        <v>12</v>
      </c>
      <c r="D1329" s="303"/>
      <c r="E1329" s="303"/>
      <c r="F1329" s="260"/>
    </row>
    <row r="1330" spans="1:6" hidden="1">
      <c r="A1330" s="264" t="s">
        <v>653</v>
      </c>
      <c r="B1330" s="304"/>
      <c r="C1330" s="304"/>
      <c r="D1330" s="303"/>
      <c r="E1330" s="303" t="e">
        <f>C1330/F1330*100</f>
        <v>#DIV/0!</v>
      </c>
      <c r="F1330" s="260"/>
    </row>
    <row r="1331" spans="1:6" hidden="1">
      <c r="A1331" s="264" t="s">
        <v>652</v>
      </c>
      <c r="B1331" s="304"/>
      <c r="C1331" s="304"/>
      <c r="D1331" s="303"/>
      <c r="E1331" s="303" t="e">
        <f>C1331/F1331*100</f>
        <v>#DIV/0!</v>
      </c>
      <c r="F1331" s="260"/>
    </row>
    <row r="1332" spans="1:6">
      <c r="A1332" s="264" t="s">
        <v>651</v>
      </c>
      <c r="B1332" s="304"/>
      <c r="C1332" s="304">
        <v>850</v>
      </c>
      <c r="D1332" s="303"/>
      <c r="E1332" s="303"/>
      <c r="F1332" s="260"/>
    </row>
    <row r="1333" spans="1:6" hidden="1">
      <c r="A1333" s="264" t="s">
        <v>650</v>
      </c>
      <c r="B1333" s="304"/>
      <c r="C1333" s="304"/>
      <c r="D1333" s="303"/>
      <c r="E1333" s="303" t="e">
        <f t="shared" ref="E1333:E1360" si="79">C1333/F1333*100</f>
        <v>#DIV/0!</v>
      </c>
      <c r="F1333" s="260"/>
    </row>
    <row r="1334" spans="1:6" hidden="1">
      <c r="A1334" s="264" t="s">
        <v>636</v>
      </c>
      <c r="B1334" s="304"/>
      <c r="C1334" s="304"/>
      <c r="D1334" s="303"/>
      <c r="E1334" s="303" t="e">
        <f t="shared" si="79"/>
        <v>#DIV/0!</v>
      </c>
      <c r="F1334" s="260"/>
    </row>
    <row r="1335" spans="1:6" hidden="1">
      <c r="A1335" s="264" t="s">
        <v>649</v>
      </c>
      <c r="B1335" s="304"/>
      <c r="C1335" s="304"/>
      <c r="D1335" s="303"/>
      <c r="E1335" s="303" t="e">
        <f t="shared" si="79"/>
        <v>#DIV/0!</v>
      </c>
      <c r="F1335" s="260"/>
    </row>
    <row r="1336" spans="1:6" hidden="1">
      <c r="A1336" s="261" t="s">
        <v>648</v>
      </c>
      <c r="B1336" s="304"/>
      <c r="C1336" s="304">
        <f>SUM(C1337:C1349)</f>
        <v>0</v>
      </c>
      <c r="D1336" s="303"/>
      <c r="E1336" s="303" t="e">
        <f t="shared" si="79"/>
        <v>#DIV/0!</v>
      </c>
      <c r="F1336" s="260">
        <f>SUM(F1337:F1349)</f>
        <v>0</v>
      </c>
    </row>
    <row r="1337" spans="1:6" hidden="1">
      <c r="A1337" s="264" t="s">
        <v>647</v>
      </c>
      <c r="B1337" s="304"/>
      <c r="C1337" s="304"/>
      <c r="D1337" s="303"/>
      <c r="E1337" s="303" t="e">
        <f t="shared" si="79"/>
        <v>#DIV/0!</v>
      </c>
      <c r="F1337" s="260"/>
    </row>
    <row r="1338" spans="1:6" hidden="1">
      <c r="A1338" s="264" t="s">
        <v>646</v>
      </c>
      <c r="B1338" s="304"/>
      <c r="C1338" s="304"/>
      <c r="D1338" s="303"/>
      <c r="E1338" s="303" t="e">
        <f t="shared" si="79"/>
        <v>#DIV/0!</v>
      </c>
      <c r="F1338" s="260"/>
    </row>
    <row r="1339" spans="1:6" hidden="1">
      <c r="A1339" s="264" t="s">
        <v>645</v>
      </c>
      <c r="B1339" s="304"/>
      <c r="C1339" s="304"/>
      <c r="D1339" s="303"/>
      <c r="E1339" s="303" t="e">
        <f t="shared" si="79"/>
        <v>#DIV/0!</v>
      </c>
      <c r="F1339" s="260"/>
    </row>
    <row r="1340" spans="1:6" hidden="1">
      <c r="A1340" s="264" t="s">
        <v>644</v>
      </c>
      <c r="B1340" s="304"/>
      <c r="C1340" s="304"/>
      <c r="D1340" s="303"/>
      <c r="E1340" s="303" t="e">
        <f t="shared" si="79"/>
        <v>#DIV/0!</v>
      </c>
      <c r="F1340" s="260"/>
    </row>
    <row r="1341" spans="1:6" hidden="1">
      <c r="A1341" s="264" t="s">
        <v>643</v>
      </c>
      <c r="B1341" s="304"/>
      <c r="C1341" s="304"/>
      <c r="D1341" s="303"/>
      <c r="E1341" s="303" t="e">
        <f t="shared" si="79"/>
        <v>#DIV/0!</v>
      </c>
      <c r="F1341" s="260"/>
    </row>
    <row r="1342" spans="1:6" hidden="1">
      <c r="A1342" s="264" t="s">
        <v>642</v>
      </c>
      <c r="B1342" s="304"/>
      <c r="C1342" s="304"/>
      <c r="D1342" s="303"/>
      <c r="E1342" s="303" t="e">
        <f t="shared" si="79"/>
        <v>#DIV/0!</v>
      </c>
      <c r="F1342" s="260"/>
    </row>
    <row r="1343" spans="1:6" hidden="1">
      <c r="A1343" s="264" t="s">
        <v>641</v>
      </c>
      <c r="B1343" s="304"/>
      <c r="C1343" s="304"/>
      <c r="D1343" s="303"/>
      <c r="E1343" s="303" t="e">
        <f t="shared" si="79"/>
        <v>#DIV/0!</v>
      </c>
      <c r="F1343" s="260"/>
    </row>
    <row r="1344" spans="1:6" hidden="1">
      <c r="A1344" s="264" t="s">
        <v>640</v>
      </c>
      <c r="B1344" s="304"/>
      <c r="C1344" s="304"/>
      <c r="D1344" s="303"/>
      <c r="E1344" s="303" t="e">
        <f t="shared" si="79"/>
        <v>#DIV/0!</v>
      </c>
      <c r="F1344" s="260"/>
    </row>
    <row r="1345" spans="1:6" hidden="1">
      <c r="A1345" s="264" t="s">
        <v>639</v>
      </c>
      <c r="B1345" s="304"/>
      <c r="C1345" s="304"/>
      <c r="D1345" s="303"/>
      <c r="E1345" s="303" t="e">
        <f t="shared" si="79"/>
        <v>#DIV/0!</v>
      </c>
      <c r="F1345" s="260"/>
    </row>
    <row r="1346" spans="1:6" hidden="1">
      <c r="A1346" s="264" t="s">
        <v>638</v>
      </c>
      <c r="B1346" s="304"/>
      <c r="C1346" s="304"/>
      <c r="D1346" s="303"/>
      <c r="E1346" s="303" t="e">
        <f t="shared" si="79"/>
        <v>#DIV/0!</v>
      </c>
      <c r="F1346" s="260"/>
    </row>
    <row r="1347" spans="1:6" hidden="1">
      <c r="A1347" s="264" t="s">
        <v>637</v>
      </c>
      <c r="B1347" s="304"/>
      <c r="C1347" s="304"/>
      <c r="D1347" s="303"/>
      <c r="E1347" s="303" t="e">
        <f t="shared" si="79"/>
        <v>#DIV/0!</v>
      </c>
      <c r="F1347" s="260"/>
    </row>
    <row r="1348" spans="1:6" hidden="1">
      <c r="A1348" s="264" t="s">
        <v>636</v>
      </c>
      <c r="B1348" s="304"/>
      <c r="C1348" s="304"/>
      <c r="D1348" s="303"/>
      <c r="E1348" s="303" t="e">
        <f t="shared" si="79"/>
        <v>#DIV/0!</v>
      </c>
      <c r="F1348" s="260"/>
    </row>
    <row r="1349" spans="1:6" hidden="1">
      <c r="A1349" s="264" t="s">
        <v>635</v>
      </c>
      <c r="B1349" s="304"/>
      <c r="C1349" s="304"/>
      <c r="D1349" s="303"/>
      <c r="E1349" s="303" t="e">
        <f t="shared" si="79"/>
        <v>#DIV/0!</v>
      </c>
      <c r="F1349" s="260"/>
    </row>
    <row r="1350" spans="1:6" hidden="1">
      <c r="A1350" s="261" t="s">
        <v>634</v>
      </c>
      <c r="B1350" s="304"/>
      <c r="C1350" s="304">
        <f>SUM(C1351:C1355)</f>
        <v>0</v>
      </c>
      <c r="D1350" s="303"/>
      <c r="E1350" s="303" t="e">
        <f t="shared" si="79"/>
        <v>#DIV/0!</v>
      </c>
      <c r="F1350" s="260">
        <f>SUM(F1351:F1355)</f>
        <v>0</v>
      </c>
    </row>
    <row r="1351" spans="1:6" hidden="1">
      <c r="A1351" s="264" t="s">
        <v>633</v>
      </c>
      <c r="B1351" s="304"/>
      <c r="C1351" s="304"/>
      <c r="D1351" s="303"/>
      <c r="E1351" s="303" t="e">
        <f t="shared" si="79"/>
        <v>#DIV/0!</v>
      </c>
      <c r="F1351" s="260"/>
    </row>
    <row r="1352" spans="1:6" hidden="1">
      <c r="A1352" s="264" t="s">
        <v>632</v>
      </c>
      <c r="B1352" s="304"/>
      <c r="C1352" s="304"/>
      <c r="D1352" s="303"/>
      <c r="E1352" s="303" t="e">
        <f t="shared" si="79"/>
        <v>#DIV/0!</v>
      </c>
      <c r="F1352" s="260"/>
    </row>
    <row r="1353" spans="1:6" hidden="1">
      <c r="A1353" s="264" t="s">
        <v>631</v>
      </c>
      <c r="B1353" s="304"/>
      <c r="C1353" s="304"/>
      <c r="D1353" s="303"/>
      <c r="E1353" s="303" t="e">
        <f t="shared" si="79"/>
        <v>#DIV/0!</v>
      </c>
      <c r="F1353" s="260"/>
    </row>
    <row r="1354" spans="1:6" hidden="1">
      <c r="A1354" s="264" t="s">
        <v>630</v>
      </c>
      <c r="B1354" s="304"/>
      <c r="C1354" s="304"/>
      <c r="D1354" s="303"/>
      <c r="E1354" s="303" t="e">
        <f t="shared" si="79"/>
        <v>#DIV/0!</v>
      </c>
      <c r="F1354" s="260"/>
    </row>
    <row r="1355" spans="1:6" hidden="1">
      <c r="A1355" s="264" t="s">
        <v>629</v>
      </c>
      <c r="B1355" s="304"/>
      <c r="C1355" s="304"/>
      <c r="D1355" s="303"/>
      <c r="E1355" s="303" t="e">
        <f t="shared" si="79"/>
        <v>#DIV/0!</v>
      </c>
      <c r="F1355" s="260"/>
    </row>
    <row r="1356" spans="1:6">
      <c r="A1356" s="261" t="s">
        <v>628</v>
      </c>
      <c r="B1356" s="304">
        <v>1450</v>
      </c>
      <c r="C1356" s="304">
        <f>SUM(C1357:C1361)</f>
        <v>1256</v>
      </c>
      <c r="D1356" s="303">
        <f>C1356/B1356*100</f>
        <v>86.62</v>
      </c>
      <c r="E1356" s="303">
        <f t="shared" si="79"/>
        <v>411.8</v>
      </c>
      <c r="F1356" s="260">
        <f>SUM(F1357:F1361)</f>
        <v>305</v>
      </c>
    </row>
    <row r="1357" spans="1:6" hidden="1">
      <c r="A1357" s="264" t="s">
        <v>627</v>
      </c>
      <c r="B1357" s="305"/>
      <c r="C1357" s="305"/>
      <c r="D1357" s="303"/>
      <c r="E1357" s="303" t="e">
        <f t="shared" si="79"/>
        <v>#DIV/0!</v>
      </c>
      <c r="F1357" s="260"/>
    </row>
    <row r="1358" spans="1:6" hidden="1">
      <c r="A1358" s="264" t="s">
        <v>626</v>
      </c>
      <c r="B1358" s="305"/>
      <c r="C1358" s="305"/>
      <c r="D1358" s="303"/>
      <c r="E1358" s="303" t="e">
        <f t="shared" si="79"/>
        <v>#DIV/0!</v>
      </c>
      <c r="F1358" s="265"/>
    </row>
    <row r="1359" spans="1:6">
      <c r="A1359" s="264" t="s">
        <v>625</v>
      </c>
      <c r="B1359" s="305"/>
      <c r="C1359" s="305">
        <v>1224</v>
      </c>
      <c r="D1359" s="303"/>
      <c r="E1359" s="303">
        <f t="shared" si="79"/>
        <v>401.31</v>
      </c>
      <c r="F1359" s="260">
        <v>305</v>
      </c>
    </row>
    <row r="1360" spans="1:6" hidden="1">
      <c r="A1360" s="264" t="s">
        <v>624</v>
      </c>
      <c r="B1360" s="305"/>
      <c r="C1360" s="305"/>
      <c r="D1360" s="303"/>
      <c r="E1360" s="303" t="e">
        <f t="shared" si="79"/>
        <v>#DIV/0!</v>
      </c>
    </row>
    <row r="1361" spans="1:6">
      <c r="A1361" s="264" t="s">
        <v>623</v>
      </c>
      <c r="B1361" s="305"/>
      <c r="C1361" s="305">
        <v>32</v>
      </c>
      <c r="D1361" s="303"/>
      <c r="E1361" s="303"/>
    </row>
    <row r="1362" spans="1:6" hidden="1">
      <c r="A1362" s="261" t="s">
        <v>622</v>
      </c>
      <c r="B1362" s="304"/>
      <c r="C1362" s="304">
        <f>SUM(C1363:C1373)</f>
        <v>0</v>
      </c>
      <c r="D1362" s="303"/>
      <c r="E1362" s="303" t="e">
        <f t="shared" ref="E1362:E1387" si="80">C1362/F1362*100</f>
        <v>#DIV/0!</v>
      </c>
    </row>
    <row r="1363" spans="1:6" hidden="1">
      <c r="A1363" s="264" t="s">
        <v>621</v>
      </c>
      <c r="B1363" s="304"/>
      <c r="C1363" s="304"/>
      <c r="D1363" s="303"/>
      <c r="E1363" s="303" t="e">
        <f t="shared" si="80"/>
        <v>#DIV/0!</v>
      </c>
    </row>
    <row r="1364" spans="1:6" hidden="1">
      <c r="A1364" s="264" t="s">
        <v>620</v>
      </c>
      <c r="B1364" s="304"/>
      <c r="C1364" s="304"/>
      <c r="D1364" s="303"/>
      <c r="E1364" s="303" t="e">
        <f t="shared" si="80"/>
        <v>#DIV/0!</v>
      </c>
    </row>
    <row r="1365" spans="1:6" hidden="1">
      <c r="A1365" s="264" t="s">
        <v>619</v>
      </c>
      <c r="B1365" s="304"/>
      <c r="C1365" s="304"/>
      <c r="D1365" s="303"/>
      <c r="E1365" s="303" t="e">
        <f t="shared" si="80"/>
        <v>#DIV/0!</v>
      </c>
    </row>
    <row r="1366" spans="1:6" hidden="1">
      <c r="A1366" s="264" t="s">
        <v>618</v>
      </c>
      <c r="B1366" s="304"/>
      <c r="C1366" s="304"/>
      <c r="D1366" s="303"/>
      <c r="E1366" s="303" t="e">
        <f t="shared" si="80"/>
        <v>#DIV/0!</v>
      </c>
    </row>
    <row r="1367" spans="1:6" hidden="1">
      <c r="A1367" s="264" t="s">
        <v>617</v>
      </c>
      <c r="B1367" s="304"/>
      <c r="C1367" s="304"/>
      <c r="D1367" s="303"/>
      <c r="E1367" s="303" t="e">
        <f t="shared" si="80"/>
        <v>#DIV/0!</v>
      </c>
    </row>
    <row r="1368" spans="1:6" hidden="1">
      <c r="A1368" s="264" t="s">
        <v>616</v>
      </c>
      <c r="B1368" s="304"/>
      <c r="C1368" s="304"/>
      <c r="D1368" s="303"/>
      <c r="E1368" s="303" t="e">
        <f t="shared" si="80"/>
        <v>#DIV/0!</v>
      </c>
    </row>
    <row r="1369" spans="1:6" hidden="1">
      <c r="A1369" s="264" t="s">
        <v>615</v>
      </c>
      <c r="B1369" s="304"/>
      <c r="C1369" s="304"/>
      <c r="D1369" s="303"/>
      <c r="E1369" s="303" t="e">
        <f t="shared" si="80"/>
        <v>#DIV/0!</v>
      </c>
    </row>
    <row r="1370" spans="1:6" hidden="1">
      <c r="A1370" s="264" t="s">
        <v>614</v>
      </c>
      <c r="B1370" s="304"/>
      <c r="C1370" s="304"/>
      <c r="D1370" s="303"/>
      <c r="E1370" s="303" t="e">
        <f t="shared" si="80"/>
        <v>#DIV/0!</v>
      </c>
    </row>
    <row r="1371" spans="1:6" hidden="1">
      <c r="A1371" s="264" t="s">
        <v>613</v>
      </c>
      <c r="B1371" s="304"/>
      <c r="C1371" s="304"/>
      <c r="D1371" s="303"/>
      <c r="E1371" s="303" t="e">
        <f t="shared" si="80"/>
        <v>#DIV/0!</v>
      </c>
    </row>
    <row r="1372" spans="1:6" hidden="1">
      <c r="A1372" s="264" t="s">
        <v>612</v>
      </c>
      <c r="B1372" s="304"/>
      <c r="C1372" s="304"/>
      <c r="D1372" s="303"/>
      <c r="E1372" s="303" t="e">
        <f t="shared" si="80"/>
        <v>#DIV/0!</v>
      </c>
    </row>
    <row r="1373" spans="1:6" hidden="1">
      <c r="A1373" s="264" t="s">
        <v>611</v>
      </c>
      <c r="B1373" s="304"/>
      <c r="C1373" s="304"/>
      <c r="D1373" s="303"/>
      <c r="E1373" s="303" t="e">
        <f t="shared" si="80"/>
        <v>#DIV/0!</v>
      </c>
    </row>
    <row r="1374" spans="1:6">
      <c r="A1374" s="261" t="s">
        <v>610</v>
      </c>
      <c r="B1374" s="304">
        <f>B1375</f>
        <v>21601</v>
      </c>
      <c r="C1374" s="304">
        <f>C1375</f>
        <v>18333</v>
      </c>
      <c r="D1374" s="303">
        <f>C1374/B1374*100</f>
        <v>84.87</v>
      </c>
      <c r="E1374" s="303">
        <f t="shared" si="80"/>
        <v>14.08</v>
      </c>
      <c r="F1374" s="263">
        <f>F1375</f>
        <v>130163</v>
      </c>
    </row>
    <row r="1375" spans="1:6">
      <c r="A1375" s="261" t="s">
        <v>609</v>
      </c>
      <c r="B1375" s="304">
        <v>21601</v>
      </c>
      <c r="C1375" s="304">
        <f>C1376</f>
        <v>18333</v>
      </c>
      <c r="D1375" s="303">
        <f>C1375/B1375*100</f>
        <v>84.87</v>
      </c>
      <c r="E1375" s="303">
        <f t="shared" si="80"/>
        <v>14.08</v>
      </c>
      <c r="F1375" s="263">
        <f>F1376</f>
        <v>130163</v>
      </c>
    </row>
    <row r="1376" spans="1:6">
      <c r="A1376" s="241" t="s">
        <v>608</v>
      </c>
      <c r="B1376" s="304"/>
      <c r="C1376" s="304">
        <v>18333</v>
      </c>
      <c r="D1376" s="303"/>
      <c r="E1376" s="303">
        <f t="shared" si="80"/>
        <v>14.08</v>
      </c>
      <c r="F1376" s="262">
        <v>130163</v>
      </c>
    </row>
    <row r="1377" spans="1:6">
      <c r="A1377" s="261" t="s">
        <v>607</v>
      </c>
      <c r="B1377" s="304">
        <f>SUM(B1378,B1379,B1384)</f>
        <v>73164</v>
      </c>
      <c r="C1377" s="304">
        <f>SUM(C1378,C1379,C1384)</f>
        <v>73164</v>
      </c>
      <c r="D1377" s="303">
        <f>C1377/B1377*100</f>
        <v>100</v>
      </c>
      <c r="E1377" s="303">
        <f t="shared" si="80"/>
        <v>369.29</v>
      </c>
      <c r="F1377" s="263">
        <f>SUM(F1378,F1379,F1384)</f>
        <v>19812</v>
      </c>
    </row>
    <row r="1378" spans="1:6" hidden="1">
      <c r="A1378" s="261" t="s">
        <v>606</v>
      </c>
      <c r="B1378" s="304"/>
      <c r="C1378" s="304"/>
      <c r="D1378" s="303"/>
      <c r="E1378" s="303" t="e">
        <f t="shared" si="80"/>
        <v>#DIV/0!</v>
      </c>
      <c r="F1378" s="262"/>
    </row>
    <row r="1379" spans="1:6" hidden="1">
      <c r="A1379" s="261" t="s">
        <v>605</v>
      </c>
      <c r="B1379" s="304"/>
      <c r="C1379" s="304">
        <f>SUM(C1380:C1383)</f>
        <v>0</v>
      </c>
      <c r="D1379" s="303"/>
      <c r="E1379" s="303" t="e">
        <f t="shared" si="80"/>
        <v>#DIV/0!</v>
      </c>
      <c r="F1379" s="263">
        <f>SUM(F1380:F1383)</f>
        <v>0</v>
      </c>
    </row>
    <row r="1380" spans="1:6" hidden="1">
      <c r="A1380" s="264" t="s">
        <v>604</v>
      </c>
      <c r="B1380" s="304"/>
      <c r="C1380" s="304"/>
      <c r="D1380" s="303"/>
      <c r="E1380" s="303" t="e">
        <f t="shared" si="80"/>
        <v>#DIV/0!</v>
      </c>
      <c r="F1380" s="262"/>
    </row>
    <row r="1381" spans="1:6" hidden="1">
      <c r="A1381" s="264" t="s">
        <v>603</v>
      </c>
      <c r="B1381" s="304"/>
      <c r="C1381" s="304"/>
      <c r="D1381" s="303"/>
      <c r="E1381" s="303" t="e">
        <f t="shared" si="80"/>
        <v>#DIV/0!</v>
      </c>
      <c r="F1381" s="262"/>
    </row>
    <row r="1382" spans="1:6" hidden="1">
      <c r="A1382" s="264" t="s">
        <v>602</v>
      </c>
      <c r="B1382" s="304"/>
      <c r="C1382" s="304"/>
      <c r="D1382" s="303"/>
      <c r="E1382" s="303" t="e">
        <f t="shared" si="80"/>
        <v>#DIV/0!</v>
      </c>
      <c r="F1382" s="262"/>
    </row>
    <row r="1383" spans="1:6" hidden="1">
      <c r="A1383" s="264" t="s">
        <v>601</v>
      </c>
      <c r="B1383" s="304"/>
      <c r="C1383" s="304"/>
      <c r="D1383" s="303"/>
      <c r="E1383" s="303" t="e">
        <f t="shared" si="80"/>
        <v>#DIV/0!</v>
      </c>
      <c r="F1383" s="262"/>
    </row>
    <row r="1384" spans="1:6">
      <c r="A1384" s="261" t="s">
        <v>600</v>
      </c>
      <c r="B1384" s="304">
        <v>73164</v>
      </c>
      <c r="C1384" s="304">
        <f>SUM(C1385:C1388)</f>
        <v>73164</v>
      </c>
      <c r="D1384" s="303">
        <f>C1384/B1384*100</f>
        <v>100</v>
      </c>
      <c r="E1384" s="303">
        <f t="shared" si="80"/>
        <v>369.29</v>
      </c>
      <c r="F1384" s="263">
        <f>SUM(F1385:F1388)</f>
        <v>19812</v>
      </c>
    </row>
    <row r="1385" spans="1:6">
      <c r="A1385" s="264" t="s">
        <v>599</v>
      </c>
      <c r="B1385" s="304"/>
      <c r="C1385" s="304">
        <v>26645</v>
      </c>
      <c r="D1385" s="303"/>
      <c r="E1385" s="303">
        <f t="shared" si="80"/>
        <v>134.49</v>
      </c>
      <c r="F1385" s="260">
        <v>19812</v>
      </c>
    </row>
    <row r="1386" spans="1:6" hidden="1">
      <c r="A1386" s="264" t="s">
        <v>598</v>
      </c>
      <c r="B1386" s="304"/>
      <c r="C1386" s="304"/>
      <c r="D1386" s="303"/>
      <c r="E1386" s="303" t="e">
        <f t="shared" si="80"/>
        <v>#DIV/0!</v>
      </c>
      <c r="F1386" s="262"/>
    </row>
    <row r="1387" spans="1:6" hidden="1">
      <c r="A1387" s="264" t="s">
        <v>597</v>
      </c>
      <c r="B1387" s="304"/>
      <c r="C1387" s="304"/>
      <c r="D1387" s="303"/>
      <c r="E1387" s="303" t="e">
        <f t="shared" si="80"/>
        <v>#DIV/0!</v>
      </c>
      <c r="F1387" s="262"/>
    </row>
    <row r="1388" spans="1:6">
      <c r="A1388" s="264" t="s">
        <v>596</v>
      </c>
      <c r="B1388" s="304"/>
      <c r="C1388" s="304">
        <v>46519</v>
      </c>
      <c r="D1388" s="303"/>
      <c r="E1388" s="303"/>
      <c r="F1388" s="262"/>
    </row>
    <row r="1389" spans="1:6">
      <c r="A1389" s="261" t="s">
        <v>595</v>
      </c>
      <c r="B1389" s="304">
        <v>190</v>
      </c>
      <c r="C1389" s="304">
        <f>C1390+C1391+C1392</f>
        <v>190</v>
      </c>
      <c r="D1389" s="303">
        <f>C1389/B1389*100</f>
        <v>100</v>
      </c>
      <c r="E1389" s="303">
        <f t="shared" ref="E1389:E1409" si="81">C1389/F1389*100</f>
        <v>41.04</v>
      </c>
      <c r="F1389" s="263">
        <f>F1390+F1391+F1392</f>
        <v>463</v>
      </c>
    </row>
    <row r="1390" spans="1:6" hidden="1">
      <c r="A1390" s="261" t="s">
        <v>594</v>
      </c>
      <c r="B1390" s="304"/>
      <c r="C1390" s="304"/>
      <c r="D1390" s="303"/>
      <c r="E1390" s="303" t="e">
        <f t="shared" si="81"/>
        <v>#DIV/0!</v>
      </c>
      <c r="F1390" s="262"/>
    </row>
    <row r="1391" spans="1:6" hidden="1">
      <c r="A1391" s="261" t="s">
        <v>593</v>
      </c>
      <c r="B1391" s="304"/>
      <c r="C1391" s="304"/>
      <c r="D1391" s="303"/>
      <c r="E1391" s="303" t="e">
        <f t="shared" si="81"/>
        <v>#DIV/0!</v>
      </c>
      <c r="F1391" s="262"/>
    </row>
    <row r="1392" spans="1:6">
      <c r="A1392" s="261" t="s">
        <v>592</v>
      </c>
      <c r="B1392" s="304"/>
      <c r="C1392" s="304">
        <v>190</v>
      </c>
      <c r="D1392" s="303"/>
      <c r="E1392" s="303">
        <f t="shared" si="81"/>
        <v>41.04</v>
      </c>
      <c r="F1392" s="260">
        <v>463</v>
      </c>
    </row>
    <row r="1393" spans="1:6">
      <c r="A1393" s="258" t="s">
        <v>582</v>
      </c>
      <c r="B1393" s="306">
        <f>B5</f>
        <v>934565</v>
      </c>
      <c r="C1393" s="306">
        <f>C5</f>
        <v>895877</v>
      </c>
      <c r="D1393" s="303">
        <f>C1393/B1393*100</f>
        <v>95.86</v>
      </c>
      <c r="E1393" s="303">
        <f t="shared" si="81"/>
        <v>99.15</v>
      </c>
      <c r="F1393" s="259">
        <f>F5</f>
        <v>903581</v>
      </c>
    </row>
    <row r="1394" spans="1:6">
      <c r="A1394" s="258" t="s">
        <v>581</v>
      </c>
      <c r="B1394" s="306"/>
      <c r="C1394" s="306">
        <v>170915</v>
      </c>
      <c r="D1394" s="303"/>
      <c r="E1394" s="303">
        <f t="shared" si="81"/>
        <v>301.7</v>
      </c>
      <c r="F1394" s="251">
        <v>56650</v>
      </c>
    </row>
    <row r="1395" spans="1:6">
      <c r="A1395" s="258" t="s">
        <v>27</v>
      </c>
      <c r="B1395" s="306"/>
      <c r="C1395" s="306">
        <f>SUM(C1400:C1408)+C1396</f>
        <v>141383</v>
      </c>
      <c r="D1395" s="303"/>
      <c r="E1395" s="303">
        <f t="shared" si="81"/>
        <v>85.53</v>
      </c>
      <c r="F1395" s="251">
        <f>SUM(F1400:F1408)+F1396</f>
        <v>165309</v>
      </c>
    </row>
    <row r="1396" spans="1:6">
      <c r="A1396" s="258" t="s">
        <v>580</v>
      </c>
      <c r="B1396" s="306"/>
      <c r="C1396" s="306">
        <f>SUM(C1397:C1399)</f>
        <v>26645</v>
      </c>
      <c r="D1396" s="303"/>
      <c r="E1396" s="303">
        <f t="shared" si="81"/>
        <v>148.37</v>
      </c>
      <c r="F1396" s="251">
        <f>SUM(F1397:F1399)</f>
        <v>17959</v>
      </c>
    </row>
    <row r="1397" spans="1:6" hidden="1">
      <c r="A1397" s="258" t="s">
        <v>579</v>
      </c>
      <c r="B1397" s="306"/>
      <c r="C1397" s="306"/>
      <c r="D1397" s="303"/>
      <c r="E1397" s="303" t="e">
        <f t="shared" si="81"/>
        <v>#DIV/0!</v>
      </c>
      <c r="F1397" s="251"/>
    </row>
    <row r="1398" spans="1:6">
      <c r="A1398" s="258" t="s">
        <v>578</v>
      </c>
      <c r="B1398" s="306"/>
      <c r="C1398" s="306">
        <v>14328</v>
      </c>
      <c r="D1398" s="303"/>
      <c r="E1398" s="303">
        <f t="shared" si="81"/>
        <v>133.25</v>
      </c>
      <c r="F1398" s="251">
        <v>10753</v>
      </c>
    </row>
    <row r="1399" spans="1:6">
      <c r="A1399" s="258" t="s">
        <v>577</v>
      </c>
      <c r="B1399" s="306"/>
      <c r="C1399" s="306">
        <v>12317</v>
      </c>
      <c r="D1399" s="303"/>
      <c r="E1399" s="303">
        <f t="shared" si="81"/>
        <v>170.93</v>
      </c>
      <c r="F1399" s="251">
        <v>7206</v>
      </c>
    </row>
    <row r="1400" spans="1:6">
      <c r="A1400" s="258" t="s">
        <v>576</v>
      </c>
      <c r="B1400" s="306"/>
      <c r="C1400" s="306">
        <v>4939</v>
      </c>
      <c r="D1400" s="303"/>
      <c r="E1400" s="303">
        <f t="shared" si="81"/>
        <v>154.72999999999999</v>
      </c>
      <c r="F1400" s="251">
        <v>3192</v>
      </c>
    </row>
    <row r="1401" spans="1:6" hidden="1">
      <c r="A1401" s="258" t="s">
        <v>575</v>
      </c>
      <c r="B1401" s="306"/>
      <c r="C1401" s="306"/>
      <c r="D1401" s="303"/>
      <c r="E1401" s="303" t="e">
        <f t="shared" si="81"/>
        <v>#DIV/0!</v>
      </c>
      <c r="F1401" s="251"/>
    </row>
    <row r="1402" spans="1:6" hidden="1">
      <c r="A1402" s="258" t="s">
        <v>574</v>
      </c>
      <c r="B1402" s="306"/>
      <c r="C1402" s="306"/>
      <c r="D1402" s="303"/>
      <c r="E1402" s="303" t="e">
        <f t="shared" si="81"/>
        <v>#DIV/0!</v>
      </c>
      <c r="F1402" s="251"/>
    </row>
    <row r="1403" spans="1:6">
      <c r="A1403" s="258" t="s">
        <v>573</v>
      </c>
      <c r="B1403" s="306"/>
      <c r="C1403" s="307">
        <v>-8889</v>
      </c>
      <c r="D1403" s="303"/>
      <c r="E1403" s="303">
        <f t="shared" si="81"/>
        <v>-100.23</v>
      </c>
      <c r="F1403" s="251">
        <v>8869</v>
      </c>
    </row>
    <row r="1404" spans="1:6" hidden="1">
      <c r="A1404" s="258" t="s">
        <v>571</v>
      </c>
      <c r="B1404" s="306"/>
      <c r="C1404" s="306"/>
      <c r="D1404" s="303"/>
      <c r="E1404" s="303" t="e">
        <f t="shared" si="81"/>
        <v>#DIV/0!</v>
      </c>
      <c r="F1404" s="251"/>
    </row>
    <row r="1405" spans="1:6" hidden="1">
      <c r="A1405" s="258" t="s">
        <v>570</v>
      </c>
      <c r="B1405" s="306"/>
      <c r="C1405" s="306"/>
      <c r="D1405" s="303"/>
      <c r="E1405" s="303" t="e">
        <f t="shared" si="81"/>
        <v>#DIV/0!</v>
      </c>
      <c r="F1405" s="251"/>
    </row>
    <row r="1406" spans="1:6">
      <c r="A1406" s="258" t="s">
        <v>569</v>
      </c>
      <c r="B1406" s="306"/>
      <c r="C1406" s="306">
        <v>80000</v>
      </c>
      <c r="D1406" s="303"/>
      <c r="E1406" s="303">
        <f t="shared" si="81"/>
        <v>108.05</v>
      </c>
      <c r="F1406" s="251">
        <v>74039</v>
      </c>
    </row>
    <row r="1407" spans="1:6">
      <c r="A1407" s="258" t="s">
        <v>568</v>
      </c>
      <c r="B1407" s="306"/>
      <c r="C1407" s="306"/>
      <c r="D1407" s="303"/>
      <c r="E1407" s="303">
        <f t="shared" si="81"/>
        <v>0</v>
      </c>
      <c r="F1407" s="251">
        <v>133</v>
      </c>
    </row>
    <row r="1408" spans="1:6">
      <c r="A1408" s="258" t="s">
        <v>567</v>
      </c>
      <c r="B1408" s="306"/>
      <c r="C1408" s="306">
        <v>38688</v>
      </c>
      <c r="D1408" s="303"/>
      <c r="E1408" s="303">
        <f t="shared" si="81"/>
        <v>63.3</v>
      </c>
      <c r="F1408" s="251">
        <v>61117</v>
      </c>
    </row>
    <row r="1409" spans="1:6">
      <c r="A1409" s="258" t="s">
        <v>410</v>
      </c>
      <c r="B1409" s="306"/>
      <c r="C1409" s="306">
        <f>C1393+C1394+C1395</f>
        <v>1208175</v>
      </c>
      <c r="D1409" s="303"/>
      <c r="E1409" s="303">
        <f t="shared" si="81"/>
        <v>107.34</v>
      </c>
      <c r="F1409" s="251">
        <f>F1393+F1394+F1395</f>
        <v>1125540</v>
      </c>
    </row>
  </sheetData>
  <mergeCells count="1">
    <mergeCell ref="A2:E2"/>
  </mergeCells>
  <phoneticPr fontId="38" type="noConversion"/>
  <pageMargins left="0.75" right="0.75" top="1" bottom="1" header="0.5" footer="0.5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selection activeCell="D20" sqref="D20"/>
    </sheetView>
  </sheetViews>
  <sheetFormatPr defaultRowHeight="14.25"/>
  <cols>
    <col min="1" max="1" width="27.5" style="249" customWidth="1"/>
    <col min="2" max="2" width="15.375" style="249" customWidth="1"/>
    <col min="3" max="3" width="16.25" style="249" customWidth="1"/>
    <col min="4" max="4" width="13.25" style="249" customWidth="1"/>
    <col min="5" max="5" width="13.125" style="249" customWidth="1"/>
    <col min="6" max="6" width="20.625" style="249" hidden="1" customWidth="1"/>
    <col min="7" max="16384" width="9" style="249"/>
  </cols>
  <sheetData>
    <row r="1" spans="1:6">
      <c r="A1" s="249" t="s">
        <v>1696</v>
      </c>
    </row>
    <row r="2" spans="1:6" ht="20.25">
      <c r="A2" s="392" t="s">
        <v>1695</v>
      </c>
      <c r="B2" s="392"/>
      <c r="C2" s="392"/>
      <c r="D2" s="392"/>
      <c r="E2" s="392"/>
    </row>
    <row r="3" spans="1:6">
      <c r="E3" s="249" t="s">
        <v>109</v>
      </c>
    </row>
    <row r="4" spans="1:6" ht="42" customHeight="1">
      <c r="A4" s="255" t="s">
        <v>1694</v>
      </c>
      <c r="B4" s="255" t="s">
        <v>585</v>
      </c>
      <c r="C4" s="255" t="s">
        <v>409</v>
      </c>
      <c r="D4" s="255" t="s">
        <v>562</v>
      </c>
      <c r="E4" s="255" t="s">
        <v>561</v>
      </c>
      <c r="F4" s="277" t="s">
        <v>584</v>
      </c>
    </row>
    <row r="5" spans="1:6" ht="21.95" customHeight="1">
      <c r="A5" s="251" t="s">
        <v>1693</v>
      </c>
      <c r="B5" s="317">
        <v>112300</v>
      </c>
      <c r="C5" s="317">
        <v>112300</v>
      </c>
      <c r="D5" s="318">
        <f t="shared" ref="D5:D13" si="0">C5/B5*100</f>
        <v>100</v>
      </c>
      <c r="E5" s="318">
        <f t="shared" ref="E5:E13" si="1">C5/F5*100</f>
        <v>106.32</v>
      </c>
      <c r="F5" s="249">
        <v>105627</v>
      </c>
    </row>
    <row r="6" spans="1:6" ht="21.95" customHeight="1">
      <c r="A6" s="251" t="s">
        <v>1692</v>
      </c>
      <c r="B6" s="317">
        <v>44598</v>
      </c>
      <c r="C6" s="317">
        <v>39888</v>
      </c>
      <c r="D6" s="318">
        <f t="shared" si="0"/>
        <v>89.44</v>
      </c>
      <c r="E6" s="318">
        <f t="shared" si="1"/>
        <v>104.33</v>
      </c>
      <c r="F6" s="249">
        <v>38232</v>
      </c>
    </row>
    <row r="7" spans="1:6" ht="21.95" customHeight="1">
      <c r="A7" s="251" t="s">
        <v>1691</v>
      </c>
      <c r="B7" s="317">
        <v>85722</v>
      </c>
      <c r="C7" s="317">
        <v>84169</v>
      </c>
      <c r="D7" s="318">
        <f t="shared" si="0"/>
        <v>98.19</v>
      </c>
      <c r="E7" s="318">
        <f t="shared" si="1"/>
        <v>118</v>
      </c>
      <c r="F7" s="249">
        <v>71331</v>
      </c>
    </row>
    <row r="8" spans="1:6" ht="21.95" customHeight="1">
      <c r="A8" s="251" t="s">
        <v>1690</v>
      </c>
      <c r="B8" s="317">
        <v>11193</v>
      </c>
      <c r="C8" s="317">
        <v>11193</v>
      </c>
      <c r="D8" s="318">
        <f t="shared" si="0"/>
        <v>100</v>
      </c>
      <c r="E8" s="318">
        <f t="shared" si="1"/>
        <v>582.36</v>
      </c>
      <c r="F8" s="249">
        <v>1922</v>
      </c>
    </row>
    <row r="9" spans="1:6" ht="21.95" customHeight="1">
      <c r="A9" s="251" t="s">
        <v>1689</v>
      </c>
      <c r="B9" s="317">
        <v>543633</v>
      </c>
      <c r="C9" s="317">
        <v>516353</v>
      </c>
      <c r="D9" s="318">
        <f t="shared" si="0"/>
        <v>94.98</v>
      </c>
      <c r="E9" s="318">
        <f t="shared" si="1"/>
        <v>81.900000000000006</v>
      </c>
      <c r="F9" s="249">
        <v>630445</v>
      </c>
    </row>
    <row r="10" spans="1:6" ht="21.95" customHeight="1">
      <c r="A10" s="251" t="s">
        <v>1688</v>
      </c>
      <c r="B10" s="317">
        <v>106594</v>
      </c>
      <c r="C10" s="317">
        <v>96001</v>
      </c>
      <c r="D10" s="318">
        <f t="shared" si="0"/>
        <v>90.06</v>
      </c>
      <c r="E10" s="318">
        <f t="shared" si="1"/>
        <v>195.37</v>
      </c>
      <c r="F10" s="249">
        <v>49138</v>
      </c>
    </row>
    <row r="11" spans="1:6" ht="21.95" customHeight="1">
      <c r="A11" s="251" t="s">
        <v>1687</v>
      </c>
      <c r="B11" s="317">
        <v>73168</v>
      </c>
      <c r="C11" s="317">
        <v>73168</v>
      </c>
      <c r="D11" s="318">
        <f t="shared" si="0"/>
        <v>100</v>
      </c>
      <c r="E11" s="318">
        <f t="shared" si="1"/>
        <v>359.37</v>
      </c>
      <c r="F11" s="249">
        <v>20360</v>
      </c>
    </row>
    <row r="12" spans="1:6" ht="21.95" customHeight="1">
      <c r="A12" s="251" t="s">
        <v>1686</v>
      </c>
      <c r="B12" s="317">
        <v>-11710</v>
      </c>
      <c r="C12" s="317">
        <v>-14167</v>
      </c>
      <c r="D12" s="318">
        <f t="shared" si="0"/>
        <v>120.98</v>
      </c>
      <c r="E12" s="318">
        <f t="shared" si="1"/>
        <v>-478.29</v>
      </c>
      <c r="F12" s="249">
        <v>2962</v>
      </c>
    </row>
    <row r="13" spans="1:6" ht="21.95" customHeight="1">
      <c r="A13" s="251" t="s">
        <v>1685</v>
      </c>
      <c r="B13" s="317">
        <f>SUM(B5:B12)</f>
        <v>965498</v>
      </c>
      <c r="C13" s="317">
        <f>SUM(C5:C12)</f>
        <v>918905</v>
      </c>
      <c r="D13" s="318">
        <f t="shared" si="0"/>
        <v>95.17</v>
      </c>
      <c r="E13" s="318">
        <f t="shared" si="1"/>
        <v>99.88</v>
      </c>
      <c r="F13" s="249">
        <f>SUM(F5:F12)</f>
        <v>920017</v>
      </c>
    </row>
  </sheetData>
  <mergeCells count="1">
    <mergeCell ref="A2:E2"/>
  </mergeCells>
  <phoneticPr fontId="38" type="noConversion"/>
  <pageMargins left="0.75" right="0.75" top="1" bottom="1" header="0.5" footer="0.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81"/>
  <sheetViews>
    <sheetView workbookViewId="0">
      <pane xSplit="1" ySplit="4" topLeftCell="B62" activePane="bottomRight" state="frozen"/>
      <selection pane="topRight" activeCell="B1" sqref="B1"/>
      <selection pane="bottomLeft" activeCell="A5" sqref="A5"/>
      <selection pane="bottomRight" activeCell="B5" sqref="B5:E81"/>
    </sheetView>
  </sheetViews>
  <sheetFormatPr defaultRowHeight="14.25"/>
  <cols>
    <col min="1" max="1" width="26.5" style="249" customWidth="1"/>
    <col min="2" max="2" width="12.5" style="249" customWidth="1"/>
    <col min="3" max="3" width="12.125" style="249" customWidth="1"/>
    <col min="4" max="4" width="11.75" style="249" customWidth="1"/>
    <col min="5" max="5" width="14.125" style="249" customWidth="1"/>
    <col min="6" max="6" width="14" style="249" hidden="1" customWidth="1"/>
    <col min="7" max="16384" width="9" style="249"/>
  </cols>
  <sheetData>
    <row r="1" spans="1:6">
      <c r="A1" s="249" t="s">
        <v>1703</v>
      </c>
    </row>
    <row r="2" spans="1:6" ht="43.5" customHeight="1">
      <c r="A2" s="394" t="s">
        <v>1702</v>
      </c>
      <c r="B2" s="394"/>
      <c r="C2" s="394"/>
      <c r="D2" s="394"/>
      <c r="E2" s="394"/>
    </row>
    <row r="3" spans="1:6">
      <c r="E3" s="249" t="s">
        <v>109</v>
      </c>
    </row>
    <row r="4" spans="1:6" ht="34.5" customHeight="1">
      <c r="A4" s="239" t="s">
        <v>110</v>
      </c>
      <c r="B4" s="239" t="s">
        <v>585</v>
      </c>
      <c r="C4" s="239" t="s">
        <v>409</v>
      </c>
      <c r="D4" s="255" t="s">
        <v>562</v>
      </c>
      <c r="E4" s="255" t="s">
        <v>561</v>
      </c>
      <c r="F4" s="277" t="s">
        <v>584</v>
      </c>
    </row>
    <row r="5" spans="1:6">
      <c r="A5" s="252" t="s">
        <v>1693</v>
      </c>
      <c r="B5" s="317">
        <v>96833</v>
      </c>
      <c r="C5" s="317">
        <f>SUM(C6:C12)</f>
        <v>96833</v>
      </c>
      <c r="D5" s="318">
        <f>C5/B5*100</f>
        <v>100</v>
      </c>
      <c r="E5" s="318">
        <f>C5/F5*100</f>
        <v>103.17</v>
      </c>
      <c r="F5" s="249">
        <f>SUM(F6:F12)</f>
        <v>93862</v>
      </c>
    </row>
    <row r="6" spans="1:6">
      <c r="A6" s="252" t="s">
        <v>112</v>
      </c>
      <c r="B6" s="317"/>
      <c r="C6" s="317">
        <f>24407-2005</f>
        <v>22402</v>
      </c>
      <c r="D6" s="317"/>
      <c r="E6" s="317"/>
      <c r="F6" s="249">
        <f>22119-1753</f>
        <v>20366</v>
      </c>
    </row>
    <row r="7" spans="1:6">
      <c r="A7" s="252" t="s">
        <v>113</v>
      </c>
      <c r="B7" s="317"/>
      <c r="C7" s="317">
        <f>33290-4844</f>
        <v>28446</v>
      </c>
      <c r="D7" s="317"/>
      <c r="E7" s="317"/>
      <c r="F7" s="249">
        <f>29152-4651</f>
        <v>24501</v>
      </c>
    </row>
    <row r="8" spans="1:6">
      <c r="A8" s="252" t="s">
        <v>114</v>
      </c>
      <c r="B8" s="317"/>
      <c r="C8" s="317">
        <f>14585-1983</f>
        <v>12602</v>
      </c>
      <c r="D8" s="317"/>
      <c r="E8" s="317"/>
      <c r="F8" s="249">
        <f>6637-1059</f>
        <v>5578</v>
      </c>
    </row>
    <row r="9" spans="1:6">
      <c r="A9" s="252" t="s">
        <v>127</v>
      </c>
      <c r="B9" s="317"/>
      <c r="C9" s="317">
        <f>6837+8776+1005-437</f>
        <v>16181</v>
      </c>
      <c r="D9" s="317"/>
      <c r="E9" s="317"/>
      <c r="F9" s="249">
        <f>27261-500</f>
        <v>26761</v>
      </c>
    </row>
    <row r="10" spans="1:6">
      <c r="A10" s="252" t="s">
        <v>128</v>
      </c>
      <c r="B10" s="317"/>
      <c r="C10" s="317">
        <f>1212-162</f>
        <v>1050</v>
      </c>
      <c r="D10" s="317"/>
      <c r="E10" s="317"/>
      <c r="F10" s="249">
        <f>1265-163</f>
        <v>1102</v>
      </c>
    </row>
    <row r="11" spans="1:6">
      <c r="A11" s="252" t="s">
        <v>115</v>
      </c>
      <c r="B11" s="317"/>
      <c r="C11" s="317">
        <v>7555</v>
      </c>
      <c r="D11" s="317"/>
      <c r="E11" s="317"/>
      <c r="F11" s="249">
        <f>6445-29</f>
        <v>6416</v>
      </c>
    </row>
    <row r="12" spans="1:6">
      <c r="A12" s="252" t="s">
        <v>116</v>
      </c>
      <c r="B12" s="317"/>
      <c r="C12" s="317">
        <f>9083-486</f>
        <v>8597</v>
      </c>
      <c r="D12" s="317"/>
      <c r="E12" s="317"/>
      <c r="F12" s="249">
        <f>9567-429</f>
        <v>9138</v>
      </c>
    </row>
    <row r="13" spans="1:6">
      <c r="A13" s="252" t="s">
        <v>1692</v>
      </c>
      <c r="B13" s="317">
        <v>14121</v>
      </c>
      <c r="C13" s="317">
        <f>SUM(C14:C40)</f>
        <v>14121</v>
      </c>
      <c r="D13" s="318">
        <f>C13/B13*100</f>
        <v>100</v>
      </c>
      <c r="E13" s="318">
        <f>C13/F13*100</f>
        <v>109.26</v>
      </c>
      <c r="F13" s="249">
        <f>SUM(F14:F40)</f>
        <v>12924</v>
      </c>
    </row>
    <row r="14" spans="1:6">
      <c r="A14" s="252" t="s">
        <v>129</v>
      </c>
      <c r="B14" s="317"/>
      <c r="C14" s="317">
        <f>3487-502</f>
        <v>2985</v>
      </c>
      <c r="D14" s="317"/>
      <c r="E14" s="317"/>
      <c r="F14" s="249">
        <f>2117-607</f>
        <v>1510</v>
      </c>
    </row>
    <row r="15" spans="1:6">
      <c r="A15" s="252" t="s">
        <v>130</v>
      </c>
      <c r="B15" s="317"/>
      <c r="C15" s="317">
        <f>475-24</f>
        <v>451</v>
      </c>
      <c r="D15" s="317"/>
      <c r="E15" s="317"/>
      <c r="F15" s="249">
        <f>616-39</f>
        <v>577</v>
      </c>
    </row>
    <row r="16" spans="1:6">
      <c r="A16" s="252" t="s">
        <v>131</v>
      </c>
      <c r="B16" s="317"/>
      <c r="C16" s="317">
        <f>66-15</f>
        <v>51</v>
      </c>
      <c r="D16" s="317"/>
      <c r="E16" s="317"/>
      <c r="F16" s="249">
        <f>65-0</f>
        <v>65</v>
      </c>
    </row>
    <row r="17" spans="1:6">
      <c r="A17" s="252" t="s">
        <v>132</v>
      </c>
      <c r="B17" s="317"/>
      <c r="C17" s="317">
        <f>28-6</f>
        <v>22</v>
      </c>
      <c r="D17" s="317"/>
      <c r="E17" s="317"/>
      <c r="F17" s="249">
        <f>37-4</f>
        <v>33</v>
      </c>
    </row>
    <row r="18" spans="1:6">
      <c r="A18" s="252" t="s">
        <v>133</v>
      </c>
      <c r="B18" s="317"/>
      <c r="C18" s="317">
        <f>158-4</f>
        <v>154</v>
      </c>
      <c r="D18" s="317"/>
      <c r="E18" s="317"/>
      <c r="F18" s="249">
        <f>123-9</f>
        <v>114</v>
      </c>
    </row>
    <row r="19" spans="1:6">
      <c r="A19" s="252" t="s">
        <v>134</v>
      </c>
      <c r="B19" s="317"/>
      <c r="C19" s="317">
        <f>982-92</f>
        <v>890</v>
      </c>
      <c r="D19" s="317"/>
      <c r="E19" s="317"/>
      <c r="F19" s="249">
        <f>622-71</f>
        <v>551</v>
      </c>
    </row>
    <row r="20" spans="1:6">
      <c r="A20" s="252" t="s">
        <v>135</v>
      </c>
      <c r="B20" s="317"/>
      <c r="C20" s="317">
        <f>634-148</f>
        <v>486</v>
      </c>
      <c r="D20" s="317"/>
      <c r="E20" s="317"/>
      <c r="F20" s="249">
        <f>704-177</f>
        <v>527</v>
      </c>
    </row>
    <row r="21" spans="1:6">
      <c r="A21" s="252" t="s">
        <v>136</v>
      </c>
      <c r="B21" s="317"/>
      <c r="C21" s="317"/>
      <c r="D21" s="317"/>
      <c r="E21" s="317"/>
    </row>
    <row r="22" spans="1:6">
      <c r="A22" s="252" t="s">
        <v>117</v>
      </c>
      <c r="B22" s="317"/>
      <c r="C22" s="317">
        <v>251</v>
      </c>
      <c r="D22" s="317"/>
      <c r="E22" s="317"/>
      <c r="F22" s="249">
        <v>115</v>
      </c>
    </row>
    <row r="23" spans="1:6">
      <c r="A23" s="252" t="s">
        <v>137</v>
      </c>
      <c r="B23" s="317"/>
      <c r="C23" s="317">
        <f>1076-109</f>
        <v>967</v>
      </c>
      <c r="D23" s="317"/>
      <c r="E23" s="317"/>
      <c r="F23" s="249">
        <f>1210-198</f>
        <v>1012</v>
      </c>
    </row>
    <row r="24" spans="1:6">
      <c r="A24" s="252" t="s">
        <v>138</v>
      </c>
      <c r="B24" s="317"/>
      <c r="C24" s="317">
        <v>55</v>
      </c>
      <c r="D24" s="317"/>
      <c r="E24" s="317"/>
      <c r="F24" s="249">
        <f>93-4</f>
        <v>89</v>
      </c>
    </row>
    <row r="25" spans="1:6">
      <c r="A25" s="252" t="s">
        <v>139</v>
      </c>
      <c r="B25" s="317"/>
      <c r="C25" s="317">
        <f>4017-252</f>
        <v>3765</v>
      </c>
      <c r="D25" s="317"/>
      <c r="E25" s="317"/>
      <c r="F25" s="249">
        <f>2668-67</f>
        <v>2601</v>
      </c>
    </row>
    <row r="26" spans="1:6">
      <c r="A26" s="252" t="s">
        <v>140</v>
      </c>
      <c r="B26" s="317"/>
      <c r="C26" s="317">
        <f>92-3</f>
        <v>89</v>
      </c>
      <c r="D26" s="317"/>
      <c r="E26" s="317"/>
      <c r="F26" s="249">
        <f>424-12</f>
        <v>412</v>
      </c>
    </row>
    <row r="27" spans="1:6">
      <c r="A27" s="252" t="s">
        <v>141</v>
      </c>
      <c r="B27" s="317"/>
      <c r="C27" s="317">
        <f>86-23</f>
        <v>63</v>
      </c>
      <c r="D27" s="317"/>
      <c r="E27" s="317"/>
      <c r="F27" s="249">
        <f>256-22</f>
        <v>234</v>
      </c>
    </row>
    <row r="28" spans="1:6">
      <c r="A28" s="252" t="s">
        <v>142</v>
      </c>
      <c r="B28" s="317"/>
      <c r="C28" s="317">
        <f>331-8</f>
        <v>323</v>
      </c>
      <c r="D28" s="317"/>
      <c r="E28" s="317"/>
      <c r="F28" s="249">
        <f>441-14</f>
        <v>427</v>
      </c>
    </row>
    <row r="29" spans="1:6">
      <c r="A29" s="252" t="s">
        <v>143</v>
      </c>
      <c r="B29" s="317"/>
      <c r="C29" s="317">
        <v>391</v>
      </c>
      <c r="D29" s="317"/>
      <c r="E29" s="317"/>
      <c r="F29" s="249">
        <f>143-3</f>
        <v>140</v>
      </c>
    </row>
    <row r="30" spans="1:6">
      <c r="A30" s="252" t="s">
        <v>144</v>
      </c>
      <c r="B30" s="317"/>
      <c r="C30" s="317">
        <f>453-1</f>
        <v>452</v>
      </c>
      <c r="D30" s="317"/>
      <c r="E30" s="317"/>
      <c r="F30" s="249">
        <f>318-2</f>
        <v>316</v>
      </c>
    </row>
    <row r="31" spans="1:6">
      <c r="A31" s="252" t="s">
        <v>145</v>
      </c>
      <c r="B31" s="317"/>
      <c r="C31" s="317">
        <v>36</v>
      </c>
      <c r="D31" s="317"/>
      <c r="E31" s="317"/>
      <c r="F31" s="249">
        <v>345</v>
      </c>
    </row>
    <row r="32" spans="1:6">
      <c r="A32" s="252" t="s">
        <v>146</v>
      </c>
      <c r="B32" s="317"/>
      <c r="C32" s="317"/>
      <c r="D32" s="317"/>
      <c r="E32" s="317"/>
      <c r="F32" s="249">
        <v>76</v>
      </c>
    </row>
    <row r="33" spans="1:6">
      <c r="A33" s="252" t="s">
        <v>147</v>
      </c>
      <c r="B33" s="317"/>
      <c r="C33" s="317">
        <f>902-107</f>
        <v>795</v>
      </c>
      <c r="D33" s="317"/>
      <c r="E33" s="317"/>
      <c r="F33" s="249">
        <f>916-172</f>
        <v>744</v>
      </c>
    </row>
    <row r="34" spans="1:6">
      <c r="A34" s="252" t="s">
        <v>148</v>
      </c>
      <c r="B34" s="317"/>
      <c r="C34" s="317">
        <f>245-136</f>
        <v>109</v>
      </c>
      <c r="D34" s="317"/>
      <c r="E34" s="317"/>
      <c r="F34" s="249">
        <f>303-229</f>
        <v>74</v>
      </c>
    </row>
    <row r="35" spans="1:6">
      <c r="A35" s="252" t="s">
        <v>149</v>
      </c>
      <c r="B35" s="317"/>
      <c r="C35" s="317">
        <v>54</v>
      </c>
      <c r="D35" s="317"/>
      <c r="E35" s="317"/>
      <c r="F35" s="249">
        <f>466-4</f>
        <v>462</v>
      </c>
    </row>
    <row r="36" spans="1:6">
      <c r="A36" s="252" t="s">
        <v>150</v>
      </c>
      <c r="B36" s="317"/>
      <c r="C36" s="317">
        <v>41</v>
      </c>
      <c r="D36" s="317"/>
      <c r="E36" s="317"/>
      <c r="F36" s="249">
        <v>31</v>
      </c>
    </row>
    <row r="37" spans="1:6">
      <c r="A37" s="252" t="s">
        <v>118</v>
      </c>
      <c r="B37" s="317"/>
      <c r="C37" s="317">
        <f>848-25</f>
        <v>823</v>
      </c>
      <c r="D37" s="317"/>
      <c r="E37" s="317"/>
      <c r="F37" s="249">
        <f>1066-34</f>
        <v>1032</v>
      </c>
    </row>
    <row r="38" spans="1:6">
      <c r="A38" s="252" t="s">
        <v>151</v>
      </c>
      <c r="B38" s="317"/>
      <c r="C38" s="317">
        <f>168-3</f>
        <v>165</v>
      </c>
      <c r="D38" s="317"/>
      <c r="E38" s="317"/>
      <c r="F38" s="249">
        <f>284-11</f>
        <v>273</v>
      </c>
    </row>
    <row r="39" spans="1:6">
      <c r="A39" s="252" t="s">
        <v>152</v>
      </c>
      <c r="B39" s="317"/>
      <c r="C39" s="317"/>
      <c r="D39" s="317"/>
      <c r="E39" s="317"/>
      <c r="F39" s="249">
        <v>1</v>
      </c>
    </row>
    <row r="40" spans="1:6">
      <c r="A40" s="252" t="s">
        <v>119</v>
      </c>
      <c r="B40" s="317"/>
      <c r="C40" s="317">
        <f>769-66</f>
        <v>703</v>
      </c>
      <c r="D40" s="317"/>
      <c r="E40" s="317"/>
      <c r="F40" s="249">
        <f>1346-183</f>
        <v>1163</v>
      </c>
    </row>
    <row r="41" spans="1:6">
      <c r="A41" s="252" t="s">
        <v>1691</v>
      </c>
      <c r="B41" s="317">
        <v>10996</v>
      </c>
      <c r="C41" s="317">
        <f>SUM(C42:C55)</f>
        <v>10996</v>
      </c>
      <c r="D41" s="318">
        <f>C41/B41*100</f>
        <v>100</v>
      </c>
      <c r="E41" s="318">
        <f>C41/F41*100</f>
        <v>18.170000000000002</v>
      </c>
      <c r="F41" s="249">
        <f>SUM(F42:F55)</f>
        <v>60503</v>
      </c>
    </row>
    <row r="42" spans="1:6">
      <c r="A42" s="252" t="s">
        <v>120</v>
      </c>
      <c r="B42" s="317"/>
      <c r="C42" s="317"/>
      <c r="D42" s="317"/>
      <c r="E42" s="317"/>
      <c r="F42" s="249">
        <v>609</v>
      </c>
    </row>
    <row r="43" spans="1:6">
      <c r="A43" s="252" t="s">
        <v>121</v>
      </c>
      <c r="B43" s="317"/>
      <c r="C43" s="317"/>
      <c r="D43" s="317"/>
      <c r="E43" s="317"/>
      <c r="F43" s="249">
        <v>20314</v>
      </c>
    </row>
    <row r="44" spans="1:6">
      <c r="A44" s="252" t="s">
        <v>153</v>
      </c>
      <c r="B44" s="317"/>
      <c r="C44" s="317">
        <v>1</v>
      </c>
      <c r="D44" s="317"/>
      <c r="E44" s="317"/>
      <c r="F44" s="249">
        <v>100</v>
      </c>
    </row>
    <row r="45" spans="1:6">
      <c r="A45" s="252" t="s">
        <v>154</v>
      </c>
      <c r="B45" s="317"/>
      <c r="C45" s="317">
        <f>128-59</f>
        <v>69</v>
      </c>
      <c r="D45" s="317"/>
      <c r="E45" s="317"/>
      <c r="F45" s="249">
        <v>752</v>
      </c>
    </row>
    <row r="46" spans="1:6">
      <c r="A46" s="252" t="s">
        <v>122</v>
      </c>
      <c r="B46" s="317"/>
      <c r="C46" s="317">
        <f>891-336</f>
        <v>555</v>
      </c>
      <c r="D46" s="317"/>
      <c r="E46" s="317"/>
      <c r="F46" s="249">
        <f>7862-99</f>
        <v>7763</v>
      </c>
    </row>
    <row r="47" spans="1:6">
      <c r="A47" s="252" t="s">
        <v>155</v>
      </c>
      <c r="B47" s="317"/>
      <c r="C47" s="317"/>
      <c r="D47" s="317"/>
      <c r="E47" s="317"/>
      <c r="F47" s="249">
        <v>4090</v>
      </c>
    </row>
    <row r="48" spans="1:6">
      <c r="A48" s="252" t="s">
        <v>156</v>
      </c>
      <c r="B48" s="317"/>
      <c r="C48" s="317">
        <f>61-33</f>
        <v>28</v>
      </c>
      <c r="D48" s="317"/>
      <c r="E48" s="317"/>
      <c r="F48" s="249">
        <f>17168-26</f>
        <v>17142</v>
      </c>
    </row>
    <row r="49" spans="1:6">
      <c r="A49" s="252" t="s">
        <v>123</v>
      </c>
      <c r="B49" s="317"/>
      <c r="C49" s="317">
        <f>122</f>
        <v>122</v>
      </c>
      <c r="D49" s="317"/>
      <c r="E49" s="317"/>
      <c r="F49" s="249">
        <v>53</v>
      </c>
    </row>
    <row r="50" spans="1:6">
      <c r="A50" s="252" t="s">
        <v>157</v>
      </c>
      <c r="B50" s="317"/>
      <c r="C50" s="317">
        <f>1994-1903</f>
        <v>91</v>
      </c>
      <c r="D50" s="317"/>
      <c r="E50" s="317"/>
      <c r="F50" s="249">
        <f>1194-847</f>
        <v>347</v>
      </c>
    </row>
    <row r="51" spans="1:6">
      <c r="A51" s="252" t="s">
        <v>158</v>
      </c>
      <c r="B51" s="317"/>
      <c r="C51" s="317">
        <v>1</v>
      </c>
      <c r="D51" s="317"/>
      <c r="E51" s="317"/>
      <c r="F51" s="249">
        <v>104</v>
      </c>
    </row>
    <row r="52" spans="1:6">
      <c r="A52" s="252" t="s">
        <v>124</v>
      </c>
      <c r="B52" s="317"/>
      <c r="C52" s="317">
        <f>8639-812</f>
        <v>7827</v>
      </c>
      <c r="D52" s="317"/>
      <c r="E52" s="317"/>
      <c r="F52" s="249">
        <f>7757-713</f>
        <v>7044</v>
      </c>
    </row>
    <row r="53" spans="1:6">
      <c r="A53" s="252" t="s">
        <v>125</v>
      </c>
      <c r="B53" s="317"/>
      <c r="C53" s="317">
        <f>2240-230</f>
        <v>2010</v>
      </c>
      <c r="D53" s="317"/>
      <c r="E53" s="317"/>
      <c r="F53" s="249">
        <f>2139-225</f>
        <v>1914</v>
      </c>
    </row>
    <row r="54" spans="1:6">
      <c r="A54" s="252" t="s">
        <v>159</v>
      </c>
      <c r="B54" s="317"/>
      <c r="C54" s="317"/>
      <c r="D54" s="317"/>
      <c r="E54" s="317"/>
    </row>
    <row r="55" spans="1:6">
      <c r="A55" s="252" t="s">
        <v>126</v>
      </c>
      <c r="B55" s="317"/>
      <c r="C55" s="317">
        <f>308-16</f>
        <v>292</v>
      </c>
      <c r="D55" s="317"/>
      <c r="E55" s="317"/>
      <c r="F55" s="249">
        <f>329-58</f>
        <v>271</v>
      </c>
    </row>
    <row r="56" spans="1:6">
      <c r="A56" s="252" t="s">
        <v>1701</v>
      </c>
      <c r="B56" s="317">
        <v>1363</v>
      </c>
      <c r="C56" s="317">
        <f>SUM(C57:C70)</f>
        <v>1363</v>
      </c>
      <c r="D56" s="318">
        <f>C56/B56*100</f>
        <v>100</v>
      </c>
      <c r="E56" s="318">
        <f>C56/F56*100</f>
        <v>58.9</v>
      </c>
      <c r="F56" s="249">
        <f>SUM(F57:F70)</f>
        <v>2314</v>
      </c>
    </row>
    <row r="57" spans="1:6">
      <c r="A57" s="252" t="s">
        <v>160</v>
      </c>
      <c r="B57" s="317"/>
      <c r="C57" s="317"/>
      <c r="D57" s="317"/>
      <c r="E57" s="317"/>
    </row>
    <row r="58" spans="1:6">
      <c r="A58" s="252" t="s">
        <v>161</v>
      </c>
      <c r="B58" s="317"/>
      <c r="C58" s="317">
        <f>1035-125</f>
        <v>910</v>
      </c>
      <c r="D58" s="317"/>
      <c r="E58" s="317"/>
      <c r="F58" s="249">
        <f>1044-55</f>
        <v>989</v>
      </c>
    </row>
    <row r="59" spans="1:6">
      <c r="A59" s="252" t="s">
        <v>162</v>
      </c>
      <c r="B59" s="317"/>
      <c r="C59" s="317">
        <f>400-21</f>
        <v>379</v>
      </c>
      <c r="D59" s="317"/>
      <c r="E59" s="317"/>
      <c r="F59" s="249">
        <f>678-25</f>
        <v>653</v>
      </c>
    </row>
    <row r="60" spans="1:6">
      <c r="A60" s="252" t="s">
        <v>163</v>
      </c>
      <c r="B60" s="317"/>
      <c r="C60" s="317"/>
      <c r="D60" s="317"/>
      <c r="E60" s="317"/>
    </row>
    <row r="61" spans="1:6">
      <c r="A61" s="252" t="s">
        <v>164</v>
      </c>
      <c r="B61" s="317"/>
      <c r="C61" s="317"/>
      <c r="D61" s="317"/>
      <c r="E61" s="317"/>
    </row>
    <row r="62" spans="1:6">
      <c r="A62" s="252" t="s">
        <v>165</v>
      </c>
      <c r="B62" s="317"/>
      <c r="C62" s="317">
        <v>9</v>
      </c>
      <c r="D62" s="317"/>
      <c r="E62" s="317"/>
      <c r="F62" s="249">
        <v>300</v>
      </c>
    </row>
    <row r="63" spans="1:6">
      <c r="A63" s="252" t="s">
        <v>166</v>
      </c>
      <c r="B63" s="317"/>
      <c r="C63" s="317"/>
      <c r="D63" s="317"/>
      <c r="E63" s="317"/>
    </row>
    <row r="64" spans="1:6">
      <c r="A64" s="252" t="s">
        <v>167</v>
      </c>
      <c r="B64" s="317"/>
      <c r="C64" s="317"/>
      <c r="D64" s="317"/>
      <c r="E64" s="317"/>
    </row>
    <row r="65" spans="1:6">
      <c r="A65" s="252" t="s">
        <v>168</v>
      </c>
      <c r="B65" s="317"/>
      <c r="C65" s="317"/>
      <c r="D65" s="317"/>
      <c r="E65" s="317"/>
    </row>
    <row r="66" spans="1:6">
      <c r="A66" s="252" t="s">
        <v>169</v>
      </c>
      <c r="B66" s="317"/>
      <c r="C66" s="317"/>
      <c r="D66" s="317"/>
      <c r="E66" s="317"/>
    </row>
    <row r="67" spans="1:6">
      <c r="A67" s="252" t="s">
        <v>170</v>
      </c>
      <c r="B67" s="317"/>
      <c r="C67" s="317"/>
      <c r="D67" s="317"/>
      <c r="E67" s="317"/>
    </row>
    <row r="68" spans="1:6">
      <c r="A68" s="252" t="s">
        <v>171</v>
      </c>
      <c r="B68" s="317"/>
      <c r="C68" s="317">
        <v>2</v>
      </c>
      <c r="D68" s="317"/>
      <c r="E68" s="317"/>
      <c r="F68" s="249">
        <v>75</v>
      </c>
    </row>
    <row r="69" spans="1:6">
      <c r="A69" s="252" t="s">
        <v>172</v>
      </c>
      <c r="B69" s="317"/>
      <c r="C69" s="317"/>
      <c r="D69" s="317"/>
      <c r="E69" s="317"/>
    </row>
    <row r="70" spans="1:6">
      <c r="A70" s="252" t="s">
        <v>173</v>
      </c>
      <c r="B70" s="317"/>
      <c r="C70" s="317">
        <f>74-11</f>
        <v>63</v>
      </c>
      <c r="D70" s="317"/>
      <c r="E70" s="317"/>
      <c r="F70" s="249">
        <v>297</v>
      </c>
    </row>
    <row r="71" spans="1:6">
      <c r="A71" s="252" t="s">
        <v>1700</v>
      </c>
      <c r="B71" s="317">
        <v>12</v>
      </c>
      <c r="C71" s="317">
        <f>SUM(C72:C75)</f>
        <v>12</v>
      </c>
      <c r="D71" s="318">
        <f>C71/B71*100</f>
        <v>100</v>
      </c>
      <c r="E71" s="318">
        <f>C71/F71*100</f>
        <v>1200</v>
      </c>
      <c r="F71" s="249">
        <f>SUM(F72:F75)</f>
        <v>1</v>
      </c>
    </row>
    <row r="72" spans="1:6">
      <c r="A72" s="252" t="s">
        <v>174</v>
      </c>
      <c r="B72" s="317"/>
      <c r="C72" s="317">
        <v>12</v>
      </c>
      <c r="D72" s="317"/>
      <c r="E72" s="317"/>
    </row>
    <row r="73" spans="1:6">
      <c r="A73" s="252" t="s">
        <v>175</v>
      </c>
      <c r="B73" s="317"/>
      <c r="C73" s="317"/>
      <c r="D73" s="317"/>
      <c r="E73" s="317"/>
      <c r="F73" s="249">
        <v>1</v>
      </c>
    </row>
    <row r="74" spans="1:6">
      <c r="A74" s="252" t="s">
        <v>176</v>
      </c>
      <c r="B74" s="317"/>
      <c r="C74" s="317"/>
      <c r="D74" s="317"/>
      <c r="E74" s="317"/>
    </row>
    <row r="75" spans="1:6">
      <c r="A75" s="252" t="s">
        <v>177</v>
      </c>
      <c r="B75" s="317"/>
      <c r="C75" s="317"/>
      <c r="D75" s="317"/>
      <c r="E75" s="317"/>
    </row>
    <row r="76" spans="1:6">
      <c r="A76" s="252" t="s">
        <v>1699</v>
      </c>
      <c r="B76" s="317">
        <f>SUM(B77:B78)</f>
        <v>0</v>
      </c>
      <c r="C76" s="317">
        <f>SUM(C77:C78)</f>
        <v>0</v>
      </c>
      <c r="D76" s="318"/>
      <c r="E76" s="318"/>
      <c r="F76" s="249">
        <f>SUM(F77:F78)</f>
        <v>0</v>
      </c>
    </row>
    <row r="77" spans="1:6">
      <c r="A77" s="252" t="s">
        <v>178</v>
      </c>
      <c r="B77" s="317"/>
      <c r="C77" s="317"/>
      <c r="D77" s="317"/>
      <c r="E77" s="317"/>
    </row>
    <row r="78" spans="1:6">
      <c r="A78" s="252" t="s">
        <v>179</v>
      </c>
      <c r="B78" s="317"/>
      <c r="C78" s="317"/>
      <c r="D78" s="317"/>
      <c r="E78" s="317"/>
    </row>
    <row r="79" spans="1:6">
      <c r="A79" s="252" t="s">
        <v>1698</v>
      </c>
      <c r="B79" s="317">
        <f>SUM(B80)</f>
        <v>0</v>
      </c>
      <c r="C79" s="317">
        <f>SUM(C80)</f>
        <v>0</v>
      </c>
      <c r="D79" s="317"/>
      <c r="E79" s="317"/>
      <c r="F79" s="249">
        <f>SUM(F80)</f>
        <v>0</v>
      </c>
    </row>
    <row r="80" spans="1:6">
      <c r="A80" s="252" t="s">
        <v>180</v>
      </c>
      <c r="B80" s="317"/>
      <c r="C80" s="317"/>
      <c r="D80" s="317"/>
      <c r="E80" s="317"/>
    </row>
    <row r="81" spans="1:6">
      <c r="A81" s="252" t="s">
        <v>1697</v>
      </c>
      <c r="B81" s="317">
        <f>B5+B13+B41+B56+B71+B76+B79</f>
        <v>123325</v>
      </c>
      <c r="C81" s="317">
        <f>C5+C13+C41+C56+C71+C76+C79</f>
        <v>123325</v>
      </c>
      <c r="D81" s="317"/>
      <c r="E81" s="317"/>
      <c r="F81" s="249">
        <f>F5+F13+F41+F56+F71+F76+F79</f>
        <v>169604</v>
      </c>
    </row>
  </sheetData>
  <mergeCells count="1">
    <mergeCell ref="A2:E2"/>
  </mergeCells>
  <phoneticPr fontId="38" type="noConversion"/>
  <pageMargins left="0.75" right="0.75" top="1" bottom="1" header="0.5" footer="0.5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>
  <dimension ref="A1:R5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53" sqref="A53"/>
    </sheetView>
  </sheetViews>
  <sheetFormatPr defaultRowHeight="14.25"/>
  <cols>
    <col min="1" max="1" width="29.875" style="249" customWidth="1"/>
    <col min="2" max="2" width="12.625" style="249" customWidth="1"/>
    <col min="3" max="4" width="9.25" style="249" customWidth="1"/>
    <col min="5" max="5" width="9.75" style="249" customWidth="1"/>
    <col min="6" max="6" width="9.5" style="249" bestFit="1" customWidth="1"/>
    <col min="7" max="7" width="9.875" style="249" customWidth="1"/>
    <col min="8" max="8" width="9.5" style="249" customWidth="1"/>
    <col min="9" max="16" width="10" style="249" customWidth="1"/>
    <col min="17" max="17" width="9.875" style="249" customWidth="1"/>
    <col min="18" max="18" width="10" style="249" hidden="1" customWidth="1"/>
    <col min="19" max="16384" width="9" style="249"/>
  </cols>
  <sheetData>
    <row r="1" spans="1:18">
      <c r="A1" s="249" t="s">
        <v>1749</v>
      </c>
    </row>
    <row r="2" spans="1:18" ht="20.25">
      <c r="A2" s="392" t="s">
        <v>1748</v>
      </c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</row>
    <row r="3" spans="1:18">
      <c r="Q3" s="249" t="s">
        <v>109</v>
      </c>
    </row>
    <row r="4" spans="1:18">
      <c r="A4" s="286" t="s">
        <v>110</v>
      </c>
      <c r="B4" s="285" t="s">
        <v>204</v>
      </c>
      <c r="C4" s="239" t="s">
        <v>491</v>
      </c>
      <c r="D4" s="239" t="s">
        <v>488</v>
      </c>
      <c r="E4" s="239" t="s">
        <v>490</v>
      </c>
      <c r="F4" s="239" t="s">
        <v>487</v>
      </c>
      <c r="G4" s="239" t="s">
        <v>489</v>
      </c>
      <c r="H4" s="239" t="s">
        <v>486</v>
      </c>
      <c r="I4" s="239" t="s">
        <v>485</v>
      </c>
      <c r="J4" s="239" t="s">
        <v>494</v>
      </c>
      <c r="K4" s="239" t="s">
        <v>496</v>
      </c>
      <c r="L4" s="239" t="s">
        <v>498</v>
      </c>
      <c r="M4" s="239" t="s">
        <v>492</v>
      </c>
      <c r="N4" s="239" t="s">
        <v>497</v>
      </c>
      <c r="O4" s="239" t="s">
        <v>499</v>
      </c>
      <c r="P4" s="239" t="s">
        <v>495</v>
      </c>
      <c r="Q4" s="239" t="s">
        <v>493</v>
      </c>
      <c r="R4" s="251" t="s">
        <v>442</v>
      </c>
    </row>
    <row r="5" spans="1:18" ht="15.95" customHeight="1">
      <c r="A5" s="283" t="s">
        <v>342</v>
      </c>
      <c r="B5" s="308">
        <f>SUM(B6,B11,B30)</f>
        <v>26645</v>
      </c>
      <c r="C5" s="309">
        <v>1302</v>
      </c>
      <c r="D5" s="309">
        <v>2165</v>
      </c>
      <c r="E5" s="309">
        <v>2206</v>
      </c>
      <c r="F5" s="309">
        <v>6222</v>
      </c>
      <c r="G5" s="309">
        <v>1577</v>
      </c>
      <c r="H5" s="309">
        <v>1754</v>
      </c>
      <c r="I5" s="309">
        <v>1728</v>
      </c>
      <c r="J5" s="309">
        <v>1292</v>
      </c>
      <c r="K5" s="309">
        <v>628</v>
      </c>
      <c r="L5" s="309">
        <v>1516</v>
      </c>
      <c r="M5" s="309">
        <v>1611</v>
      </c>
      <c r="N5" s="309">
        <v>1137</v>
      </c>
      <c r="O5" s="309">
        <v>828</v>
      </c>
      <c r="P5" s="309">
        <v>957</v>
      </c>
      <c r="Q5" s="309">
        <v>1723</v>
      </c>
      <c r="R5" s="280">
        <f>SUM(C5:Q5)</f>
        <v>26646</v>
      </c>
    </row>
    <row r="6" spans="1:18" ht="18" hidden="1" customHeight="1">
      <c r="A6" s="283" t="s">
        <v>1747</v>
      </c>
      <c r="B6" s="308">
        <f t="shared" ref="B6:Q6" si="0">SUM(B7:B10)</f>
        <v>0</v>
      </c>
      <c r="C6" s="309">
        <f t="shared" si="0"/>
        <v>0</v>
      </c>
      <c r="D6" s="309">
        <f t="shared" si="0"/>
        <v>0</v>
      </c>
      <c r="E6" s="309">
        <f t="shared" si="0"/>
        <v>0</v>
      </c>
      <c r="F6" s="309">
        <f t="shared" si="0"/>
        <v>0</v>
      </c>
      <c r="G6" s="309">
        <f t="shared" si="0"/>
        <v>0</v>
      </c>
      <c r="H6" s="309">
        <f t="shared" si="0"/>
        <v>0</v>
      </c>
      <c r="I6" s="309">
        <f t="shared" si="0"/>
        <v>0</v>
      </c>
      <c r="J6" s="309">
        <f t="shared" si="0"/>
        <v>0</v>
      </c>
      <c r="K6" s="309">
        <f t="shared" si="0"/>
        <v>0</v>
      </c>
      <c r="L6" s="309">
        <f t="shared" si="0"/>
        <v>0</v>
      </c>
      <c r="M6" s="309">
        <f t="shared" si="0"/>
        <v>0</v>
      </c>
      <c r="N6" s="309">
        <f t="shared" si="0"/>
        <v>0</v>
      </c>
      <c r="O6" s="309">
        <f t="shared" si="0"/>
        <v>0</v>
      </c>
      <c r="P6" s="309">
        <f t="shared" si="0"/>
        <v>0</v>
      </c>
      <c r="Q6" s="309">
        <f t="shared" si="0"/>
        <v>0</v>
      </c>
      <c r="R6" s="280">
        <f>SUM(C6:Q6)</f>
        <v>0</v>
      </c>
    </row>
    <row r="7" spans="1:18" ht="18" hidden="1" customHeight="1">
      <c r="A7" s="281" t="s">
        <v>1746</v>
      </c>
      <c r="B7" s="310"/>
      <c r="C7" s="311"/>
      <c r="D7" s="311"/>
      <c r="E7" s="311"/>
      <c r="F7" s="311"/>
      <c r="G7" s="311"/>
      <c r="H7" s="311"/>
      <c r="I7" s="311"/>
      <c r="J7" s="311"/>
      <c r="K7" s="311"/>
      <c r="L7" s="311"/>
      <c r="M7" s="311"/>
      <c r="N7" s="311"/>
      <c r="O7" s="311"/>
      <c r="P7" s="311"/>
      <c r="Q7" s="311"/>
      <c r="R7" s="284"/>
    </row>
    <row r="8" spans="1:18" ht="18" hidden="1" customHeight="1">
      <c r="A8" s="281" t="s">
        <v>1745</v>
      </c>
      <c r="B8" s="310"/>
      <c r="C8" s="311"/>
      <c r="D8" s="311"/>
      <c r="E8" s="311"/>
      <c r="F8" s="311"/>
      <c r="G8" s="311"/>
      <c r="H8" s="311"/>
      <c r="I8" s="311"/>
      <c r="J8" s="311"/>
      <c r="K8" s="311"/>
      <c r="L8" s="311"/>
      <c r="M8" s="311"/>
      <c r="N8" s="311"/>
      <c r="O8" s="311"/>
      <c r="P8" s="311"/>
      <c r="Q8" s="311"/>
      <c r="R8" s="284"/>
    </row>
    <row r="9" spans="1:18" ht="18" hidden="1" customHeight="1">
      <c r="A9" s="281" t="s">
        <v>1744</v>
      </c>
      <c r="B9" s="310"/>
      <c r="C9" s="311"/>
      <c r="D9" s="311"/>
      <c r="E9" s="311"/>
      <c r="F9" s="311"/>
      <c r="G9" s="311"/>
      <c r="H9" s="311"/>
      <c r="I9" s="311"/>
      <c r="J9" s="311"/>
      <c r="K9" s="311"/>
      <c r="L9" s="311"/>
      <c r="M9" s="311"/>
      <c r="N9" s="311"/>
      <c r="O9" s="311"/>
      <c r="P9" s="311"/>
      <c r="Q9" s="311"/>
      <c r="R9" s="284"/>
    </row>
    <row r="10" spans="1:18" ht="18" hidden="1" customHeight="1">
      <c r="A10" s="281" t="s">
        <v>1743</v>
      </c>
      <c r="B10" s="310"/>
      <c r="C10" s="311"/>
      <c r="D10" s="311"/>
      <c r="E10" s="311"/>
      <c r="F10" s="311"/>
      <c r="G10" s="311"/>
      <c r="H10" s="311"/>
      <c r="I10" s="311"/>
      <c r="J10" s="311"/>
      <c r="K10" s="311"/>
      <c r="L10" s="311"/>
      <c r="M10" s="311"/>
      <c r="N10" s="311"/>
      <c r="O10" s="311"/>
      <c r="P10" s="311"/>
      <c r="Q10" s="311"/>
      <c r="R10" s="284"/>
    </row>
    <row r="11" spans="1:18" ht="18" customHeight="1">
      <c r="A11" s="283" t="s">
        <v>1742</v>
      </c>
      <c r="B11" s="308">
        <f>SUM(B12:B29)</f>
        <v>14328</v>
      </c>
      <c r="C11" s="309">
        <v>1045</v>
      </c>
      <c r="D11" s="309">
        <v>1330</v>
      </c>
      <c r="E11" s="309">
        <v>1346</v>
      </c>
      <c r="F11" s="309">
        <v>1558</v>
      </c>
      <c r="G11" s="309">
        <v>932</v>
      </c>
      <c r="H11" s="309">
        <v>983</v>
      </c>
      <c r="I11" s="309">
        <v>1366</v>
      </c>
      <c r="J11" s="309">
        <v>785</v>
      </c>
      <c r="K11" s="309">
        <v>541</v>
      </c>
      <c r="L11" s="309">
        <v>618</v>
      </c>
      <c r="M11" s="309">
        <v>887</v>
      </c>
      <c r="N11" s="309">
        <v>777</v>
      </c>
      <c r="O11" s="309">
        <v>566</v>
      </c>
      <c r="P11" s="309">
        <v>728</v>
      </c>
      <c r="Q11" s="309">
        <v>868</v>
      </c>
      <c r="R11" s="280">
        <f t="shared" ref="R11:R50" si="1">SUM(C11:Q11)</f>
        <v>14330</v>
      </c>
    </row>
    <row r="12" spans="1:18" ht="18" hidden="1" customHeight="1">
      <c r="A12" s="281" t="s">
        <v>1741</v>
      </c>
      <c r="B12" s="310">
        <v>10665</v>
      </c>
      <c r="C12" s="311">
        <v>715</v>
      </c>
      <c r="D12" s="311">
        <v>969</v>
      </c>
      <c r="E12" s="311">
        <v>1006</v>
      </c>
      <c r="F12" s="311">
        <v>1193</v>
      </c>
      <c r="G12" s="311">
        <v>673</v>
      </c>
      <c r="H12" s="311">
        <v>728</v>
      </c>
      <c r="I12" s="311">
        <v>976</v>
      </c>
      <c r="J12" s="311">
        <v>599</v>
      </c>
      <c r="K12" s="311">
        <v>391</v>
      </c>
      <c r="L12" s="311">
        <v>420</v>
      </c>
      <c r="M12" s="311">
        <v>765</v>
      </c>
      <c r="N12" s="311">
        <v>566</v>
      </c>
      <c r="O12" s="311">
        <v>420</v>
      </c>
      <c r="P12" s="311">
        <v>537</v>
      </c>
      <c r="Q12" s="311">
        <v>706</v>
      </c>
      <c r="R12" s="280">
        <f t="shared" si="1"/>
        <v>10664</v>
      </c>
    </row>
    <row r="13" spans="1:18" ht="18" hidden="1" customHeight="1">
      <c r="A13" s="281" t="s">
        <v>1740</v>
      </c>
      <c r="B13" s="310"/>
      <c r="C13" s="311"/>
      <c r="D13" s="311"/>
      <c r="E13" s="311"/>
      <c r="F13" s="311"/>
      <c r="G13" s="311"/>
      <c r="H13" s="311"/>
      <c r="I13" s="311"/>
      <c r="J13" s="311"/>
      <c r="K13" s="311"/>
      <c r="L13" s="311"/>
      <c r="M13" s="311"/>
      <c r="N13" s="311"/>
      <c r="O13" s="311"/>
      <c r="P13" s="311"/>
      <c r="Q13" s="311"/>
      <c r="R13" s="280">
        <f t="shared" si="1"/>
        <v>0</v>
      </c>
    </row>
    <row r="14" spans="1:18" ht="18" hidden="1" customHeight="1">
      <c r="A14" s="281" t="s">
        <v>1739</v>
      </c>
      <c r="B14" s="310"/>
      <c r="C14" s="311"/>
      <c r="D14" s="311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311"/>
      <c r="R14" s="280">
        <f t="shared" si="1"/>
        <v>0</v>
      </c>
    </row>
    <row r="15" spans="1:18" ht="18" hidden="1" customHeight="1">
      <c r="A15" s="281" t="s">
        <v>1738</v>
      </c>
      <c r="B15" s="310"/>
      <c r="C15" s="311"/>
      <c r="D15" s="311"/>
      <c r="E15" s="311"/>
      <c r="F15" s="311"/>
      <c r="G15" s="311"/>
      <c r="H15" s="311"/>
      <c r="I15" s="311"/>
      <c r="J15" s="311"/>
      <c r="K15" s="311"/>
      <c r="L15" s="311"/>
      <c r="M15" s="311"/>
      <c r="N15" s="311"/>
      <c r="O15" s="311"/>
      <c r="P15" s="311"/>
      <c r="Q15" s="311"/>
      <c r="R15" s="280">
        <f t="shared" si="1"/>
        <v>0</v>
      </c>
    </row>
    <row r="16" spans="1:18" ht="18" hidden="1" customHeight="1">
      <c r="A16" s="281" t="s">
        <v>1737</v>
      </c>
      <c r="B16" s="310"/>
      <c r="C16" s="311"/>
      <c r="D16" s="311"/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11"/>
      <c r="Q16" s="311"/>
      <c r="R16" s="280">
        <f t="shared" si="1"/>
        <v>0</v>
      </c>
    </row>
    <row r="17" spans="1:18" ht="18" hidden="1" customHeight="1">
      <c r="A17" s="281" t="s">
        <v>1736</v>
      </c>
      <c r="B17" s="310"/>
      <c r="C17" s="311"/>
      <c r="D17" s="311"/>
      <c r="E17" s="311"/>
      <c r="F17" s="311"/>
      <c r="G17" s="311"/>
      <c r="H17" s="311"/>
      <c r="I17" s="311"/>
      <c r="J17" s="311"/>
      <c r="K17" s="311"/>
      <c r="L17" s="311"/>
      <c r="M17" s="311"/>
      <c r="N17" s="311"/>
      <c r="O17" s="311"/>
      <c r="P17" s="311"/>
      <c r="Q17" s="311"/>
      <c r="R17" s="280">
        <f t="shared" si="1"/>
        <v>0</v>
      </c>
    </row>
    <row r="18" spans="1:18" ht="18" hidden="1" customHeight="1">
      <c r="A18" s="281" t="s">
        <v>1735</v>
      </c>
      <c r="B18" s="310"/>
      <c r="C18" s="311"/>
      <c r="D18" s="311"/>
      <c r="E18" s="311"/>
      <c r="F18" s="311"/>
      <c r="G18" s="311"/>
      <c r="H18" s="311"/>
      <c r="I18" s="311"/>
      <c r="J18" s="311"/>
      <c r="K18" s="311"/>
      <c r="L18" s="311"/>
      <c r="M18" s="311"/>
      <c r="N18" s="311"/>
      <c r="O18" s="311"/>
      <c r="P18" s="311"/>
      <c r="Q18" s="311"/>
      <c r="R18" s="280">
        <f t="shared" si="1"/>
        <v>0</v>
      </c>
    </row>
    <row r="19" spans="1:18" ht="18" hidden="1" customHeight="1">
      <c r="A19" s="281" t="s">
        <v>1734</v>
      </c>
      <c r="B19" s="310"/>
      <c r="C19" s="311"/>
      <c r="D19" s="311"/>
      <c r="E19" s="311"/>
      <c r="F19" s="311"/>
      <c r="G19" s="311"/>
      <c r="H19" s="311"/>
      <c r="I19" s="311"/>
      <c r="J19" s="311"/>
      <c r="K19" s="311"/>
      <c r="L19" s="311"/>
      <c r="M19" s="311"/>
      <c r="N19" s="311"/>
      <c r="O19" s="311"/>
      <c r="P19" s="311"/>
      <c r="Q19" s="311"/>
      <c r="R19" s="280">
        <f t="shared" si="1"/>
        <v>0</v>
      </c>
    </row>
    <row r="20" spans="1:18" ht="18" hidden="1" customHeight="1">
      <c r="A20" s="281" t="s">
        <v>1733</v>
      </c>
      <c r="B20" s="310"/>
      <c r="C20" s="311"/>
      <c r="D20" s="311"/>
      <c r="E20" s="311"/>
      <c r="F20" s="311"/>
      <c r="G20" s="311"/>
      <c r="H20" s="311"/>
      <c r="I20" s="311"/>
      <c r="J20" s="311"/>
      <c r="K20" s="311"/>
      <c r="L20" s="311"/>
      <c r="M20" s="311"/>
      <c r="N20" s="311"/>
      <c r="O20" s="311"/>
      <c r="P20" s="311"/>
      <c r="Q20" s="311"/>
      <c r="R20" s="280">
        <f t="shared" si="1"/>
        <v>0</v>
      </c>
    </row>
    <row r="21" spans="1:18" ht="18" hidden="1" customHeight="1">
      <c r="A21" s="281" t="s">
        <v>1732</v>
      </c>
      <c r="B21" s="310"/>
      <c r="C21" s="311"/>
      <c r="D21" s="311"/>
      <c r="E21" s="311"/>
      <c r="F21" s="311"/>
      <c r="G21" s="311"/>
      <c r="H21" s="311"/>
      <c r="I21" s="311"/>
      <c r="J21" s="311"/>
      <c r="K21" s="311"/>
      <c r="L21" s="311"/>
      <c r="M21" s="311"/>
      <c r="N21" s="311"/>
      <c r="O21" s="311"/>
      <c r="P21" s="311"/>
      <c r="Q21" s="311"/>
      <c r="R21" s="280">
        <f t="shared" si="1"/>
        <v>0</v>
      </c>
    </row>
    <row r="22" spans="1:18" ht="18" hidden="1" customHeight="1">
      <c r="A22" s="281" t="s">
        <v>1731</v>
      </c>
      <c r="B22" s="310"/>
      <c r="C22" s="311"/>
      <c r="D22" s="311"/>
      <c r="E22" s="311"/>
      <c r="F22" s="311"/>
      <c r="G22" s="311"/>
      <c r="H22" s="311"/>
      <c r="I22" s="311"/>
      <c r="J22" s="311"/>
      <c r="K22" s="311"/>
      <c r="L22" s="311"/>
      <c r="M22" s="311"/>
      <c r="N22" s="311"/>
      <c r="O22" s="311"/>
      <c r="P22" s="311"/>
      <c r="Q22" s="311"/>
      <c r="R22" s="280">
        <f t="shared" si="1"/>
        <v>0</v>
      </c>
    </row>
    <row r="23" spans="1:18" ht="18" hidden="1" customHeight="1">
      <c r="A23" s="281" t="s">
        <v>1730</v>
      </c>
      <c r="B23" s="310"/>
      <c r="C23" s="311"/>
      <c r="D23" s="311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280">
        <f t="shared" si="1"/>
        <v>0</v>
      </c>
    </row>
    <row r="24" spans="1:18" ht="18" hidden="1" customHeight="1">
      <c r="A24" s="281" t="s">
        <v>1729</v>
      </c>
      <c r="B24" s="310"/>
      <c r="C24" s="311"/>
      <c r="D24" s="311"/>
      <c r="E24" s="311"/>
      <c r="F24" s="311"/>
      <c r="G24" s="311"/>
      <c r="H24" s="311"/>
      <c r="I24" s="311"/>
      <c r="J24" s="311"/>
      <c r="K24" s="311"/>
      <c r="L24" s="311"/>
      <c r="M24" s="311"/>
      <c r="N24" s="311"/>
      <c r="O24" s="311"/>
      <c r="P24" s="311"/>
      <c r="Q24" s="311"/>
      <c r="R24" s="280">
        <f t="shared" si="1"/>
        <v>0</v>
      </c>
    </row>
    <row r="25" spans="1:18" ht="18" hidden="1" customHeight="1">
      <c r="A25" s="281" t="s">
        <v>1728</v>
      </c>
      <c r="B25" s="310"/>
      <c r="C25" s="311"/>
      <c r="D25" s="311"/>
      <c r="E25" s="311"/>
      <c r="F25" s="311"/>
      <c r="G25" s="311"/>
      <c r="H25" s="311"/>
      <c r="I25" s="311"/>
      <c r="J25" s="311"/>
      <c r="K25" s="311"/>
      <c r="L25" s="311"/>
      <c r="M25" s="311"/>
      <c r="N25" s="311"/>
      <c r="O25" s="311"/>
      <c r="P25" s="311"/>
      <c r="Q25" s="311"/>
      <c r="R25" s="280">
        <f t="shared" si="1"/>
        <v>0</v>
      </c>
    </row>
    <row r="26" spans="1:18" ht="18" hidden="1" customHeight="1">
      <c r="A26" s="281" t="s">
        <v>1727</v>
      </c>
      <c r="B26" s="310"/>
      <c r="C26" s="311"/>
      <c r="D26" s="311"/>
      <c r="E26" s="311"/>
      <c r="F26" s="311"/>
      <c r="G26" s="311"/>
      <c r="H26" s="311"/>
      <c r="I26" s="311"/>
      <c r="J26" s="311"/>
      <c r="K26" s="311"/>
      <c r="L26" s="311"/>
      <c r="M26" s="311"/>
      <c r="N26" s="311"/>
      <c r="O26" s="311"/>
      <c r="P26" s="311"/>
      <c r="Q26" s="311"/>
      <c r="R26" s="280">
        <f t="shared" si="1"/>
        <v>0</v>
      </c>
    </row>
    <row r="27" spans="1:18" ht="18" hidden="1" customHeight="1">
      <c r="A27" s="281" t="s">
        <v>1726</v>
      </c>
      <c r="B27" s="310"/>
      <c r="C27" s="311"/>
      <c r="D27" s="311"/>
      <c r="E27" s="311"/>
      <c r="F27" s="311"/>
      <c r="G27" s="311"/>
      <c r="H27" s="311"/>
      <c r="I27" s="311"/>
      <c r="J27" s="311"/>
      <c r="K27" s="311"/>
      <c r="L27" s="311"/>
      <c r="M27" s="311"/>
      <c r="N27" s="311"/>
      <c r="O27" s="311"/>
      <c r="P27" s="311"/>
      <c r="Q27" s="311"/>
      <c r="R27" s="280">
        <f t="shared" si="1"/>
        <v>0</v>
      </c>
    </row>
    <row r="28" spans="1:18" ht="18" hidden="1" customHeight="1">
      <c r="A28" s="281" t="s">
        <v>1725</v>
      </c>
      <c r="B28" s="310"/>
      <c r="C28" s="311"/>
      <c r="D28" s="311"/>
      <c r="E28" s="311"/>
      <c r="F28" s="311"/>
      <c r="G28" s="311"/>
      <c r="H28" s="311"/>
      <c r="I28" s="311"/>
      <c r="J28" s="311"/>
      <c r="K28" s="311"/>
      <c r="L28" s="311"/>
      <c r="M28" s="311"/>
      <c r="N28" s="311"/>
      <c r="O28" s="311"/>
      <c r="P28" s="311"/>
      <c r="Q28" s="311"/>
      <c r="R28" s="280">
        <f t="shared" si="1"/>
        <v>0</v>
      </c>
    </row>
    <row r="29" spans="1:18" ht="18" customHeight="1">
      <c r="A29" s="281" t="s">
        <v>1724</v>
      </c>
      <c r="B29" s="310">
        <v>3663</v>
      </c>
      <c r="C29" s="311">
        <f t="shared" ref="C29:Q29" si="2">C11-C12</f>
        <v>330</v>
      </c>
      <c r="D29" s="311">
        <f t="shared" si="2"/>
        <v>361</v>
      </c>
      <c r="E29" s="311">
        <f t="shared" si="2"/>
        <v>340</v>
      </c>
      <c r="F29" s="311">
        <f t="shared" si="2"/>
        <v>365</v>
      </c>
      <c r="G29" s="311">
        <f t="shared" si="2"/>
        <v>259</v>
      </c>
      <c r="H29" s="311">
        <f t="shared" si="2"/>
        <v>255</v>
      </c>
      <c r="I29" s="311">
        <f t="shared" si="2"/>
        <v>390</v>
      </c>
      <c r="J29" s="311">
        <f t="shared" si="2"/>
        <v>186</v>
      </c>
      <c r="K29" s="311">
        <f t="shared" si="2"/>
        <v>150</v>
      </c>
      <c r="L29" s="311">
        <f t="shared" si="2"/>
        <v>198</v>
      </c>
      <c r="M29" s="311">
        <f t="shared" si="2"/>
        <v>122</v>
      </c>
      <c r="N29" s="311">
        <f t="shared" si="2"/>
        <v>211</v>
      </c>
      <c r="O29" s="311">
        <f t="shared" si="2"/>
        <v>146</v>
      </c>
      <c r="P29" s="311">
        <f t="shared" si="2"/>
        <v>191</v>
      </c>
      <c r="Q29" s="311">
        <f t="shared" si="2"/>
        <v>162</v>
      </c>
      <c r="R29" s="280">
        <f t="shared" si="1"/>
        <v>3666</v>
      </c>
    </row>
    <row r="30" spans="1:18" ht="18" customHeight="1">
      <c r="A30" s="283" t="s">
        <v>1723</v>
      </c>
      <c r="B30" s="308">
        <f>SUM(B31:B50)</f>
        <v>12317</v>
      </c>
      <c r="C30" s="309">
        <f t="shared" ref="C30:Q30" si="3">C5-C6-C11</f>
        <v>257</v>
      </c>
      <c r="D30" s="309">
        <f t="shared" si="3"/>
        <v>835</v>
      </c>
      <c r="E30" s="309">
        <f t="shared" si="3"/>
        <v>860</v>
      </c>
      <c r="F30" s="309">
        <f t="shared" si="3"/>
        <v>4664</v>
      </c>
      <c r="G30" s="309">
        <f t="shared" si="3"/>
        <v>645</v>
      </c>
      <c r="H30" s="309">
        <f t="shared" si="3"/>
        <v>771</v>
      </c>
      <c r="I30" s="309">
        <f t="shared" si="3"/>
        <v>362</v>
      </c>
      <c r="J30" s="309">
        <f t="shared" si="3"/>
        <v>507</v>
      </c>
      <c r="K30" s="309">
        <f t="shared" si="3"/>
        <v>87</v>
      </c>
      <c r="L30" s="309">
        <f t="shared" si="3"/>
        <v>898</v>
      </c>
      <c r="M30" s="309">
        <f t="shared" si="3"/>
        <v>724</v>
      </c>
      <c r="N30" s="309">
        <f t="shared" si="3"/>
        <v>360</v>
      </c>
      <c r="O30" s="309">
        <f t="shared" si="3"/>
        <v>262</v>
      </c>
      <c r="P30" s="309">
        <f t="shared" si="3"/>
        <v>229</v>
      </c>
      <c r="Q30" s="309">
        <f t="shared" si="3"/>
        <v>855</v>
      </c>
      <c r="R30" s="280">
        <f t="shared" si="1"/>
        <v>12316</v>
      </c>
    </row>
    <row r="31" spans="1:18" ht="18" customHeight="1">
      <c r="A31" s="281" t="s">
        <v>1722</v>
      </c>
      <c r="B31" s="312">
        <v>293</v>
      </c>
      <c r="C31" s="303">
        <v>17</v>
      </c>
      <c r="D31" s="303">
        <v>17</v>
      </c>
      <c r="E31" s="303">
        <v>17</v>
      </c>
      <c r="F31" s="303">
        <v>15</v>
      </c>
      <c r="G31" s="303">
        <v>17</v>
      </c>
      <c r="H31" s="303">
        <v>17</v>
      </c>
      <c r="I31" s="303">
        <v>15</v>
      </c>
      <c r="J31" s="303">
        <v>15</v>
      </c>
      <c r="K31" s="303">
        <v>17</v>
      </c>
      <c r="L31" s="303">
        <v>17</v>
      </c>
      <c r="M31" s="303">
        <v>15</v>
      </c>
      <c r="N31" s="303">
        <v>15</v>
      </c>
      <c r="O31" s="303">
        <v>17</v>
      </c>
      <c r="P31" s="303">
        <v>15</v>
      </c>
      <c r="Q31" s="303">
        <v>67</v>
      </c>
      <c r="R31" s="280">
        <f t="shared" si="1"/>
        <v>293</v>
      </c>
    </row>
    <row r="32" spans="1:18" ht="18" hidden="1" customHeight="1">
      <c r="A32" s="281" t="s">
        <v>1721</v>
      </c>
      <c r="B32" s="312"/>
      <c r="C32" s="303"/>
      <c r="D32" s="303"/>
      <c r="E32" s="303"/>
      <c r="F32" s="303"/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280">
        <f t="shared" si="1"/>
        <v>0</v>
      </c>
    </row>
    <row r="33" spans="1:18" ht="18" customHeight="1">
      <c r="A33" s="281" t="s">
        <v>1720</v>
      </c>
      <c r="B33" s="312">
        <v>42</v>
      </c>
      <c r="C33" s="303"/>
      <c r="D33" s="303">
        <v>5</v>
      </c>
      <c r="E33" s="303"/>
      <c r="F33" s="303"/>
      <c r="G33" s="303">
        <v>4</v>
      </c>
      <c r="H33" s="303">
        <v>2</v>
      </c>
      <c r="I33" s="303"/>
      <c r="J33" s="303">
        <v>3</v>
      </c>
      <c r="K33" s="303">
        <v>5</v>
      </c>
      <c r="L33" s="303">
        <v>9</v>
      </c>
      <c r="M33" s="303"/>
      <c r="N33" s="303"/>
      <c r="O33" s="303">
        <v>9</v>
      </c>
      <c r="P33" s="303">
        <v>5</v>
      </c>
      <c r="Q33" s="303"/>
      <c r="R33" s="280">
        <f t="shared" si="1"/>
        <v>42</v>
      </c>
    </row>
    <row r="34" spans="1:18" ht="18" hidden="1" customHeight="1">
      <c r="A34" s="281" t="s">
        <v>1719</v>
      </c>
      <c r="B34" s="312"/>
      <c r="C34" s="303"/>
      <c r="D34" s="303"/>
      <c r="E34" s="303"/>
      <c r="F34" s="303"/>
      <c r="G34" s="303"/>
      <c r="H34" s="303"/>
      <c r="I34" s="303"/>
      <c r="J34" s="303"/>
      <c r="K34" s="303"/>
      <c r="L34" s="303"/>
      <c r="M34" s="303"/>
      <c r="N34" s="303"/>
      <c r="O34" s="303"/>
      <c r="P34" s="303"/>
      <c r="Q34" s="303"/>
      <c r="R34" s="280">
        <f t="shared" si="1"/>
        <v>0</v>
      </c>
    </row>
    <row r="35" spans="1:18" ht="18" hidden="1" customHeight="1">
      <c r="A35" s="282" t="s">
        <v>1718</v>
      </c>
      <c r="B35" s="312"/>
      <c r="C35" s="303"/>
      <c r="D35" s="303"/>
      <c r="E35" s="303"/>
      <c r="F35" s="303"/>
      <c r="G35" s="303"/>
      <c r="H35" s="303"/>
      <c r="I35" s="303"/>
      <c r="J35" s="303"/>
      <c r="K35" s="303"/>
      <c r="L35" s="303"/>
      <c r="M35" s="303"/>
      <c r="N35" s="303"/>
      <c r="O35" s="303"/>
      <c r="P35" s="303"/>
      <c r="Q35" s="303"/>
      <c r="R35" s="280">
        <f t="shared" si="1"/>
        <v>0</v>
      </c>
    </row>
    <row r="36" spans="1:18" ht="18" hidden="1" customHeight="1">
      <c r="A36" s="281" t="s">
        <v>1717</v>
      </c>
      <c r="B36" s="312"/>
      <c r="C36" s="303"/>
      <c r="D36" s="303"/>
      <c r="E36" s="303"/>
      <c r="F36" s="303"/>
      <c r="G36" s="303"/>
      <c r="H36" s="303"/>
      <c r="I36" s="303"/>
      <c r="J36" s="303"/>
      <c r="K36" s="303"/>
      <c r="L36" s="303"/>
      <c r="M36" s="303"/>
      <c r="N36" s="303"/>
      <c r="O36" s="303"/>
      <c r="P36" s="303"/>
      <c r="Q36" s="303"/>
      <c r="R36" s="280">
        <f t="shared" si="1"/>
        <v>0</v>
      </c>
    </row>
    <row r="37" spans="1:18" ht="18" hidden="1" customHeight="1">
      <c r="A37" s="281" t="s">
        <v>1716</v>
      </c>
      <c r="B37" s="312"/>
      <c r="C37" s="303"/>
      <c r="D37" s="303"/>
      <c r="E37" s="303"/>
      <c r="F37" s="303"/>
      <c r="G37" s="303"/>
      <c r="H37" s="303"/>
      <c r="I37" s="303"/>
      <c r="J37" s="303"/>
      <c r="K37" s="303"/>
      <c r="L37" s="303"/>
      <c r="M37" s="303"/>
      <c r="N37" s="303"/>
      <c r="O37" s="303"/>
      <c r="P37" s="303"/>
      <c r="Q37" s="303"/>
      <c r="R37" s="280">
        <f t="shared" si="1"/>
        <v>0</v>
      </c>
    </row>
    <row r="38" spans="1:18" ht="18" customHeight="1">
      <c r="A38" s="281" t="s">
        <v>1715</v>
      </c>
      <c r="B38" s="312">
        <v>300</v>
      </c>
      <c r="C38" s="303">
        <v>31</v>
      </c>
      <c r="D38" s="303">
        <v>26</v>
      </c>
      <c r="E38" s="303">
        <v>19</v>
      </c>
      <c r="F38" s="303">
        <v>38</v>
      </c>
      <c r="G38" s="303">
        <v>25</v>
      </c>
      <c r="H38" s="303">
        <v>26</v>
      </c>
      <c r="I38" s="303">
        <v>17.5</v>
      </c>
      <c r="J38" s="303">
        <v>17.5</v>
      </c>
      <c r="K38" s="303">
        <v>9</v>
      </c>
      <c r="L38" s="303">
        <v>10</v>
      </c>
      <c r="M38" s="303">
        <v>21</v>
      </c>
      <c r="N38" s="303">
        <v>9</v>
      </c>
      <c r="O38" s="303">
        <v>18</v>
      </c>
      <c r="P38" s="303">
        <v>16</v>
      </c>
      <c r="Q38" s="303">
        <v>17</v>
      </c>
      <c r="R38" s="280">
        <f t="shared" si="1"/>
        <v>300</v>
      </c>
    </row>
    <row r="39" spans="1:18" ht="18" customHeight="1">
      <c r="A39" s="281" t="s">
        <v>1714</v>
      </c>
      <c r="B39" s="312"/>
      <c r="C39" s="303"/>
      <c r="D39" s="303"/>
      <c r="E39" s="303"/>
      <c r="F39" s="303"/>
      <c r="G39" s="303"/>
      <c r="H39" s="303"/>
      <c r="I39" s="303"/>
      <c r="J39" s="303"/>
      <c r="K39" s="303"/>
      <c r="L39" s="303"/>
      <c r="M39" s="303"/>
      <c r="N39" s="303"/>
      <c r="O39" s="303"/>
      <c r="P39" s="303"/>
      <c r="Q39" s="303"/>
      <c r="R39" s="280">
        <f t="shared" si="1"/>
        <v>0</v>
      </c>
    </row>
    <row r="40" spans="1:18" ht="18" customHeight="1">
      <c r="A40" s="281" t="s">
        <v>1713</v>
      </c>
      <c r="B40" s="312">
        <v>3311</v>
      </c>
      <c r="C40" s="303">
        <v>44.400599999999997</v>
      </c>
      <c r="D40" s="303">
        <v>64.075400000000002</v>
      </c>
      <c r="E40" s="303">
        <v>231.768</v>
      </c>
      <c r="F40" s="303">
        <v>1167.93</v>
      </c>
      <c r="G40" s="303">
        <v>339.74200000000002</v>
      </c>
      <c r="H40" s="303">
        <v>247.72</v>
      </c>
      <c r="I40" s="303">
        <v>74.790000000000006</v>
      </c>
      <c r="J40" s="303">
        <v>55.052500000000002</v>
      </c>
      <c r="K40" s="303"/>
      <c r="L40" s="303"/>
      <c r="M40" s="303">
        <v>253.279</v>
      </c>
      <c r="N40" s="303">
        <v>249.42699999999999</v>
      </c>
      <c r="O40" s="303"/>
      <c r="P40" s="303"/>
      <c r="Q40" s="303">
        <v>583.16499999999996</v>
      </c>
      <c r="R40" s="280">
        <f t="shared" si="1"/>
        <v>3311.35</v>
      </c>
    </row>
    <row r="41" spans="1:18" ht="18" customHeight="1">
      <c r="A41" s="281" t="s">
        <v>1712</v>
      </c>
      <c r="B41" s="312">
        <v>2370</v>
      </c>
      <c r="C41" s="303">
        <v>20</v>
      </c>
      <c r="D41" s="303">
        <v>30</v>
      </c>
      <c r="E41" s="303">
        <v>30</v>
      </c>
      <c r="F41" s="303">
        <v>2030</v>
      </c>
      <c r="G41" s="303">
        <v>20</v>
      </c>
      <c r="H41" s="303">
        <v>20</v>
      </c>
      <c r="I41" s="303">
        <v>100</v>
      </c>
      <c r="J41" s="303">
        <v>20</v>
      </c>
      <c r="K41" s="303">
        <v>10</v>
      </c>
      <c r="L41" s="303">
        <v>10</v>
      </c>
      <c r="M41" s="303">
        <v>30</v>
      </c>
      <c r="N41" s="303">
        <v>10</v>
      </c>
      <c r="O41" s="303">
        <v>10</v>
      </c>
      <c r="P41" s="303">
        <v>10</v>
      </c>
      <c r="Q41" s="303">
        <v>20</v>
      </c>
      <c r="R41" s="280">
        <f t="shared" si="1"/>
        <v>2370</v>
      </c>
    </row>
    <row r="42" spans="1:18" ht="18" customHeight="1">
      <c r="A42" s="281" t="s">
        <v>1711</v>
      </c>
      <c r="B42" s="312">
        <v>640</v>
      </c>
      <c r="C42" s="303">
        <v>42</v>
      </c>
      <c r="D42" s="303">
        <v>20</v>
      </c>
      <c r="E42" s="303">
        <v>10</v>
      </c>
      <c r="F42" s="303">
        <v>53</v>
      </c>
      <c r="G42" s="303">
        <v>48</v>
      </c>
      <c r="H42" s="303">
        <v>10</v>
      </c>
      <c r="I42" s="303">
        <v>4</v>
      </c>
      <c r="J42" s="303">
        <v>108</v>
      </c>
      <c r="K42" s="303">
        <v>11</v>
      </c>
      <c r="L42" s="303">
        <v>21</v>
      </c>
      <c r="M42" s="303">
        <v>24</v>
      </c>
      <c r="N42" s="303">
        <v>57</v>
      </c>
      <c r="O42" s="303">
        <v>73</v>
      </c>
      <c r="P42" s="303">
        <v>122</v>
      </c>
      <c r="Q42" s="303">
        <v>37</v>
      </c>
      <c r="R42" s="280">
        <f t="shared" si="1"/>
        <v>640</v>
      </c>
    </row>
    <row r="43" spans="1:18" ht="18" customHeight="1">
      <c r="A43" s="281" t="s">
        <v>1710</v>
      </c>
      <c r="B43" s="312">
        <v>206</v>
      </c>
      <c r="C43" s="303"/>
      <c r="D43" s="303"/>
      <c r="E43" s="303"/>
      <c r="F43" s="303"/>
      <c r="G43" s="303">
        <v>6</v>
      </c>
      <c r="H43" s="303"/>
      <c r="I43" s="303"/>
      <c r="J43" s="303"/>
      <c r="K43" s="303"/>
      <c r="L43" s="303">
        <v>200</v>
      </c>
      <c r="M43" s="303"/>
      <c r="N43" s="303"/>
      <c r="O43" s="303"/>
      <c r="P43" s="303"/>
      <c r="Q43" s="303"/>
      <c r="R43" s="280">
        <f t="shared" si="1"/>
        <v>206</v>
      </c>
    </row>
    <row r="44" spans="1:18" ht="18" customHeight="1">
      <c r="A44" s="281" t="s">
        <v>1709</v>
      </c>
      <c r="B44" s="312">
        <v>2095</v>
      </c>
      <c r="C44" s="303">
        <v>5</v>
      </c>
      <c r="D44" s="303">
        <v>427.96</v>
      </c>
      <c r="E44" s="303">
        <v>226.86</v>
      </c>
      <c r="F44" s="303">
        <v>706.51</v>
      </c>
      <c r="G44" s="303">
        <v>10</v>
      </c>
      <c r="H44" s="303">
        <v>53.51</v>
      </c>
      <c r="I44" s="303">
        <v>108.57</v>
      </c>
      <c r="J44" s="303">
        <v>10</v>
      </c>
      <c r="K44" s="303">
        <v>10</v>
      </c>
      <c r="L44" s="303">
        <v>486.37</v>
      </c>
      <c r="M44" s="303">
        <v>10</v>
      </c>
      <c r="N44" s="303">
        <v>10</v>
      </c>
      <c r="O44" s="303">
        <v>10</v>
      </c>
      <c r="P44" s="303">
        <v>10</v>
      </c>
      <c r="Q44" s="303">
        <v>10</v>
      </c>
      <c r="R44" s="280">
        <f t="shared" si="1"/>
        <v>2094.7800000000002</v>
      </c>
    </row>
    <row r="45" spans="1:18" ht="18" hidden="1" customHeight="1">
      <c r="A45" s="281" t="s">
        <v>1708</v>
      </c>
      <c r="B45" s="312"/>
      <c r="C45" s="303"/>
      <c r="D45" s="303"/>
      <c r="E45" s="303"/>
      <c r="F45" s="303"/>
      <c r="G45" s="303"/>
      <c r="H45" s="303"/>
      <c r="I45" s="303"/>
      <c r="J45" s="303"/>
      <c r="K45" s="303"/>
      <c r="L45" s="303"/>
      <c r="M45" s="303"/>
      <c r="N45" s="303"/>
      <c r="O45" s="303"/>
      <c r="P45" s="303"/>
      <c r="Q45" s="303"/>
      <c r="R45" s="280">
        <f t="shared" si="1"/>
        <v>0</v>
      </c>
    </row>
    <row r="46" spans="1:18" ht="18" hidden="1" customHeight="1">
      <c r="A46" s="281" t="s">
        <v>1707</v>
      </c>
      <c r="B46" s="312"/>
      <c r="C46" s="303"/>
      <c r="D46" s="303"/>
      <c r="E46" s="303"/>
      <c r="F46" s="303"/>
      <c r="G46" s="303"/>
      <c r="H46" s="303"/>
      <c r="I46" s="303"/>
      <c r="J46" s="303"/>
      <c r="K46" s="303"/>
      <c r="L46" s="303"/>
      <c r="M46" s="303"/>
      <c r="N46" s="303"/>
      <c r="O46" s="303"/>
      <c r="P46" s="303"/>
      <c r="Q46" s="303"/>
      <c r="R46" s="280">
        <f t="shared" si="1"/>
        <v>0</v>
      </c>
    </row>
    <row r="47" spans="1:18" ht="18" hidden="1" customHeight="1">
      <c r="A47" s="281" t="s">
        <v>1706</v>
      </c>
      <c r="B47" s="312"/>
      <c r="C47" s="303"/>
      <c r="D47" s="303"/>
      <c r="E47" s="303"/>
      <c r="F47" s="303"/>
      <c r="G47" s="303"/>
      <c r="H47" s="303"/>
      <c r="I47" s="303"/>
      <c r="J47" s="303"/>
      <c r="K47" s="303"/>
      <c r="L47" s="303"/>
      <c r="M47" s="303"/>
      <c r="N47" s="303"/>
      <c r="O47" s="303"/>
      <c r="P47" s="303"/>
      <c r="Q47" s="303"/>
      <c r="R47" s="280">
        <f t="shared" si="1"/>
        <v>0</v>
      </c>
    </row>
    <row r="48" spans="1:18" ht="18" customHeight="1">
      <c r="A48" s="281" t="s">
        <v>1705</v>
      </c>
      <c r="B48" s="312">
        <v>1590</v>
      </c>
      <c r="C48" s="303"/>
      <c r="D48" s="303">
        <v>180</v>
      </c>
      <c r="E48" s="303">
        <v>180</v>
      </c>
      <c r="F48" s="303">
        <v>510</v>
      </c>
      <c r="G48" s="303">
        <v>120</v>
      </c>
      <c r="H48" s="303">
        <v>270</v>
      </c>
      <c r="I48" s="303"/>
      <c r="J48" s="303">
        <v>150</v>
      </c>
      <c r="K48" s="303"/>
      <c r="L48" s="303"/>
      <c r="M48" s="303">
        <v>90</v>
      </c>
      <c r="N48" s="303"/>
      <c r="O48" s="303">
        <v>90</v>
      </c>
      <c r="P48" s="303"/>
      <c r="Q48" s="303"/>
      <c r="R48" s="280">
        <f t="shared" si="1"/>
        <v>1590</v>
      </c>
    </row>
    <row r="49" spans="1:18" ht="18" hidden="1" customHeight="1">
      <c r="A49" s="281" t="s">
        <v>1704</v>
      </c>
      <c r="B49" s="312"/>
      <c r="C49" s="303"/>
      <c r="D49" s="303"/>
      <c r="E49" s="303"/>
      <c r="F49" s="303"/>
      <c r="G49" s="303"/>
      <c r="H49" s="303"/>
      <c r="I49" s="303"/>
      <c r="J49" s="303"/>
      <c r="K49" s="303"/>
      <c r="L49" s="303"/>
      <c r="M49" s="303"/>
      <c r="N49" s="303"/>
      <c r="O49" s="303"/>
      <c r="P49" s="303"/>
      <c r="Q49" s="303"/>
      <c r="R49" s="280">
        <f t="shared" si="1"/>
        <v>0</v>
      </c>
    </row>
    <row r="50" spans="1:18" ht="18" customHeight="1">
      <c r="A50" s="281" t="s">
        <v>1512</v>
      </c>
      <c r="B50" s="312">
        <v>1470</v>
      </c>
      <c r="C50" s="303">
        <v>98</v>
      </c>
      <c r="D50" s="303">
        <v>65</v>
      </c>
      <c r="E50" s="303">
        <v>146</v>
      </c>
      <c r="F50" s="303">
        <v>143</v>
      </c>
      <c r="G50" s="303">
        <v>55</v>
      </c>
      <c r="H50" s="303">
        <v>125</v>
      </c>
      <c r="I50" s="303">
        <v>41.9</v>
      </c>
      <c r="J50" s="303">
        <v>129</v>
      </c>
      <c r="K50" s="303">
        <v>25</v>
      </c>
      <c r="L50" s="303">
        <v>144.5</v>
      </c>
      <c r="M50" s="303">
        <v>280</v>
      </c>
      <c r="N50" s="303">
        <v>10</v>
      </c>
      <c r="O50" s="303">
        <v>35</v>
      </c>
      <c r="P50" s="303">
        <v>51</v>
      </c>
      <c r="Q50" s="303">
        <v>121</v>
      </c>
      <c r="R50" s="280">
        <f t="shared" si="1"/>
        <v>1469.4</v>
      </c>
    </row>
    <row r="51" spans="1:18" ht="22.5" hidden="1" customHeight="1">
      <c r="C51" s="278">
        <f t="shared" ref="C51:R51" si="4">SUM(C31:C50)</f>
        <v>257.39999999999998</v>
      </c>
      <c r="D51" s="278">
        <f t="shared" si="4"/>
        <v>835.04</v>
      </c>
      <c r="E51" s="278">
        <f t="shared" si="4"/>
        <v>860.63</v>
      </c>
      <c r="F51" s="279">
        <f t="shared" si="4"/>
        <v>4663.4399999999996</v>
      </c>
      <c r="G51" s="278">
        <f t="shared" si="4"/>
        <v>644.74</v>
      </c>
      <c r="H51" s="278">
        <f t="shared" si="4"/>
        <v>771.23</v>
      </c>
      <c r="I51" s="278">
        <f t="shared" si="4"/>
        <v>361.76</v>
      </c>
      <c r="J51" s="278">
        <f t="shared" si="4"/>
        <v>507.55</v>
      </c>
      <c r="K51" s="278">
        <f t="shared" si="4"/>
        <v>87</v>
      </c>
      <c r="L51" s="278">
        <f t="shared" si="4"/>
        <v>897.87</v>
      </c>
      <c r="M51" s="278">
        <f t="shared" si="4"/>
        <v>723.28</v>
      </c>
      <c r="N51" s="278">
        <f t="shared" si="4"/>
        <v>360.43</v>
      </c>
      <c r="O51" s="278">
        <f t="shared" si="4"/>
        <v>262</v>
      </c>
      <c r="P51" s="278">
        <f t="shared" si="4"/>
        <v>229</v>
      </c>
      <c r="Q51" s="278">
        <f t="shared" si="4"/>
        <v>855.17</v>
      </c>
      <c r="R51" s="278">
        <f t="shared" si="4"/>
        <v>12316.53</v>
      </c>
    </row>
    <row r="53" spans="1:18">
      <c r="A53" s="16" t="s">
        <v>2093</v>
      </c>
    </row>
  </sheetData>
  <mergeCells count="1">
    <mergeCell ref="A2:Q2"/>
  </mergeCells>
  <phoneticPr fontId="38" type="noConversion"/>
  <pageMargins left="0.75" right="0.75" top="1" bottom="1" header="0.5" footer="0.5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7"/>
  <sheetViews>
    <sheetView topLeftCell="A19" workbookViewId="0">
      <selection activeCell="C25" sqref="C25"/>
    </sheetView>
  </sheetViews>
  <sheetFormatPr defaultRowHeight="14.25"/>
  <cols>
    <col min="1" max="1" width="38.875" style="287" customWidth="1"/>
    <col min="2" max="2" width="30.625" style="287" customWidth="1"/>
    <col min="3" max="4" width="16.625" style="249" customWidth="1"/>
    <col min="5" max="16384" width="9" style="249"/>
  </cols>
  <sheetData>
    <row r="1" spans="1:2">
      <c r="A1" s="249" t="s">
        <v>1769</v>
      </c>
    </row>
    <row r="2" spans="1:2" ht="23.25" customHeight="1">
      <c r="A2" s="395" t="s">
        <v>1768</v>
      </c>
      <c r="B2" s="395"/>
    </row>
    <row r="3" spans="1:2" ht="28.5" customHeight="1">
      <c r="A3" s="291"/>
      <c r="B3" s="290" t="s">
        <v>1767</v>
      </c>
    </row>
    <row r="4" spans="1:2" ht="21.95" customHeight="1">
      <c r="A4" s="289" t="s">
        <v>412</v>
      </c>
      <c r="B4" s="289" t="s">
        <v>1766</v>
      </c>
    </row>
    <row r="5" spans="1:2" ht="21.95" customHeight="1">
      <c r="A5" s="288" t="s">
        <v>413</v>
      </c>
      <c r="B5" s="319"/>
    </row>
    <row r="6" spans="1:2" ht="21.95" customHeight="1">
      <c r="A6" s="288" t="s">
        <v>414</v>
      </c>
      <c r="B6" s="320">
        <v>2092.61</v>
      </c>
    </row>
    <row r="7" spans="1:2" ht="21.95" customHeight="1">
      <c r="A7" s="288" t="s">
        <v>1765</v>
      </c>
      <c r="B7" s="320">
        <v>177.06</v>
      </c>
    </row>
    <row r="8" spans="1:2" ht="21.95" customHeight="1">
      <c r="A8" s="288" t="s">
        <v>1764</v>
      </c>
      <c r="B8" s="320">
        <v>1337.46</v>
      </c>
    </row>
    <row r="9" spans="1:2" ht="21.95" customHeight="1">
      <c r="A9" s="288" t="s">
        <v>415</v>
      </c>
      <c r="B9" s="320">
        <v>182.21</v>
      </c>
    </row>
    <row r="10" spans="1:2" ht="21.95" customHeight="1">
      <c r="A10" s="288" t="s">
        <v>1763</v>
      </c>
      <c r="B10" s="320">
        <v>1155.25</v>
      </c>
    </row>
    <row r="11" spans="1:2" ht="21.95" customHeight="1">
      <c r="A11" s="288" t="s">
        <v>1762</v>
      </c>
      <c r="B11" s="320">
        <v>578.09</v>
      </c>
    </row>
    <row r="12" spans="1:2" ht="21.95" customHeight="1">
      <c r="A12" s="288" t="s">
        <v>416</v>
      </c>
      <c r="B12" s="320">
        <v>578.09</v>
      </c>
    </row>
    <row r="13" spans="1:2" ht="21.95" customHeight="1">
      <c r="A13" s="288" t="s">
        <v>1761</v>
      </c>
      <c r="B13" s="320">
        <v>0</v>
      </c>
    </row>
    <row r="14" spans="1:2" ht="21.95" customHeight="1">
      <c r="A14" s="288" t="s">
        <v>417</v>
      </c>
      <c r="B14" s="320">
        <v>0</v>
      </c>
    </row>
    <row r="15" spans="1:2" ht="21.95" customHeight="1">
      <c r="A15" s="288" t="s">
        <v>418</v>
      </c>
      <c r="B15" s="321"/>
    </row>
    <row r="16" spans="1:2" ht="21.95" customHeight="1">
      <c r="A16" s="288" t="s">
        <v>1760</v>
      </c>
      <c r="B16" s="320">
        <v>43</v>
      </c>
    </row>
    <row r="17" spans="1:4" ht="21.95" customHeight="1">
      <c r="A17" s="288" t="s">
        <v>1759</v>
      </c>
      <c r="B17" s="320">
        <v>137</v>
      </c>
    </row>
    <row r="18" spans="1:4" ht="21.95" customHeight="1">
      <c r="A18" s="288" t="s">
        <v>1758</v>
      </c>
      <c r="B18" s="320">
        <v>8</v>
      </c>
    </row>
    <row r="19" spans="1:4" ht="21.95" customHeight="1">
      <c r="A19" s="288" t="s">
        <v>1757</v>
      </c>
      <c r="B19" s="320">
        <v>441</v>
      </c>
    </row>
    <row r="20" spans="1:4" ht="21.95" customHeight="1">
      <c r="A20" s="288" t="s">
        <v>1756</v>
      </c>
      <c r="B20" s="320">
        <v>3446</v>
      </c>
    </row>
    <row r="21" spans="1:4" ht="21.95" customHeight="1">
      <c r="A21" s="288" t="s">
        <v>1755</v>
      </c>
      <c r="B21" s="320">
        <v>4</v>
      </c>
    </row>
    <row r="22" spans="1:4" ht="21.95" customHeight="1">
      <c r="A22" s="288" t="s">
        <v>1754</v>
      </c>
      <c r="B22" s="320">
        <v>48699</v>
      </c>
    </row>
    <row r="23" spans="1:4" ht="21.95" customHeight="1">
      <c r="A23" s="288" t="s">
        <v>1753</v>
      </c>
      <c r="B23" s="320">
        <v>384</v>
      </c>
    </row>
    <row r="24" spans="1:4" ht="21.95" customHeight="1">
      <c r="A24" s="288" t="s">
        <v>1752</v>
      </c>
      <c r="B24" s="320">
        <v>0</v>
      </c>
    </row>
    <row r="25" spans="1:4" ht="21.95" customHeight="1">
      <c r="A25" s="288" t="s">
        <v>1751</v>
      </c>
      <c r="B25" s="320">
        <v>0</v>
      </c>
    </row>
    <row r="26" spans="1:4" ht="51.75" customHeight="1">
      <c r="A26" s="396" t="s">
        <v>1750</v>
      </c>
      <c r="B26" s="397"/>
    </row>
    <row r="27" spans="1:4" ht="99" customHeight="1">
      <c r="A27" s="377" t="s">
        <v>1975</v>
      </c>
      <c r="B27" s="377"/>
      <c r="C27" s="377"/>
      <c r="D27" s="377"/>
    </row>
  </sheetData>
  <mergeCells count="3">
    <mergeCell ref="A2:B2"/>
    <mergeCell ref="A26:B26"/>
    <mergeCell ref="A27:D27"/>
  </mergeCells>
  <phoneticPr fontId="38" type="noConversion"/>
  <pageMargins left="0.75" right="0.75" top="1" bottom="1" header="0.5" footer="0.5"/>
  <pageSetup paperSize="9" orientation="landscape" verticalDpi="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27"/>
  <sheetViews>
    <sheetView workbookViewId="0">
      <selection activeCell="B5" sqref="B5:E27"/>
    </sheetView>
  </sheetViews>
  <sheetFormatPr defaultRowHeight="14.25"/>
  <cols>
    <col min="1" max="1" width="39.25" style="249" customWidth="1"/>
    <col min="2" max="2" width="12.625" style="249" customWidth="1"/>
    <col min="3" max="3" width="11.5" style="249" customWidth="1"/>
    <col min="4" max="4" width="11.875" style="249" customWidth="1"/>
    <col min="5" max="5" width="12.875" style="249" customWidth="1"/>
    <col min="6" max="6" width="0" style="249" hidden="1" customWidth="1"/>
    <col min="7" max="16384" width="9" style="249"/>
  </cols>
  <sheetData>
    <row r="1" spans="1:6">
      <c r="A1" s="249" t="s">
        <v>1787</v>
      </c>
    </row>
    <row r="2" spans="1:6" ht="30" customHeight="1">
      <c r="A2" s="392" t="s">
        <v>1786</v>
      </c>
      <c r="B2" s="392"/>
      <c r="C2" s="392"/>
      <c r="D2" s="392"/>
      <c r="E2" s="392"/>
    </row>
    <row r="3" spans="1:6">
      <c r="E3" s="249" t="s">
        <v>109</v>
      </c>
    </row>
    <row r="4" spans="1:6" ht="33" customHeight="1">
      <c r="A4" s="255" t="s">
        <v>242</v>
      </c>
      <c r="B4" s="255" t="s">
        <v>585</v>
      </c>
      <c r="C4" s="255" t="s">
        <v>409</v>
      </c>
      <c r="D4" s="255" t="s">
        <v>562</v>
      </c>
      <c r="E4" s="255" t="s">
        <v>561</v>
      </c>
      <c r="F4" s="249" t="s">
        <v>584</v>
      </c>
    </row>
    <row r="5" spans="1:6">
      <c r="A5" s="252" t="s">
        <v>1785</v>
      </c>
      <c r="B5" s="317"/>
      <c r="C5" s="317"/>
      <c r="D5" s="318"/>
      <c r="E5" s="318"/>
    </row>
    <row r="6" spans="1:6">
      <c r="A6" s="252" t="s">
        <v>1784</v>
      </c>
      <c r="B6" s="317"/>
      <c r="C6" s="317"/>
      <c r="D6" s="317"/>
      <c r="E6" s="317"/>
    </row>
    <row r="7" spans="1:6">
      <c r="A7" s="252" t="s">
        <v>1783</v>
      </c>
      <c r="B7" s="317">
        <v>560</v>
      </c>
      <c r="C7" s="317">
        <v>622</v>
      </c>
      <c r="D7" s="318">
        <f>C7/B7*100</f>
        <v>111.07</v>
      </c>
      <c r="E7" s="318">
        <f>C7/F7*100</f>
        <v>110.48</v>
      </c>
      <c r="F7" s="249">
        <v>563</v>
      </c>
    </row>
    <row r="8" spans="1:6">
      <c r="A8" s="252" t="s">
        <v>1782</v>
      </c>
      <c r="B8" s="317"/>
      <c r="C8" s="317">
        <v>6436</v>
      </c>
      <c r="D8" s="317"/>
      <c r="E8" s="317"/>
      <c r="F8" s="249">
        <v>6309</v>
      </c>
    </row>
    <row r="9" spans="1:6">
      <c r="A9" s="252" t="s">
        <v>1781</v>
      </c>
      <c r="B9" s="317"/>
      <c r="C9" s="317">
        <v>55</v>
      </c>
      <c r="D9" s="317"/>
      <c r="E9" s="317"/>
      <c r="F9" s="249">
        <v>385</v>
      </c>
    </row>
    <row r="10" spans="1:6">
      <c r="A10" s="252" t="s">
        <v>1780</v>
      </c>
      <c r="B10" s="317">
        <f>500000-20000</f>
        <v>480000</v>
      </c>
      <c r="C10" s="317">
        <v>143871</v>
      </c>
      <c r="D10" s="318">
        <f>C10/B10*100</f>
        <v>29.97</v>
      </c>
      <c r="E10" s="318">
        <f>C10/F10*100</f>
        <v>54.83</v>
      </c>
      <c r="F10" s="249">
        <v>262392</v>
      </c>
    </row>
    <row r="11" spans="1:6">
      <c r="A11" s="252" t="s">
        <v>1779</v>
      </c>
      <c r="B11" s="317"/>
      <c r="C11" s="317"/>
      <c r="D11" s="317"/>
      <c r="E11" s="317"/>
    </row>
    <row r="12" spans="1:6">
      <c r="A12" s="252" t="s">
        <v>1778</v>
      </c>
      <c r="B12" s="317">
        <f>390+700</f>
        <v>1090</v>
      </c>
      <c r="C12" s="317">
        <v>1122</v>
      </c>
      <c r="D12" s="317"/>
      <c r="E12" s="317"/>
      <c r="F12" s="249">
        <v>1160</v>
      </c>
    </row>
    <row r="13" spans="1:6">
      <c r="A13" s="252" t="s">
        <v>1777</v>
      </c>
      <c r="B13" s="317">
        <v>10000</v>
      </c>
      <c r="C13" s="317">
        <v>5645</v>
      </c>
      <c r="D13" s="318">
        <f>C13/B13*100</f>
        <v>56.45</v>
      </c>
      <c r="E13" s="318">
        <f>C13/F13*100</f>
        <v>81.45</v>
      </c>
      <c r="F13" s="249">
        <v>6931</v>
      </c>
    </row>
    <row r="14" spans="1:6">
      <c r="A14" s="252" t="s">
        <v>1776</v>
      </c>
      <c r="B14" s="317"/>
      <c r="C14" s="317"/>
      <c r="D14" s="317"/>
      <c r="E14" s="317"/>
    </row>
    <row r="15" spans="1:6">
      <c r="A15" s="252" t="s">
        <v>1775</v>
      </c>
      <c r="B15" s="317"/>
      <c r="C15" s="317"/>
      <c r="D15" s="317"/>
      <c r="E15" s="317"/>
    </row>
    <row r="16" spans="1:6">
      <c r="A16" s="252" t="s">
        <v>1774</v>
      </c>
      <c r="B16" s="317">
        <v>500</v>
      </c>
      <c r="C16" s="317">
        <v>990</v>
      </c>
      <c r="D16" s="317"/>
      <c r="E16" s="317"/>
      <c r="F16" s="249">
        <v>961</v>
      </c>
    </row>
    <row r="17" spans="1:6">
      <c r="A17" s="252" t="s">
        <v>1773</v>
      </c>
      <c r="B17" s="317"/>
      <c r="C17" s="317"/>
      <c r="D17" s="317"/>
      <c r="E17" s="317"/>
    </row>
    <row r="18" spans="1:6">
      <c r="A18" s="252" t="s">
        <v>1772</v>
      </c>
      <c r="B18" s="317">
        <v>683</v>
      </c>
      <c r="C18" s="317">
        <v>683</v>
      </c>
      <c r="D18" s="317"/>
      <c r="E18" s="317"/>
      <c r="F18" s="249">
        <f>192+1034+2764</f>
        <v>3990</v>
      </c>
    </row>
    <row r="19" spans="1:6">
      <c r="A19" s="252" t="s">
        <v>187</v>
      </c>
      <c r="B19" s="317">
        <f>SUM(B5:B18)</f>
        <v>492833</v>
      </c>
      <c r="C19" s="317">
        <f>SUM(C5:C18)</f>
        <v>159424</v>
      </c>
      <c r="D19" s="318">
        <f>C19/B19*100</f>
        <v>32.35</v>
      </c>
      <c r="E19" s="318">
        <f>C19/F19*100</f>
        <v>56.4</v>
      </c>
      <c r="F19" s="249">
        <f>SUM(F5:F18)</f>
        <v>282691</v>
      </c>
    </row>
    <row r="20" spans="1:6">
      <c r="A20" s="252" t="s">
        <v>188</v>
      </c>
      <c r="B20" s="317"/>
      <c r="C20" s="317"/>
      <c r="D20" s="317"/>
      <c r="E20" s="317"/>
    </row>
    <row r="21" spans="1:6">
      <c r="A21" s="252" t="s">
        <v>189</v>
      </c>
      <c r="B21" s="317"/>
      <c r="C21" s="317">
        <f>SUM(C22:C26)</f>
        <v>1113593</v>
      </c>
      <c r="D21" s="317"/>
      <c r="E21" s="317"/>
      <c r="F21" s="249">
        <f>SUM(F22:F26)</f>
        <v>1443712</v>
      </c>
    </row>
    <row r="22" spans="1:6">
      <c r="A22" s="252" t="s">
        <v>1771</v>
      </c>
      <c r="B22" s="317"/>
      <c r="C22" s="317">
        <v>5181</v>
      </c>
      <c r="D22" s="317"/>
      <c r="E22" s="317"/>
      <c r="F22" s="249">
        <v>2374</v>
      </c>
    </row>
    <row r="23" spans="1:6" hidden="1">
      <c r="A23" s="252" t="s">
        <v>1770</v>
      </c>
      <c r="B23" s="317"/>
      <c r="C23" s="317"/>
      <c r="D23" s="317"/>
      <c r="E23" s="317"/>
    </row>
    <row r="24" spans="1:6">
      <c r="A24" s="252" t="s">
        <v>347</v>
      </c>
      <c r="B24" s="317"/>
      <c r="C24" s="317">
        <f>3400+26740</f>
        <v>30140</v>
      </c>
      <c r="D24" s="317"/>
      <c r="E24" s="317"/>
      <c r="F24" s="249">
        <v>32682</v>
      </c>
    </row>
    <row r="25" spans="1:6">
      <c r="A25" s="252" t="s">
        <v>348</v>
      </c>
      <c r="B25" s="317"/>
      <c r="C25" s="317">
        <v>35668</v>
      </c>
      <c r="D25" s="317"/>
      <c r="E25" s="317"/>
      <c r="F25" s="249">
        <v>2891</v>
      </c>
    </row>
    <row r="26" spans="1:6">
      <c r="A26" s="252" t="s">
        <v>338</v>
      </c>
      <c r="B26" s="317"/>
      <c r="C26" s="317">
        <v>1042604</v>
      </c>
      <c r="D26" s="317"/>
      <c r="E26" s="317"/>
      <c r="F26" s="249">
        <v>1405765</v>
      </c>
    </row>
    <row r="27" spans="1:6" ht="21.75" customHeight="1">
      <c r="A27" s="252" t="s">
        <v>24</v>
      </c>
      <c r="B27" s="317">
        <f>B19+B20+B21</f>
        <v>492833</v>
      </c>
      <c r="C27" s="317">
        <f>C19+C20+C21</f>
        <v>1273017</v>
      </c>
      <c r="D27" s="318">
        <f>C27/B27*100</f>
        <v>258.31</v>
      </c>
      <c r="E27" s="318">
        <f>C27/F27*100</f>
        <v>73.739999999999995</v>
      </c>
      <c r="F27" s="249">
        <f>F19+F20+F21</f>
        <v>1726403</v>
      </c>
    </row>
  </sheetData>
  <mergeCells count="1">
    <mergeCell ref="A2:E2"/>
  </mergeCells>
  <phoneticPr fontId="38" type="noConversion"/>
  <pageMargins left="0.75" right="0.75" top="1" bottom="1" header="0.5" footer="0.5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23"/>
  <sheetViews>
    <sheetView topLeftCell="A10" workbookViewId="0">
      <selection activeCell="B5" sqref="B5:E23"/>
    </sheetView>
  </sheetViews>
  <sheetFormatPr defaultRowHeight="14.25"/>
  <cols>
    <col min="1" max="1" width="23.5" style="249" customWidth="1"/>
    <col min="2" max="2" width="10.875" style="249" customWidth="1"/>
    <col min="3" max="3" width="9" style="249"/>
    <col min="4" max="4" width="12.875" style="249" customWidth="1"/>
    <col min="5" max="5" width="14.125" style="249" customWidth="1"/>
    <col min="6" max="6" width="10.75" style="249" hidden="1" customWidth="1"/>
    <col min="7" max="16384" width="9" style="249"/>
  </cols>
  <sheetData>
    <row r="1" spans="1:6">
      <c r="A1" s="249" t="s">
        <v>1789</v>
      </c>
    </row>
    <row r="2" spans="1:6" ht="20.25">
      <c r="A2" s="392" t="s">
        <v>1788</v>
      </c>
      <c r="B2" s="392"/>
      <c r="C2" s="392"/>
      <c r="D2" s="392"/>
      <c r="E2" s="392"/>
    </row>
    <row r="3" spans="1:6">
      <c r="E3" s="249" t="s">
        <v>109</v>
      </c>
    </row>
    <row r="4" spans="1:6" ht="34.5" customHeight="1">
      <c r="A4" s="255" t="s">
        <v>242</v>
      </c>
      <c r="B4" s="255" t="s">
        <v>585</v>
      </c>
      <c r="C4" s="255" t="s">
        <v>409</v>
      </c>
      <c r="D4" s="255" t="s">
        <v>562</v>
      </c>
      <c r="E4" s="255" t="s">
        <v>561</v>
      </c>
      <c r="F4" s="277" t="s">
        <v>584</v>
      </c>
    </row>
    <row r="5" spans="1:6" ht="21.95" customHeight="1">
      <c r="A5" s="252" t="s">
        <v>192</v>
      </c>
      <c r="B5" s="317"/>
      <c r="C5" s="317"/>
      <c r="D5" s="317"/>
      <c r="E5" s="317"/>
    </row>
    <row r="6" spans="1:6" ht="21.95" customHeight="1">
      <c r="A6" s="252" t="s">
        <v>193</v>
      </c>
      <c r="B6" s="317">
        <v>307</v>
      </c>
      <c r="C6" s="317">
        <v>307</v>
      </c>
      <c r="D6" s="318">
        <f>C6/B6*100</f>
        <v>100</v>
      </c>
      <c r="E6" s="318">
        <f>C6/F6*100</f>
        <v>383.75</v>
      </c>
      <c r="F6" s="249">
        <v>80</v>
      </c>
    </row>
    <row r="7" spans="1:6" ht="21.95" customHeight="1">
      <c r="A7" s="252" t="s">
        <v>194</v>
      </c>
      <c r="B7" s="317"/>
      <c r="C7" s="317"/>
      <c r="D7" s="317"/>
      <c r="E7" s="317"/>
    </row>
    <row r="8" spans="1:6" ht="21.95" customHeight="1">
      <c r="A8" s="252" t="s">
        <v>195</v>
      </c>
      <c r="B8" s="317">
        <v>116856</v>
      </c>
      <c r="C8" s="317">
        <v>104908</v>
      </c>
      <c r="D8" s="318">
        <f>C8/B8*100</f>
        <v>89.78</v>
      </c>
      <c r="E8" s="318">
        <f>C8/F8*100</f>
        <v>45.92</v>
      </c>
      <c r="F8" s="249">
        <v>228463</v>
      </c>
    </row>
    <row r="9" spans="1:6" ht="21.95" customHeight="1">
      <c r="A9" s="252" t="s">
        <v>196</v>
      </c>
      <c r="B9" s="317">
        <v>687</v>
      </c>
      <c r="C9" s="317">
        <v>675</v>
      </c>
      <c r="D9" s="318">
        <f>C9/B9*100</f>
        <v>98.25</v>
      </c>
      <c r="E9" s="318">
        <f>C9/F9*100</f>
        <v>22.57</v>
      </c>
      <c r="F9" s="249">
        <v>2991</v>
      </c>
    </row>
    <row r="10" spans="1:6" ht="21.95" customHeight="1">
      <c r="A10" s="252" t="s">
        <v>197</v>
      </c>
      <c r="B10" s="317"/>
      <c r="C10" s="317"/>
      <c r="D10" s="317"/>
      <c r="E10" s="317"/>
    </row>
    <row r="11" spans="1:6" ht="21.95" customHeight="1">
      <c r="A11" s="252" t="s">
        <v>198</v>
      </c>
      <c r="B11" s="317">
        <v>59</v>
      </c>
      <c r="C11" s="317">
        <v>59</v>
      </c>
      <c r="D11" s="318">
        <f t="shared" ref="D11:D16" si="0">C11/B11*100</f>
        <v>100</v>
      </c>
      <c r="E11" s="318"/>
    </row>
    <row r="12" spans="1:6" ht="21.95" customHeight="1">
      <c r="A12" s="252" t="s">
        <v>199</v>
      </c>
      <c r="B12" s="317">
        <v>340</v>
      </c>
      <c r="C12" s="317">
        <v>200</v>
      </c>
      <c r="D12" s="318">
        <f t="shared" si="0"/>
        <v>58.82</v>
      </c>
      <c r="E12" s="318"/>
    </row>
    <row r="13" spans="1:6" ht="21.95" customHeight="1">
      <c r="A13" s="252" t="s">
        <v>200</v>
      </c>
      <c r="B13" s="317">
        <v>5098</v>
      </c>
      <c r="C13" s="317">
        <v>1964</v>
      </c>
      <c r="D13" s="318">
        <f t="shared" si="0"/>
        <v>38.520000000000003</v>
      </c>
      <c r="E13" s="318">
        <f>C13/F13*100</f>
        <v>53.44</v>
      </c>
      <c r="F13" s="249">
        <v>3675</v>
      </c>
    </row>
    <row r="14" spans="1:6" ht="21.95" customHeight="1">
      <c r="A14" s="252" t="s">
        <v>201</v>
      </c>
      <c r="B14" s="317">
        <v>52212</v>
      </c>
      <c r="C14" s="317">
        <v>52212</v>
      </c>
      <c r="D14" s="318">
        <f t="shared" si="0"/>
        <v>100</v>
      </c>
      <c r="E14" s="318"/>
    </row>
    <row r="15" spans="1:6" ht="21.95" customHeight="1">
      <c r="A15" s="252" t="s">
        <v>202</v>
      </c>
      <c r="B15" s="317">
        <v>1150</v>
      </c>
      <c r="C15" s="317">
        <v>1150</v>
      </c>
      <c r="D15" s="318">
        <f t="shared" si="0"/>
        <v>100</v>
      </c>
      <c r="E15" s="318">
        <f>C15/F15*100</f>
        <v>283.25</v>
      </c>
      <c r="F15" s="249">
        <v>406</v>
      </c>
    </row>
    <row r="16" spans="1:6" ht="21.95" customHeight="1">
      <c r="A16" s="252" t="s">
        <v>203</v>
      </c>
      <c r="B16" s="317">
        <f>SUM(B5:B15)</f>
        <v>176709</v>
      </c>
      <c r="C16" s="317">
        <f>SUM(C5:C15)</f>
        <v>161475</v>
      </c>
      <c r="D16" s="318">
        <f t="shared" si="0"/>
        <v>91.38</v>
      </c>
      <c r="E16" s="318">
        <f>C16/F16*100</f>
        <v>68.53</v>
      </c>
      <c r="F16" s="249">
        <f>SUM(F5:F15)</f>
        <v>235615</v>
      </c>
    </row>
    <row r="17" spans="1:6" ht="21.95" customHeight="1">
      <c r="A17" s="252" t="s">
        <v>93</v>
      </c>
      <c r="B17" s="317"/>
      <c r="C17" s="317">
        <v>1046004</v>
      </c>
      <c r="D17" s="318"/>
      <c r="E17" s="318">
        <f>C17/F17*100</f>
        <v>76.510000000000005</v>
      </c>
      <c r="F17" s="249">
        <v>1367100</v>
      </c>
    </row>
    <row r="18" spans="1:6" ht="21.95" hidden="1" customHeight="1">
      <c r="A18" s="252" t="s">
        <v>342</v>
      </c>
      <c r="B18" s="317"/>
      <c r="C18" s="317"/>
      <c r="D18" s="317"/>
      <c r="E18" s="317"/>
    </row>
    <row r="19" spans="1:6" ht="21.95" customHeight="1">
      <c r="A19" s="252" t="s">
        <v>344</v>
      </c>
      <c r="B19" s="317"/>
      <c r="C19" s="317">
        <v>305</v>
      </c>
      <c r="D19" s="318"/>
      <c r="E19" s="318"/>
    </row>
    <row r="20" spans="1:6" ht="21.95" customHeight="1">
      <c r="A20" s="252" t="s">
        <v>334</v>
      </c>
      <c r="B20" s="317"/>
      <c r="C20" s="317">
        <v>49999</v>
      </c>
      <c r="D20" s="318"/>
      <c r="E20" s="318">
        <f>C20/F20*100</f>
        <v>53.45</v>
      </c>
      <c r="F20" s="249">
        <v>93548</v>
      </c>
    </row>
    <row r="21" spans="1:6" ht="21.95" hidden="1" customHeight="1">
      <c r="A21" s="252" t="s">
        <v>332</v>
      </c>
      <c r="B21" s="317"/>
      <c r="C21" s="317"/>
      <c r="D21" s="317"/>
      <c r="E21" s="317"/>
    </row>
    <row r="22" spans="1:6" ht="21.95" customHeight="1">
      <c r="A22" s="252" t="s">
        <v>336</v>
      </c>
      <c r="B22" s="317"/>
      <c r="C22" s="317">
        <v>15234</v>
      </c>
      <c r="D22" s="318"/>
      <c r="E22" s="318">
        <f>C22/F22*100</f>
        <v>50.54</v>
      </c>
      <c r="F22" s="249">
        <v>30140</v>
      </c>
    </row>
    <row r="23" spans="1:6" ht="21.95" customHeight="1">
      <c r="A23" s="252" t="s">
        <v>25</v>
      </c>
      <c r="B23" s="317"/>
      <c r="C23" s="317">
        <f>SUM(C16:C22)</f>
        <v>1273017</v>
      </c>
      <c r="D23" s="318"/>
      <c r="E23" s="318">
        <f>C23/F23*100</f>
        <v>73.739999999999995</v>
      </c>
      <c r="F23" s="249">
        <f>SUM(F16:F22)</f>
        <v>1726403</v>
      </c>
    </row>
  </sheetData>
  <mergeCells count="1">
    <mergeCell ref="A2:E2"/>
  </mergeCells>
  <phoneticPr fontId="38" type="noConversion"/>
  <pageMargins left="0.75" right="0.75" top="1" bottom="1" header="0.5" footer="0.5"/>
  <pageSetup paperSize="9" orientation="landscape" verticalDpi="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27"/>
  <sheetViews>
    <sheetView topLeftCell="A22" workbookViewId="0">
      <selection activeCell="B5" sqref="B5:E27"/>
    </sheetView>
  </sheetViews>
  <sheetFormatPr defaultRowHeight="14.25"/>
  <cols>
    <col min="1" max="1" width="37.125" style="249" customWidth="1"/>
    <col min="2" max="2" width="10.875" style="249" customWidth="1"/>
    <col min="3" max="3" width="13.625" style="249" customWidth="1"/>
    <col min="4" max="4" width="12.5" style="249" customWidth="1"/>
    <col min="5" max="5" width="12.875" style="249" customWidth="1"/>
    <col min="6" max="6" width="0" style="249" hidden="1" customWidth="1"/>
    <col min="7" max="16384" width="9" style="249"/>
  </cols>
  <sheetData>
    <row r="1" spans="1:6">
      <c r="A1" s="249" t="s">
        <v>1791</v>
      </c>
    </row>
    <row r="2" spans="1:6" ht="20.25">
      <c r="A2" s="392" t="s">
        <v>1790</v>
      </c>
      <c r="B2" s="392"/>
      <c r="C2" s="392"/>
      <c r="D2" s="392"/>
      <c r="E2" s="392"/>
    </row>
    <row r="3" spans="1:6">
      <c r="E3" s="249" t="s">
        <v>109</v>
      </c>
    </row>
    <row r="4" spans="1:6" ht="38.25" customHeight="1">
      <c r="A4" s="255" t="s">
        <v>242</v>
      </c>
      <c r="B4" s="255" t="s">
        <v>585</v>
      </c>
      <c r="C4" s="255" t="s">
        <v>409</v>
      </c>
      <c r="D4" s="255" t="s">
        <v>562</v>
      </c>
      <c r="E4" s="255" t="s">
        <v>561</v>
      </c>
      <c r="F4" s="249" t="s">
        <v>584</v>
      </c>
    </row>
    <row r="5" spans="1:6" ht="21.95" customHeight="1">
      <c r="A5" s="252" t="s">
        <v>1785</v>
      </c>
      <c r="B5" s="317"/>
      <c r="C5" s="317"/>
      <c r="D5" s="318"/>
      <c r="E5" s="318"/>
    </row>
    <row r="6" spans="1:6" ht="21.95" customHeight="1">
      <c r="A6" s="252" t="s">
        <v>1784</v>
      </c>
      <c r="B6" s="317"/>
      <c r="C6" s="317"/>
      <c r="D6" s="317"/>
      <c r="E6" s="317"/>
    </row>
    <row r="7" spans="1:6" ht="21.95" customHeight="1">
      <c r="A7" s="252" t="s">
        <v>1783</v>
      </c>
      <c r="B7" s="317">
        <v>560</v>
      </c>
      <c r="C7" s="317">
        <v>622</v>
      </c>
      <c r="D7" s="318">
        <f>C7/B7*100</f>
        <v>111.07</v>
      </c>
      <c r="E7" s="318">
        <f>C7/F7*100</f>
        <v>110.48</v>
      </c>
      <c r="F7" s="249">
        <v>563</v>
      </c>
    </row>
    <row r="8" spans="1:6" ht="21.95" customHeight="1">
      <c r="A8" s="252" t="s">
        <v>1782</v>
      </c>
      <c r="B8" s="317"/>
      <c r="C8" s="317">
        <v>6436</v>
      </c>
      <c r="D8" s="317"/>
      <c r="E8" s="317"/>
      <c r="F8" s="249">
        <v>6309</v>
      </c>
    </row>
    <row r="9" spans="1:6" ht="21.95" customHeight="1">
      <c r="A9" s="252" t="s">
        <v>1781</v>
      </c>
      <c r="B9" s="317"/>
      <c r="C9" s="317">
        <v>55</v>
      </c>
      <c r="D9" s="317"/>
      <c r="E9" s="317"/>
      <c r="F9" s="249">
        <v>385</v>
      </c>
    </row>
    <row r="10" spans="1:6" ht="21.95" customHeight="1">
      <c r="A10" s="252" t="s">
        <v>1780</v>
      </c>
      <c r="B10" s="317">
        <f>500000-20000</f>
        <v>480000</v>
      </c>
      <c r="C10" s="317">
        <v>143871</v>
      </c>
      <c r="D10" s="318">
        <f>C10/B10*100</f>
        <v>29.97</v>
      </c>
      <c r="E10" s="318">
        <f>C10/F10*100</f>
        <v>54.83</v>
      </c>
      <c r="F10" s="249">
        <v>262392</v>
      </c>
    </row>
    <row r="11" spans="1:6" ht="21.95" customHeight="1">
      <c r="A11" s="252" t="s">
        <v>1779</v>
      </c>
      <c r="B11" s="317"/>
      <c r="C11" s="317"/>
      <c r="D11" s="317"/>
      <c r="E11" s="317"/>
    </row>
    <row r="12" spans="1:6" ht="21.95" customHeight="1">
      <c r="A12" s="252" t="s">
        <v>1778</v>
      </c>
      <c r="B12" s="317">
        <f>390+700</f>
        <v>1090</v>
      </c>
      <c r="C12" s="317">
        <v>1122</v>
      </c>
      <c r="D12" s="317"/>
      <c r="E12" s="317"/>
      <c r="F12" s="249">
        <v>1160</v>
      </c>
    </row>
    <row r="13" spans="1:6" ht="21.95" customHeight="1">
      <c r="A13" s="252" t="s">
        <v>1777</v>
      </c>
      <c r="B13" s="317">
        <v>10000</v>
      </c>
      <c r="C13" s="317">
        <v>5645</v>
      </c>
      <c r="D13" s="318">
        <f>C13/B13*100</f>
        <v>56.45</v>
      </c>
      <c r="E13" s="318">
        <f>C13/F13*100</f>
        <v>81.45</v>
      </c>
      <c r="F13" s="249">
        <v>6931</v>
      </c>
    </row>
    <row r="14" spans="1:6" ht="21.95" customHeight="1">
      <c r="A14" s="252" t="s">
        <v>1776</v>
      </c>
      <c r="B14" s="317"/>
      <c r="C14" s="317"/>
      <c r="D14" s="317"/>
      <c r="E14" s="317"/>
    </row>
    <row r="15" spans="1:6" ht="21.95" customHeight="1">
      <c r="A15" s="252" t="s">
        <v>1775</v>
      </c>
      <c r="B15" s="317"/>
      <c r="C15" s="317"/>
      <c r="D15" s="317"/>
      <c r="E15" s="317"/>
    </row>
    <row r="16" spans="1:6" ht="21.95" customHeight="1">
      <c r="A16" s="252" t="s">
        <v>1774</v>
      </c>
      <c r="B16" s="317">
        <v>500</v>
      </c>
      <c r="C16" s="317">
        <v>990</v>
      </c>
      <c r="D16" s="317"/>
      <c r="E16" s="317"/>
      <c r="F16" s="249">
        <v>961</v>
      </c>
    </row>
    <row r="17" spans="1:6" ht="21.95" customHeight="1">
      <c r="A17" s="252" t="s">
        <v>1773</v>
      </c>
      <c r="B17" s="317"/>
      <c r="C17" s="317"/>
      <c r="D17" s="317"/>
      <c r="E17" s="317"/>
    </row>
    <row r="18" spans="1:6" ht="21.95" customHeight="1">
      <c r="A18" s="252" t="s">
        <v>1772</v>
      </c>
      <c r="B18" s="317">
        <v>683</v>
      </c>
      <c r="C18" s="317">
        <v>683</v>
      </c>
      <c r="D18" s="317"/>
      <c r="E18" s="317"/>
      <c r="F18" s="249">
        <f>192+1034+2764</f>
        <v>3990</v>
      </c>
    </row>
    <row r="19" spans="1:6" ht="21.95" customHeight="1">
      <c r="A19" s="252" t="s">
        <v>187</v>
      </c>
      <c r="B19" s="317">
        <f>SUM(B5:B18)</f>
        <v>492833</v>
      </c>
      <c r="C19" s="317">
        <f>SUM(C5:C18)</f>
        <v>159424</v>
      </c>
      <c r="D19" s="318">
        <f>C19/B19*100</f>
        <v>32.35</v>
      </c>
      <c r="E19" s="318">
        <f>C19/F19*100</f>
        <v>56.4</v>
      </c>
      <c r="F19" s="249">
        <f>SUM(F5:F18)</f>
        <v>282691</v>
      </c>
    </row>
    <row r="20" spans="1:6" ht="21.95" customHeight="1">
      <c r="A20" s="252" t="s">
        <v>188</v>
      </c>
      <c r="B20" s="317"/>
      <c r="C20" s="317"/>
      <c r="D20" s="317"/>
      <c r="E20" s="317"/>
    </row>
    <row r="21" spans="1:6" ht="21.95" customHeight="1">
      <c r="A21" s="252" t="s">
        <v>189</v>
      </c>
      <c r="B21" s="317"/>
      <c r="C21" s="317">
        <f>SUM(C22:C26)</f>
        <v>1112577</v>
      </c>
      <c r="D21" s="317"/>
      <c r="E21" s="317"/>
      <c r="F21" s="249">
        <f>SUM(F22:F26)</f>
        <v>1439462</v>
      </c>
    </row>
    <row r="22" spans="1:6" ht="21.95" customHeight="1">
      <c r="A22" s="252" t="s">
        <v>1771</v>
      </c>
      <c r="B22" s="317"/>
      <c r="C22" s="317">
        <v>5181</v>
      </c>
      <c r="D22" s="317"/>
      <c r="E22" s="317"/>
      <c r="F22" s="249">
        <v>2374</v>
      </c>
    </row>
    <row r="23" spans="1:6" ht="21.95" customHeight="1">
      <c r="A23" s="252" t="s">
        <v>1770</v>
      </c>
      <c r="B23" s="317"/>
      <c r="C23" s="317"/>
      <c r="D23" s="317"/>
      <c r="E23" s="317"/>
    </row>
    <row r="24" spans="1:6" ht="21.95" customHeight="1">
      <c r="A24" s="252" t="s">
        <v>347</v>
      </c>
      <c r="B24" s="317"/>
      <c r="C24" s="317">
        <f>3400+25724</f>
        <v>29124</v>
      </c>
      <c r="D24" s="317"/>
      <c r="E24" s="317"/>
      <c r="F24" s="249">
        <v>31190</v>
      </c>
    </row>
    <row r="25" spans="1:6" ht="21.95" customHeight="1">
      <c r="A25" s="252" t="s">
        <v>348</v>
      </c>
      <c r="B25" s="317"/>
      <c r="C25" s="317">
        <v>35668</v>
      </c>
      <c r="D25" s="317"/>
      <c r="E25" s="317"/>
      <c r="F25" s="249">
        <v>133</v>
      </c>
    </row>
    <row r="26" spans="1:6" ht="21.95" customHeight="1">
      <c r="A26" s="252" t="s">
        <v>338</v>
      </c>
      <c r="B26" s="317"/>
      <c r="C26" s="317">
        <v>1042604</v>
      </c>
      <c r="D26" s="317"/>
      <c r="E26" s="317"/>
      <c r="F26" s="249">
        <v>1405765</v>
      </c>
    </row>
    <row r="27" spans="1:6" ht="21.95" customHeight="1">
      <c r="A27" s="252" t="s">
        <v>24</v>
      </c>
      <c r="B27" s="317"/>
      <c r="C27" s="317">
        <f>C19+C20+C21</f>
        <v>1272001</v>
      </c>
      <c r="D27" s="318"/>
      <c r="E27" s="318">
        <f>C27/F27*100</f>
        <v>73.86</v>
      </c>
      <c r="F27" s="249">
        <f>F19+F20+F21</f>
        <v>1722153</v>
      </c>
    </row>
  </sheetData>
  <mergeCells count="1">
    <mergeCell ref="A2:E2"/>
  </mergeCells>
  <phoneticPr fontId="38" type="noConversion"/>
  <pageMargins left="0.75" right="0.75" top="1" bottom="1" header="0.5" footer="0.5"/>
  <pageSetup paperSize="9" orientation="landscape" verticalDpi="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61"/>
  <sheetViews>
    <sheetView workbookViewId="0">
      <selection activeCell="B10" sqref="B10:E61"/>
    </sheetView>
  </sheetViews>
  <sheetFormatPr defaultRowHeight="14.25"/>
  <cols>
    <col min="1" max="1" width="44.75" style="249" customWidth="1"/>
    <col min="2" max="2" width="12.125" style="249" customWidth="1"/>
    <col min="3" max="3" width="10.875" style="249" customWidth="1"/>
    <col min="4" max="4" width="11.25" style="249" customWidth="1"/>
    <col min="5" max="5" width="12.25" style="249" customWidth="1"/>
    <col min="6" max="6" width="12.625" style="249" hidden="1" customWidth="1"/>
    <col min="7" max="16384" width="9" style="249"/>
  </cols>
  <sheetData>
    <row r="1" spans="1:6" ht="23.25" customHeight="1">
      <c r="A1" s="249" t="s">
        <v>1821</v>
      </c>
    </row>
    <row r="2" spans="1:6" ht="20.25">
      <c r="A2" s="392" t="s">
        <v>1820</v>
      </c>
      <c r="B2" s="392"/>
      <c r="C2" s="392"/>
      <c r="D2" s="392"/>
      <c r="E2" s="392"/>
      <c r="F2" s="392"/>
    </row>
    <row r="3" spans="1:6" ht="24" customHeight="1">
      <c r="E3" s="249" t="s">
        <v>109</v>
      </c>
    </row>
    <row r="4" spans="1:6" ht="39.75" customHeight="1">
      <c r="A4" s="239" t="s">
        <v>242</v>
      </c>
      <c r="B4" s="239" t="s">
        <v>585</v>
      </c>
      <c r="C4" s="239" t="s">
        <v>409</v>
      </c>
      <c r="D4" s="255" t="s">
        <v>562</v>
      </c>
      <c r="E4" s="255" t="s">
        <v>561</v>
      </c>
      <c r="F4" s="239" t="s">
        <v>584</v>
      </c>
    </row>
    <row r="5" spans="1:6" hidden="1">
      <c r="A5" s="294" t="s">
        <v>1819</v>
      </c>
      <c r="B5" s="263">
        <f>SUM(B6,B8,B10,B13,B16,B24,B30,B37,B41,B43,B47,B52,B53)</f>
        <v>168353</v>
      </c>
      <c r="C5" s="263">
        <f>SUM(C6,C8,C10,C13,C16,C24,C30,C37,C41,C43,C47,C52,C53)</f>
        <v>156720</v>
      </c>
      <c r="D5" s="242">
        <f>C5/B5*100</f>
        <v>93.09</v>
      </c>
      <c r="E5" s="242">
        <f>C5/F5*100</f>
        <v>66.650000000000006</v>
      </c>
      <c r="F5" s="263">
        <f>SUM(F6,F8,F10,F13,F16,F24,F30,F37,F41,F43,F47,F52,F53)</f>
        <v>235147</v>
      </c>
    </row>
    <row r="6" spans="1:6" hidden="1">
      <c r="A6" s="271" t="s">
        <v>1355</v>
      </c>
      <c r="B6" s="263">
        <f>B7</f>
        <v>0</v>
      </c>
      <c r="C6" s="263">
        <f>C7</f>
        <v>0</v>
      </c>
      <c r="D6" s="251"/>
      <c r="E6" s="251"/>
      <c r="F6" s="263">
        <f>F7</f>
        <v>0</v>
      </c>
    </row>
    <row r="7" spans="1:6" hidden="1">
      <c r="A7" s="241" t="s">
        <v>1818</v>
      </c>
      <c r="B7" s="293">
        <v>0</v>
      </c>
      <c r="C7" s="293">
        <v>0</v>
      </c>
      <c r="D7" s="251"/>
      <c r="E7" s="251"/>
      <c r="F7" s="293">
        <v>0</v>
      </c>
    </row>
    <row r="8" spans="1:6" hidden="1">
      <c r="A8" s="271" t="s">
        <v>1307</v>
      </c>
      <c r="B8" s="263">
        <f>B9</f>
        <v>0</v>
      </c>
      <c r="C8" s="263">
        <f>C9</f>
        <v>0</v>
      </c>
      <c r="D8" s="251"/>
      <c r="E8" s="251"/>
      <c r="F8" s="263">
        <f>F9</f>
        <v>0</v>
      </c>
    </row>
    <row r="9" spans="1:6" hidden="1">
      <c r="A9" s="241" t="s">
        <v>1817</v>
      </c>
      <c r="B9" s="293">
        <v>0</v>
      </c>
      <c r="C9" s="293">
        <v>0</v>
      </c>
      <c r="D9" s="251"/>
      <c r="E9" s="251"/>
      <c r="F9" s="293">
        <v>0</v>
      </c>
    </row>
    <row r="10" spans="1:6">
      <c r="A10" s="271" t="s">
        <v>1270</v>
      </c>
      <c r="B10" s="313">
        <f>SUM(B11:B12)</f>
        <v>307</v>
      </c>
      <c r="C10" s="313">
        <f>SUM(C11:C12)</f>
        <v>307</v>
      </c>
      <c r="D10" s="303">
        <f>C10/B10*100</f>
        <v>100</v>
      </c>
      <c r="E10" s="303">
        <f>C10/F10*100</f>
        <v>383.75</v>
      </c>
      <c r="F10" s="263">
        <f>SUM(F11:F12)</f>
        <v>80</v>
      </c>
    </row>
    <row r="11" spans="1:6">
      <c r="A11" s="241" t="s">
        <v>539</v>
      </c>
      <c r="B11" s="314">
        <v>289</v>
      </c>
      <c r="C11" s="314">
        <v>289</v>
      </c>
      <c r="D11" s="303">
        <f>C11/B11*100</f>
        <v>100</v>
      </c>
      <c r="E11" s="303">
        <f>C11/F11*100</f>
        <v>458.73</v>
      </c>
      <c r="F11" s="293">
        <v>63</v>
      </c>
    </row>
    <row r="12" spans="1:6">
      <c r="A12" s="241" t="s">
        <v>540</v>
      </c>
      <c r="B12" s="314">
        <v>18</v>
      </c>
      <c r="C12" s="314">
        <v>18</v>
      </c>
      <c r="D12" s="303">
        <f>C12/B12*100</f>
        <v>100</v>
      </c>
      <c r="E12" s="303">
        <f>C12/F12*100</f>
        <v>105.88</v>
      </c>
      <c r="F12" s="293">
        <v>17</v>
      </c>
    </row>
    <row r="13" spans="1:6" hidden="1">
      <c r="A13" s="271" t="s">
        <v>1110</v>
      </c>
      <c r="B13" s="313">
        <f>SUM(B14:B15)</f>
        <v>0</v>
      </c>
      <c r="C13" s="313">
        <f>SUM(C14:C15)</f>
        <v>0</v>
      </c>
      <c r="D13" s="302"/>
      <c r="E13" s="302"/>
      <c r="F13" s="263">
        <f>SUM(F14:F15)</f>
        <v>0</v>
      </c>
    </row>
    <row r="14" spans="1:6" hidden="1">
      <c r="A14" s="241" t="s">
        <v>1816</v>
      </c>
      <c r="B14" s="314">
        <v>0</v>
      </c>
      <c r="C14" s="314">
        <v>0</v>
      </c>
      <c r="D14" s="302"/>
      <c r="E14" s="302"/>
      <c r="F14" s="293">
        <v>0</v>
      </c>
    </row>
    <row r="15" spans="1:6" hidden="1">
      <c r="A15" s="241" t="s">
        <v>1815</v>
      </c>
      <c r="B15" s="314">
        <v>0</v>
      </c>
      <c r="C15" s="314">
        <v>0</v>
      </c>
      <c r="D15" s="302"/>
      <c r="E15" s="302"/>
      <c r="F15" s="293">
        <v>0</v>
      </c>
    </row>
    <row r="16" spans="1:6">
      <c r="A16" s="271" t="s">
        <v>1039</v>
      </c>
      <c r="B16" s="313">
        <f>SUM(B17:B23)</f>
        <v>109244</v>
      </c>
      <c r="C16" s="313">
        <f>SUM(C17:C23)</f>
        <v>100592</v>
      </c>
      <c r="D16" s="303">
        <f t="shared" ref="D16:D21" si="0">C16/B16*100</f>
        <v>92.08</v>
      </c>
      <c r="E16" s="303">
        <f t="shared" ref="E16:E21" si="1">C16/F16*100</f>
        <v>44.07</v>
      </c>
      <c r="F16" s="263">
        <f>SUM(F17:F23)</f>
        <v>228237</v>
      </c>
    </row>
    <row r="17" spans="1:6">
      <c r="A17" s="241" t="s">
        <v>1814</v>
      </c>
      <c r="B17" s="314">
        <v>98198</v>
      </c>
      <c r="C17" s="314">
        <v>92697</v>
      </c>
      <c r="D17" s="303">
        <f t="shared" si="0"/>
        <v>94.4</v>
      </c>
      <c r="E17" s="303">
        <f t="shared" si="1"/>
        <v>42.81</v>
      </c>
      <c r="F17" s="293">
        <v>216555</v>
      </c>
    </row>
    <row r="18" spans="1:6">
      <c r="A18" s="241" t="s">
        <v>1813</v>
      </c>
      <c r="B18" s="314">
        <v>787</v>
      </c>
      <c r="C18" s="314">
        <v>493</v>
      </c>
      <c r="D18" s="303">
        <f t="shared" si="0"/>
        <v>62.64</v>
      </c>
      <c r="E18" s="303">
        <f t="shared" si="1"/>
        <v>117.66</v>
      </c>
      <c r="F18" s="293">
        <v>419</v>
      </c>
    </row>
    <row r="19" spans="1:6">
      <c r="A19" s="241" t="s">
        <v>1812</v>
      </c>
      <c r="B19" s="314">
        <v>6436</v>
      </c>
      <c r="C19" s="314">
        <v>6436</v>
      </c>
      <c r="D19" s="303">
        <f t="shared" si="0"/>
        <v>100</v>
      </c>
      <c r="E19" s="303">
        <f t="shared" si="1"/>
        <v>74.31</v>
      </c>
      <c r="F19" s="293">
        <v>8661</v>
      </c>
    </row>
    <row r="20" spans="1:6">
      <c r="A20" s="241" t="s">
        <v>1811</v>
      </c>
      <c r="B20" s="314">
        <v>741</v>
      </c>
      <c r="C20" s="314">
        <v>0</v>
      </c>
      <c r="D20" s="303">
        <f t="shared" si="0"/>
        <v>0</v>
      </c>
      <c r="E20" s="303">
        <f t="shared" si="1"/>
        <v>0</v>
      </c>
      <c r="F20" s="293">
        <v>125</v>
      </c>
    </row>
    <row r="21" spans="1:6">
      <c r="A21" s="241" t="s">
        <v>1810</v>
      </c>
      <c r="B21" s="314">
        <v>3082</v>
      </c>
      <c r="C21" s="314">
        <v>966</v>
      </c>
      <c r="D21" s="303">
        <f t="shared" si="0"/>
        <v>31.34</v>
      </c>
      <c r="E21" s="303">
        <f t="shared" si="1"/>
        <v>66.760000000000005</v>
      </c>
      <c r="F21" s="293">
        <v>1447</v>
      </c>
    </row>
    <row r="22" spans="1:6" hidden="1">
      <c r="A22" s="241" t="s">
        <v>1809</v>
      </c>
      <c r="B22" s="314">
        <v>0</v>
      </c>
      <c r="C22" s="314">
        <v>0</v>
      </c>
      <c r="D22" s="302"/>
      <c r="E22" s="302"/>
      <c r="F22" s="293">
        <v>1030</v>
      </c>
    </row>
    <row r="23" spans="1:6" hidden="1">
      <c r="A23" s="241" t="s">
        <v>1808</v>
      </c>
      <c r="B23" s="314">
        <v>0</v>
      </c>
      <c r="C23" s="314">
        <v>0</v>
      </c>
      <c r="D23" s="302"/>
      <c r="E23" s="302"/>
      <c r="F23" s="293">
        <v>0</v>
      </c>
    </row>
    <row r="24" spans="1:6">
      <c r="A24" s="271" t="s">
        <v>1018</v>
      </c>
      <c r="B24" s="313">
        <f>SUM(B25:B29)</f>
        <v>687</v>
      </c>
      <c r="C24" s="313">
        <f>SUM(C25:C29)</f>
        <v>675</v>
      </c>
      <c r="D24" s="303">
        <f t="shared" ref="D24:D29" si="2">C24/B24*100</f>
        <v>98.25</v>
      </c>
      <c r="E24" s="303">
        <f>C24/F24*100</f>
        <v>22.57</v>
      </c>
      <c r="F24" s="263">
        <f>SUM(F25:F29)</f>
        <v>2991</v>
      </c>
    </row>
    <row r="25" spans="1:6" hidden="1">
      <c r="A25" s="241" t="s">
        <v>1807</v>
      </c>
      <c r="B25" s="314">
        <v>0</v>
      </c>
      <c r="C25" s="314">
        <v>0</v>
      </c>
      <c r="D25" s="303" t="e">
        <f t="shared" si="2"/>
        <v>#DIV/0!</v>
      </c>
      <c r="E25" s="302"/>
      <c r="F25" s="293">
        <v>0</v>
      </c>
    </row>
    <row r="26" spans="1:6">
      <c r="A26" s="241" t="s">
        <v>541</v>
      </c>
      <c r="B26" s="314">
        <v>47</v>
      </c>
      <c r="C26" s="314">
        <v>47</v>
      </c>
      <c r="D26" s="303">
        <f t="shared" si="2"/>
        <v>100</v>
      </c>
      <c r="E26" s="302"/>
      <c r="F26" s="293">
        <v>0</v>
      </c>
    </row>
    <row r="27" spans="1:6" hidden="1">
      <c r="A27" s="241" t="s">
        <v>1806</v>
      </c>
      <c r="B27" s="314">
        <v>0</v>
      </c>
      <c r="C27" s="314">
        <v>0</v>
      </c>
      <c r="D27" s="303" t="e">
        <f t="shared" si="2"/>
        <v>#DIV/0!</v>
      </c>
      <c r="E27" s="302"/>
      <c r="F27" s="293">
        <v>0</v>
      </c>
    </row>
    <row r="28" spans="1:6" hidden="1">
      <c r="A28" s="241" t="s">
        <v>1805</v>
      </c>
      <c r="B28" s="314">
        <v>0</v>
      </c>
      <c r="C28" s="314">
        <v>0</v>
      </c>
      <c r="D28" s="303" t="e">
        <f t="shared" si="2"/>
        <v>#DIV/0!</v>
      </c>
      <c r="E28" s="302"/>
      <c r="F28" s="293">
        <v>0</v>
      </c>
    </row>
    <row r="29" spans="1:6">
      <c r="A29" s="241" t="s">
        <v>542</v>
      </c>
      <c r="B29" s="314">
        <v>640</v>
      </c>
      <c r="C29" s="314">
        <v>628</v>
      </c>
      <c r="D29" s="303">
        <f t="shared" si="2"/>
        <v>98.13</v>
      </c>
      <c r="E29" s="302"/>
      <c r="F29" s="293">
        <v>2991</v>
      </c>
    </row>
    <row r="30" spans="1:6" hidden="1">
      <c r="A30" s="271" t="s">
        <v>904</v>
      </c>
      <c r="B30" s="313">
        <f>SUM(B31:B36)</f>
        <v>0</v>
      </c>
      <c r="C30" s="313">
        <f>SUM(C31:C36)</f>
        <v>0</v>
      </c>
      <c r="D30" s="302"/>
      <c r="E30" s="302"/>
      <c r="F30" s="263">
        <f>SUM(F31:F36)</f>
        <v>0</v>
      </c>
    </row>
    <row r="31" spans="1:6" hidden="1">
      <c r="A31" s="241" t="s">
        <v>1804</v>
      </c>
      <c r="B31" s="314">
        <v>0</v>
      </c>
      <c r="C31" s="314">
        <v>0</v>
      </c>
      <c r="D31" s="302"/>
      <c r="E31" s="302"/>
      <c r="F31" s="293">
        <v>0</v>
      </c>
    </row>
    <row r="32" spans="1:6" hidden="1">
      <c r="A32" s="241" t="s">
        <v>1803</v>
      </c>
      <c r="B32" s="314">
        <v>0</v>
      </c>
      <c r="C32" s="314">
        <v>0</v>
      </c>
      <c r="D32" s="302"/>
      <c r="E32" s="302"/>
      <c r="F32" s="293">
        <v>0</v>
      </c>
    </row>
    <row r="33" spans="1:6" hidden="1">
      <c r="A33" s="241" t="s">
        <v>1802</v>
      </c>
      <c r="B33" s="314">
        <v>0</v>
      </c>
      <c r="C33" s="314">
        <v>0</v>
      </c>
      <c r="D33" s="302"/>
      <c r="E33" s="302"/>
      <c r="F33" s="293">
        <v>0</v>
      </c>
    </row>
    <row r="34" spans="1:6" hidden="1">
      <c r="A34" s="241" t="s">
        <v>1801</v>
      </c>
      <c r="B34" s="314">
        <v>0</v>
      </c>
      <c r="C34" s="314">
        <v>0</v>
      </c>
      <c r="D34" s="302"/>
      <c r="E34" s="302"/>
      <c r="F34" s="293">
        <v>0</v>
      </c>
    </row>
    <row r="35" spans="1:6" hidden="1">
      <c r="A35" s="241" t="s">
        <v>1800</v>
      </c>
      <c r="B35" s="314">
        <v>0</v>
      </c>
      <c r="C35" s="314">
        <v>0</v>
      </c>
      <c r="D35" s="302"/>
      <c r="E35" s="302"/>
      <c r="F35" s="293">
        <v>0</v>
      </c>
    </row>
    <row r="36" spans="1:6" hidden="1">
      <c r="A36" s="241" t="s">
        <v>1799</v>
      </c>
      <c r="B36" s="314">
        <v>0</v>
      </c>
      <c r="C36" s="314">
        <v>0</v>
      </c>
      <c r="D36" s="302"/>
      <c r="E36" s="302"/>
      <c r="F36" s="293">
        <v>0</v>
      </c>
    </row>
    <row r="37" spans="1:6">
      <c r="A37" s="271" t="s">
        <v>847</v>
      </c>
      <c r="B37" s="313">
        <f>SUM(B38:B40)</f>
        <v>59</v>
      </c>
      <c r="C37" s="313">
        <f>SUM(C38:C40)</f>
        <v>59</v>
      </c>
      <c r="D37" s="303">
        <f>C37/B37*100</f>
        <v>100</v>
      </c>
      <c r="E37" s="303"/>
      <c r="F37" s="263">
        <f>SUM(F38:F40)</f>
        <v>0</v>
      </c>
    </row>
    <row r="38" spans="1:6" hidden="1">
      <c r="A38" s="241" t="s">
        <v>1798</v>
      </c>
      <c r="B38" s="314">
        <v>0</v>
      </c>
      <c r="C38" s="314">
        <v>0</v>
      </c>
      <c r="D38" s="303" t="e">
        <f>C38/B38*100</f>
        <v>#DIV/0!</v>
      </c>
      <c r="E38" s="302"/>
      <c r="F38" s="293">
        <v>0</v>
      </c>
    </row>
    <row r="39" spans="1:6">
      <c r="A39" s="241" t="s">
        <v>543</v>
      </c>
      <c r="B39" s="314">
        <v>59</v>
      </c>
      <c r="C39" s="314">
        <v>59</v>
      </c>
      <c r="D39" s="303">
        <f>C39/B39*100</f>
        <v>100</v>
      </c>
      <c r="E39" s="302"/>
      <c r="F39" s="293">
        <v>0</v>
      </c>
    </row>
    <row r="40" spans="1:6" hidden="1">
      <c r="A40" s="241" t="s">
        <v>1797</v>
      </c>
      <c r="B40" s="314">
        <v>0</v>
      </c>
      <c r="C40" s="314">
        <v>0</v>
      </c>
      <c r="D40" s="302"/>
      <c r="E40" s="302"/>
      <c r="F40" s="293">
        <v>0</v>
      </c>
    </row>
    <row r="41" spans="1:6">
      <c r="A41" s="271" t="s">
        <v>792</v>
      </c>
      <c r="B41" s="313">
        <f>B42</f>
        <v>340</v>
      </c>
      <c r="C41" s="313">
        <f>C42</f>
        <v>200</v>
      </c>
      <c r="D41" s="303">
        <f>C41/B41*100</f>
        <v>58.82</v>
      </c>
      <c r="E41" s="303"/>
      <c r="F41" s="263">
        <f>F42</f>
        <v>0</v>
      </c>
    </row>
    <row r="42" spans="1:6">
      <c r="A42" s="241" t="s">
        <v>544</v>
      </c>
      <c r="B42" s="314">
        <v>340</v>
      </c>
      <c r="C42" s="314">
        <v>200</v>
      </c>
      <c r="D42" s="303">
        <f>C42/B42*100</f>
        <v>58.82</v>
      </c>
      <c r="E42" s="302"/>
      <c r="F42" s="293">
        <v>0</v>
      </c>
    </row>
    <row r="43" spans="1:6" hidden="1">
      <c r="A43" s="271" t="s">
        <v>775</v>
      </c>
      <c r="B43" s="313">
        <f>B44</f>
        <v>0</v>
      </c>
      <c r="C43" s="313">
        <f>C44</f>
        <v>0</v>
      </c>
      <c r="D43" s="302"/>
      <c r="E43" s="302"/>
      <c r="F43" s="263">
        <f>F44</f>
        <v>0</v>
      </c>
    </row>
    <row r="44" spans="1:6" hidden="1">
      <c r="A44" s="241" t="s">
        <v>755</v>
      </c>
      <c r="B44" s="313">
        <f>SUM(B45:B46)</f>
        <v>0</v>
      </c>
      <c r="C44" s="313">
        <f>SUM(C45:C46)</f>
        <v>0</v>
      </c>
      <c r="D44" s="302"/>
      <c r="E44" s="302"/>
      <c r="F44" s="263">
        <f>SUM(F45:F46)</f>
        <v>0</v>
      </c>
    </row>
    <row r="45" spans="1:6" hidden="1">
      <c r="A45" s="241" t="s">
        <v>1796</v>
      </c>
      <c r="B45" s="314">
        <v>0</v>
      </c>
      <c r="C45" s="314">
        <v>0</v>
      </c>
      <c r="D45" s="302"/>
      <c r="E45" s="302"/>
      <c r="F45" s="293">
        <v>0</v>
      </c>
    </row>
    <row r="46" spans="1:6" hidden="1">
      <c r="A46" s="241" t="s">
        <v>1795</v>
      </c>
      <c r="B46" s="314">
        <v>0</v>
      </c>
      <c r="C46" s="314">
        <v>0</v>
      </c>
      <c r="D46" s="302"/>
      <c r="E46" s="302"/>
      <c r="F46" s="293">
        <v>0</v>
      </c>
    </row>
    <row r="47" spans="1:6">
      <c r="A47" s="271" t="s">
        <v>411</v>
      </c>
      <c r="B47" s="313">
        <f>SUM(B48:B51)</f>
        <v>4354</v>
      </c>
      <c r="C47" s="313">
        <f>SUM(C48:C51)</f>
        <v>1525</v>
      </c>
      <c r="D47" s="303">
        <f t="shared" ref="D47:D54" si="3">C47/B47*100</f>
        <v>35.03</v>
      </c>
      <c r="E47" s="303">
        <f>C47/F47*100</f>
        <v>44.42</v>
      </c>
      <c r="F47" s="263">
        <f>SUM(F48:F51)</f>
        <v>3433</v>
      </c>
    </row>
    <row r="48" spans="1:6" hidden="1">
      <c r="A48" s="241" t="s">
        <v>1794</v>
      </c>
      <c r="B48" s="315">
        <v>0</v>
      </c>
      <c r="C48" s="315">
        <v>0</v>
      </c>
      <c r="D48" s="303" t="e">
        <f t="shared" si="3"/>
        <v>#DIV/0!</v>
      </c>
      <c r="E48" s="302"/>
      <c r="F48" s="293">
        <v>455</v>
      </c>
    </row>
    <row r="49" spans="1:6">
      <c r="A49" s="243" t="s">
        <v>545</v>
      </c>
      <c r="B49" s="315">
        <v>4280</v>
      </c>
      <c r="C49" s="315">
        <v>1470</v>
      </c>
      <c r="D49" s="303">
        <f t="shared" si="3"/>
        <v>34.35</v>
      </c>
      <c r="E49" s="302"/>
      <c r="F49" s="293">
        <v>2601</v>
      </c>
    </row>
    <row r="50" spans="1:6" hidden="1">
      <c r="A50" s="243" t="s">
        <v>1793</v>
      </c>
      <c r="B50" s="315">
        <v>0</v>
      </c>
      <c r="C50" s="315">
        <v>0</v>
      </c>
      <c r="D50" s="303" t="e">
        <f t="shared" si="3"/>
        <v>#DIV/0!</v>
      </c>
      <c r="E50" s="302"/>
      <c r="F50" s="293">
        <v>0</v>
      </c>
    </row>
    <row r="51" spans="1:6">
      <c r="A51" s="241" t="s">
        <v>546</v>
      </c>
      <c r="B51" s="315">
        <v>74</v>
      </c>
      <c r="C51" s="315">
        <v>55</v>
      </c>
      <c r="D51" s="303">
        <f t="shared" si="3"/>
        <v>74.319999999999993</v>
      </c>
      <c r="E51" s="302"/>
      <c r="F51" s="293">
        <v>377</v>
      </c>
    </row>
    <row r="52" spans="1:6">
      <c r="A52" s="261" t="s">
        <v>607</v>
      </c>
      <c r="B52" s="315">
        <v>52212</v>
      </c>
      <c r="C52" s="315">
        <v>52212</v>
      </c>
      <c r="D52" s="303">
        <f t="shared" si="3"/>
        <v>100</v>
      </c>
      <c r="E52" s="303"/>
      <c r="F52" s="293">
        <v>0</v>
      </c>
    </row>
    <row r="53" spans="1:6">
      <c r="A53" s="261" t="s">
        <v>595</v>
      </c>
      <c r="B53" s="315">
        <v>1150</v>
      </c>
      <c r="C53" s="315">
        <v>1150</v>
      </c>
      <c r="D53" s="303">
        <f t="shared" si="3"/>
        <v>100</v>
      </c>
      <c r="E53" s="303">
        <f>C53/F53*100</f>
        <v>283.25</v>
      </c>
      <c r="F53" s="293">
        <v>406</v>
      </c>
    </row>
    <row r="54" spans="1:6">
      <c r="A54" s="239" t="s">
        <v>1792</v>
      </c>
      <c r="B54" s="301">
        <f>B5</f>
        <v>168353</v>
      </c>
      <c r="C54" s="301">
        <f>C5</f>
        <v>156720</v>
      </c>
      <c r="D54" s="316">
        <f t="shared" si="3"/>
        <v>93.09</v>
      </c>
      <c r="E54" s="316">
        <f>C54/F54*100</f>
        <v>66.650000000000006</v>
      </c>
      <c r="F54" s="259">
        <f>F5</f>
        <v>235147</v>
      </c>
    </row>
    <row r="55" spans="1:6">
      <c r="A55" s="252" t="s">
        <v>93</v>
      </c>
      <c r="B55" s="302"/>
      <c r="C55" s="302">
        <v>1046004</v>
      </c>
      <c r="D55" s="303"/>
      <c r="E55" s="303">
        <f>C55/F55*100</f>
        <v>76.510000000000005</v>
      </c>
      <c r="F55" s="292">
        <v>1367100</v>
      </c>
    </row>
    <row r="56" spans="1:6">
      <c r="A56" s="252" t="s">
        <v>342</v>
      </c>
      <c r="B56" s="302"/>
      <c r="C56" s="302">
        <v>7340</v>
      </c>
      <c r="D56" s="303"/>
      <c r="E56" s="303">
        <f>C56/F56*100</f>
        <v>613.71</v>
      </c>
      <c r="F56" s="292">
        <v>1196</v>
      </c>
    </row>
    <row r="57" spans="1:6">
      <c r="A57" s="252" t="s">
        <v>344</v>
      </c>
      <c r="B57" s="302"/>
      <c r="C57" s="302">
        <v>305</v>
      </c>
      <c r="D57" s="303"/>
      <c r="E57" s="303"/>
      <c r="F57" s="292"/>
    </row>
    <row r="58" spans="1:6">
      <c r="A58" s="252" t="s">
        <v>334</v>
      </c>
      <c r="B58" s="302"/>
      <c r="C58" s="302">
        <v>49999</v>
      </c>
      <c r="D58" s="302"/>
      <c r="E58" s="302"/>
      <c r="F58" s="292">
        <v>89586</v>
      </c>
    </row>
    <row r="59" spans="1:6" hidden="1">
      <c r="A59" s="252" t="s">
        <v>332</v>
      </c>
      <c r="B59" s="302"/>
      <c r="C59" s="302"/>
      <c r="D59" s="302"/>
      <c r="E59" s="302"/>
      <c r="F59" s="292"/>
    </row>
    <row r="60" spans="1:6">
      <c r="A60" s="252" t="s">
        <v>336</v>
      </c>
      <c r="B60" s="302"/>
      <c r="C60" s="302">
        <v>11633</v>
      </c>
      <c r="D60" s="302"/>
      <c r="E60" s="302"/>
      <c r="F60" s="292">
        <v>29124</v>
      </c>
    </row>
    <row r="61" spans="1:6">
      <c r="A61" s="252" t="s">
        <v>25</v>
      </c>
      <c r="B61" s="302"/>
      <c r="C61" s="302">
        <f>SUM(C54:C60)</f>
        <v>1272001</v>
      </c>
      <c r="D61" s="303"/>
      <c r="E61" s="303">
        <f>C61/F61*100</f>
        <v>73.86</v>
      </c>
      <c r="F61" s="292">
        <f>SUM(F54:F60)</f>
        <v>1722153</v>
      </c>
    </row>
  </sheetData>
  <mergeCells count="1">
    <mergeCell ref="A2:F2"/>
  </mergeCells>
  <phoneticPr fontId="38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>
  <dimension ref="A1:R18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18" sqref="A18"/>
    </sheetView>
  </sheetViews>
  <sheetFormatPr defaultRowHeight="14.25"/>
  <cols>
    <col min="1" max="1" width="25.375" style="249" customWidth="1"/>
    <col min="2" max="17" width="9" style="249"/>
    <col min="18" max="18" width="9" style="249" hidden="1" customWidth="1"/>
    <col min="19" max="16384" width="9" style="249"/>
  </cols>
  <sheetData>
    <row r="1" spans="1:18">
      <c r="A1" s="249" t="s">
        <v>1823</v>
      </c>
    </row>
    <row r="2" spans="1:18" ht="25.5" customHeight="1">
      <c r="A2" s="398" t="s">
        <v>1822</v>
      </c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  <c r="P2" s="398"/>
      <c r="Q2" s="398"/>
    </row>
    <row r="3" spans="1:18">
      <c r="P3" s="249" t="s">
        <v>186</v>
      </c>
    </row>
    <row r="4" spans="1:18" ht="25.5" customHeight="1">
      <c r="A4" s="239" t="s">
        <v>110</v>
      </c>
      <c r="B4" s="239" t="s">
        <v>204</v>
      </c>
      <c r="C4" s="239" t="s">
        <v>491</v>
      </c>
      <c r="D4" s="239" t="s">
        <v>488</v>
      </c>
      <c r="E4" s="239" t="s">
        <v>490</v>
      </c>
      <c r="F4" s="239" t="s">
        <v>487</v>
      </c>
      <c r="G4" s="239" t="s">
        <v>489</v>
      </c>
      <c r="H4" s="239" t="s">
        <v>486</v>
      </c>
      <c r="I4" s="239" t="s">
        <v>485</v>
      </c>
      <c r="J4" s="239" t="s">
        <v>494</v>
      </c>
      <c r="K4" s="239" t="s">
        <v>496</v>
      </c>
      <c r="L4" s="239" t="s">
        <v>498</v>
      </c>
      <c r="M4" s="239" t="s">
        <v>492</v>
      </c>
      <c r="N4" s="239" t="s">
        <v>497</v>
      </c>
      <c r="O4" s="239" t="s">
        <v>499</v>
      </c>
      <c r="P4" s="239" t="s">
        <v>495</v>
      </c>
      <c r="Q4" s="239" t="s">
        <v>493</v>
      </c>
      <c r="R4" s="296" t="s">
        <v>442</v>
      </c>
    </row>
    <row r="5" spans="1:18" ht="18" customHeight="1">
      <c r="A5" s="252" t="s">
        <v>192</v>
      </c>
      <c r="B5" s="317"/>
      <c r="C5" s="317"/>
      <c r="D5" s="317"/>
      <c r="E5" s="317"/>
      <c r="F5" s="317"/>
      <c r="G5" s="317"/>
      <c r="H5" s="317"/>
      <c r="I5" s="317"/>
      <c r="J5" s="317"/>
      <c r="K5" s="317"/>
      <c r="L5" s="317"/>
      <c r="M5" s="317"/>
      <c r="N5" s="317"/>
      <c r="O5" s="317"/>
      <c r="P5" s="317"/>
      <c r="Q5" s="317"/>
      <c r="R5" s="295">
        <f>SUM(C5:Q5)</f>
        <v>0</v>
      </c>
    </row>
    <row r="6" spans="1:18" ht="18" customHeight="1">
      <c r="A6" s="252" t="s">
        <v>193</v>
      </c>
      <c r="B6" s="317"/>
      <c r="C6" s="317"/>
      <c r="D6" s="317"/>
      <c r="E6" s="317"/>
      <c r="F6" s="317"/>
      <c r="G6" s="317"/>
      <c r="H6" s="317"/>
      <c r="I6" s="317"/>
      <c r="J6" s="317"/>
      <c r="K6" s="317"/>
      <c r="L6" s="317"/>
      <c r="M6" s="317"/>
      <c r="N6" s="317"/>
      <c r="O6" s="317"/>
      <c r="P6" s="317"/>
      <c r="Q6" s="317"/>
    </row>
    <row r="7" spans="1:18" ht="18" customHeight="1">
      <c r="A7" s="252" t="s">
        <v>194</v>
      </c>
      <c r="B7" s="317"/>
      <c r="C7" s="317"/>
      <c r="D7" s="317"/>
      <c r="E7" s="317"/>
      <c r="F7" s="317"/>
      <c r="G7" s="317"/>
      <c r="H7" s="317"/>
      <c r="I7" s="317"/>
      <c r="J7" s="317"/>
      <c r="K7" s="317"/>
      <c r="L7" s="317"/>
      <c r="M7" s="317"/>
      <c r="N7" s="317"/>
      <c r="O7" s="317"/>
      <c r="P7" s="317"/>
      <c r="Q7" s="317"/>
    </row>
    <row r="8" spans="1:18" ht="18" customHeight="1">
      <c r="A8" s="252" t="s">
        <v>195</v>
      </c>
      <c r="B8" s="317">
        <f t="shared" ref="B8:Q8" si="0">B16-B13</f>
        <v>7038</v>
      </c>
      <c r="C8" s="317">
        <f t="shared" si="0"/>
        <v>454.14</v>
      </c>
      <c r="D8" s="317">
        <f t="shared" si="0"/>
        <v>2142.94</v>
      </c>
      <c r="E8" s="317">
        <f t="shared" si="0"/>
        <v>1417.16</v>
      </c>
      <c r="F8" s="317">
        <f t="shared" si="0"/>
        <v>164.98</v>
      </c>
      <c r="G8" s="317">
        <f t="shared" si="0"/>
        <v>329.54</v>
      </c>
      <c r="H8" s="317">
        <f t="shared" si="0"/>
        <v>112.28</v>
      </c>
      <c r="I8" s="317">
        <f t="shared" si="0"/>
        <v>186.9</v>
      </c>
      <c r="J8" s="317">
        <f t="shared" si="0"/>
        <v>356.12</v>
      </c>
      <c r="K8" s="317">
        <f t="shared" si="0"/>
        <v>528.41999999999996</v>
      </c>
      <c r="L8" s="317">
        <f t="shared" si="0"/>
        <v>33.46</v>
      </c>
      <c r="M8" s="317">
        <f t="shared" si="0"/>
        <v>733.6</v>
      </c>
      <c r="N8" s="317">
        <f t="shared" si="0"/>
        <v>404.76</v>
      </c>
      <c r="O8" s="317">
        <f t="shared" si="0"/>
        <v>46.26</v>
      </c>
      <c r="P8" s="317">
        <f t="shared" si="0"/>
        <v>51.8</v>
      </c>
      <c r="Q8" s="317">
        <f t="shared" si="0"/>
        <v>75.959999999999994</v>
      </c>
      <c r="R8" s="295">
        <f>SUM(C8:Q8)</f>
        <v>7038.32</v>
      </c>
    </row>
    <row r="9" spans="1:18" ht="18" customHeight="1">
      <c r="A9" s="252" t="s">
        <v>196</v>
      </c>
      <c r="B9" s="317"/>
      <c r="C9" s="317"/>
      <c r="D9" s="317"/>
      <c r="E9" s="317"/>
      <c r="F9" s="317"/>
      <c r="G9" s="317"/>
      <c r="H9" s="317"/>
      <c r="I9" s="317"/>
      <c r="J9" s="317"/>
      <c r="K9" s="317"/>
      <c r="L9" s="317"/>
      <c r="M9" s="317"/>
      <c r="N9" s="317"/>
      <c r="O9" s="317"/>
      <c r="P9" s="317"/>
      <c r="Q9" s="317"/>
    </row>
    <row r="10" spans="1:18" ht="18" customHeight="1">
      <c r="A10" s="252" t="s">
        <v>197</v>
      </c>
      <c r="B10" s="317"/>
      <c r="C10" s="317"/>
      <c r="D10" s="317"/>
      <c r="E10" s="317"/>
      <c r="F10" s="317"/>
      <c r="G10" s="317"/>
      <c r="H10" s="317"/>
      <c r="I10" s="317"/>
      <c r="J10" s="317"/>
      <c r="K10" s="317"/>
      <c r="L10" s="317"/>
      <c r="M10" s="317"/>
      <c r="N10" s="317"/>
      <c r="O10" s="317"/>
      <c r="P10" s="317"/>
      <c r="Q10" s="317"/>
    </row>
    <row r="11" spans="1:18" ht="18" customHeight="1">
      <c r="A11" s="252" t="s">
        <v>198</v>
      </c>
      <c r="B11" s="317"/>
      <c r="C11" s="317"/>
      <c r="D11" s="317"/>
      <c r="E11" s="317"/>
      <c r="F11" s="317"/>
      <c r="G11" s="317"/>
      <c r="H11" s="317"/>
      <c r="I11" s="317"/>
      <c r="J11" s="317"/>
      <c r="K11" s="317"/>
      <c r="L11" s="317"/>
      <c r="M11" s="317"/>
      <c r="N11" s="317"/>
      <c r="O11" s="317"/>
      <c r="P11" s="317"/>
      <c r="Q11" s="317"/>
    </row>
    <row r="12" spans="1:18" ht="18" customHeight="1">
      <c r="A12" s="252" t="s">
        <v>199</v>
      </c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7"/>
      <c r="N12" s="317"/>
      <c r="O12" s="317"/>
      <c r="P12" s="317"/>
      <c r="Q12" s="317"/>
    </row>
    <row r="13" spans="1:18" ht="18" customHeight="1">
      <c r="A13" s="252" t="s">
        <v>200</v>
      </c>
      <c r="B13" s="317">
        <v>302</v>
      </c>
      <c r="C13" s="317">
        <v>20</v>
      </c>
      <c r="D13" s="317">
        <v>35</v>
      </c>
      <c r="E13" s="317">
        <v>22</v>
      </c>
      <c r="F13" s="317">
        <v>35</v>
      </c>
      <c r="G13" s="317">
        <v>15</v>
      </c>
      <c r="H13" s="317">
        <v>25</v>
      </c>
      <c r="I13" s="317">
        <v>20</v>
      </c>
      <c r="J13" s="317">
        <v>11</v>
      </c>
      <c r="K13" s="317">
        <v>14</v>
      </c>
      <c r="L13" s="317">
        <v>7</v>
      </c>
      <c r="M13" s="317">
        <v>13</v>
      </c>
      <c r="N13" s="317">
        <v>11</v>
      </c>
      <c r="O13" s="317">
        <v>14</v>
      </c>
      <c r="P13" s="317">
        <v>44</v>
      </c>
      <c r="Q13" s="317">
        <v>16</v>
      </c>
      <c r="R13" s="295">
        <f>SUM(C13:Q13)</f>
        <v>302</v>
      </c>
    </row>
    <row r="14" spans="1:18" ht="18" customHeight="1">
      <c r="A14" s="252" t="s">
        <v>201</v>
      </c>
      <c r="B14" s="317"/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</row>
    <row r="15" spans="1:18" ht="18" customHeight="1">
      <c r="A15" s="252" t="s">
        <v>202</v>
      </c>
      <c r="B15" s="317"/>
      <c r="C15" s="317"/>
      <c r="D15" s="317"/>
      <c r="E15" s="317"/>
      <c r="F15" s="317"/>
      <c r="G15" s="317"/>
      <c r="H15" s="317"/>
      <c r="I15" s="317"/>
      <c r="J15" s="317"/>
      <c r="K15" s="317"/>
      <c r="L15" s="317"/>
      <c r="M15" s="317"/>
      <c r="N15" s="317"/>
      <c r="O15" s="317"/>
      <c r="P15" s="317"/>
      <c r="Q15" s="317"/>
    </row>
    <row r="16" spans="1:18" ht="18" customHeight="1">
      <c r="A16" s="252" t="s">
        <v>203</v>
      </c>
      <c r="B16" s="317">
        <v>7340</v>
      </c>
      <c r="C16" s="317">
        <v>474.14</v>
      </c>
      <c r="D16" s="317">
        <v>2177.94</v>
      </c>
      <c r="E16" s="317">
        <v>1439.16</v>
      </c>
      <c r="F16" s="317">
        <v>199.98</v>
      </c>
      <c r="G16" s="317">
        <v>344.54</v>
      </c>
      <c r="H16" s="317">
        <v>137.28</v>
      </c>
      <c r="I16" s="317">
        <v>206.9</v>
      </c>
      <c r="J16" s="317">
        <v>367.12</v>
      </c>
      <c r="K16" s="317">
        <v>542.41999999999996</v>
      </c>
      <c r="L16" s="317">
        <v>40.46</v>
      </c>
      <c r="M16" s="317">
        <v>746.6</v>
      </c>
      <c r="N16" s="317">
        <v>415.76</v>
      </c>
      <c r="O16" s="317">
        <v>60.26</v>
      </c>
      <c r="P16" s="317">
        <v>95.8</v>
      </c>
      <c r="Q16" s="317">
        <v>91.96</v>
      </c>
      <c r="R16" s="295">
        <f>SUM(C16:Q16)</f>
        <v>7340.32</v>
      </c>
    </row>
    <row r="18" spans="1:1">
      <c r="A18" s="249" t="s">
        <v>2094</v>
      </c>
    </row>
  </sheetData>
  <mergeCells count="1">
    <mergeCell ref="A2:Q2"/>
  </mergeCells>
  <phoneticPr fontId="38" type="noConversion"/>
  <pageMargins left="0.75" right="0.75" top="1" bottom="1" header="0.5" footer="0.5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selection activeCell="E5" sqref="E5"/>
    </sheetView>
  </sheetViews>
  <sheetFormatPr defaultRowHeight="14.25"/>
  <cols>
    <col min="1" max="1" width="32.25" style="249" customWidth="1"/>
    <col min="2" max="2" width="13.75" style="249" customWidth="1"/>
    <col min="3" max="3" width="14.25" style="249" customWidth="1"/>
    <col min="4" max="4" width="12" style="249" customWidth="1"/>
    <col min="5" max="5" width="11.75" style="249" customWidth="1"/>
    <col min="6" max="6" width="16.625" style="249" hidden="1" customWidth="1"/>
    <col min="7" max="16384" width="9" style="249"/>
  </cols>
  <sheetData>
    <row r="1" spans="1:6">
      <c r="A1" s="249" t="s">
        <v>1830</v>
      </c>
    </row>
    <row r="2" spans="1:6" ht="27.75" customHeight="1">
      <c r="A2" s="392" t="s">
        <v>1829</v>
      </c>
      <c r="B2" s="392"/>
      <c r="C2" s="392"/>
      <c r="D2" s="392"/>
      <c r="E2" s="392"/>
    </row>
    <row r="3" spans="1:6">
      <c r="E3" s="249" t="s">
        <v>109</v>
      </c>
    </row>
    <row r="4" spans="1:6" ht="34.5" customHeight="1">
      <c r="A4" s="239" t="s">
        <v>110</v>
      </c>
      <c r="B4" s="239" t="s">
        <v>585</v>
      </c>
      <c r="C4" s="239" t="s">
        <v>409</v>
      </c>
      <c r="D4" s="255" t="s">
        <v>562</v>
      </c>
      <c r="E4" s="255" t="s">
        <v>1828</v>
      </c>
      <c r="F4" s="249" t="s">
        <v>1827</v>
      </c>
    </row>
    <row r="5" spans="1:6" ht="18" customHeight="1">
      <c r="A5" s="252" t="s">
        <v>205</v>
      </c>
      <c r="B5" s="317">
        <v>91</v>
      </c>
      <c r="C5" s="317">
        <v>195</v>
      </c>
      <c r="D5" s="318">
        <f>C5/B5*100</f>
        <v>214.29</v>
      </c>
      <c r="E5" s="318">
        <f>C5/F5*100</f>
        <v>182.24</v>
      </c>
      <c r="F5" s="249">
        <v>107</v>
      </c>
    </row>
    <row r="6" spans="1:6" ht="18" customHeight="1">
      <c r="A6" s="252" t="s">
        <v>206</v>
      </c>
      <c r="B6" s="317"/>
      <c r="C6" s="317"/>
      <c r="D6" s="317"/>
      <c r="E6" s="317"/>
    </row>
    <row r="7" spans="1:6" ht="18" customHeight="1">
      <c r="A7" s="252" t="s">
        <v>207</v>
      </c>
      <c r="B7" s="317"/>
      <c r="C7" s="317"/>
      <c r="D7" s="317"/>
      <c r="E7" s="317"/>
    </row>
    <row r="8" spans="1:6" ht="18" customHeight="1">
      <c r="A8" s="252" t="s">
        <v>208</v>
      </c>
      <c r="B8" s="317"/>
      <c r="C8" s="317"/>
      <c r="D8" s="317"/>
      <c r="E8" s="317"/>
    </row>
    <row r="9" spans="1:6" ht="18" customHeight="1">
      <c r="A9" s="252" t="s">
        <v>1826</v>
      </c>
      <c r="B9" s="317"/>
      <c r="C9" s="317"/>
      <c r="D9" s="317"/>
      <c r="E9" s="317"/>
    </row>
    <row r="10" spans="1:6" ht="18" customHeight="1">
      <c r="A10" s="252" t="s">
        <v>1825</v>
      </c>
      <c r="B10" s="317"/>
      <c r="C10" s="317"/>
      <c r="D10" s="317"/>
      <c r="E10" s="317"/>
    </row>
    <row r="11" spans="1:6" ht="18" customHeight="1">
      <c r="A11" s="252" t="s">
        <v>209</v>
      </c>
      <c r="B11" s="317">
        <f>SUM(B5:B10)</f>
        <v>91</v>
      </c>
      <c r="C11" s="317">
        <f>SUM(C5:C10)</f>
        <v>195</v>
      </c>
      <c r="D11" s="318">
        <f>C11/B11*100</f>
        <v>214.29</v>
      </c>
      <c r="E11" s="318">
        <f>C11/F11*100</f>
        <v>182.24</v>
      </c>
      <c r="F11" s="249">
        <f>SUM(F5:F10)</f>
        <v>107</v>
      </c>
    </row>
    <row r="12" spans="1:6" ht="18" customHeight="1">
      <c r="A12" s="252" t="s">
        <v>1824</v>
      </c>
      <c r="B12" s="317"/>
      <c r="C12" s="317"/>
      <c r="D12" s="317"/>
      <c r="E12" s="317"/>
    </row>
    <row r="13" spans="1:6" ht="18" customHeight="1">
      <c r="A13" s="252" t="s">
        <v>321</v>
      </c>
      <c r="B13" s="317"/>
      <c r="C13" s="317"/>
      <c r="D13" s="317"/>
      <c r="E13" s="317"/>
    </row>
    <row r="14" spans="1:6" ht="18" customHeight="1">
      <c r="A14" s="252" t="s">
        <v>28</v>
      </c>
      <c r="B14" s="317"/>
      <c r="C14" s="317">
        <f>C11+C12+C13</f>
        <v>195</v>
      </c>
      <c r="D14" s="318" t="e">
        <f>C14/B14*100</f>
        <v>#DIV/0!</v>
      </c>
      <c r="E14" s="318">
        <f>C14/F14*100</f>
        <v>182.24</v>
      </c>
      <c r="F14" s="249">
        <f>F11+F12+F13</f>
        <v>107</v>
      </c>
    </row>
  </sheetData>
  <mergeCells count="1">
    <mergeCell ref="A2:E2"/>
  </mergeCells>
  <phoneticPr fontId="38" type="noConversion"/>
  <pageMargins left="0.75" right="0.75" top="1" bottom="1" header="0.5" footer="0.5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selection activeCell="B5" sqref="B5:E14"/>
    </sheetView>
  </sheetViews>
  <sheetFormatPr defaultRowHeight="14.25"/>
  <cols>
    <col min="1" max="1" width="36.5" style="249" customWidth="1"/>
    <col min="2" max="2" width="14.25" style="249" customWidth="1"/>
    <col min="3" max="3" width="12.75" style="249" customWidth="1"/>
    <col min="4" max="4" width="12.875" style="249" customWidth="1"/>
    <col min="5" max="5" width="12.5" style="249" customWidth="1"/>
    <col min="6" max="6" width="18.625" style="249" hidden="1" customWidth="1"/>
    <col min="7" max="16384" width="9" style="249"/>
  </cols>
  <sheetData>
    <row r="1" spans="1:6">
      <c r="A1" s="249" t="s">
        <v>1835</v>
      </c>
    </row>
    <row r="2" spans="1:6" ht="31.5" customHeight="1">
      <c r="A2" s="392" t="s">
        <v>1834</v>
      </c>
      <c r="B2" s="392"/>
      <c r="C2" s="392"/>
      <c r="D2" s="392"/>
      <c r="E2" s="392"/>
    </row>
    <row r="3" spans="1:6">
      <c r="E3" s="249" t="s">
        <v>109</v>
      </c>
    </row>
    <row r="4" spans="1:6" ht="41.25" customHeight="1">
      <c r="A4" s="239" t="s">
        <v>110</v>
      </c>
      <c r="B4" s="255" t="s">
        <v>1833</v>
      </c>
      <c r="C4" s="255" t="s">
        <v>409</v>
      </c>
      <c r="D4" s="255" t="s">
        <v>562</v>
      </c>
      <c r="E4" s="255" t="s">
        <v>1828</v>
      </c>
      <c r="F4" s="249" t="s">
        <v>1827</v>
      </c>
    </row>
    <row r="5" spans="1:6" ht="18" customHeight="1">
      <c r="A5" s="252" t="s">
        <v>210</v>
      </c>
      <c r="B5" s="317"/>
      <c r="C5" s="317"/>
      <c r="D5" s="317"/>
      <c r="E5" s="317"/>
    </row>
    <row r="6" spans="1:6" ht="18" customHeight="1">
      <c r="A6" s="252" t="s">
        <v>211</v>
      </c>
      <c r="B6" s="317"/>
      <c r="C6" s="317"/>
      <c r="D6" s="317"/>
      <c r="E6" s="317"/>
    </row>
    <row r="7" spans="1:6" ht="18" customHeight="1">
      <c r="A7" s="252" t="s">
        <v>212</v>
      </c>
      <c r="B7" s="317"/>
      <c r="C7" s="317"/>
      <c r="D7" s="317"/>
      <c r="E7" s="317"/>
    </row>
    <row r="8" spans="1:6" ht="18" customHeight="1">
      <c r="A8" s="252" t="s">
        <v>213</v>
      </c>
      <c r="B8" s="317"/>
      <c r="C8" s="317"/>
      <c r="D8" s="317"/>
      <c r="E8" s="317"/>
    </row>
    <row r="9" spans="1:6" ht="18" customHeight="1">
      <c r="A9" s="252" t="s">
        <v>1832</v>
      </c>
      <c r="B9" s="317">
        <v>91</v>
      </c>
      <c r="C9" s="317">
        <v>91</v>
      </c>
      <c r="D9" s="318">
        <f>C9/B9*100</f>
        <v>100</v>
      </c>
      <c r="E9" s="318">
        <f>C9/F9*100</f>
        <v>85.05</v>
      </c>
      <c r="F9" s="249">
        <v>107</v>
      </c>
    </row>
    <row r="10" spans="1:6" ht="18" customHeight="1">
      <c r="A10" s="252" t="s">
        <v>25</v>
      </c>
      <c r="B10" s="317">
        <f>B9</f>
        <v>91</v>
      </c>
      <c r="C10" s="317">
        <f>C9</f>
        <v>91</v>
      </c>
      <c r="D10" s="318">
        <f>C10/B10*100</f>
        <v>100</v>
      </c>
      <c r="E10" s="318">
        <f>C10/F10*100</f>
        <v>85.05</v>
      </c>
      <c r="F10" s="249">
        <f>F9</f>
        <v>107</v>
      </c>
    </row>
    <row r="11" spans="1:6" ht="18" customHeight="1">
      <c r="A11" s="252" t="s">
        <v>316</v>
      </c>
      <c r="B11" s="317"/>
      <c r="C11" s="317"/>
      <c r="D11" s="317"/>
      <c r="E11" s="317"/>
    </row>
    <row r="12" spans="1:6" ht="18" customHeight="1">
      <c r="A12" s="252" t="s">
        <v>214</v>
      </c>
      <c r="B12" s="317"/>
      <c r="C12" s="317"/>
      <c r="D12" s="317"/>
      <c r="E12" s="317"/>
    </row>
    <row r="13" spans="1:6" ht="18" customHeight="1">
      <c r="A13" s="252" t="s">
        <v>1831</v>
      </c>
      <c r="B13" s="317"/>
      <c r="C13" s="317">
        <v>104</v>
      </c>
      <c r="D13" s="317"/>
      <c r="E13" s="317"/>
    </row>
    <row r="14" spans="1:6" ht="18" customHeight="1">
      <c r="A14" s="252" t="s">
        <v>410</v>
      </c>
      <c r="B14" s="317"/>
      <c r="C14" s="317">
        <f>C10+C11+C12+C13</f>
        <v>195</v>
      </c>
      <c r="D14" s="318"/>
      <c r="E14" s="318">
        <f>C14/F14*100</f>
        <v>182.24</v>
      </c>
      <c r="F14" s="249">
        <f>F10+F11+F12</f>
        <v>107</v>
      </c>
    </row>
  </sheetData>
  <mergeCells count="1">
    <mergeCell ref="A2:E2"/>
  </mergeCells>
  <phoneticPr fontId="38" type="noConversion"/>
  <pageMargins left="0.75" right="0.75" top="1" bottom="1" header="0.5" footer="0.5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>
  <dimension ref="A1:F21"/>
  <sheetViews>
    <sheetView workbookViewId="0">
      <selection activeCell="B5" sqref="B5:E21"/>
    </sheetView>
  </sheetViews>
  <sheetFormatPr defaultRowHeight="14.25"/>
  <cols>
    <col min="1" max="1" width="34.25" style="249" customWidth="1"/>
    <col min="2" max="2" width="11.875" style="249" customWidth="1"/>
    <col min="3" max="3" width="13.875" style="249" customWidth="1"/>
    <col min="4" max="4" width="12.5" style="249" customWidth="1"/>
    <col min="5" max="5" width="12.875" style="249" customWidth="1"/>
    <col min="6" max="6" width="16.625" style="249" hidden="1" customWidth="1"/>
    <col min="7" max="16384" width="9" style="249"/>
  </cols>
  <sheetData>
    <row r="1" spans="1:6">
      <c r="A1" s="249" t="s">
        <v>1846</v>
      </c>
    </row>
    <row r="2" spans="1:6" ht="20.25">
      <c r="A2" s="392" t="s">
        <v>1845</v>
      </c>
      <c r="B2" s="392"/>
      <c r="C2" s="392"/>
      <c r="D2" s="392"/>
      <c r="E2" s="392"/>
    </row>
    <row r="3" spans="1:6">
      <c r="E3" s="249" t="s">
        <v>109</v>
      </c>
    </row>
    <row r="4" spans="1:6" ht="33" customHeight="1">
      <c r="A4" s="297" t="s">
        <v>110</v>
      </c>
      <c r="B4" s="297" t="s">
        <v>1833</v>
      </c>
      <c r="C4" s="297" t="s">
        <v>409</v>
      </c>
      <c r="D4" s="297" t="s">
        <v>562</v>
      </c>
      <c r="E4" s="297" t="s">
        <v>1828</v>
      </c>
      <c r="F4" s="249" t="s">
        <v>584</v>
      </c>
    </row>
    <row r="5" spans="1:6" ht="18.75" customHeight="1">
      <c r="A5" s="292" t="s">
        <v>205</v>
      </c>
      <c r="B5" s="317">
        <v>91</v>
      </c>
      <c r="C5" s="317">
        <f>SUM(C6:C9)</f>
        <v>195.31</v>
      </c>
      <c r="D5" s="318">
        <f>C5/B5*100</f>
        <v>214.63</v>
      </c>
      <c r="E5" s="318">
        <f>C5/F5*100</f>
        <v>183.17</v>
      </c>
      <c r="F5" s="249">
        <f>SUM(F6:F9)</f>
        <v>106.63</v>
      </c>
    </row>
    <row r="6" spans="1:6">
      <c r="A6" s="292" t="s">
        <v>1844</v>
      </c>
      <c r="B6" s="317"/>
      <c r="C6" s="317">
        <v>108.36</v>
      </c>
      <c r="D6" s="317"/>
      <c r="E6" s="317"/>
      <c r="F6" s="249">
        <v>55</v>
      </c>
    </row>
    <row r="7" spans="1:6">
      <c r="A7" s="292" t="s">
        <v>1843</v>
      </c>
      <c r="B7" s="317"/>
      <c r="C7" s="317">
        <v>82.35</v>
      </c>
      <c r="D7" s="317"/>
      <c r="E7" s="317"/>
      <c r="F7" s="249">
        <v>50.63</v>
      </c>
    </row>
    <row r="8" spans="1:6">
      <c r="A8" s="292" t="s">
        <v>1842</v>
      </c>
      <c r="B8" s="317"/>
      <c r="C8" s="317">
        <v>3.6</v>
      </c>
      <c r="D8" s="317"/>
      <c r="E8" s="317"/>
      <c r="F8" s="249">
        <v>0</v>
      </c>
    </row>
    <row r="9" spans="1:6">
      <c r="A9" s="292" t="s">
        <v>1841</v>
      </c>
      <c r="B9" s="317"/>
      <c r="C9" s="317">
        <v>1</v>
      </c>
      <c r="D9" s="317"/>
      <c r="E9" s="317"/>
      <c r="F9" s="249">
        <v>1</v>
      </c>
    </row>
    <row r="10" spans="1:6">
      <c r="A10" s="292" t="s">
        <v>206</v>
      </c>
      <c r="B10" s="317"/>
      <c r="C10" s="317"/>
      <c r="D10" s="317"/>
      <c r="E10" s="317"/>
    </row>
    <row r="11" spans="1:6">
      <c r="A11" s="292" t="s">
        <v>1840</v>
      </c>
      <c r="B11" s="317"/>
      <c r="C11" s="317"/>
      <c r="D11" s="317"/>
      <c r="E11" s="317"/>
    </row>
    <row r="12" spans="1:6">
      <c r="A12" s="292" t="s">
        <v>1839</v>
      </c>
      <c r="B12" s="317"/>
      <c r="C12" s="317"/>
      <c r="D12" s="317"/>
      <c r="E12" s="317"/>
    </row>
    <row r="13" spans="1:6">
      <c r="A13" s="292" t="s">
        <v>1838</v>
      </c>
      <c r="B13" s="317"/>
      <c r="C13" s="317"/>
      <c r="D13" s="317"/>
      <c r="E13" s="317"/>
    </row>
    <row r="14" spans="1:6">
      <c r="A14" s="292" t="s">
        <v>1837</v>
      </c>
      <c r="B14" s="317"/>
      <c r="C14" s="317"/>
      <c r="D14" s="317"/>
      <c r="E14" s="317"/>
    </row>
    <row r="15" spans="1:6">
      <c r="A15" s="292" t="s">
        <v>207</v>
      </c>
      <c r="B15" s="317"/>
      <c r="C15" s="317"/>
      <c r="D15" s="317"/>
      <c r="E15" s="317"/>
    </row>
    <row r="16" spans="1:6">
      <c r="A16" s="292" t="s">
        <v>208</v>
      </c>
      <c r="B16" s="317"/>
      <c r="C16" s="317"/>
      <c r="D16" s="317"/>
      <c r="E16" s="317"/>
    </row>
    <row r="17" spans="1:6">
      <c r="A17" s="292" t="s">
        <v>1836</v>
      </c>
      <c r="B17" s="317"/>
      <c r="C17" s="317"/>
      <c r="D17" s="317"/>
      <c r="E17" s="317"/>
    </row>
    <row r="18" spans="1:6">
      <c r="A18" s="292" t="s">
        <v>209</v>
      </c>
      <c r="B18" s="317">
        <f>B5</f>
        <v>91</v>
      </c>
      <c r="C18" s="317">
        <f>C5</f>
        <v>195.31</v>
      </c>
      <c r="D18" s="318">
        <f>C18/B18*100</f>
        <v>214.63</v>
      </c>
      <c r="E18" s="318">
        <f>C18/F18*100</f>
        <v>183.17</v>
      </c>
      <c r="F18" s="249">
        <f>F5</f>
        <v>106.63</v>
      </c>
    </row>
    <row r="19" spans="1:6">
      <c r="A19" s="292" t="s">
        <v>1824</v>
      </c>
      <c r="B19" s="317"/>
      <c r="C19" s="317"/>
      <c r="D19" s="317"/>
      <c r="E19" s="317"/>
    </row>
    <row r="20" spans="1:6">
      <c r="A20" s="292" t="s">
        <v>321</v>
      </c>
      <c r="B20" s="317"/>
      <c r="C20" s="317"/>
      <c r="D20" s="317"/>
      <c r="E20" s="317"/>
    </row>
    <row r="21" spans="1:6">
      <c r="A21" s="292" t="s">
        <v>28</v>
      </c>
      <c r="B21" s="317"/>
      <c r="C21" s="317">
        <f>C18+C19</f>
        <v>195.31</v>
      </c>
      <c r="D21" s="318"/>
      <c r="E21" s="318">
        <f>C21/F21*100</f>
        <v>183.17</v>
      </c>
      <c r="F21" s="249">
        <f>F18+F19</f>
        <v>106.63</v>
      </c>
    </row>
  </sheetData>
  <mergeCells count="1">
    <mergeCell ref="A2:E2"/>
  </mergeCells>
  <phoneticPr fontId="38" type="noConversion"/>
  <pageMargins left="0.75" right="0.75" top="1" bottom="1" header="0.5" footer="0.5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>
  <dimension ref="A1:F36"/>
  <sheetViews>
    <sheetView workbookViewId="0">
      <selection activeCell="B5" sqref="B5:E36"/>
    </sheetView>
  </sheetViews>
  <sheetFormatPr defaultRowHeight="14.25"/>
  <cols>
    <col min="1" max="1" width="28.75" style="249" customWidth="1"/>
    <col min="2" max="2" width="13" style="249" customWidth="1"/>
    <col min="3" max="3" width="11.875" style="249" customWidth="1"/>
    <col min="4" max="4" width="11.625" style="249" customWidth="1"/>
    <col min="5" max="5" width="11.875" style="249" customWidth="1"/>
    <col min="6" max="6" width="15.625" style="249" hidden="1" customWidth="1"/>
    <col min="7" max="16384" width="9" style="249"/>
  </cols>
  <sheetData>
    <row r="1" spans="1:6">
      <c r="A1" s="249" t="s">
        <v>1858</v>
      </c>
    </row>
    <row r="2" spans="1:6" ht="30.75" customHeight="1">
      <c r="A2" s="392" t="s">
        <v>1857</v>
      </c>
      <c r="B2" s="392"/>
      <c r="C2" s="392"/>
      <c r="D2" s="392"/>
      <c r="E2" s="392"/>
    </row>
    <row r="3" spans="1:6">
      <c r="E3" s="249" t="s">
        <v>109</v>
      </c>
    </row>
    <row r="4" spans="1:6" ht="36" customHeight="1">
      <c r="A4" s="255" t="s">
        <v>110</v>
      </c>
      <c r="B4" s="255" t="s">
        <v>1833</v>
      </c>
      <c r="C4" s="255" t="s">
        <v>409</v>
      </c>
      <c r="D4" s="255" t="s">
        <v>562</v>
      </c>
      <c r="E4" s="255" t="s">
        <v>1828</v>
      </c>
      <c r="F4" s="249" t="s">
        <v>1827</v>
      </c>
    </row>
    <row r="5" spans="1:6">
      <c r="A5" s="292" t="s">
        <v>210</v>
      </c>
      <c r="B5" s="317"/>
      <c r="C5" s="317"/>
      <c r="D5" s="317"/>
      <c r="E5" s="317"/>
    </row>
    <row r="6" spans="1:6">
      <c r="A6" s="292" t="s">
        <v>1856</v>
      </c>
      <c r="B6" s="317"/>
      <c r="C6" s="317"/>
      <c r="D6" s="317"/>
      <c r="E6" s="317"/>
    </row>
    <row r="7" spans="1:6">
      <c r="A7" s="292" t="s">
        <v>1855</v>
      </c>
      <c r="B7" s="317"/>
      <c r="C7" s="317"/>
      <c r="D7" s="317"/>
      <c r="E7" s="317"/>
    </row>
    <row r="8" spans="1:6">
      <c r="A8" s="292" t="s">
        <v>1854</v>
      </c>
      <c r="B8" s="317"/>
      <c r="C8" s="317"/>
      <c r="D8" s="317"/>
      <c r="E8" s="317"/>
    </row>
    <row r="9" spans="1:6">
      <c r="A9" s="292" t="s">
        <v>1853</v>
      </c>
      <c r="B9" s="317"/>
      <c r="C9" s="317"/>
      <c r="D9" s="317"/>
      <c r="E9" s="317"/>
    </row>
    <row r="10" spans="1:6">
      <c r="A10" s="292" t="s">
        <v>288</v>
      </c>
      <c r="B10" s="317"/>
      <c r="C10" s="317"/>
      <c r="D10" s="317"/>
      <c r="E10" s="317"/>
    </row>
    <row r="11" spans="1:6">
      <c r="A11" s="292" t="s">
        <v>289</v>
      </c>
      <c r="B11" s="317"/>
      <c r="C11" s="317"/>
      <c r="D11" s="317"/>
      <c r="E11" s="317"/>
    </row>
    <row r="12" spans="1:6">
      <c r="A12" s="292" t="s">
        <v>290</v>
      </c>
      <c r="B12" s="317"/>
      <c r="C12" s="317"/>
      <c r="D12" s="317"/>
      <c r="E12" s="317"/>
    </row>
    <row r="13" spans="1:6">
      <c r="A13" s="292" t="s">
        <v>291</v>
      </c>
      <c r="B13" s="317"/>
      <c r="C13" s="317"/>
      <c r="D13" s="317"/>
      <c r="E13" s="317"/>
    </row>
    <row r="14" spans="1:6">
      <c r="A14" s="292" t="s">
        <v>292</v>
      </c>
      <c r="B14" s="317"/>
      <c r="C14" s="317"/>
      <c r="D14" s="317"/>
      <c r="E14" s="317"/>
    </row>
    <row r="15" spans="1:6">
      <c r="A15" s="292" t="s">
        <v>211</v>
      </c>
      <c r="B15" s="317"/>
      <c r="C15" s="317"/>
      <c r="D15" s="317"/>
      <c r="E15" s="317"/>
    </row>
    <row r="16" spans="1:6">
      <c r="A16" s="292" t="s">
        <v>1852</v>
      </c>
      <c r="B16" s="317"/>
      <c r="C16" s="317"/>
      <c r="D16" s="317"/>
      <c r="E16" s="317"/>
    </row>
    <row r="17" spans="1:6">
      <c r="A17" s="292" t="s">
        <v>293</v>
      </c>
      <c r="B17" s="317"/>
      <c r="C17" s="317"/>
      <c r="D17" s="317"/>
      <c r="E17" s="317"/>
    </row>
    <row r="18" spans="1:6">
      <c r="A18" s="292" t="s">
        <v>294</v>
      </c>
      <c r="B18" s="317"/>
      <c r="C18" s="317"/>
      <c r="D18" s="317"/>
      <c r="E18" s="317"/>
    </row>
    <row r="19" spans="1:6">
      <c r="A19" s="292" t="s">
        <v>295</v>
      </c>
      <c r="B19" s="317"/>
      <c r="C19" s="317"/>
      <c r="D19" s="317"/>
      <c r="E19" s="317"/>
    </row>
    <row r="20" spans="1:6">
      <c r="A20" s="292" t="s">
        <v>296</v>
      </c>
      <c r="B20" s="317"/>
      <c r="C20" s="317"/>
      <c r="D20" s="317"/>
      <c r="E20" s="317"/>
    </row>
    <row r="21" spans="1:6">
      <c r="A21" s="292" t="s">
        <v>297</v>
      </c>
      <c r="B21" s="317"/>
      <c r="C21" s="317"/>
      <c r="D21" s="317"/>
      <c r="E21" s="317"/>
    </row>
    <row r="22" spans="1:6">
      <c r="A22" s="292" t="s">
        <v>298</v>
      </c>
      <c r="B22" s="317"/>
      <c r="C22" s="317"/>
      <c r="D22" s="317"/>
      <c r="E22" s="317"/>
    </row>
    <row r="23" spans="1:6">
      <c r="A23" s="292" t="s">
        <v>299</v>
      </c>
      <c r="B23" s="317"/>
      <c r="C23" s="317"/>
      <c r="D23" s="317"/>
      <c r="E23" s="317"/>
    </row>
    <row r="24" spans="1:6">
      <c r="A24" s="292" t="s">
        <v>212</v>
      </c>
      <c r="B24" s="317"/>
      <c r="C24" s="317"/>
      <c r="D24" s="317"/>
      <c r="E24" s="317"/>
    </row>
    <row r="25" spans="1:6">
      <c r="A25" s="292" t="s">
        <v>1851</v>
      </c>
      <c r="B25" s="317"/>
      <c r="C25" s="317"/>
      <c r="D25" s="317"/>
      <c r="E25" s="317"/>
    </row>
    <row r="26" spans="1:6">
      <c r="A26" s="292" t="s">
        <v>213</v>
      </c>
      <c r="B26" s="317"/>
      <c r="C26" s="317"/>
      <c r="D26" s="317"/>
      <c r="E26" s="317"/>
    </row>
    <row r="27" spans="1:6">
      <c r="A27" s="292" t="s">
        <v>1850</v>
      </c>
      <c r="B27" s="317"/>
      <c r="C27" s="317"/>
      <c r="D27" s="317"/>
      <c r="E27" s="317"/>
    </row>
    <row r="28" spans="1:6">
      <c r="A28" s="292" t="s">
        <v>1849</v>
      </c>
      <c r="B28" s="317"/>
      <c r="C28" s="317"/>
      <c r="D28" s="317"/>
      <c r="E28" s="317"/>
    </row>
    <row r="29" spans="1:6">
      <c r="A29" s="292" t="s">
        <v>1848</v>
      </c>
      <c r="B29" s="317"/>
      <c r="C29" s="317"/>
      <c r="D29" s="317"/>
      <c r="E29" s="317"/>
    </row>
    <row r="30" spans="1:6">
      <c r="A30" s="292" t="s">
        <v>1832</v>
      </c>
      <c r="B30" s="317">
        <v>91</v>
      </c>
      <c r="C30" s="317">
        <v>90.65</v>
      </c>
      <c r="D30" s="318">
        <f>C30/B30*100</f>
        <v>99.62</v>
      </c>
      <c r="E30" s="318">
        <f>C30/F30*100</f>
        <v>85.01</v>
      </c>
      <c r="F30" s="249">
        <v>106.63</v>
      </c>
    </row>
    <row r="31" spans="1:6">
      <c r="A31" s="292" t="s">
        <v>1847</v>
      </c>
      <c r="B31" s="317">
        <v>91</v>
      </c>
      <c r="C31" s="317">
        <v>90.65</v>
      </c>
      <c r="D31" s="318">
        <f>C31/B31*100</f>
        <v>99.62</v>
      </c>
      <c r="E31" s="318">
        <f>C31/F31*100</f>
        <v>85.01</v>
      </c>
      <c r="F31" s="249">
        <v>106.63</v>
      </c>
    </row>
    <row r="32" spans="1:6">
      <c r="A32" s="292" t="s">
        <v>25</v>
      </c>
      <c r="B32" s="317">
        <v>91</v>
      </c>
      <c r="C32" s="317">
        <v>90.65</v>
      </c>
      <c r="D32" s="318">
        <f>C32/B32*100</f>
        <v>99.62</v>
      </c>
      <c r="E32" s="318">
        <f>C32/F32*100</f>
        <v>85.01</v>
      </c>
      <c r="F32" s="249">
        <v>106.63</v>
      </c>
    </row>
    <row r="33" spans="1:6">
      <c r="A33" s="292" t="s">
        <v>316</v>
      </c>
      <c r="B33" s="317"/>
      <c r="C33" s="317"/>
      <c r="D33" s="317"/>
      <c r="E33" s="317"/>
    </row>
    <row r="34" spans="1:6">
      <c r="A34" s="292" t="s">
        <v>214</v>
      </c>
      <c r="B34" s="317"/>
      <c r="C34" s="317"/>
      <c r="D34" s="317"/>
      <c r="E34" s="317"/>
    </row>
    <row r="35" spans="1:6">
      <c r="A35" s="292" t="s">
        <v>1831</v>
      </c>
      <c r="B35" s="317"/>
      <c r="C35" s="317">
        <v>104.66</v>
      </c>
      <c r="D35" s="317"/>
      <c r="E35" s="317"/>
      <c r="F35" s="249">
        <v>0</v>
      </c>
    </row>
    <row r="36" spans="1:6">
      <c r="A36" s="292" t="s">
        <v>215</v>
      </c>
      <c r="B36" s="317"/>
      <c r="C36" s="317">
        <f>C32+C35</f>
        <v>195.31</v>
      </c>
      <c r="D36" s="318"/>
      <c r="E36" s="318">
        <f>C36/F36*100</f>
        <v>183.17</v>
      </c>
      <c r="F36" s="249">
        <f>F32+F35</f>
        <v>106.63</v>
      </c>
    </row>
  </sheetData>
  <mergeCells count="1">
    <mergeCell ref="A2:E2"/>
  </mergeCells>
  <phoneticPr fontId="38" type="noConversion"/>
  <pageMargins left="0.75" right="0.75" top="1" bottom="1" header="0.5" footer="0.5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17"/>
  <sheetViews>
    <sheetView workbookViewId="0">
      <selection activeCell="B5" sqref="B5:E16"/>
    </sheetView>
  </sheetViews>
  <sheetFormatPr defaultRowHeight="14.25"/>
  <cols>
    <col min="1" max="1" width="40.5" style="249" customWidth="1"/>
    <col min="2" max="2" width="11.75" style="249" customWidth="1"/>
    <col min="3" max="4" width="12.125" style="249" customWidth="1"/>
    <col min="5" max="5" width="12.375" style="249" customWidth="1"/>
    <col min="6" max="6" width="14.875" style="249" hidden="1" customWidth="1"/>
    <col min="7" max="16384" width="9" style="249"/>
  </cols>
  <sheetData>
    <row r="1" spans="1:6">
      <c r="A1" s="249" t="s">
        <v>1860</v>
      </c>
    </row>
    <row r="2" spans="1:6" ht="20.25">
      <c r="A2" s="392" t="s">
        <v>1859</v>
      </c>
      <c r="B2" s="392"/>
      <c r="C2" s="392"/>
      <c r="D2" s="392"/>
      <c r="E2" s="392"/>
    </row>
    <row r="3" spans="1:6">
      <c r="E3" s="249" t="s">
        <v>109</v>
      </c>
    </row>
    <row r="4" spans="1:6" ht="31.5" customHeight="1">
      <c r="A4" s="239" t="s">
        <v>110</v>
      </c>
      <c r="B4" s="239" t="s">
        <v>1833</v>
      </c>
      <c r="C4" s="239" t="s">
        <v>409</v>
      </c>
      <c r="D4" s="255" t="s">
        <v>562</v>
      </c>
      <c r="E4" s="255" t="s">
        <v>1828</v>
      </c>
      <c r="F4" s="298" t="s">
        <v>1827</v>
      </c>
    </row>
    <row r="5" spans="1:6">
      <c r="A5" s="292" t="s">
        <v>216</v>
      </c>
      <c r="B5" s="317"/>
      <c r="C5" s="317">
        <v>23393</v>
      </c>
      <c r="D5" s="318"/>
      <c r="E5" s="318"/>
      <c r="F5" s="249">
        <v>496</v>
      </c>
    </row>
    <row r="6" spans="1:6">
      <c r="A6" s="292" t="s">
        <v>220</v>
      </c>
      <c r="B6" s="317">
        <v>11599</v>
      </c>
      <c r="C6" s="317">
        <v>10910</v>
      </c>
      <c r="D6" s="318">
        <f>C6/B6*100</f>
        <v>94.06</v>
      </c>
      <c r="E6" s="318">
        <f>C6/F6*100</f>
        <v>119.71</v>
      </c>
      <c r="F6" s="249">
        <v>9114</v>
      </c>
    </row>
    <row r="7" spans="1:6">
      <c r="A7" s="292" t="s">
        <v>221</v>
      </c>
      <c r="B7" s="317">
        <v>25395</v>
      </c>
      <c r="C7" s="317">
        <v>49285</v>
      </c>
      <c r="D7" s="318">
        <f>C7/B7*100</f>
        <v>194.07</v>
      </c>
      <c r="E7" s="318">
        <f>C7/F7*100</f>
        <v>179.85</v>
      </c>
      <c r="F7" s="249">
        <v>27404</v>
      </c>
    </row>
    <row r="8" spans="1:6">
      <c r="A8" s="292" t="s">
        <v>222</v>
      </c>
      <c r="B8" s="317">
        <v>11773</v>
      </c>
      <c r="C8" s="317">
        <v>13762</v>
      </c>
      <c r="D8" s="318">
        <f>C8/B8*100</f>
        <v>116.89</v>
      </c>
      <c r="E8" s="318">
        <f>C8/F8*100</f>
        <v>118.9</v>
      </c>
      <c r="F8" s="249">
        <v>11574</v>
      </c>
    </row>
    <row r="9" spans="1:6">
      <c r="A9" s="292" t="s">
        <v>223</v>
      </c>
      <c r="B9" s="317">
        <v>20559</v>
      </c>
      <c r="C9" s="317">
        <v>20966</v>
      </c>
      <c r="D9" s="318">
        <f>C9/B9*100</f>
        <v>101.98</v>
      </c>
      <c r="E9" s="318">
        <f>C9/F9*100</f>
        <v>113.7</v>
      </c>
      <c r="F9" s="249">
        <v>18440</v>
      </c>
    </row>
    <row r="10" spans="1:6" hidden="1">
      <c r="A10" s="292" t="s">
        <v>282</v>
      </c>
      <c r="B10" s="317"/>
      <c r="C10" s="317"/>
      <c r="D10" s="317"/>
      <c r="E10" s="317"/>
    </row>
    <row r="11" spans="1:6" hidden="1">
      <c r="A11" s="292" t="s">
        <v>224</v>
      </c>
      <c r="B11" s="317"/>
      <c r="C11" s="317"/>
      <c r="D11" s="317"/>
      <c r="E11" s="317"/>
    </row>
    <row r="12" spans="1:6" hidden="1">
      <c r="A12" s="292" t="s">
        <v>283</v>
      </c>
      <c r="B12" s="317"/>
      <c r="C12" s="317"/>
      <c r="D12" s="317"/>
      <c r="E12" s="317"/>
    </row>
    <row r="13" spans="1:6">
      <c r="A13" s="292" t="s">
        <v>225</v>
      </c>
      <c r="B13" s="317">
        <v>1109</v>
      </c>
      <c r="C13" s="317">
        <v>530</v>
      </c>
      <c r="D13" s="318">
        <f>C13/B13*100</f>
        <v>47.79</v>
      </c>
      <c r="E13" s="318">
        <f>C13/F13*100</f>
        <v>28.77</v>
      </c>
      <c r="F13" s="249">
        <v>1842</v>
      </c>
    </row>
    <row r="14" spans="1:6">
      <c r="A14" s="292" t="s">
        <v>226</v>
      </c>
      <c r="B14" s="317">
        <v>413</v>
      </c>
      <c r="C14" s="317">
        <v>1023</v>
      </c>
      <c r="D14" s="318">
        <f>C14/B14*100</f>
        <v>247.7</v>
      </c>
      <c r="E14" s="318">
        <f>C14/F14*100</f>
        <v>89.74</v>
      </c>
      <c r="F14" s="249">
        <v>1140</v>
      </c>
    </row>
    <row r="15" spans="1:6">
      <c r="A15" s="292" t="s">
        <v>227</v>
      </c>
      <c r="B15" s="317">
        <v>589</v>
      </c>
      <c r="C15" s="317">
        <v>501</v>
      </c>
      <c r="D15" s="318">
        <f>C15/B15*100</f>
        <v>85.06</v>
      </c>
      <c r="E15" s="318">
        <f>C15/F15*100</f>
        <v>34.270000000000003</v>
      </c>
      <c r="F15" s="249">
        <v>1462</v>
      </c>
    </row>
    <row r="16" spans="1:6">
      <c r="A16" s="252" t="s">
        <v>228</v>
      </c>
      <c r="B16" s="317">
        <f>SUM(B5:B9)+SUM(B13:B15)</f>
        <v>71437</v>
      </c>
      <c r="C16" s="317">
        <f>SUM(C5:C9)+SUM(C13:C15)</f>
        <v>120370</v>
      </c>
      <c r="D16" s="318">
        <f>C16/B16*100</f>
        <v>168.5</v>
      </c>
      <c r="E16" s="318">
        <f>C16/F16*100</f>
        <v>168.42</v>
      </c>
      <c r="F16" s="249">
        <f>SUM(F5:F9)+SUM(F13:F15)</f>
        <v>71472</v>
      </c>
    </row>
    <row r="17" spans="1:5">
      <c r="A17" s="399"/>
      <c r="B17" s="399"/>
      <c r="C17" s="399"/>
      <c r="D17" s="399"/>
      <c r="E17" s="399"/>
    </row>
  </sheetData>
  <mergeCells count="2">
    <mergeCell ref="A2:E2"/>
    <mergeCell ref="A17:E17"/>
  </mergeCells>
  <phoneticPr fontId="38" type="noConversion"/>
  <pageMargins left="0.75" right="0.75" top="1" bottom="1" header="0.5" footer="0.5"/>
  <pageSetup paperSize="9" orientation="landscape" verticalDpi="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>
  <dimension ref="A1:F16"/>
  <sheetViews>
    <sheetView workbookViewId="0">
      <selection activeCell="B5" sqref="B5:E16"/>
    </sheetView>
  </sheetViews>
  <sheetFormatPr defaultRowHeight="14.25"/>
  <cols>
    <col min="1" max="1" width="36.75" style="249" customWidth="1"/>
    <col min="2" max="2" width="12.625" style="249" customWidth="1"/>
    <col min="3" max="3" width="11.5" style="249" customWidth="1"/>
    <col min="4" max="4" width="12.625" style="249" customWidth="1"/>
    <col min="5" max="5" width="13.5" style="249" customWidth="1"/>
    <col min="6" max="6" width="0" style="249" hidden="1" customWidth="1"/>
    <col min="7" max="16384" width="9" style="249"/>
  </cols>
  <sheetData>
    <row r="1" spans="1:6">
      <c r="A1" s="249" t="s">
        <v>1862</v>
      </c>
    </row>
    <row r="2" spans="1:6" ht="20.25">
      <c r="A2" s="392" t="s">
        <v>1861</v>
      </c>
      <c r="B2" s="392"/>
      <c r="C2" s="392"/>
      <c r="D2" s="392"/>
      <c r="E2" s="392"/>
    </row>
    <row r="3" spans="1:6">
      <c r="E3" s="249" t="s">
        <v>109</v>
      </c>
    </row>
    <row r="4" spans="1:6" ht="28.5">
      <c r="A4" s="239" t="s">
        <v>110</v>
      </c>
      <c r="B4" s="239" t="s">
        <v>1833</v>
      </c>
      <c r="C4" s="239" t="s">
        <v>409</v>
      </c>
      <c r="D4" s="255" t="s">
        <v>562</v>
      </c>
      <c r="E4" s="255" t="s">
        <v>561</v>
      </c>
      <c r="F4" s="298" t="s">
        <v>1827</v>
      </c>
    </row>
    <row r="5" spans="1:6">
      <c r="A5" s="292" t="s">
        <v>230</v>
      </c>
      <c r="B5" s="317">
        <v>0</v>
      </c>
      <c r="C5" s="317">
        <v>20292</v>
      </c>
      <c r="D5" s="318"/>
      <c r="E5" s="318">
        <f>C5/F5*100</f>
        <v>112.8</v>
      </c>
      <c r="F5" s="249">
        <v>17990</v>
      </c>
    </row>
    <row r="6" spans="1:6">
      <c r="A6" s="292" t="s">
        <v>231</v>
      </c>
      <c r="B6" s="317">
        <v>11599</v>
      </c>
      <c r="C6" s="317">
        <v>8557</v>
      </c>
      <c r="D6" s="318">
        <f>C6/B6*100</f>
        <v>73.77</v>
      </c>
      <c r="E6" s="318">
        <f>C6/F6*100</f>
        <v>108.72</v>
      </c>
      <c r="F6" s="249">
        <v>7871</v>
      </c>
    </row>
    <row r="7" spans="1:6">
      <c r="A7" s="292" t="s">
        <v>232</v>
      </c>
      <c r="B7" s="317">
        <v>25395</v>
      </c>
      <c r="C7" s="317">
        <v>29320</v>
      </c>
      <c r="D7" s="318">
        <f>C7/B7*100</f>
        <v>115.46</v>
      </c>
      <c r="E7" s="318">
        <f>C7/F7*100</f>
        <v>113.07</v>
      </c>
      <c r="F7" s="249">
        <v>25931</v>
      </c>
    </row>
    <row r="8" spans="1:6">
      <c r="A8" s="292" t="s">
        <v>233</v>
      </c>
      <c r="B8" s="317">
        <v>11773</v>
      </c>
      <c r="C8" s="317">
        <v>11955</v>
      </c>
      <c r="D8" s="318">
        <f>C8/B8*100</f>
        <v>101.55</v>
      </c>
      <c r="E8" s="318">
        <f>C8/F8*100</f>
        <v>110.37</v>
      </c>
      <c r="F8" s="249">
        <v>10832</v>
      </c>
    </row>
    <row r="9" spans="1:6">
      <c r="A9" s="292" t="s">
        <v>234</v>
      </c>
      <c r="B9" s="317">
        <v>20559</v>
      </c>
      <c r="C9" s="317">
        <v>18935</v>
      </c>
      <c r="D9" s="318">
        <f>C9/B9*100</f>
        <v>92.1</v>
      </c>
      <c r="E9" s="318">
        <f>C9/F9*100</f>
        <v>117.1</v>
      </c>
      <c r="F9" s="249">
        <v>16170</v>
      </c>
    </row>
    <row r="10" spans="1:6" hidden="1">
      <c r="A10" s="292" t="s">
        <v>235</v>
      </c>
      <c r="B10" s="317"/>
      <c r="C10" s="317"/>
      <c r="D10" s="317"/>
      <c r="E10" s="317"/>
    </row>
    <row r="11" spans="1:6" hidden="1">
      <c r="A11" s="292" t="s">
        <v>236</v>
      </c>
      <c r="B11" s="317"/>
      <c r="C11" s="317"/>
      <c r="D11" s="317"/>
      <c r="E11" s="317"/>
    </row>
    <row r="12" spans="1:6" hidden="1">
      <c r="A12" s="292" t="s">
        <v>237</v>
      </c>
      <c r="B12" s="317"/>
      <c r="C12" s="317"/>
      <c r="D12" s="317"/>
      <c r="E12" s="317"/>
    </row>
    <row r="13" spans="1:6">
      <c r="A13" s="292" t="s">
        <v>238</v>
      </c>
      <c r="B13" s="317">
        <v>1109</v>
      </c>
      <c r="C13" s="317">
        <v>660</v>
      </c>
      <c r="D13" s="318">
        <f>C13/B13*100</f>
        <v>59.51</v>
      </c>
      <c r="E13" s="318">
        <f>C13/F13*100</f>
        <v>51.2</v>
      </c>
      <c r="F13" s="249">
        <v>1289</v>
      </c>
    </row>
    <row r="14" spans="1:6">
      <c r="A14" s="292" t="s">
        <v>239</v>
      </c>
      <c r="B14" s="317">
        <v>413</v>
      </c>
      <c r="C14" s="317">
        <v>340</v>
      </c>
      <c r="D14" s="318">
        <f>C14/B14*100</f>
        <v>82.32</v>
      </c>
      <c r="E14" s="318">
        <f>C14/F14*100</f>
        <v>187.85</v>
      </c>
      <c r="F14" s="249">
        <v>181</v>
      </c>
    </row>
    <row r="15" spans="1:6">
      <c r="A15" s="292" t="s">
        <v>240</v>
      </c>
      <c r="B15" s="317">
        <v>589</v>
      </c>
      <c r="C15" s="317">
        <v>470</v>
      </c>
      <c r="D15" s="318">
        <f>C15/B15*100</f>
        <v>79.8</v>
      </c>
      <c r="E15" s="318">
        <f>C15/F15*100</f>
        <v>58.75</v>
      </c>
      <c r="F15" s="249">
        <v>800</v>
      </c>
    </row>
    <row r="16" spans="1:6">
      <c r="A16" s="292" t="s">
        <v>1697</v>
      </c>
      <c r="B16" s="317">
        <f>SUM(B5:B9)+SUM(B13:B15)</f>
        <v>71437</v>
      </c>
      <c r="C16" s="317">
        <f>SUM(C5:C9)+SUM(C13:C15)</f>
        <v>90529</v>
      </c>
      <c r="D16" s="318">
        <f>C16/B16*100</f>
        <v>126.73</v>
      </c>
      <c r="E16" s="318">
        <f>C16/F16*100</f>
        <v>111.68</v>
      </c>
      <c r="F16" s="249">
        <f>SUM(F5:F9)+SUM(F13:F15)</f>
        <v>81064</v>
      </c>
    </row>
  </sheetData>
  <mergeCells count="1">
    <mergeCell ref="A2:E2"/>
  </mergeCells>
  <phoneticPr fontId="38" type="noConversion"/>
  <pageMargins left="0.75" right="0.75" top="1" bottom="1" header="0.5" footer="0.5"/>
  <pageSetup paperSize="9" orientation="landscape" verticalDpi="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>
  <dimension ref="A1:F67"/>
  <sheetViews>
    <sheetView workbookViewId="0">
      <selection activeCell="C3" sqref="C3"/>
    </sheetView>
  </sheetViews>
  <sheetFormatPr defaultRowHeight="14.25"/>
  <cols>
    <col min="1" max="1" width="29.625" style="249" customWidth="1"/>
    <col min="2" max="2" width="13.375" style="249" customWidth="1"/>
    <col min="3" max="3" width="14" style="249" customWidth="1"/>
    <col min="4" max="4" width="10.875" style="249" customWidth="1"/>
    <col min="5" max="5" width="11.625" style="249" customWidth="1"/>
    <col min="6" max="6" width="16.625" style="249" hidden="1" customWidth="1"/>
    <col min="7" max="16384" width="9" style="249"/>
  </cols>
  <sheetData>
    <row r="1" spans="1:6">
      <c r="A1" s="249" t="s">
        <v>1875</v>
      </c>
    </row>
    <row r="2" spans="1:6" ht="20.25">
      <c r="A2" s="392" t="s">
        <v>1874</v>
      </c>
      <c r="B2" s="392"/>
      <c r="C2" s="392"/>
      <c r="D2" s="392"/>
      <c r="E2" s="392"/>
    </row>
    <row r="3" spans="1:6">
      <c r="E3" s="249" t="s">
        <v>109</v>
      </c>
    </row>
    <row r="4" spans="1:6" ht="24.75" customHeight="1">
      <c r="A4" s="239" t="s">
        <v>241</v>
      </c>
      <c r="B4" s="239" t="s">
        <v>1833</v>
      </c>
      <c r="C4" s="239" t="s">
        <v>409</v>
      </c>
      <c r="D4" s="255" t="s">
        <v>562</v>
      </c>
      <c r="E4" s="255" t="s">
        <v>1828</v>
      </c>
      <c r="F4" s="249" t="s">
        <v>584</v>
      </c>
    </row>
    <row r="5" spans="1:6">
      <c r="A5" s="292" t="s">
        <v>216</v>
      </c>
      <c r="B5" s="317">
        <v>0</v>
      </c>
      <c r="C5" s="317">
        <v>23393</v>
      </c>
      <c r="D5" s="318"/>
      <c r="E5" s="318">
        <f>C5/F5*100</f>
        <v>4716.33</v>
      </c>
      <c r="F5" s="249">
        <v>496</v>
      </c>
    </row>
    <row r="6" spans="1:6">
      <c r="A6" s="292" t="s">
        <v>229</v>
      </c>
      <c r="B6" s="317"/>
      <c r="C6" s="317">
        <v>-18</v>
      </c>
      <c r="D6" s="317"/>
      <c r="E6" s="317"/>
    </row>
    <row r="7" spans="1:6">
      <c r="A7" s="292" t="s">
        <v>1872</v>
      </c>
      <c r="B7" s="317"/>
      <c r="C7" s="317">
        <v>43</v>
      </c>
      <c r="D7" s="317"/>
      <c r="E7" s="317"/>
    </row>
    <row r="8" spans="1:6">
      <c r="A8" s="292" t="s">
        <v>218</v>
      </c>
      <c r="B8" s="317"/>
      <c r="C8" s="317"/>
      <c r="D8" s="317"/>
      <c r="E8" s="317"/>
    </row>
    <row r="9" spans="1:6">
      <c r="A9" s="292" t="s">
        <v>219</v>
      </c>
      <c r="B9" s="317"/>
      <c r="C9" s="317"/>
      <c r="D9" s="317"/>
      <c r="E9" s="317"/>
    </row>
    <row r="10" spans="1:6">
      <c r="A10" s="292" t="s">
        <v>1873</v>
      </c>
      <c r="B10" s="317"/>
      <c r="C10" s="317">
        <f>922+22446</f>
        <v>23368</v>
      </c>
      <c r="D10" s="317"/>
      <c r="E10" s="317"/>
    </row>
    <row r="11" spans="1:6">
      <c r="A11" s="292" t="s">
        <v>220</v>
      </c>
      <c r="B11" s="317">
        <v>11599</v>
      </c>
      <c r="C11" s="317">
        <v>10910</v>
      </c>
      <c r="D11" s="318">
        <f>C11/B11*100</f>
        <v>94.06</v>
      </c>
      <c r="E11" s="318">
        <f>C11/F11*100</f>
        <v>119.71</v>
      </c>
      <c r="F11" s="249">
        <v>9114</v>
      </c>
    </row>
    <row r="12" spans="1:6">
      <c r="A12" s="292" t="s">
        <v>229</v>
      </c>
      <c r="B12" s="317"/>
      <c r="C12" s="317">
        <v>1567</v>
      </c>
      <c r="D12" s="317"/>
      <c r="E12" s="317"/>
    </row>
    <row r="13" spans="1:6">
      <c r="A13" s="292" t="s">
        <v>218</v>
      </c>
      <c r="B13" s="317"/>
      <c r="C13" s="317">
        <v>9111</v>
      </c>
      <c r="D13" s="317"/>
      <c r="E13" s="317"/>
    </row>
    <row r="14" spans="1:6">
      <c r="A14" s="292" t="s">
        <v>1872</v>
      </c>
      <c r="B14" s="317"/>
      <c r="C14" s="317">
        <v>143</v>
      </c>
      <c r="D14" s="317"/>
      <c r="E14" s="317"/>
    </row>
    <row r="15" spans="1:6">
      <c r="A15" s="292" t="s">
        <v>219</v>
      </c>
      <c r="B15" s="317"/>
      <c r="C15" s="317"/>
      <c r="D15" s="317"/>
      <c r="E15" s="317"/>
    </row>
    <row r="16" spans="1:6">
      <c r="A16" s="292" t="s">
        <v>1863</v>
      </c>
      <c r="B16" s="317"/>
      <c r="C16" s="317">
        <v>89</v>
      </c>
      <c r="D16" s="317"/>
      <c r="E16" s="317"/>
    </row>
    <row r="17" spans="1:6">
      <c r="A17" s="292" t="s">
        <v>221</v>
      </c>
      <c r="B17" s="317">
        <v>25395</v>
      </c>
      <c r="C17" s="317">
        <v>49285</v>
      </c>
      <c r="D17" s="318">
        <f>C17/B17*100</f>
        <v>194.07</v>
      </c>
      <c r="E17" s="318">
        <f>C17/F17*100</f>
        <v>179.85</v>
      </c>
      <c r="F17" s="249">
        <v>27404</v>
      </c>
    </row>
    <row r="18" spans="1:6">
      <c r="A18" s="292" t="s">
        <v>229</v>
      </c>
      <c r="B18" s="317"/>
      <c r="C18" s="317">
        <v>32265</v>
      </c>
      <c r="D18" s="317"/>
      <c r="E18" s="317"/>
    </row>
    <row r="19" spans="1:6">
      <c r="A19" s="292" t="s">
        <v>1872</v>
      </c>
      <c r="B19" s="317"/>
      <c r="C19" s="317">
        <v>480</v>
      </c>
      <c r="D19" s="317"/>
      <c r="E19" s="317"/>
    </row>
    <row r="20" spans="1:6">
      <c r="A20" s="292" t="s">
        <v>218</v>
      </c>
      <c r="B20" s="317"/>
      <c r="C20" s="317">
        <v>16473</v>
      </c>
      <c r="D20" s="317"/>
      <c r="E20" s="317"/>
    </row>
    <row r="21" spans="1:6">
      <c r="A21" s="292" t="s">
        <v>219</v>
      </c>
      <c r="B21" s="317"/>
      <c r="C21" s="317"/>
      <c r="D21" s="317"/>
      <c r="E21" s="317"/>
    </row>
    <row r="22" spans="1:6">
      <c r="A22" s="292" t="s">
        <v>1863</v>
      </c>
      <c r="B22" s="317"/>
      <c r="C22" s="317">
        <v>67</v>
      </c>
      <c r="D22" s="317"/>
      <c r="E22" s="317"/>
    </row>
    <row r="23" spans="1:6">
      <c r="A23" s="292" t="s">
        <v>222</v>
      </c>
      <c r="B23" s="317">
        <v>11773</v>
      </c>
      <c r="C23" s="317">
        <v>13762</v>
      </c>
      <c r="D23" s="318">
        <f>C23/B23*100</f>
        <v>116.89</v>
      </c>
      <c r="E23" s="318">
        <f>C23/F23*100</f>
        <v>118.9</v>
      </c>
      <c r="F23" s="249">
        <v>11574</v>
      </c>
    </row>
    <row r="24" spans="1:6">
      <c r="A24" s="292" t="s">
        <v>229</v>
      </c>
      <c r="B24" s="317"/>
      <c r="C24" s="317">
        <v>13362</v>
      </c>
      <c r="D24" s="317"/>
      <c r="E24" s="317"/>
    </row>
    <row r="25" spans="1:6">
      <c r="A25" s="292" t="s">
        <v>218</v>
      </c>
      <c r="B25" s="317"/>
      <c r="C25" s="317">
        <v>55</v>
      </c>
      <c r="D25" s="317"/>
      <c r="E25" s="317"/>
    </row>
    <row r="26" spans="1:6">
      <c r="A26" s="292" t="s">
        <v>217</v>
      </c>
      <c r="B26" s="317"/>
      <c r="C26" s="317">
        <v>260</v>
      </c>
      <c r="D26" s="317"/>
      <c r="E26" s="317"/>
    </row>
    <row r="27" spans="1:6">
      <c r="A27" s="292" t="s">
        <v>219</v>
      </c>
      <c r="B27" s="317"/>
      <c r="C27" s="317">
        <v>4</v>
      </c>
      <c r="D27" s="317"/>
      <c r="E27" s="317"/>
    </row>
    <row r="28" spans="1:6">
      <c r="A28" s="292" t="s">
        <v>1863</v>
      </c>
      <c r="B28" s="317"/>
      <c r="C28" s="317">
        <v>81</v>
      </c>
      <c r="D28" s="317"/>
      <c r="E28" s="317"/>
    </row>
    <row r="29" spans="1:6">
      <c r="A29" s="292" t="s">
        <v>223</v>
      </c>
      <c r="B29" s="317">
        <v>20559</v>
      </c>
      <c r="C29" s="317">
        <v>20966</v>
      </c>
      <c r="D29" s="318">
        <f>C29/B29*100</f>
        <v>101.98</v>
      </c>
      <c r="E29" s="318">
        <f>C29/F29*100</f>
        <v>113.7</v>
      </c>
      <c r="F29" s="249">
        <v>18440</v>
      </c>
    </row>
    <row r="30" spans="1:6" hidden="1">
      <c r="A30" s="292" t="s">
        <v>1871</v>
      </c>
      <c r="B30" s="317"/>
      <c r="C30" s="317"/>
      <c r="D30" s="317"/>
      <c r="E30" s="317"/>
    </row>
    <row r="31" spans="1:6" hidden="1">
      <c r="A31" s="292" t="s">
        <v>229</v>
      </c>
      <c r="B31" s="317"/>
      <c r="C31" s="317"/>
      <c r="D31" s="317"/>
      <c r="E31" s="317"/>
    </row>
    <row r="32" spans="1:6" hidden="1">
      <c r="A32" s="292" t="s">
        <v>218</v>
      </c>
      <c r="B32" s="317"/>
      <c r="C32" s="317"/>
      <c r="D32" s="317"/>
      <c r="E32" s="317"/>
    </row>
    <row r="33" spans="1:6" hidden="1">
      <c r="A33" s="292" t="s">
        <v>217</v>
      </c>
      <c r="B33" s="317"/>
      <c r="C33" s="317"/>
      <c r="D33" s="317"/>
      <c r="E33" s="317"/>
    </row>
    <row r="34" spans="1:6" hidden="1">
      <c r="A34" s="292" t="s">
        <v>219</v>
      </c>
      <c r="B34" s="317"/>
      <c r="C34" s="317"/>
      <c r="D34" s="317"/>
      <c r="E34" s="317"/>
    </row>
    <row r="35" spans="1:6" hidden="1">
      <c r="A35" s="292" t="s">
        <v>280</v>
      </c>
      <c r="B35" s="317"/>
      <c r="C35" s="317"/>
      <c r="D35" s="317"/>
      <c r="E35" s="317"/>
    </row>
    <row r="36" spans="1:6">
      <c r="A36" s="292" t="s">
        <v>1870</v>
      </c>
      <c r="B36" s="317"/>
      <c r="C36" s="317">
        <v>19030</v>
      </c>
      <c r="D36" s="317"/>
      <c r="E36" s="317"/>
    </row>
    <row r="37" spans="1:6">
      <c r="A37" s="292" t="s">
        <v>229</v>
      </c>
      <c r="B37" s="317"/>
      <c r="C37" s="317">
        <v>3905</v>
      </c>
      <c r="D37" s="317"/>
      <c r="E37" s="317"/>
    </row>
    <row r="38" spans="1:6">
      <c r="A38" s="292" t="s">
        <v>218</v>
      </c>
      <c r="B38" s="317"/>
      <c r="C38" s="317">
        <v>14970</v>
      </c>
      <c r="D38" s="317"/>
      <c r="E38" s="317"/>
    </row>
    <row r="39" spans="1:6">
      <c r="A39" s="292" t="s">
        <v>217</v>
      </c>
      <c r="B39" s="317"/>
      <c r="C39" s="317">
        <v>155</v>
      </c>
      <c r="D39" s="317"/>
      <c r="E39" s="317"/>
    </row>
    <row r="40" spans="1:6">
      <c r="A40" s="292" t="s">
        <v>219</v>
      </c>
      <c r="B40" s="317"/>
      <c r="C40" s="317"/>
      <c r="D40" s="317"/>
      <c r="E40" s="317"/>
    </row>
    <row r="41" spans="1:6">
      <c r="A41" s="292" t="s">
        <v>280</v>
      </c>
      <c r="B41" s="317"/>
      <c r="C41" s="317"/>
      <c r="D41" s="317"/>
      <c r="E41" s="317"/>
    </row>
    <row r="42" spans="1:6">
      <c r="A42" s="292" t="s">
        <v>1869</v>
      </c>
      <c r="B42" s="317"/>
      <c r="C42" s="317">
        <v>1936</v>
      </c>
      <c r="D42" s="317"/>
      <c r="E42" s="317"/>
    </row>
    <row r="43" spans="1:6">
      <c r="A43" s="292" t="s">
        <v>1868</v>
      </c>
      <c r="B43" s="317"/>
      <c r="C43" s="317">
        <v>505</v>
      </c>
      <c r="D43" s="317"/>
      <c r="E43" s="317"/>
    </row>
    <row r="44" spans="1:6">
      <c r="A44" s="292" t="s">
        <v>1867</v>
      </c>
      <c r="B44" s="317"/>
      <c r="C44" s="317">
        <v>1390</v>
      </c>
      <c r="D44" s="317"/>
      <c r="E44" s="317"/>
    </row>
    <row r="45" spans="1:6">
      <c r="A45" s="292" t="s">
        <v>1866</v>
      </c>
      <c r="B45" s="317"/>
      <c r="C45" s="317">
        <v>41</v>
      </c>
      <c r="D45" s="317"/>
      <c r="E45" s="317"/>
    </row>
    <row r="46" spans="1:6">
      <c r="A46" s="292" t="s">
        <v>1865</v>
      </c>
      <c r="B46" s="317"/>
      <c r="C46" s="317"/>
      <c r="D46" s="317"/>
      <c r="E46" s="317"/>
    </row>
    <row r="47" spans="1:6">
      <c r="A47" s="292" t="s">
        <v>1864</v>
      </c>
      <c r="B47" s="317"/>
      <c r="C47" s="317"/>
      <c r="D47" s="317"/>
      <c r="E47" s="317"/>
    </row>
    <row r="48" spans="1:6">
      <c r="A48" s="292" t="s">
        <v>225</v>
      </c>
      <c r="B48" s="317">
        <v>1109</v>
      </c>
      <c r="C48" s="317">
        <v>530</v>
      </c>
      <c r="D48" s="318">
        <f>C48/B48*100</f>
        <v>47.79</v>
      </c>
      <c r="E48" s="318">
        <f>C48/F48*100</f>
        <v>28.77</v>
      </c>
      <c r="F48" s="249">
        <v>1842</v>
      </c>
    </row>
    <row r="49" spans="1:6">
      <c r="A49" s="292" t="s">
        <v>229</v>
      </c>
      <c r="B49" s="317"/>
      <c r="C49" s="317">
        <v>517</v>
      </c>
      <c r="D49" s="317"/>
      <c r="E49" s="317"/>
    </row>
    <row r="50" spans="1:6">
      <c r="A50" s="292" t="s">
        <v>218</v>
      </c>
      <c r="B50" s="317"/>
      <c r="C50" s="317"/>
      <c r="D50" s="317"/>
      <c r="E50" s="317"/>
    </row>
    <row r="51" spans="1:6">
      <c r="A51" s="292" t="s">
        <v>217</v>
      </c>
      <c r="B51" s="317"/>
      <c r="C51" s="317">
        <v>13</v>
      </c>
      <c r="D51" s="317"/>
      <c r="E51" s="317"/>
    </row>
    <row r="52" spans="1:6">
      <c r="A52" s="292" t="s">
        <v>219</v>
      </c>
      <c r="B52" s="317"/>
      <c r="C52" s="317"/>
      <c r="D52" s="317"/>
      <c r="E52" s="317"/>
    </row>
    <row r="53" spans="1:6">
      <c r="A53" s="292" t="s">
        <v>280</v>
      </c>
      <c r="B53" s="317"/>
      <c r="C53" s="317"/>
      <c r="D53" s="317"/>
      <c r="E53" s="317"/>
    </row>
    <row r="54" spans="1:6">
      <c r="A54" s="292" t="s">
        <v>226</v>
      </c>
      <c r="B54" s="317">
        <v>413</v>
      </c>
      <c r="C54" s="317">
        <v>1023</v>
      </c>
      <c r="D54" s="318">
        <f>C54/B54*100</f>
        <v>247.7</v>
      </c>
      <c r="E54" s="318">
        <f>C54/F54*100</f>
        <v>89.74</v>
      </c>
      <c r="F54" s="249">
        <v>1140</v>
      </c>
    </row>
    <row r="55" spans="1:6">
      <c r="A55" s="292" t="s">
        <v>229</v>
      </c>
      <c r="B55" s="317"/>
      <c r="C55" s="317">
        <v>970</v>
      </c>
      <c r="D55" s="317"/>
      <c r="E55" s="317"/>
    </row>
    <row r="56" spans="1:6">
      <c r="A56" s="292" t="s">
        <v>218</v>
      </c>
      <c r="B56" s="317"/>
      <c r="C56" s="317"/>
      <c r="D56" s="317"/>
      <c r="E56" s="317"/>
    </row>
    <row r="57" spans="1:6">
      <c r="A57" s="292" t="s">
        <v>217</v>
      </c>
      <c r="B57" s="317"/>
      <c r="C57" s="317">
        <v>49</v>
      </c>
      <c r="D57" s="317"/>
      <c r="E57" s="317"/>
    </row>
    <row r="58" spans="1:6">
      <c r="A58" s="292" t="s">
        <v>219</v>
      </c>
      <c r="B58" s="317"/>
      <c r="C58" s="317"/>
      <c r="D58" s="317"/>
      <c r="E58" s="317"/>
    </row>
    <row r="59" spans="1:6">
      <c r="A59" s="292" t="s">
        <v>1863</v>
      </c>
      <c r="B59" s="317"/>
      <c r="C59" s="317">
        <v>4</v>
      </c>
      <c r="D59" s="317"/>
      <c r="E59" s="317"/>
    </row>
    <row r="60" spans="1:6">
      <c r="A60" s="292" t="s">
        <v>227</v>
      </c>
      <c r="B60" s="317">
        <v>589</v>
      </c>
      <c r="C60" s="317">
        <v>501</v>
      </c>
      <c r="D60" s="318">
        <f>C60/B60*100</f>
        <v>85.06</v>
      </c>
      <c r="E60" s="318">
        <f>C60/F60*100</f>
        <v>34.270000000000003</v>
      </c>
      <c r="F60" s="249">
        <v>1462</v>
      </c>
    </row>
    <row r="61" spans="1:6">
      <c r="A61" s="292" t="s">
        <v>229</v>
      </c>
      <c r="B61" s="317"/>
      <c r="C61" s="317">
        <v>476</v>
      </c>
      <c r="D61" s="317"/>
      <c r="E61" s="317"/>
    </row>
    <row r="62" spans="1:6">
      <c r="A62" s="292" t="s">
        <v>218</v>
      </c>
      <c r="B62" s="317"/>
      <c r="C62" s="317"/>
      <c r="D62" s="317"/>
      <c r="E62" s="317"/>
    </row>
    <row r="63" spans="1:6">
      <c r="A63" s="292" t="s">
        <v>217</v>
      </c>
      <c r="B63" s="317"/>
      <c r="C63" s="317">
        <v>25</v>
      </c>
      <c r="D63" s="317"/>
      <c r="E63" s="317"/>
    </row>
    <row r="64" spans="1:6">
      <c r="A64" s="292" t="s">
        <v>219</v>
      </c>
      <c r="B64" s="317"/>
      <c r="C64" s="317"/>
      <c r="D64" s="317"/>
      <c r="E64" s="317"/>
    </row>
    <row r="65" spans="1:6">
      <c r="A65" s="292" t="s">
        <v>280</v>
      </c>
      <c r="B65" s="317"/>
      <c r="C65" s="317"/>
      <c r="D65" s="317"/>
      <c r="E65" s="317"/>
    </row>
    <row r="66" spans="1:6">
      <c r="A66" s="292"/>
      <c r="B66" s="317"/>
      <c r="C66" s="317"/>
      <c r="D66" s="317"/>
      <c r="E66" s="317"/>
    </row>
    <row r="67" spans="1:6">
      <c r="A67" s="299" t="s">
        <v>1697</v>
      </c>
      <c r="B67" s="317">
        <f>B5+B11+B17+B23+B29+B48+B54+B60</f>
        <v>71437</v>
      </c>
      <c r="C67" s="317">
        <f>C5+C11+C17+C23+C29+C48+C54+C60</f>
        <v>120370</v>
      </c>
      <c r="D67" s="318">
        <f>C67/B67*100</f>
        <v>168.5</v>
      </c>
      <c r="E67" s="318">
        <f>C67/F67*100</f>
        <v>168.42</v>
      </c>
      <c r="F67" s="249">
        <f>F5+F11+F17+F23+F29+F48+F54+F60</f>
        <v>71472</v>
      </c>
    </row>
  </sheetData>
  <mergeCells count="1">
    <mergeCell ref="A2:E2"/>
  </mergeCells>
  <phoneticPr fontId="38" type="noConversion"/>
  <pageMargins left="0.55118110236220474" right="0.55118110236220474" top="0.19685039370078741" bottom="0.19685039370078741" header="0.11811023622047245" footer="0"/>
  <pageSetup paperSize="9" orientation="portrait" verticalDpi="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FormatPr defaultRowHeight="14.25"/>
  <cols>
    <col min="1" max="1" width="36" style="249" customWidth="1"/>
    <col min="2" max="2" width="12.25" style="249" customWidth="1"/>
    <col min="3" max="3" width="12.125" style="249" customWidth="1"/>
    <col min="4" max="4" width="12.375" style="249" customWidth="1"/>
    <col min="5" max="5" width="12.875" style="249" customWidth="1"/>
    <col min="6" max="6" width="20.625" style="249" hidden="1" customWidth="1"/>
    <col min="7" max="16384" width="9" style="249"/>
  </cols>
  <sheetData>
    <row r="1" spans="1:6">
      <c r="A1" s="249" t="s">
        <v>1911</v>
      </c>
    </row>
    <row r="2" spans="1:6" ht="37.5" customHeight="1">
      <c r="A2" s="392" t="s">
        <v>1910</v>
      </c>
      <c r="B2" s="392"/>
      <c r="C2" s="392"/>
      <c r="D2" s="392"/>
      <c r="E2" s="392"/>
    </row>
    <row r="3" spans="1:6">
      <c r="E3" s="249" t="s">
        <v>109</v>
      </c>
    </row>
    <row r="4" spans="1:6" ht="42.75" customHeight="1">
      <c r="A4" s="255" t="s">
        <v>241</v>
      </c>
      <c r="B4" s="255" t="s">
        <v>1833</v>
      </c>
      <c r="C4" s="255" t="s">
        <v>409</v>
      </c>
      <c r="D4" s="255" t="s">
        <v>562</v>
      </c>
      <c r="E4" s="255" t="s">
        <v>1828</v>
      </c>
      <c r="F4" s="249" t="s">
        <v>1827</v>
      </c>
    </row>
    <row r="5" spans="1:6">
      <c r="A5" s="292" t="s">
        <v>230</v>
      </c>
      <c r="B5" s="317">
        <v>0</v>
      </c>
      <c r="C5" s="317">
        <v>20292</v>
      </c>
      <c r="D5" s="318"/>
      <c r="E5" s="318">
        <f>C5/F5*100</f>
        <v>112.8</v>
      </c>
      <c r="F5" s="249">
        <v>17990</v>
      </c>
    </row>
    <row r="6" spans="1:6">
      <c r="A6" s="292" t="s">
        <v>1909</v>
      </c>
      <c r="B6" s="317"/>
      <c r="C6" s="317">
        <v>19383</v>
      </c>
      <c r="D6" s="317"/>
      <c r="E6" s="317"/>
    </row>
    <row r="7" spans="1:6">
      <c r="A7" s="292" t="s">
        <v>1908</v>
      </c>
      <c r="B7" s="317"/>
      <c r="C7" s="317"/>
      <c r="D7" s="317"/>
      <c r="E7" s="317"/>
    </row>
    <row r="8" spans="1:6">
      <c r="A8" s="292" t="s">
        <v>1883</v>
      </c>
      <c r="B8" s="317"/>
      <c r="C8" s="317">
        <v>116</v>
      </c>
      <c r="D8" s="317"/>
      <c r="E8" s="317"/>
    </row>
    <row r="9" spans="1:6">
      <c r="A9" s="292" t="s">
        <v>1900</v>
      </c>
      <c r="B9" s="317"/>
      <c r="C9" s="317"/>
      <c r="D9" s="317"/>
      <c r="E9" s="317"/>
    </row>
    <row r="10" spans="1:6">
      <c r="A10" s="292" t="s">
        <v>1907</v>
      </c>
      <c r="B10" s="317"/>
      <c r="C10" s="317">
        <f>82+711</f>
        <v>793</v>
      </c>
      <c r="D10" s="317"/>
      <c r="E10" s="317"/>
    </row>
    <row r="11" spans="1:6">
      <c r="A11" s="292" t="s">
        <v>231</v>
      </c>
      <c r="B11" s="317">
        <v>11599</v>
      </c>
      <c r="C11" s="317">
        <v>8557</v>
      </c>
      <c r="D11" s="318">
        <f>C11/B11*100</f>
        <v>73.77</v>
      </c>
      <c r="E11" s="318">
        <f>C11/F11*100</f>
        <v>108.72</v>
      </c>
      <c r="F11" s="249">
        <v>7871</v>
      </c>
    </row>
    <row r="12" spans="1:6">
      <c r="A12" s="292" t="s">
        <v>1906</v>
      </c>
      <c r="B12" s="317"/>
      <c r="C12" s="317">
        <v>8116</v>
      </c>
      <c r="D12" s="317"/>
      <c r="E12" s="317"/>
    </row>
    <row r="13" spans="1:6">
      <c r="A13" s="292" t="s">
        <v>1905</v>
      </c>
      <c r="B13" s="317"/>
      <c r="C13" s="317">
        <v>150</v>
      </c>
      <c r="D13" s="317"/>
      <c r="E13" s="317"/>
    </row>
    <row r="14" spans="1:6">
      <c r="A14" s="292" t="s">
        <v>1904</v>
      </c>
      <c r="B14" s="317"/>
      <c r="C14" s="317">
        <v>290</v>
      </c>
      <c r="D14" s="317"/>
      <c r="E14" s="317"/>
    </row>
    <row r="15" spans="1:6">
      <c r="A15" s="292" t="s">
        <v>1903</v>
      </c>
      <c r="B15" s="317"/>
      <c r="C15" s="317"/>
      <c r="D15" s="317"/>
      <c r="E15" s="317"/>
    </row>
    <row r="16" spans="1:6">
      <c r="A16" s="292" t="s">
        <v>1899</v>
      </c>
      <c r="B16" s="317"/>
      <c r="C16" s="317">
        <v>711</v>
      </c>
      <c r="D16" s="317"/>
      <c r="E16" s="317"/>
    </row>
    <row r="17" spans="1:6">
      <c r="A17" s="292" t="s">
        <v>232</v>
      </c>
      <c r="B17" s="317">
        <v>25395</v>
      </c>
      <c r="C17" s="317">
        <v>29320</v>
      </c>
      <c r="D17" s="318">
        <f>C17/B17*100</f>
        <v>115.46</v>
      </c>
      <c r="E17" s="318">
        <f>C17/F17*100</f>
        <v>113.07</v>
      </c>
      <c r="F17" s="249">
        <v>25931</v>
      </c>
    </row>
    <row r="18" spans="1:6">
      <c r="A18" s="300" t="s">
        <v>1902</v>
      </c>
      <c r="B18" s="317"/>
      <c r="C18" s="317">
        <v>29120</v>
      </c>
      <c r="D18" s="317"/>
      <c r="E18" s="317"/>
    </row>
    <row r="19" spans="1:6">
      <c r="A19" s="300" t="s">
        <v>1900</v>
      </c>
      <c r="B19" s="317"/>
      <c r="C19" s="317">
        <v>0</v>
      </c>
      <c r="D19" s="317"/>
      <c r="E19" s="317"/>
    </row>
    <row r="20" spans="1:6">
      <c r="A20" s="300" t="s">
        <v>1899</v>
      </c>
      <c r="B20" s="317"/>
      <c r="C20" s="317">
        <v>200</v>
      </c>
      <c r="D20" s="317"/>
      <c r="E20" s="317"/>
    </row>
    <row r="21" spans="1:6">
      <c r="A21" s="292" t="s">
        <v>233</v>
      </c>
      <c r="B21" s="317">
        <v>11773</v>
      </c>
      <c r="C21" s="317">
        <v>11955</v>
      </c>
      <c r="D21" s="318">
        <f>C21/B21*100</f>
        <v>101.55</v>
      </c>
      <c r="E21" s="318">
        <f>C21/F21*100</f>
        <v>110.37</v>
      </c>
      <c r="F21" s="249">
        <v>10832</v>
      </c>
    </row>
    <row r="22" spans="1:6">
      <c r="A22" s="300" t="s">
        <v>1901</v>
      </c>
      <c r="B22" s="317"/>
      <c r="C22" s="317">
        <v>11465</v>
      </c>
      <c r="D22" s="317"/>
      <c r="E22" s="317"/>
    </row>
    <row r="23" spans="1:6">
      <c r="A23" s="300" t="s">
        <v>1900</v>
      </c>
      <c r="B23" s="317"/>
      <c r="C23" s="317">
        <v>453</v>
      </c>
      <c r="D23" s="317"/>
      <c r="E23" s="317"/>
    </row>
    <row r="24" spans="1:6">
      <c r="A24" s="300" t="s">
        <v>1899</v>
      </c>
      <c r="B24" s="317"/>
      <c r="C24" s="317">
        <v>37</v>
      </c>
      <c r="D24" s="317"/>
      <c r="E24" s="317"/>
    </row>
    <row r="25" spans="1:6">
      <c r="A25" s="292" t="s">
        <v>234</v>
      </c>
      <c r="B25" s="317">
        <v>20559</v>
      </c>
      <c r="C25" s="317">
        <v>18935</v>
      </c>
      <c r="D25" s="318">
        <f>C25/B25*100</f>
        <v>92.1</v>
      </c>
      <c r="E25" s="318">
        <f>C25/F25*100</f>
        <v>117.1</v>
      </c>
      <c r="F25" s="249">
        <v>16170</v>
      </c>
    </row>
    <row r="26" spans="1:6" hidden="1">
      <c r="A26" s="292" t="s">
        <v>235</v>
      </c>
      <c r="B26" s="317"/>
      <c r="C26" s="317"/>
      <c r="D26" s="317"/>
      <c r="E26" s="317"/>
    </row>
    <row r="27" spans="1:6" hidden="1">
      <c r="A27" s="292" t="s">
        <v>1898</v>
      </c>
      <c r="B27" s="317"/>
      <c r="C27" s="317"/>
      <c r="D27" s="317"/>
      <c r="E27" s="317"/>
    </row>
    <row r="28" spans="1:6" hidden="1">
      <c r="A28" s="292" t="s">
        <v>1891</v>
      </c>
      <c r="B28" s="317"/>
      <c r="C28" s="317"/>
      <c r="D28" s="317"/>
      <c r="E28" s="317"/>
    </row>
    <row r="29" spans="1:6" hidden="1">
      <c r="A29" s="292" t="s">
        <v>1897</v>
      </c>
      <c r="B29" s="317"/>
      <c r="C29" s="317"/>
      <c r="D29" s="317"/>
      <c r="E29" s="317"/>
    </row>
    <row r="30" spans="1:6">
      <c r="A30" s="292" t="s">
        <v>1896</v>
      </c>
      <c r="B30" s="317"/>
      <c r="C30" s="317">
        <v>17267</v>
      </c>
      <c r="D30" s="317"/>
      <c r="E30" s="317"/>
    </row>
    <row r="31" spans="1:6">
      <c r="A31" s="292" t="s">
        <v>1895</v>
      </c>
      <c r="B31" s="317"/>
      <c r="C31" s="317">
        <v>17267</v>
      </c>
      <c r="D31" s="317"/>
      <c r="E31" s="317"/>
    </row>
    <row r="32" spans="1:6">
      <c r="A32" s="292" t="s">
        <v>1891</v>
      </c>
      <c r="B32" s="317"/>
      <c r="C32" s="317"/>
      <c r="D32" s="317"/>
      <c r="E32" s="317"/>
    </row>
    <row r="33" spans="1:6">
      <c r="A33" s="292" t="s">
        <v>1894</v>
      </c>
      <c r="B33" s="317"/>
      <c r="C33" s="317"/>
      <c r="D33" s="317"/>
      <c r="E33" s="317"/>
    </row>
    <row r="34" spans="1:6">
      <c r="A34" s="292" t="s">
        <v>1893</v>
      </c>
      <c r="B34" s="317"/>
      <c r="C34" s="317">
        <v>1668</v>
      </c>
      <c r="D34" s="317"/>
      <c r="E34" s="317"/>
    </row>
    <row r="35" spans="1:6">
      <c r="A35" s="292" t="s">
        <v>1892</v>
      </c>
      <c r="B35" s="317"/>
      <c r="C35" s="317">
        <v>1568</v>
      </c>
      <c r="D35" s="317"/>
      <c r="E35" s="317"/>
    </row>
    <row r="36" spans="1:6">
      <c r="A36" s="292" t="s">
        <v>1891</v>
      </c>
      <c r="B36" s="317"/>
      <c r="C36" s="317">
        <v>100</v>
      </c>
      <c r="D36" s="317"/>
      <c r="E36" s="317"/>
    </row>
    <row r="37" spans="1:6">
      <c r="A37" s="292" t="s">
        <v>1890</v>
      </c>
      <c r="B37" s="317"/>
      <c r="C37" s="317"/>
      <c r="D37" s="317"/>
      <c r="E37" s="317"/>
    </row>
    <row r="38" spans="1:6" ht="13.5" customHeight="1">
      <c r="A38" s="292" t="s">
        <v>238</v>
      </c>
      <c r="B38" s="317">
        <v>1109</v>
      </c>
      <c r="C38" s="317">
        <v>660</v>
      </c>
      <c r="D38" s="318">
        <f>C38/B38*100</f>
        <v>59.51</v>
      </c>
      <c r="E38" s="318">
        <f>C38/F38*100</f>
        <v>51.2</v>
      </c>
      <c r="F38" s="249">
        <v>1289</v>
      </c>
    </row>
    <row r="39" spans="1:6">
      <c r="A39" s="292" t="s">
        <v>1889</v>
      </c>
      <c r="B39" s="317"/>
      <c r="C39" s="317"/>
      <c r="D39" s="317"/>
      <c r="E39" s="317"/>
    </row>
    <row r="40" spans="1:6">
      <c r="A40" s="292" t="s">
        <v>1888</v>
      </c>
      <c r="B40" s="317"/>
      <c r="C40" s="317">
        <v>130</v>
      </c>
      <c r="D40" s="317"/>
      <c r="E40" s="317"/>
    </row>
    <row r="41" spans="1:6">
      <c r="A41" s="292" t="s">
        <v>1887</v>
      </c>
      <c r="B41" s="317"/>
      <c r="C41" s="317"/>
      <c r="D41" s="317"/>
      <c r="E41" s="317"/>
    </row>
    <row r="42" spans="1:6">
      <c r="A42" s="292" t="s">
        <v>1886</v>
      </c>
      <c r="B42" s="317"/>
      <c r="C42" s="317"/>
      <c r="D42" s="317"/>
      <c r="E42" s="317"/>
    </row>
    <row r="43" spans="1:6">
      <c r="A43" s="292" t="s">
        <v>1880</v>
      </c>
      <c r="B43" s="317"/>
      <c r="C43" s="317">
        <v>530</v>
      </c>
      <c r="D43" s="317"/>
      <c r="E43" s="317"/>
    </row>
    <row r="44" spans="1:6">
      <c r="A44" s="292" t="s">
        <v>239</v>
      </c>
      <c r="B44" s="317">
        <v>413</v>
      </c>
      <c r="C44" s="317">
        <f>SUM(C45:C50)</f>
        <v>340</v>
      </c>
      <c r="D44" s="318">
        <f>C44/B44*100</f>
        <v>82.32</v>
      </c>
      <c r="E44" s="318">
        <f>C44/F44*100</f>
        <v>187.85</v>
      </c>
      <c r="F44" s="249">
        <v>181</v>
      </c>
    </row>
    <row r="45" spans="1:6">
      <c r="A45" s="292" t="s">
        <v>1885</v>
      </c>
      <c r="B45" s="317"/>
      <c r="C45" s="317">
        <v>140</v>
      </c>
      <c r="D45" s="317"/>
      <c r="E45" s="317"/>
    </row>
    <row r="46" spans="1:6">
      <c r="A46" s="292" t="s">
        <v>1884</v>
      </c>
      <c r="B46" s="317"/>
      <c r="C46" s="317">
        <v>51</v>
      </c>
      <c r="D46" s="317"/>
      <c r="E46" s="317"/>
    </row>
    <row r="47" spans="1:6">
      <c r="A47" s="292" t="s">
        <v>1883</v>
      </c>
      <c r="B47" s="317"/>
      <c r="C47" s="317"/>
      <c r="D47" s="317"/>
      <c r="E47" s="317"/>
    </row>
    <row r="48" spans="1:6">
      <c r="A48" s="292" t="s">
        <v>1882</v>
      </c>
      <c r="B48" s="317"/>
      <c r="C48" s="317">
        <v>59</v>
      </c>
      <c r="D48" s="317"/>
      <c r="E48" s="317"/>
    </row>
    <row r="49" spans="1:6">
      <c r="A49" s="292" t="s">
        <v>1881</v>
      </c>
      <c r="B49" s="317"/>
      <c r="C49" s="317">
        <v>1</v>
      </c>
      <c r="D49" s="317"/>
      <c r="E49" s="317"/>
    </row>
    <row r="50" spans="1:6">
      <c r="A50" s="292" t="s">
        <v>1880</v>
      </c>
      <c r="B50" s="317"/>
      <c r="C50" s="317">
        <v>89</v>
      </c>
      <c r="D50" s="317"/>
      <c r="E50" s="317"/>
    </row>
    <row r="51" spans="1:6">
      <c r="A51" s="292" t="s">
        <v>240</v>
      </c>
      <c r="B51" s="317">
        <v>589</v>
      </c>
      <c r="C51" s="317">
        <v>470</v>
      </c>
      <c r="D51" s="318">
        <f>C51/B51*100</f>
        <v>79.8</v>
      </c>
      <c r="E51" s="318">
        <f>C51/F51*100</f>
        <v>58.75</v>
      </c>
      <c r="F51" s="249">
        <v>800</v>
      </c>
    </row>
    <row r="52" spans="1:6">
      <c r="A52" s="292" t="s">
        <v>1879</v>
      </c>
      <c r="B52" s="317"/>
      <c r="C52" s="317"/>
      <c r="D52" s="317"/>
      <c r="E52" s="317"/>
    </row>
    <row r="53" spans="1:6">
      <c r="A53" s="292" t="s">
        <v>1878</v>
      </c>
      <c r="B53" s="317"/>
      <c r="C53" s="317">
        <v>221</v>
      </c>
      <c r="D53" s="317"/>
      <c r="E53" s="317"/>
    </row>
    <row r="54" spans="1:6">
      <c r="A54" s="292" t="s">
        <v>1877</v>
      </c>
      <c r="B54" s="317"/>
      <c r="C54" s="317">
        <v>249</v>
      </c>
      <c r="D54" s="317"/>
      <c r="E54" s="317"/>
    </row>
    <row r="55" spans="1:6">
      <c r="A55" s="292" t="s">
        <v>1876</v>
      </c>
      <c r="B55" s="317"/>
      <c r="C55" s="317"/>
      <c r="D55" s="317"/>
      <c r="E55" s="317"/>
    </row>
    <row r="56" spans="1:6">
      <c r="A56" s="251"/>
      <c r="B56" s="317"/>
      <c r="C56" s="317"/>
      <c r="D56" s="317"/>
      <c r="E56" s="317"/>
    </row>
    <row r="57" spans="1:6">
      <c r="A57" s="299" t="s">
        <v>1697</v>
      </c>
      <c r="B57" s="317">
        <f>B5+B11+B17+B21+B25+B38+B44+B51</f>
        <v>71437</v>
      </c>
      <c r="C57" s="317">
        <f>C5+C11+C17+C21+C25+C38+C44+C51</f>
        <v>90529</v>
      </c>
      <c r="D57" s="318">
        <f>C57/B57*100</f>
        <v>126.73</v>
      </c>
      <c r="E57" s="318">
        <f>C57/F57*100</f>
        <v>111.68</v>
      </c>
      <c r="F57" s="249">
        <f>F5+F11+F17+F21+F25+F38+F44+F51</f>
        <v>81064</v>
      </c>
    </row>
  </sheetData>
  <mergeCells count="1">
    <mergeCell ref="A2:E2"/>
  </mergeCells>
  <phoneticPr fontId="38" type="noConversion"/>
  <printOptions horizontalCentered="1"/>
  <pageMargins left="0.35433070866141736" right="0.35433070866141736" top="0.39370078740157483" bottom="0.19685039370078741" header="0.19685039370078741" footer="0.19685039370078741"/>
  <pageSetup paperSize="9" orientation="portrait" verticalDpi="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selection activeCell="C14" sqref="C14"/>
    </sheetView>
  </sheetViews>
  <sheetFormatPr defaultRowHeight="14.25"/>
  <cols>
    <col min="1" max="1" width="30.625" customWidth="1"/>
    <col min="2" max="2" width="26.875" customWidth="1"/>
  </cols>
  <sheetData>
    <row r="1" spans="1:3">
      <c r="A1" s="249" t="s">
        <v>1999</v>
      </c>
      <c r="B1" s="249"/>
      <c r="C1" s="249"/>
    </row>
    <row r="2" spans="1:3" ht="20.25">
      <c r="A2" s="388" t="s">
        <v>1998</v>
      </c>
      <c r="B2" s="388"/>
      <c r="C2" s="388"/>
    </row>
    <row r="3" spans="1:3" ht="20.25">
      <c r="A3" s="347"/>
      <c r="B3" s="347"/>
      <c r="C3" s="347"/>
    </row>
    <row r="4" spans="1:3">
      <c r="A4" s="344"/>
      <c r="B4" s="345" t="s">
        <v>109</v>
      </c>
    </row>
    <row r="5" spans="1:3">
      <c r="A5" s="346" t="s">
        <v>1983</v>
      </c>
      <c r="B5" s="346"/>
    </row>
    <row r="6" spans="1:3">
      <c r="A6" s="346" t="s">
        <v>1984</v>
      </c>
      <c r="B6" s="346">
        <v>431350</v>
      </c>
    </row>
    <row r="7" spans="1:3">
      <c r="A7" s="346" t="s">
        <v>1985</v>
      </c>
      <c r="B7" s="346"/>
    </row>
    <row r="8" spans="1:3">
      <c r="A8" s="346" t="s">
        <v>1986</v>
      </c>
      <c r="B8" s="346">
        <v>461350</v>
      </c>
    </row>
  </sheetData>
  <mergeCells count="1">
    <mergeCell ref="A2:C2"/>
  </mergeCells>
  <phoneticPr fontId="38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selection activeCell="A3" sqref="A3:XFD3"/>
    </sheetView>
  </sheetViews>
  <sheetFormatPr defaultRowHeight="14.25"/>
  <cols>
    <col min="1" max="1" width="30.875" customWidth="1"/>
    <col min="2" max="2" width="22" customWidth="1"/>
  </cols>
  <sheetData>
    <row r="1" spans="1:3">
      <c r="A1" s="249" t="s">
        <v>2000</v>
      </c>
      <c r="B1" s="249"/>
      <c r="C1" s="249"/>
    </row>
    <row r="2" spans="1:3" ht="20.25">
      <c r="A2" s="388" t="s">
        <v>1995</v>
      </c>
      <c r="B2" s="388"/>
      <c r="C2" s="388"/>
    </row>
    <row r="3" spans="1:3" ht="20.25">
      <c r="A3" s="347"/>
      <c r="B3" s="347"/>
      <c r="C3" s="347"/>
    </row>
    <row r="4" spans="1:3">
      <c r="A4" s="341"/>
      <c r="B4" s="342" t="s">
        <v>109</v>
      </c>
    </row>
    <row r="5" spans="1:3">
      <c r="A5" s="343" t="s">
        <v>1983</v>
      </c>
      <c r="B5" s="343"/>
    </row>
    <row r="6" spans="1:3">
      <c r="A6" s="343" t="s">
        <v>1984</v>
      </c>
      <c r="B6" s="343">
        <v>431350</v>
      </c>
    </row>
    <row r="7" spans="1:3">
      <c r="A7" s="343" t="s">
        <v>1985</v>
      </c>
      <c r="B7" s="343"/>
    </row>
    <row r="8" spans="1:3">
      <c r="A8" s="343" t="s">
        <v>1986</v>
      </c>
      <c r="B8" s="343">
        <v>461350</v>
      </c>
    </row>
  </sheetData>
  <mergeCells count="1">
    <mergeCell ref="A2:C2"/>
  </mergeCells>
  <phoneticPr fontId="38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selection activeCell="A3" sqref="A3:XFD3"/>
    </sheetView>
  </sheetViews>
  <sheetFormatPr defaultRowHeight="14.25"/>
  <cols>
    <col min="1" max="1" width="26.625" customWidth="1"/>
    <col min="2" max="2" width="22.625" customWidth="1"/>
  </cols>
  <sheetData>
    <row r="1" spans="1:3">
      <c r="A1" s="249" t="s">
        <v>2001</v>
      </c>
      <c r="B1" s="249"/>
      <c r="C1" s="249"/>
    </row>
    <row r="2" spans="1:3" ht="20.25">
      <c r="A2" s="388" t="s">
        <v>1996</v>
      </c>
      <c r="B2" s="388"/>
      <c r="C2" s="388"/>
    </row>
    <row r="3" spans="1:3" ht="20.25">
      <c r="A3" s="347"/>
      <c r="B3" s="347"/>
      <c r="C3" s="347"/>
    </row>
    <row r="4" spans="1:3">
      <c r="A4" s="135"/>
      <c r="B4" s="135" t="s">
        <v>109</v>
      </c>
    </row>
    <row r="5" spans="1:3">
      <c r="A5" s="343" t="s">
        <v>1983</v>
      </c>
      <c r="B5" s="343"/>
    </row>
    <row r="6" spans="1:3">
      <c r="A6" s="343" t="s">
        <v>1987</v>
      </c>
      <c r="B6" s="343">
        <v>2937428</v>
      </c>
    </row>
    <row r="7" spans="1:3">
      <c r="A7" s="343" t="s">
        <v>1985</v>
      </c>
      <c r="B7" s="343"/>
    </row>
    <row r="8" spans="1:3">
      <c r="A8" s="343" t="s">
        <v>1988</v>
      </c>
      <c r="B8" s="343">
        <v>3108110</v>
      </c>
    </row>
  </sheetData>
  <mergeCells count="1">
    <mergeCell ref="A2:C2"/>
  </mergeCells>
  <phoneticPr fontId="38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selection activeCell="E14" sqref="E14"/>
    </sheetView>
  </sheetViews>
  <sheetFormatPr defaultRowHeight="14.25"/>
  <cols>
    <col min="1" max="1" width="28.625" customWidth="1"/>
    <col min="2" max="2" width="25.375" customWidth="1"/>
  </cols>
  <sheetData>
    <row r="1" spans="1:3">
      <c r="A1" s="249" t="s">
        <v>2002</v>
      </c>
      <c r="B1" s="249"/>
      <c r="C1" s="249"/>
    </row>
    <row r="2" spans="1:3" ht="20.25">
      <c r="A2" s="388" t="s">
        <v>1997</v>
      </c>
      <c r="B2" s="388"/>
      <c r="C2" s="388"/>
    </row>
    <row r="3" spans="1:3" ht="20.25">
      <c r="A3" s="347"/>
      <c r="B3" s="347"/>
      <c r="C3" s="347"/>
    </row>
    <row r="4" spans="1:3">
      <c r="A4" s="135"/>
      <c r="B4" s="135" t="s">
        <v>109</v>
      </c>
    </row>
    <row r="5" spans="1:3">
      <c r="A5" s="343" t="s">
        <v>1983</v>
      </c>
      <c r="B5" s="343"/>
    </row>
    <row r="6" spans="1:3">
      <c r="A6" s="343" t="s">
        <v>1987</v>
      </c>
      <c r="B6" s="343">
        <v>2937428</v>
      </c>
    </row>
    <row r="7" spans="1:3">
      <c r="A7" s="343" t="s">
        <v>1985</v>
      </c>
      <c r="B7" s="343"/>
    </row>
    <row r="8" spans="1:3">
      <c r="A8" s="343" t="s">
        <v>1988</v>
      </c>
      <c r="B8" s="343">
        <v>3108110</v>
      </c>
    </row>
  </sheetData>
  <mergeCells count="1">
    <mergeCell ref="A2:C2"/>
  </mergeCells>
  <phoneticPr fontId="3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50</vt:i4>
      </vt:variant>
      <vt:variant>
        <vt:lpstr>命名范围</vt:lpstr>
      </vt:variant>
      <vt:variant>
        <vt:i4>25</vt:i4>
      </vt:variant>
    </vt:vector>
  </HeadingPairs>
  <TitlesOfParts>
    <vt:vector size="75" baseType="lpstr">
      <vt:lpstr>封2</vt:lpstr>
      <vt:lpstr>附表1-1</vt:lpstr>
      <vt:lpstr>附表1-2</vt:lpstr>
      <vt:lpstr>附表1-3</vt:lpstr>
      <vt:lpstr>附表1-4 </vt:lpstr>
      <vt:lpstr>附表1-5</vt:lpstr>
      <vt:lpstr>附表1-6</vt:lpstr>
      <vt:lpstr>附表1-7</vt:lpstr>
      <vt:lpstr>附表1-8</vt:lpstr>
      <vt:lpstr>附表1-9</vt:lpstr>
      <vt:lpstr>附表1-10</vt:lpstr>
      <vt:lpstr>附表1-11</vt:lpstr>
      <vt:lpstr>附表1-12</vt:lpstr>
      <vt:lpstr>附表1-13</vt:lpstr>
      <vt:lpstr>附表1-14</vt:lpstr>
      <vt:lpstr>附表1-15</vt:lpstr>
      <vt:lpstr>附表1-16</vt:lpstr>
      <vt:lpstr>附表1-17</vt:lpstr>
      <vt:lpstr>附表1-18</vt:lpstr>
      <vt:lpstr>附表1-19</vt:lpstr>
      <vt:lpstr>附表1-20</vt:lpstr>
      <vt:lpstr>附表1-21</vt:lpstr>
      <vt:lpstr>附表1-22</vt:lpstr>
      <vt:lpstr>附表1-23</vt:lpstr>
      <vt:lpstr>附表1-24</vt:lpstr>
      <vt:lpstr>附表2-1</vt:lpstr>
      <vt:lpstr>附表2-2</vt:lpstr>
      <vt:lpstr>附表2-3</vt:lpstr>
      <vt:lpstr>附表2-4</vt:lpstr>
      <vt:lpstr>附表2-5</vt:lpstr>
      <vt:lpstr>附表2-6</vt:lpstr>
      <vt:lpstr>附表2-7</vt:lpstr>
      <vt:lpstr>附表2-8</vt:lpstr>
      <vt:lpstr>附表2-9</vt:lpstr>
      <vt:lpstr>附表2-10</vt:lpstr>
      <vt:lpstr>附表2-11</vt:lpstr>
      <vt:lpstr>附表2-12</vt:lpstr>
      <vt:lpstr>附表2-13</vt:lpstr>
      <vt:lpstr>附表2-14</vt:lpstr>
      <vt:lpstr>附表2-15</vt:lpstr>
      <vt:lpstr>附表2-16</vt:lpstr>
      <vt:lpstr>附表2-17</vt:lpstr>
      <vt:lpstr>附表2-18</vt:lpstr>
      <vt:lpstr>附表2-19</vt:lpstr>
      <vt:lpstr>附表2-20</vt:lpstr>
      <vt:lpstr>附表2-21</vt:lpstr>
      <vt:lpstr>附表2-22</vt:lpstr>
      <vt:lpstr>附表2-23</vt:lpstr>
      <vt:lpstr>附表2-24</vt:lpstr>
      <vt:lpstr>附表2-25</vt:lpstr>
      <vt:lpstr>'附表2-1'!Print_Area</vt:lpstr>
      <vt:lpstr>'附表2-2'!Print_Area</vt:lpstr>
      <vt:lpstr>'附表2-3'!Print_Area</vt:lpstr>
      <vt:lpstr>'附表1-1'!Print_Titles</vt:lpstr>
      <vt:lpstr>'附表1-10'!Print_Titles</vt:lpstr>
      <vt:lpstr>'附表1-11'!Print_Titles</vt:lpstr>
      <vt:lpstr>'附表1-12'!Print_Titles</vt:lpstr>
      <vt:lpstr>'附表1-13'!Print_Titles</vt:lpstr>
      <vt:lpstr>'附表1-14'!Print_Titles</vt:lpstr>
      <vt:lpstr>'附表1-15'!Print_Titles</vt:lpstr>
      <vt:lpstr>'附表1-16'!Print_Titles</vt:lpstr>
      <vt:lpstr>'附表1-17'!Print_Titles</vt:lpstr>
      <vt:lpstr>'附表1-18'!Print_Titles</vt:lpstr>
      <vt:lpstr>'附表1-19'!Print_Titles</vt:lpstr>
      <vt:lpstr>'附表1-2'!Print_Titles</vt:lpstr>
      <vt:lpstr>'附表1-20'!Print_Titles</vt:lpstr>
      <vt:lpstr>'附表1-21'!Print_Titles</vt:lpstr>
      <vt:lpstr>'附表1-22'!Print_Titles</vt:lpstr>
      <vt:lpstr>'附表1-3'!Print_Titles</vt:lpstr>
      <vt:lpstr>'附表1-4 '!Print_Titles</vt:lpstr>
      <vt:lpstr>'附表1-5'!Print_Titles</vt:lpstr>
      <vt:lpstr>'附表1-6'!Print_Titles</vt:lpstr>
      <vt:lpstr>'附表1-7'!Print_Titles</vt:lpstr>
      <vt:lpstr>'附表1-8'!Print_Titles</vt:lpstr>
      <vt:lpstr>'附表1-9'!Print_Titles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lenovo</cp:lastModifiedBy>
  <cp:lastPrinted>2017-06-22T02:39:20Z</cp:lastPrinted>
  <dcterms:created xsi:type="dcterms:W3CDTF">2008-01-10T09:59:00Z</dcterms:created>
  <dcterms:modified xsi:type="dcterms:W3CDTF">2018-01-03T01:54:06Z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