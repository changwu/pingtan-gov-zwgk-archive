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5C947439-6D68-431C-9CC8-A85DF530A926}" xr6:coauthVersionLast="45" xr6:coauthVersionMax="45" xr10:uidLastSave="{00000000-0000-0000-0000-000000000000}"/>
  <bookViews>
    <workbookView xWindow="-120" yWindow="-120" windowWidth="29040" windowHeight="15840" activeTab="2" xr2:uid="{00000000-000D-0000-FFFF-FFFF00000000}"/>
  </bookViews>
  <sheets>
    <sheet name="新综合楼设备" sheetId="3" r:id="rId1"/>
    <sheet name="新综合楼装饰" sheetId="2" r:id="rId2"/>
    <sheet name="劳育基地设备" sheetId="5" r:id="rId3"/>
  </sheets>
  <definedNames>
    <definedName name="_xlnm._FilterDatabase" localSheetId="0" hidden="1">新综合楼设备!$A$3:$F$92</definedName>
    <definedName name="_xlnm._FilterDatabase" localSheetId="1" hidden="1">新综合楼装饰!$A$3:$F$34</definedName>
  </definedNames>
  <calcPr calcId="181029"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0" i="5" l="1"/>
  <c r="A29" i="5"/>
  <c r="A28" i="5"/>
  <c r="A27" i="5"/>
  <c r="A26" i="5"/>
  <c r="A25" i="5"/>
  <c r="A24" i="5"/>
  <c r="A23" i="5"/>
  <c r="A22" i="5"/>
  <c r="A21" i="5"/>
  <c r="A20" i="5"/>
  <c r="A19" i="5"/>
  <c r="A18" i="5"/>
  <c r="A17" i="5"/>
  <c r="A16" i="5"/>
  <c r="A15" i="5"/>
  <c r="A14" i="5"/>
  <c r="A13" i="5"/>
  <c r="A12" i="5"/>
  <c r="A11" i="5"/>
  <c r="A10" i="5"/>
  <c r="A9" i="5"/>
  <c r="A8" i="5"/>
  <c r="A7" i="5"/>
  <c r="A6" i="5"/>
  <c r="A5" i="5"/>
  <c r="A12" i="2"/>
  <c r="A11" i="2"/>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38" i="3"/>
  <c r="A37" i="3"/>
  <c r="A36" i="3"/>
  <c r="A35" i="3"/>
  <c r="A34" i="3"/>
  <c r="A33" i="3"/>
  <c r="A32" i="3"/>
  <c r="A31" i="3"/>
  <c r="A30" i="3"/>
  <c r="A29" i="3"/>
  <c r="A28" i="3"/>
  <c r="A27" i="3"/>
  <c r="A26" i="3"/>
  <c r="A25" i="3"/>
  <c r="A24" i="3"/>
  <c r="A23" i="3"/>
  <c r="A21" i="3"/>
  <c r="A20" i="3"/>
  <c r="A19" i="3"/>
  <c r="A18" i="3"/>
  <c r="A17" i="3"/>
  <c r="A16" i="3"/>
  <c r="A15" i="3"/>
  <c r="A14" i="3"/>
  <c r="A13" i="3"/>
  <c r="A12" i="3"/>
  <c r="A11" i="3"/>
  <c r="A9" i="3"/>
  <c r="A8" i="3"/>
  <c r="A7" i="3"/>
  <c r="A6" i="3"/>
</calcChain>
</file>

<file path=xl/sharedStrings.xml><?xml version="1.0" encoding="utf-8"?>
<sst xmlns="http://schemas.openxmlformats.org/spreadsheetml/2006/main" count="534" uniqueCount="294">
  <si>
    <t>序号</t>
  </si>
  <si>
    <t>产品名称</t>
  </si>
  <si>
    <t>规格</t>
  </si>
  <si>
    <t>主要参考技术</t>
  </si>
  <si>
    <t>数量</t>
  </si>
  <si>
    <t>单位</t>
  </si>
  <si>
    <t xml:space="preserve"> </t>
  </si>
  <si>
    <t>一层：音乐教室 、舞蹈教室</t>
  </si>
  <si>
    <t>彩色音乐凳</t>
  </si>
  <si>
    <t>300*245*370</t>
  </si>
  <si>
    <t>1、规格：300mm×245mm×370mm，凳面采用红，黄，蓝，绿色面板；
2、材质，板材选用优质9mm高密度彩色免漆面板，中间带有钢制龙骨架骨架采用规格：25mm×25mm，壁厚1.2mm的方管焊接，钢管经过静电喷塑酸洗磷化而成，承重100KG，凳脚采用软龄齿相扣，可组合成合唱台。</t>
  </si>
  <si>
    <t>个</t>
  </si>
  <si>
    <t>方格乐器柜</t>
  </si>
  <si>
    <t>800*400*1200</t>
  </si>
  <si>
    <t>1、结构拼合紧密，外表接合处缝隙&lt;0.2mm。2、基材采用优质多层实木板（或优质生态板）；3、面板木纹纹理自然，颜色线条拼合细密。4、原木色；喷涂环保漆或环保免漆板饰面；无颗粒、气泡、渣点、颜色均匀且无异味</t>
  </si>
  <si>
    <t>组</t>
  </si>
  <si>
    <t>舞蹈镜</t>
  </si>
  <si>
    <t>1200*2000</t>
  </si>
  <si>
    <t>5mm厚磨边处理，水银镜面、镜面磨边处理、</t>
  </si>
  <si>
    <t>面</t>
  </si>
  <si>
    <t>舞蹈杆</t>
  </si>
  <si>
    <t>φ53×2000</t>
  </si>
  <si>
    <t>1、采用优质木材制成，内有20mm直径实心弹簧钢，避免人体与金属直接接触，减少金属辐射带来的伤害，也不会出现因出汗等原因造成粘肉的感觉，冬天也能避免与金属接触的凉感等.
2、底座：配置2个ABS壳水泥大底座，立杆外管是直径48mm的无缝圆管，表面静电喷涂，活动升降内心为32mm优质不绣钢圆管；
3、升降范围（800mm-1200mm）。</t>
  </si>
  <si>
    <t xml:space="preserve">二层：美术x2；书法x1
</t>
  </si>
  <si>
    <t>讲台</t>
  </si>
  <si>
    <t>780*940*560</t>
  </si>
  <si>
    <t>桌面整体材质采用多层实木板材，质感强，耐用，结实，稳定性强，油漆采用品牌漆，无颗粒、气泡、渣点、颜色均匀且无异味。桌脚用方型钢焊接一次成形。桌面开孔，桌架带线槽。</t>
  </si>
  <si>
    <t>项</t>
  </si>
  <si>
    <t>美术写生多用桌</t>
  </si>
  <si>
    <t>960*600*780</t>
  </si>
  <si>
    <t>e1级环保密度板，桌板0~80度角度调节，高度可进行≥15cm调节，可伸缩副板≤60x38cm，凳子直径=30cm，高50cm</t>
  </si>
  <si>
    <t>套</t>
  </si>
  <si>
    <t>水池</t>
  </si>
  <si>
    <t>5000*450*780</t>
  </si>
  <si>
    <t>上下水改造及水池安装，采用仿石材做台面，易清洁，耐用。</t>
  </si>
  <si>
    <t>矮柜</t>
  </si>
  <si>
    <t>1000*400*1100</t>
  </si>
  <si>
    <t>1、木皮干燥至低于9%的含水量。2、木皮及实木封边，拼合紧密，外表接合处缝隙&lt;0.2mm。3、基材采用优质多层实木板；4、面板木纹纹理自然，颜色线条拼合细密。5、整体优质五金配件紧密拼接，封边细腻，转角过渡自然，间隙细小且均。</t>
  </si>
  <si>
    <t>张</t>
  </si>
  <si>
    <t>学生活动桌</t>
  </si>
  <si>
    <t>1300*800*750</t>
  </si>
  <si>
    <t>1、中式实木洽谈桌一桌六椅；2、原木色；喷涂环保漆；无颗粒、气泡、渣点、颜色均匀且无异味。</t>
  </si>
  <si>
    <t>马鞍桌配马鞍凳一桌两椅</t>
  </si>
  <si>
    <t>桌：≥1200*500*700
椅：450*250*400</t>
  </si>
  <si>
    <t>材质：榉木或榆木结构 ；
原木色或榆木色；喷涂环保漆；无颗粒、气泡、渣点、颜色均匀且无异味。</t>
  </si>
  <si>
    <t>挂画导轨轨道</t>
  </si>
  <si>
    <t>挂画轨道 ≤35</t>
  </si>
  <si>
    <t>仿木纹铝合金C型挂画轨道 ≤35mm，墙面明装，</t>
  </si>
  <si>
    <t>米</t>
  </si>
  <si>
    <t>挂画配件</t>
  </si>
  <si>
    <t>定制</t>
  </si>
  <si>
    <t>含挂绳及挂钩（或夹子10套）</t>
  </si>
  <si>
    <t>第三层：自然科学x2；综合教室；录播教室</t>
  </si>
  <si>
    <t>教师演示台</t>
  </si>
  <si>
    <t>2400*700*1050</t>
  </si>
  <si>
    <t>1、整体规格：2400mm×700mm×1050mm:
2、台面材料采用新型、环保、整体≥25mm厚双面理化膜优抗板；             
3、结构：结构：铝木结构。
（1）铝型材壁厚≥1.2mm；
（2）立柱横截面的规格：75mm×55mm，棱角为椭圆形。框架的横梁横截面的规格：55mm×55mm；
（3）连接件：采用自锁式ABS工程塑料一次成型，连接件接入铝合金部分深度不小于38mm；连接件与铝合金立柱紧紧扣牢，可防止直插式连接件在组装中忘记打螺丝或不打螺丝而使台体结构松动现象；
（4）铝型材凹槽的宽度不少于18mm、深度不少于6mm，且应与所采用的柜体板材相匹配，，接缝严密，无晃动现象；
（5）铝型材表面需经静电喷涂处理。背板及吊板采用三聚氰胺贴面纤维板，18mm厚，截面采用优质PVC封边条，全自动机械封边牢固、美观大方。中间设有教学电源抽屉，下部分采用橱柜门；
4、脚垫：高度为20mmABS注塑成型，防水防腐，防止桌身受潮。</t>
  </si>
  <si>
    <t>教师椅</t>
  </si>
  <si>
    <t>520×500×1000</t>
  </si>
  <si>
    <t>1、规格：520mm×500mm×1000mm；
2、面料材质：网布型，带靠背；
3、框架材质：金属；
4、专用脚垫，防滑。</t>
  </si>
  <si>
    <t>教师电源控制系统</t>
  </si>
  <si>
    <t>常规</t>
  </si>
  <si>
    <t>1、设抽屉式教学安全总电源。对学生实验用电分四组进行控制，由教师切换交流电源的输出，并设有漏电保护、过载保护等装置；
2、直流稳压输出，1.25V-30V连续可调输出，有过载保护和额定电流2A。直流高压输出：300V高压输出，有过载保护，额定电流0.1A；
3、设有220V交流电源插座，额定电流2A，有漏电保护，可向学生桌提供交流220V电源，额定电流2A。</t>
  </si>
  <si>
    <t>台</t>
  </si>
  <si>
    <t>学生实验桌</t>
  </si>
  <si>
    <t>1200×1039×730</t>
  </si>
  <si>
    <t xml:space="preserve"> 1、规格：1200mm×1039mm×730mm（每边长600mm正六边形）；
2、台面：颜色采用墨绿、天蓝、黄色三种搭配，采用环氧树脂实验台面板，22mm厚，环氧树脂采用模具边缘成半弧型一次成型。台面具防水、防火、防酸、防碱、防有机溶剂、耐磨、不易破碎、表面光亮、美观大方，桌面能修能补能翻新、持久耐用；
3、台身：采用铝木结构；
（1）采用一次成型的新型铝型材制作，框架立柱为方管，框架的横梁为方管，通过ABS专用连接件组装而成，应保证组装接缝严密，连接牢固，无松动现象；
（2）立柱横截面的规格：52mm×52mm，中心内圈孔径的规格：22mm×22mm，棱角有弧形避免刮手受伤。框架的横梁横截面的规格：40mm×40mm；
（3）铝合金立柱的通用厚度1.5mm，内圈与外壁连接处壁厚1.7mm,铝合金横梁立柱厚1.3mm；
（4）实验桌的铝型材要求前立柱、后立柱均为一种铝材，没有大小、外形区分，既能方便生产又能达到整体的一致性，美观又大方；
（5）铝型材凹槽的宽度（不小于18mm）、深度应与所采用的柜体板材相匹配，接缝严密，无晃动现象；
（6）铝型材表面需经静电喷涂处理。背板及吊板采用三聚氰胺贴面纤维板，18mm厚，截面采用优质PVC封边条，全自动机械封边牢固、美观大方；
4、脚垫：规格φ42mm×H65mm，采用进口ABS工程塑料，模具注塑成形，可调节高低，防水及防潮，有效延长设备寿命。</t>
  </si>
  <si>
    <t>电源盒</t>
  </si>
  <si>
    <t>130×110×34</t>
  </si>
  <si>
    <t>1、规格：130mm×110mm×34mm；
2、外壳PP制造，带防尘罩，电源盒面板上设有2只5孔安全插座，供学生使用；面板一侧设有电源指示灯，带独立安全保险装置，2只电流不小于6A的五孔插座，插座符合新国标标准。</t>
  </si>
  <si>
    <t>学生凳</t>
  </si>
  <si>
    <t>360×270×440</t>
  </si>
  <si>
    <t>1、整体规格：360mm×270mm×440mm；直管:50mm×25mm（四管方凳），横管:50mm×25mm；
2、凳面采用硬质PVC工程塑料做管件和PP—R共聚聚丙稀制做.配色造粒，注塑、挤塑成型采用模具控制,无锐角、平整光滑,具有耐水、耐老化、坚固耐用，使用安全性高；
3、凳身利用双键槽管件固定锁紧，装拆、维修捷便，凳脚底部，配有软塑网垫。</t>
  </si>
  <si>
    <t>仪器柜</t>
  </si>
  <si>
    <t>1000×500×2000</t>
  </si>
  <si>
    <t>1、规格：1000mm×500mm×2000mm；
2、柜身：铝合金框架结构，采用模具成型的专用铝合金方管制作，通过ABS专用连接件组装而成，保证连接牢固；
3、前立柱、前横梁规格：30mm×25mm，后立柱、后横梁规格：30mm×30mm，铝合金管材的壁厚1.2mm。铝合金型材带凹槽，凹槽的宽度与柜体衬板相匹配，凹槽的深度足够，保证柜体衬板与铝型材之间接缝严密，无晃动现象，不发生脱落；
4、上下部分的左边、右边侧板采用木纹色三聚氰胺贴面纤维板18mm厚，背板采用三聚氰胺贴面纤维板；
5、上部采用玻璃门对开，下部采用三聚氰胺门对开。上部内设2层25mm层板，下部内1层25mm层板、隔板采用三聚氰胺板，上层隔板上下可活动调节，内部两侧有升降条，可调节高度、隔板底部带有加强筋，起到加固作用，使柜子更加牢固耐用；
6、脚垫：采用优质橡胶材料，高度为10mm，防水、防腐，延长设备的使用寿命；
7、铰链：采用优质铰链；
8、拉手：采用优质铝合金条形拉手。</t>
  </si>
  <si>
    <t>灭火器</t>
  </si>
  <si>
    <t>1、手提储压式；
2、容量为4kg，采用干粉式灭火器。</t>
  </si>
  <si>
    <t>灭火器箱</t>
  </si>
  <si>
    <t>1、可放两个4kg灭火器；
2、金属制。</t>
  </si>
  <si>
    <t>移动多功能桌</t>
  </si>
  <si>
    <t>1200*600*750</t>
  </si>
  <si>
    <t>桌面整体材质采用E1级环保密度板材，质感强，耐用，结实，稳定性强，油漆采用品牌漆，无颗粒、气泡、渣点、颜色均匀且无异味。桌脚用方型钢焊接一次成形配装万向滑轮。</t>
  </si>
  <si>
    <t>折叠椅</t>
  </si>
  <si>
    <t>400*380*780</t>
  </si>
  <si>
    <t>PP哑光椅面，一体成型可折叠，边缘细腻圆滑，椅背符合身体曲线的弧度，椅座内陷，坐感舒适，质地均匀，整体美观大方。灰色。绿色或白色</t>
  </si>
  <si>
    <t>条</t>
  </si>
  <si>
    <t>梯形可拼接塑钢课桌</t>
  </si>
  <si>
    <t>桌子：840*460*700 椅子：370*370*480</t>
  </si>
  <si>
    <t>桌面整体材质采用聚丙烯一体成形着色，桌面折射光线不刺眼，质感强，耐用，结实，稳定性强，中空吹塑圆角设计，防止碰撞。桌脚用方型钢焊接一次成形。</t>
  </si>
  <si>
    <t>多媒体讲台</t>
  </si>
  <si>
    <t>1100*780*1000</t>
  </si>
  <si>
    <t>桌面凳体整体材质采用多层实木板材，质感强，耐用，结实，稳定性强，油漆采用品牌漆，无颗粒、气泡、渣点、颜色均匀且无异味。桌脚用方型钢焊接一次成形。桌面开孔，桌架带线槽。凳腿采用钢脚架</t>
  </si>
  <si>
    <t>文化墙</t>
  </si>
  <si>
    <t>9000*1100</t>
  </si>
  <si>
    <t>基材采用优质多层实木板</t>
  </si>
  <si>
    <t>㎡</t>
  </si>
  <si>
    <t>沙发凳</t>
  </si>
  <si>
    <t>630*580*850</t>
  </si>
  <si>
    <t>材质：实木框架，松木沙发脚。面料：棉麻。填充物：高密度海绵。</t>
  </si>
  <si>
    <t>广告字</t>
  </si>
  <si>
    <t>十年树木，百年树人，福田心耕</t>
  </si>
  <si>
    <t>字</t>
  </si>
  <si>
    <t>护眼吸顶灯</t>
  </si>
  <si>
    <t>600*600</t>
  </si>
  <si>
    <t>▲1、结构：一体式微晶防眩光设计，尺寸：600*600mm；
2、电压：AC220V、50/60HZ；
3、功率：36W±3W；
4、工作环境 -20℃～＋40℃, 10%～90%RH
5、材质（主体）：铝
▲6、需提供通过CMA、CAL及CNAS认证的国家级检测机构依据《GB/T 9468-2008 灯具分布光度测量的一般要求》、《GB/T 24824-2009普通照明用LED模块测试方法》出具的LED教室灯光电色检测报告。检测数据应符合以下技术性能指标：
（1）总光通量：≥3200lm；
（2）色温：4500-5500K；
（3）显色指数：Ra≥92；
（4）灯具效率≥90lm/w；
（5）功率因素≥0.95；
（6）C0-C180面的光束角满足90°±2°且在C90-C270面的光束角满足90°±2°。
▲7、LED面板灯光频闪无危害，闪烁百分比低于0.35%；需提供具有检测资质（通过CMA、CAL、ilac- MRA及CNAS认证）的国家级检测机构依据《IEEE 1789-2015》出具的无频闪危害检测报告复印件。；
▲8、蓝光等级：RGO。需提供具有检测资质（通过CMA、CAL、ilac- MRA及CNAS认证）的国家级检测机构依据《IEC TR 62778 ：2014应用IEC 62471 评估光源和灯具的蓝光危害》出具的蓝光检测报告复印件。</t>
  </si>
  <si>
    <t>第五层：办公区：党员接待室、大型会议室、综合办公室、接待室（校长办公室）</t>
  </si>
  <si>
    <t>中式置物架</t>
  </si>
  <si>
    <t>≤1000*310*2000</t>
  </si>
  <si>
    <t>面板采用多层优质三聚氰胺板、具有抗划、耐磨、防火、防污、防损等特点。采用全自动机器一次性封边成型，木皮及实木封边，拼合紧密，外表接合处缝隙&lt;0.2mm。所以板材经防腐、防虫等化学处理。整体优质五金配件紧密拼接，封边细腻，转角过渡自然，间隙细小且均。</t>
  </si>
  <si>
    <t>校长办公室办公桌</t>
  </si>
  <si>
    <t>1800*800*750</t>
  </si>
  <si>
    <t>加厚E1级板材，坚固金属钢架，桌面预留走线孔。</t>
  </si>
  <si>
    <t>办公椅</t>
  </si>
  <si>
    <t>600*600*950</t>
  </si>
  <si>
    <t>1、座背垫依据人体工学原理设计，坐感舒适,高密度网布,经防腐、防虫化学处理；软硬适中，回弹性能好，不易变形，钢制五爪星脚，比铝合金脚承重力更强。黑色边。</t>
  </si>
  <si>
    <t>吊灯</t>
  </si>
  <si>
    <t>1200*367</t>
  </si>
  <si>
    <t>▲1、LED教室灯光源功率为36W±3W；产品整灯尺寸长1200±3mm、宽300±3mm、厚66±3mm；为安全和环保，支撑整灯的主受力点应采用铝合金结构支撑，以防生绣；四面框架应采用阻燃塑料材质，以减轻产品重量，框架应与可受力的铝结构件相连接。（提供相关证明材料，加盖厂商鲜章）
▲2、LED教室灯应采用直发光微晶防眩结构，起到良好的防眩作用；教室灯表面不宜采用易粘灰尘、易吸附蚊虫、不易清理的格栅结构，影响出光效果。
3、LED教室灯驱动电源采用外置方案，驱动输出端与灯体输入端采用快速对接防脱落对接接头；不宜采用弹片式接触结构，易氧化、发热、变形导致接触不良。
▲4、提供通过CMA、CAL、ilac- MRA及CNAS认证及带有二维码标志的国家级检测机构依据《GB/T 9468-2008 灯具分布光度测量的一般要求》、《GB/T 24824-2009普通照明用LED模块测试方法》、《IES LM-79-08固态照明产品电气和光度测量方法》、《QB/T 5208-2017白光光源显色性评价方法》出具的LED教室灯光电色检测报告复印件。检测数据应符合以下技术性能指标：
（1）总光通量：＞3200lm，上射光通量600-800LM、下射光通量2500-2700LM；
（2）色温：4500-5500K；
（3）显色指数：Ra≥95；
（4）灯具效能≥90 lm/w；
（5）功率因素≥0.98；
（6）C0-C180面的光束角满足96°±1°且在C90-C270面的光束角满足88°±1°；
（7) 色品空间不一致性测试数值≤0.01;
(8)颜色保真指数Rf≥93；
以上（1）-（8）项参数要求在同一份检测报告上体现。
5、LED教室灯应可实现背部透光，提高教室照明空间舒适度: LED教室灯采用吊杆式安装时，吊杆应采用铝型材质管，灯具安装吊杆外径不小于11.6mm，壁厚不小于0.9mm。
▲6、LED教室灯发光方式应为直发光以确保发光光效；为使整灯散热良好，光源铝基板数量至少为5条,平行布置于灯体散热板上，且均匀分布，以确保发光均匀。
7、为了保证灯具的安全性，灯具重量≤4Kg；
8、LED教室灯光频闪无危害，提供通过CMA、CAL、ilac- MRA及CNAS认证及带有二维码标志的国家级检测机构依据《IEEE 1789-2015》出具的无频闪危害检测报告复印件。
9、LED教室灯光生物安全项目检验结果为“无危险类”，提供通过CMA、CAL、ilac- MRA及CNAS认证及带有二维码标志的国家级检测机构依据《GB/T 20145-2006 灯和灯系统的光生物安全性》出具的检测报告复印件。
10、LED教室灯蓝光危害为“无危险类RGO”，提供通过CMA、CAL、ilac- MRA及CNAS认证及带有二维码标志的国家级检测机构依据《IEC TR 62778 ：2014应用IEC 62471 评估光源和灯具的蓝光危害》出具的蓝光检测报告复印件。 
11、LED教室灯须满足20kHz-10MHz感应电流密度系数≤0.04，提供通过CMA、CAL、ilac- MRA及CNAS认证及带有二维码标志的国家级检测机构依据《GB/T 31275-2014照明设备对人体电磁辐射的评价》出具的人体电磁辐射检测报告复印件。
12、LED教室灯安装后须满足：课桌面平均照度≥300lx，桌面照度均匀度≥0.7,UGR≤16，照明功率密度≤6 W/㎡；顶棚平均照度≥100LX。
色温(CCT) 5000K</t>
  </si>
  <si>
    <t>椅子</t>
  </si>
  <si>
    <t>560*500*1000</t>
  </si>
  <si>
    <t>1、座背垫依据人体工学原理设计，坐感舒适,高密度网布,经防腐、防虫化学处理；软硬适中，回弹性能好，不易变形，</t>
  </si>
  <si>
    <t>书法桌</t>
  </si>
  <si>
    <t>≥1800*800*750</t>
  </si>
  <si>
    <t>材质：老榆木，精美雕花、环保油漆。质感强，耐用，结实，稳定性强，颜色胡桃木色。</t>
  </si>
  <si>
    <t>触控教育显示终端（书法）</t>
  </si>
  <si>
    <t>≤450×250</t>
  </si>
  <si>
    <t>带★项须提供权威机构检测报告加盖公章：
触摸教育显示终端（展厅书法互动设备），一体化设计，无需外接任何辅助主机系统，基于Android系统，连接网络后，可以通过首页左上角APK进行更新、升级。高清临摹：支持用宣纸、毛笔、墨汁传统的方式进行高清临摹（能清楚临摹长宽均不大于1厘米的电子字帖）。
1.★系统要求：CPU（ARM CortexA53 四核 64 位 1.2G）；2G DDR3 ，8GB EMMC，Android 5.1系统。
显示部分采用21.5寸IPS液晶屏，分辨率：1920*1080；可视角度：178°；
2.★接口要求：RJ45输入接口；TF 输入接口；HDMI 输入接口；USB3.0输入接口；AV接口；耳机接口；DC12V输入接口；
3.★支持十点触控功能，用手指直接操控系统；
4.支持手指双击碑帖自动放大缩小功能；
5.★触控玻璃表面为钢化玻璃，硬度6H；
6.可以连接WIFE，连接无线网络后，可以使用百度浏览器查找线上资源。
7.★摹帖屏可承重≥88kg无裂痕；
8.防水：临摹屏支持防水功能；耐磨：临摹区面板可抗击100000次以上自然摩擦无划痕；
9.★护眼功能：智能光感技术，覆盖宣纸临摹时自动调整亮度到最高，最高亮度400nit，自主学习未覆盖宣纸时亮度自动降低至250nit以下，保护视力；
10.直接触控操作10套软件系统：红色文化系统、书法文化系统、书法课程系统、历代碑帖系统、历代篆刻系统、诗词赏析、书法字典、常用集字、浏览器、后台管理、背景音乐等模块。</t>
  </si>
  <si>
    <t>实木方凳</t>
  </si>
  <si>
    <t>450*350*460</t>
  </si>
  <si>
    <t>材质：老榆木，涂料：食用级木蜡油工艺，榫卯结合。颜色胡桃木色</t>
  </si>
  <si>
    <t>书法椅</t>
  </si>
  <si>
    <t>600*530*800</t>
  </si>
  <si>
    <t>中式造型吊灯</t>
  </si>
  <si>
    <t>长1200</t>
  </si>
  <si>
    <t>原木树干表面喷涂木蜡油、水性环保漆、内置LED三种变光</t>
  </si>
  <si>
    <t>会客沙发</t>
  </si>
  <si>
    <t>三人位:1520*750*750一人位：650*750*750</t>
  </si>
  <si>
    <t>实木框架，防火海绵做软结构，外包布艺类，造型美观大方。三人位一组，一人位两组</t>
  </si>
  <si>
    <t>方茶几</t>
  </si>
  <si>
    <t>1200*600*450</t>
  </si>
  <si>
    <t xml:space="preserve">主材：进口橡木，少结疤，无霉变。耐腐蚀、耐磨、耐高温，不变形，不易发霉。 </t>
  </si>
  <si>
    <t>圆茶几</t>
  </si>
  <si>
    <t>柜子</t>
  </si>
  <si>
    <t>800*320*1800</t>
  </si>
  <si>
    <t>筒灯</t>
  </si>
  <si>
    <t>φ100</t>
  </si>
  <si>
    <t>优质不锈钢烤漆，内置LED灯珠</t>
  </si>
  <si>
    <t>会议桌</t>
  </si>
  <si>
    <t>7500*2300*760</t>
  </si>
  <si>
    <t>E1级实木面板</t>
  </si>
  <si>
    <t>背景墙</t>
  </si>
  <si>
    <t>6600*2600</t>
  </si>
  <si>
    <t>仿木纹竹炭纤维板</t>
  </si>
  <si>
    <t>会议记录桌</t>
  </si>
  <si>
    <t>1400*600*800</t>
  </si>
  <si>
    <t>桌面整体材质采用多层实木板材，质感强，耐用，结实，稳定性强，油漆采用品牌漆，无颗粒、气泡、渣点、颜色均匀且无异味。桌面开孔，桌架带线槽。</t>
  </si>
  <si>
    <t>靠墙党建书柜</t>
  </si>
  <si>
    <t>党建文化墙1</t>
  </si>
  <si>
    <t>8500*2600</t>
  </si>
  <si>
    <t>1、定制PVC或亚克力造型墙轮廓；2、大标题亚克力迷你字；3、异形亚克力或软膜灯箱；</t>
  </si>
  <si>
    <t>党建文化墙2</t>
  </si>
  <si>
    <t>3700*2600</t>
  </si>
  <si>
    <t>会客沙发2</t>
  </si>
  <si>
    <t xml:space="preserve">三人位:1520*7500*750
</t>
  </si>
  <si>
    <t>实木框架，防火海绵做软结构，外包布艺类，造型美观大方。</t>
  </si>
  <si>
    <t>1200*600</t>
  </si>
  <si>
    <t>靠窗档案柜</t>
  </si>
  <si>
    <t>1000*400*800</t>
  </si>
  <si>
    <t>护眼吊灯</t>
  </si>
  <si>
    <t>会客沙发1</t>
  </si>
  <si>
    <t>三人位:1520*750*750</t>
  </si>
  <si>
    <t xml:space="preserve">一人位：650*750*750
</t>
  </si>
  <si>
    <t>副校长等领导办公桌</t>
  </si>
  <si>
    <t>1600*800*750</t>
  </si>
  <si>
    <t>副校长等领导电脑椅</t>
  </si>
  <si>
    <t>1、座背垫依据人体工学原理设计，坐感舒适,高密度网布,经防腐、防虫化学处理；软硬适中，回弹性能好，不易变形，钢制五爪星脚。</t>
  </si>
  <si>
    <t>电脑椅</t>
  </si>
  <si>
    <t>L型单人办公桌</t>
  </si>
  <si>
    <t>1400*1500*1100</t>
  </si>
  <si>
    <t>桌面整体材质采用E1级环保实木颗粒板+优质五金配件，桌面加厚25mm桌面。质感强，耐用，结实，稳定性强，油漆采用品牌漆，无颗粒、气泡、渣点、颜色均匀且无异味。桌面开孔，桌架带线槽。（含桌椅柜）</t>
  </si>
  <si>
    <t>窗边柜</t>
  </si>
  <si>
    <t>1000*400*900</t>
  </si>
  <si>
    <t>实木桌</t>
  </si>
  <si>
    <t>3000*1200*750</t>
  </si>
  <si>
    <t>桌面整体材质采用5CM厚的实木板材，质感强，耐用，结实，稳定性强，油漆采用品牌漆，无颗粒、气泡、渣点、颜色均匀且无异味。</t>
  </si>
  <si>
    <t>510*510*770</t>
  </si>
  <si>
    <t>1、椅面采用优质橡胶木；2、腰部人体工学设计，坐感舒适；3、椅子整体采用优质橡胶木，线条均一次成型，纹理清晰整齐，承重力强，木材经过烘干房烘干处理，杜绝防霉、变形、开裂；4、表面采用优质清漆，无毒、无味、自然手感强，外观美观大方，经久耐用。</t>
  </si>
  <si>
    <t>推拉黑板</t>
  </si>
  <si>
    <t>1300*4000</t>
  </si>
  <si>
    <t>1. 结构：双层结构，内层为两块固定书写板左右各一块，中间预留放置电子产品空间，外层为两块滑动书写板，开闭自如确保一体机的安全管理，支持电子产品居中放置。
2. 尺寸：长度≥4300mm，高度可根据所配电子产品适当调整，确保与电子产品的有效配套
3. 板面：采用金属烤漆书写板面，亚光、墨绿色，厚度≥0.3mm，光泽度≤12光泽单位，没有因黑板本身原因产生的眩光，书写流畅字迹清晰、色彩协调可视效果佳，有效的缓解学生视觉疲劳；板面表面附有一层透明保护膜，符合GB28231-2011《书写板安全卫生要求》。
4. 边框：采用高强度香槟色电泳铝合金型材，性能符合GB 5237.3-2008标准，横框规格≤57mm×100mm，立框规格≤29mm×100mm。轨道上置隐藏式滑动系统，杜绝灰尘及杂物进入，结构性解决滑动受灰尘影响的问题。配有宽度≥30mm的多用槽，多用槽与滑动系统分离，与边框一次模具成形，可放置书写笔、教鞭等教具，不影响滑动板滑动，也可用于灰尘集中处理。
5. 内板：正面左右两侧无边框设计，上下边框高度不超7mm，最大限度的增大书写面。整块内板表面平整，硬度高，没有因黑板本身原因产生的眩光，书写流畅字迹清晰、色彩协调可视效果佳，有效的缓解学生视觉疲劳；板面表面附有一层透明保护膜，符合GB28231-2011《书写板安全卫生要求》；
6. 包角：采用抗老化高强度ABS工程塑料注塑成型，采用双壁成腔流线型设计，黑板品牌标识与包角一次模具成型，无尖角毛刺，符合GB 21027-2007《学生用品的安全通用要求》。 
7. 限位档：横框内部两侧安装可拆卸限位档，避免滑动板推拉过程中撞击立框及夹手。限位档可反复多次拆装，仅用一把螺丝刀即可完成限位档拆装。
8. 滑轮：双组高精度轴承上吊轮，下平滑动系统，上下均匀安装，滑动流畅、噪音小、前后定位精确.</t>
  </si>
  <si>
    <t>讲台凳</t>
  </si>
  <si>
    <t>卫生柜</t>
  </si>
  <si>
    <t>1800*900*400</t>
  </si>
  <si>
    <t>图书柜</t>
  </si>
  <si>
    <t>篮球架设备</t>
  </si>
  <si>
    <t>4100*2000</t>
  </si>
  <si>
    <t>优质钢材双层加固，铝合金包边</t>
  </si>
  <si>
    <t>新综合楼装饰装修清单</t>
  </si>
  <si>
    <t>主要技术参数</t>
  </si>
  <si>
    <t>地塑</t>
  </si>
  <si>
    <t>仿木纹PVC弹性地塑卷材找平安装</t>
  </si>
  <si>
    <t>二层：美术x2；书法x1</t>
  </si>
  <si>
    <t>水池安装</t>
  </si>
  <si>
    <t>水路改造</t>
  </si>
  <si>
    <t>上下水水管安装</t>
  </si>
  <si>
    <t>第三层：自然科学x2；</t>
  </si>
  <si>
    <t>第五层：办公区：党员活动室、大会议室、综合办公室、接待室（校长办公室）</t>
  </si>
  <si>
    <t>新砌挡墙</t>
  </si>
  <si>
    <t xml:space="preserve"> 龙骨材料种类、规格、中距:木龙骨或轻钢龙骨
基层材料种类、规格:石膏板基层
面层材料品种、规格、颜色:白色乳胶漆</t>
  </si>
  <si>
    <t>整体天花制作处理</t>
  </si>
  <si>
    <t>石膏板包围吊顶跌级造型</t>
  </si>
  <si>
    <t>石膏板吊平顶，内装软膜灯箱</t>
  </si>
  <si>
    <t>铝方通造型吊顶</t>
  </si>
  <si>
    <t>铝方通、吊杆</t>
  </si>
  <si>
    <t>强弱电布线及照明改造</t>
  </si>
  <si>
    <t>PVC管铺设及管内布线</t>
  </si>
  <si>
    <t>砌墙</t>
  </si>
  <si>
    <t>加气混凝土砌块</t>
  </si>
  <si>
    <t>玻璃隔断</t>
  </si>
  <si>
    <t>地面保护</t>
  </si>
  <si>
    <t>瓷砖地面施工保护覆膜</t>
  </si>
  <si>
    <t>垃圾清运</t>
  </si>
  <si>
    <t>施工垃圾清运</t>
  </si>
  <si>
    <t>脚手架搭建</t>
  </si>
  <si>
    <t>脚手架搭建安装</t>
  </si>
  <si>
    <t xml:space="preserve">劳育实践基地设施设备清单 </t>
  </si>
  <si>
    <t>农业灌溉水车</t>
  </si>
  <si>
    <t>直径2800mm</t>
  </si>
  <si>
    <t>防腐木水车含助力电机</t>
  </si>
  <si>
    <t>石磨教具</t>
  </si>
  <si>
    <t>直径1200mm</t>
  </si>
  <si>
    <t xml:space="preserve">手工麻石天然石磨 </t>
  </si>
  <si>
    <t>鼓风机教具</t>
  </si>
  <si>
    <t>民俗老物件农村老农具老式风车老鼓风机老式脱壳机可做复古装饰</t>
  </si>
  <si>
    <t>研学区域分区标识</t>
  </si>
  <si>
    <t>950mm宽 950mm高 40mm厚</t>
  </si>
  <si>
    <t>不锈钢喷塑</t>
  </si>
  <si>
    <t>研学区域总标识</t>
  </si>
  <si>
    <t>1100mm宽 1100mm高 40mm厚</t>
  </si>
  <si>
    <t>劳育风采展示宣传栏</t>
  </si>
  <si>
    <t>长8200mm高2400mm 厚200mm</t>
  </si>
  <si>
    <t>画面净尺寸2400*1200mm x3 块</t>
  </si>
  <si>
    <t>水路电路改造</t>
  </si>
  <si>
    <t>场地清理及平整</t>
  </si>
  <si>
    <t>7000*180000</t>
  </si>
  <si>
    <t>场地杂草，杂物，地面平整</t>
  </si>
  <si>
    <t>池塘挖方</t>
  </si>
  <si>
    <t>31150*6500*800</t>
  </si>
  <si>
    <t>不规则土方挖方（平均深度800mm）</t>
  </si>
  <si>
    <t>m³</t>
  </si>
  <si>
    <t>灌溉水池挖方</t>
  </si>
  <si>
    <t>5000*3900*1000*2</t>
  </si>
  <si>
    <t>L型和S型土方挖方（平均深度1000mm）</t>
  </si>
  <si>
    <t>水稻种植区域挖土</t>
  </si>
  <si>
    <t>5000*4500*500*4</t>
  </si>
  <si>
    <t>Z型和X型土方挖方（平均深度500mm）</t>
  </si>
  <si>
    <t>水稻种植区域培植土</t>
  </si>
  <si>
    <t>Z型和X型土方换填（平均深度500mm）种植土</t>
  </si>
  <si>
    <t>福字茶叶种植区挖土</t>
  </si>
  <si>
    <t>14500*7000*500</t>
  </si>
  <si>
    <t>福字茶叶种植区培植土</t>
  </si>
  <si>
    <t>Z型和X型土方换填（平均深度500mm）培植土</t>
  </si>
  <si>
    <t>渣土清理</t>
  </si>
  <si>
    <t>挖方土及平整场地土石清理</t>
  </si>
  <si>
    <t>池塘基地硬化</t>
  </si>
  <si>
    <t>1:3水泥砂浆抹面</t>
  </si>
  <si>
    <t>整体片石铺路</t>
  </si>
  <si>
    <t>路面宽1200mm</t>
  </si>
  <si>
    <t>原地面压实 、采用≥50mm厚石材不规则铺设</t>
  </si>
  <si>
    <t>防腐木廊架廊架</t>
  </si>
  <si>
    <t>10000*2500*3000*2</t>
  </si>
  <si>
    <t>防腐木地台（50mm）及防腐木架子（立柱120*120mm，100*50mm）含凳条</t>
  </si>
  <si>
    <t>防腐木平台</t>
  </si>
  <si>
    <t>5030*2500 21000*2000</t>
  </si>
  <si>
    <t>不规则50mm厚防腐木板铺设</t>
  </si>
  <si>
    <t>毛石地板平台</t>
  </si>
  <si>
    <t>13000*2300*50</t>
  </si>
  <si>
    <t>池塘区域防腐木平台</t>
  </si>
  <si>
    <t>1000*3500+1000*2500</t>
  </si>
  <si>
    <t>防腐木（立柱100*100*1200@800 面板50mm 栏杆1000mm高中间立柱50*50@100）</t>
  </si>
  <si>
    <t>成品防腐木亭子</t>
  </si>
  <si>
    <t>2500*2500*3000</t>
  </si>
  <si>
    <t>草坪草种植</t>
  </si>
  <si>
    <t>/</t>
  </si>
  <si>
    <t>草坪种植</t>
  </si>
  <si>
    <t>池塘荷叶及水草种植</t>
  </si>
  <si>
    <t>荷花及其他水生植物</t>
  </si>
  <si>
    <t>鲤鱼</t>
  </si>
  <si>
    <t>幼鱼及成鱼</t>
  </si>
  <si>
    <t>种子若干</t>
  </si>
  <si>
    <t>水稻，采药，蔬菜种子</t>
  </si>
  <si>
    <t>平潭流水镇中心小学新综合楼、阅览室、劳育实践基地等配套设施设备货物类采购项目</t>
    <phoneticPr fontId="9" type="noConversion"/>
  </si>
  <si>
    <t>包2：新综合楼、劳育实践基地等配套设施设备项目参数</t>
    <phoneticPr fontId="9" type="noConversion"/>
  </si>
  <si>
    <t>新综合楼设施设备清单</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</si>
</sst>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C09]#,##0.00;\-[$$-C09]#,##0.00"/>
    <numFmt numFmtId="177" formatCode="0_);\(0\)"/>
    <numFmt numFmtId="178" formatCode="0_ "/>
    <numFmt numFmtId="179" formatCode="[$-F400]h:mm:ss\ AM/PM"/>
    <numFmt numFmtId="180" formatCode="0.00_ "/>
  </numFmts>
  <fonts count="14" x14ac:knownFonts="1">
    <font>
      <sz val="11"/>
      <color theme="1"/>
      <name val="宋体"/>
      <charset val="134"/>
      <scheme val="minor"/>
    </font>
    <font>
      <sz val="12"/>
      <color rgb="FF000000"/>
      <name val="微软雅黑"/>
      <charset val="134"/>
    </font>
    <font>
      <sz val="12"/>
      <color theme="1"/>
      <name val="微软雅黑"/>
      <charset val="134"/>
    </font>
    <font>
      <sz val="12"/>
      <name val="微软雅黑"/>
      <charset val="134"/>
    </font>
    <font>
      <sz val="11"/>
      <color indexed="8"/>
      <name val="宋体"/>
      <charset val="134"/>
    </font>
    <font>
      <sz val="11"/>
      <color theme="1"/>
      <name val="宋体"/>
      <charset val="134"/>
      <scheme val="minor"/>
    </font>
    <font>
      <sz val="12"/>
      <name val="Times New Roman"/>
      <family val="1"/>
    </font>
    <font>
      <sz val="12"/>
      <name val="宋体"/>
      <charset val="134"/>
    </font>
    <font>
      <sz val="11"/>
      <name val="宋体"/>
      <charset val="134"/>
    </font>
    <font>
      <sz val="9"/>
      <name val="宋体"/>
      <family val="3"/>
      <charset val="134"/>
      <scheme val="minor"/>
    </font>
    <font>
      <sz val="12"/>
      <color theme="1"/>
      <name val="微软雅黑"/>
      <family val="2"/>
      <charset val="134"/>
    </font>
    <font>
      <sz val="16"/>
      <color theme="1"/>
      <name val="微软雅黑"/>
      <family val="2"/>
      <charset val="134"/>
    </font>
    <font>
      <b/>
      <sz val="12"/>
      <color theme="1"/>
      <name val="微软雅黑"/>
      <family val="2"/>
      <charset val="134"/>
    </font>
    <font>
      <b/>
      <sz val="12"/>
      <color rgb="FF000000"/>
      <name val="微软雅黑"/>
      <family val="2"/>
      <charset val="134"/>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16">
    <xf numFmtId="0" fontId="0" fillId="0" borderId="0">
      <alignment vertical="center"/>
    </xf>
    <xf numFmtId="0" fontId="7" fillId="0" borderId="0"/>
    <xf numFmtId="0" fontId="5" fillId="0" borderId="0">
      <alignment vertical="center"/>
    </xf>
    <xf numFmtId="0" fontId="5" fillId="0" borderId="0">
      <alignment vertical="center"/>
    </xf>
    <xf numFmtId="0" fontId="5" fillId="0" borderId="0">
      <alignment vertical="center"/>
    </xf>
    <xf numFmtId="176" fontId="5" fillId="0" borderId="0">
      <alignment vertical="center"/>
    </xf>
    <xf numFmtId="180" fontId="8" fillId="0" borderId="0">
      <alignment vertical="center"/>
    </xf>
    <xf numFmtId="177" fontId="6" fillId="0" borderId="0"/>
    <xf numFmtId="0" fontId="7" fillId="0" borderId="0"/>
    <xf numFmtId="0" fontId="5" fillId="0" borderId="0">
      <alignment vertical="center"/>
    </xf>
    <xf numFmtId="0" fontId="5" fillId="0" borderId="0">
      <alignment vertical="center"/>
    </xf>
    <xf numFmtId="180" fontId="7" fillId="0" borderId="0">
      <alignment vertical="center"/>
    </xf>
    <xf numFmtId="177" fontId="6" fillId="0" borderId="0"/>
    <xf numFmtId="179" fontId="5" fillId="0" borderId="0"/>
    <xf numFmtId="176" fontId="7" fillId="0" borderId="0"/>
    <xf numFmtId="0" fontId="4" fillId="0" borderId="0" applyBorder="0">
      <alignment vertical="center"/>
    </xf>
  </cellStyleXfs>
  <cellXfs count="49">
    <xf numFmtId="0" fontId="0" fillId="0" borderId="0" xfId="0">
      <alignment vertical="center"/>
    </xf>
    <xf numFmtId="0" fontId="1" fillId="0" borderId="0" xfId="0" applyFont="1" applyFill="1" applyAlignment="1">
      <alignment horizontal="center" vertical="center" wrapText="1"/>
    </xf>
    <xf numFmtId="0" fontId="1" fillId="0" borderId="0" xfId="0" applyFont="1" applyFill="1">
      <alignment vertical="center"/>
    </xf>
    <xf numFmtId="0" fontId="1"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2" fillId="0" borderId="0" xfId="0" applyFont="1" applyFill="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 fillId="0" borderId="1" xfId="0" applyNumberFormat="1" applyFont="1" applyFill="1" applyBorder="1" applyAlignment="1">
      <alignment horizontal="left" vertical="center" wrapText="1"/>
    </xf>
    <xf numFmtId="0" fontId="2" fillId="0" borderId="1" xfId="0" applyFont="1" applyFill="1" applyBorder="1" applyAlignment="1">
      <alignment horizontal="left" vertical="center"/>
    </xf>
    <xf numFmtId="0" fontId="3" fillId="0" borderId="1"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vertical="center"/>
    </xf>
    <xf numFmtId="176" fontId="3" fillId="0" borderId="1" xfId="12"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7"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10" applyFont="1" applyFill="1" applyBorder="1" applyAlignment="1">
      <alignment horizontal="center" vertical="justify"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3" fillId="0" borderId="1" xfId="15" applyFont="1" applyFill="1" applyBorder="1" applyAlignment="1">
      <alignment horizontal="center" vertical="center" wrapText="1"/>
    </xf>
    <xf numFmtId="0" fontId="2" fillId="0" borderId="1" xfId="0" applyFont="1" applyFill="1" applyBorder="1" applyAlignment="1">
      <alignment vertical="center" wrapText="1"/>
    </xf>
    <xf numFmtId="0" fontId="3" fillId="0" borderId="1" xfId="0" applyFont="1" applyFill="1" applyBorder="1" applyAlignment="1">
      <alignment horizontal="center" vertical="center"/>
    </xf>
    <xf numFmtId="178" fontId="3"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6" xfId="0" applyFont="1" applyFill="1" applyBorder="1" applyAlignment="1">
      <alignment vertical="center" wrapText="1"/>
    </xf>
    <xf numFmtId="0" fontId="11" fillId="0" borderId="0" xfId="0" applyFont="1" applyFill="1" applyBorder="1" applyAlignment="1">
      <alignment horizontal="center" vertical="center" wrapText="1"/>
    </xf>
    <xf numFmtId="0" fontId="10" fillId="0" borderId="0" xfId="0" applyFont="1" applyFill="1" applyBorder="1" applyAlignment="1">
      <alignment horizontal="left" vertical="center"/>
    </xf>
    <xf numFmtId="0" fontId="12" fillId="0" borderId="6"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2" fillId="0" borderId="8" xfId="0" applyFont="1" applyFill="1" applyBorder="1" applyAlignment="1">
      <alignment vertical="center" wrapText="1"/>
    </xf>
    <xf numFmtId="0" fontId="12" fillId="0" borderId="8" xfId="0" applyFont="1" applyFill="1" applyBorder="1" applyAlignment="1">
      <alignment horizontal="center" vertical="center" wrapText="1"/>
    </xf>
    <xf numFmtId="0" fontId="13" fillId="0" borderId="7" xfId="0" applyNumberFormat="1" applyFont="1" applyFill="1" applyBorder="1" applyAlignment="1">
      <alignment horizontal="center" vertical="center" wrapText="1"/>
    </xf>
    <xf numFmtId="0" fontId="13" fillId="0" borderId="6" xfId="0" applyNumberFormat="1" applyFont="1" applyFill="1" applyBorder="1" applyAlignment="1">
      <alignment horizontal="center" vertical="center" wrapText="1"/>
    </xf>
    <xf numFmtId="0" fontId="13" fillId="0" borderId="8" xfId="0" applyNumberFormat="1" applyFont="1" applyFill="1" applyBorder="1" applyAlignment="1">
      <alignment horizontal="center" vertical="center" wrapText="1"/>
    </xf>
  </cellXfs>
  <cellStyles count="16">
    <cellStyle name="常规" xfId="0" builtinId="0"/>
    <cellStyle name="常规 10 2" xfId="13" xr:uid="{00000000-0005-0000-0000-000030000000}"/>
    <cellStyle name="常规 10 2 2 2 2 3" xfId="1" xr:uid="{00000000-0005-0000-0000-000001000000}"/>
    <cellStyle name="常规 120 14" xfId="3" xr:uid="{00000000-0005-0000-0000-000003000000}"/>
    <cellStyle name="常规 136" xfId="9" xr:uid="{00000000-0005-0000-0000-00001C000000}"/>
    <cellStyle name="常规 137" xfId="2" xr:uid="{00000000-0005-0000-0000-000002000000}"/>
    <cellStyle name="常规 138" xfId="4" xr:uid="{00000000-0005-0000-0000-000004000000}"/>
    <cellStyle name="常规 2" xfId="6" xr:uid="{00000000-0005-0000-0000-000007000000}"/>
    <cellStyle name="常规 2 10 4 2" xfId="11" xr:uid="{00000000-0005-0000-0000-000027000000}"/>
    <cellStyle name="常规 2 11 10 2 2 4" xfId="8" xr:uid="{00000000-0005-0000-0000-000016000000}"/>
    <cellStyle name="常规 2 11 10 2 2 4 2" xfId="14" xr:uid="{00000000-0005-0000-0000-00003A000000}"/>
    <cellStyle name="常规 3" xfId="15" xr:uid="{00000000-0005-0000-0000-00003F000000}"/>
    <cellStyle name="常规 3 23 10 2" xfId="5" xr:uid="{00000000-0005-0000-0000-000006000000}"/>
    <cellStyle name="常规 51 6" xfId="10" xr:uid="{00000000-0005-0000-0000-000022000000}"/>
    <cellStyle name="常规_Sheet1" xfId="7" xr:uid="{00000000-0005-0000-0000-000008000000}"/>
    <cellStyle name="常规_Sheet1 2" xfId="12" xr:uid="{00000000-0005-0000-0000-00002E000000}"/>
  </cellStyles>
  <dxfs count="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9300"/>
      <color rgb="FF000000"/>
      <color rgb="FFFFF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2"/>
  <sheetViews>
    <sheetView zoomScaleNormal="100" workbookViewId="0">
      <selection activeCell="I87" sqref="I87"/>
    </sheetView>
  </sheetViews>
  <sheetFormatPr defaultColWidth="9" defaultRowHeight="17.25" x14ac:dyDescent="0.15"/>
  <cols>
    <col min="1" max="1" width="6.125" style="7" customWidth="1"/>
    <col min="2" max="2" width="13.375" style="8" customWidth="1"/>
    <col min="3" max="3" width="15" style="8" customWidth="1"/>
    <col min="4" max="4" width="40.125" style="14" customWidth="1"/>
    <col min="5" max="5" width="7" style="15" customWidth="1"/>
    <col min="6" max="6" width="6.375" style="15" customWidth="1"/>
    <col min="7" max="16384" width="9" style="8"/>
  </cols>
  <sheetData>
    <row r="1" spans="1:10" ht="45" customHeight="1" x14ac:dyDescent="0.15">
      <c r="A1" s="40" t="s">
        <v>291</v>
      </c>
      <c r="B1" s="40"/>
      <c r="C1" s="40"/>
      <c r="D1" s="40"/>
      <c r="E1" s="40"/>
      <c r="F1" s="40"/>
    </row>
    <row r="2" spans="1:10" ht="33.75" customHeight="1" x14ac:dyDescent="0.15">
      <c r="A2" s="41" t="s">
        <v>292</v>
      </c>
      <c r="B2" s="41"/>
      <c r="C2" s="41"/>
      <c r="D2" s="41"/>
      <c r="E2" s="41"/>
      <c r="F2" s="41"/>
    </row>
    <row r="3" spans="1:10" s="6" customFormat="1" ht="30" customHeight="1" x14ac:dyDescent="0.15">
      <c r="A3" s="43" t="s">
        <v>293</v>
      </c>
      <c r="B3" s="38"/>
      <c r="C3" s="38"/>
      <c r="D3" s="38"/>
      <c r="E3" s="39"/>
      <c r="F3" s="44"/>
      <c r="G3" s="8"/>
      <c r="H3" s="8"/>
      <c r="I3" s="8"/>
    </row>
    <row r="4" spans="1:10" s="6" customFormat="1" ht="30" customHeight="1" x14ac:dyDescent="0.15">
      <c r="A4" s="9" t="s">
        <v>0</v>
      </c>
      <c r="B4" s="9" t="s">
        <v>1</v>
      </c>
      <c r="C4" s="9" t="s">
        <v>2</v>
      </c>
      <c r="D4" s="32" t="s">
        <v>3</v>
      </c>
      <c r="E4" s="27" t="s">
        <v>4</v>
      </c>
      <c r="F4" s="27" t="s">
        <v>5</v>
      </c>
      <c r="G4" s="8"/>
      <c r="H4" s="8"/>
      <c r="I4" s="8"/>
      <c r="J4" s="6" t="s">
        <v>6</v>
      </c>
    </row>
    <row r="5" spans="1:10" s="6" customFormat="1" ht="50.1" customHeight="1" x14ac:dyDescent="0.15">
      <c r="A5" s="33" t="s">
        <v>7</v>
      </c>
      <c r="B5" s="33"/>
      <c r="C5" s="33"/>
      <c r="D5" s="33"/>
      <c r="E5" s="34"/>
      <c r="F5" s="34"/>
      <c r="G5" s="8"/>
      <c r="H5" s="8"/>
      <c r="I5" s="8"/>
    </row>
    <row r="6" spans="1:10" s="6" customFormat="1" ht="135.75" customHeight="1" x14ac:dyDescent="0.15">
      <c r="A6" s="9">
        <f>ROW()-3</f>
        <v>3</v>
      </c>
      <c r="B6" s="9" t="s">
        <v>8</v>
      </c>
      <c r="C6" s="9" t="s">
        <v>9</v>
      </c>
      <c r="D6" s="16" t="s">
        <v>10</v>
      </c>
      <c r="E6" s="9">
        <v>104</v>
      </c>
      <c r="F6" s="9" t="s">
        <v>11</v>
      </c>
      <c r="G6" s="8"/>
      <c r="H6" s="8"/>
      <c r="I6" s="8"/>
    </row>
    <row r="7" spans="1:10" s="6" customFormat="1" ht="129" customHeight="1" x14ac:dyDescent="0.15">
      <c r="A7" s="9">
        <f>ROW()-3</f>
        <v>4</v>
      </c>
      <c r="B7" s="9" t="s">
        <v>12</v>
      </c>
      <c r="C7" s="9" t="s">
        <v>13</v>
      </c>
      <c r="D7" s="17" t="s">
        <v>14</v>
      </c>
      <c r="E7" s="9">
        <v>20</v>
      </c>
      <c r="F7" s="9" t="s">
        <v>15</v>
      </c>
    </row>
    <row r="8" spans="1:10" s="6" customFormat="1" ht="90" customHeight="1" x14ac:dyDescent="0.15">
      <c r="A8" s="9">
        <f>ROW()-3</f>
        <v>5</v>
      </c>
      <c r="B8" s="9" t="s">
        <v>16</v>
      </c>
      <c r="C8" s="9" t="s">
        <v>17</v>
      </c>
      <c r="D8" s="32" t="s">
        <v>18</v>
      </c>
      <c r="E8" s="9">
        <v>16</v>
      </c>
      <c r="F8" s="9" t="s">
        <v>19</v>
      </c>
    </row>
    <row r="9" spans="1:10" s="6" customFormat="1" ht="171.95" customHeight="1" x14ac:dyDescent="0.15">
      <c r="A9" s="9">
        <f>ROW()-3</f>
        <v>6</v>
      </c>
      <c r="B9" s="9" t="s">
        <v>20</v>
      </c>
      <c r="C9" s="9" t="s">
        <v>21</v>
      </c>
      <c r="D9" s="18" t="s">
        <v>22</v>
      </c>
      <c r="E9" s="9">
        <v>16</v>
      </c>
      <c r="F9" s="9" t="s">
        <v>11</v>
      </c>
    </row>
    <row r="10" spans="1:10" s="6" customFormat="1" ht="30.4" customHeight="1" x14ac:dyDescent="0.15">
      <c r="A10" s="35" t="s">
        <v>23</v>
      </c>
      <c r="B10" s="36"/>
      <c r="C10" s="36"/>
      <c r="D10" s="36"/>
      <c r="E10" s="36"/>
      <c r="F10" s="36"/>
    </row>
    <row r="11" spans="1:10" s="6" customFormat="1" ht="81.95" customHeight="1" x14ac:dyDescent="0.15">
      <c r="A11" s="9">
        <f>ROW()-4</f>
        <v>7</v>
      </c>
      <c r="B11" s="9" t="s">
        <v>24</v>
      </c>
      <c r="C11" s="9" t="s">
        <v>25</v>
      </c>
      <c r="D11" s="32" t="s">
        <v>26</v>
      </c>
      <c r="E11" s="9">
        <v>1</v>
      </c>
      <c r="F11" s="9" t="s">
        <v>27</v>
      </c>
    </row>
    <row r="12" spans="1:10" s="6" customFormat="1" ht="80.849999999999994" customHeight="1" x14ac:dyDescent="0.15">
      <c r="A12" s="9">
        <f>ROW()-4</f>
        <v>8</v>
      </c>
      <c r="B12" s="9" t="s">
        <v>28</v>
      </c>
      <c r="C12" s="9" t="s">
        <v>29</v>
      </c>
      <c r="D12" s="32" t="s">
        <v>30</v>
      </c>
      <c r="E12" s="9">
        <v>52</v>
      </c>
      <c r="F12" s="9" t="s">
        <v>31</v>
      </c>
    </row>
    <row r="13" spans="1:10" s="6" customFormat="1" ht="72" customHeight="1" x14ac:dyDescent="0.15">
      <c r="A13" s="9">
        <f>ROW()-4</f>
        <v>9</v>
      </c>
      <c r="B13" s="9" t="s">
        <v>32</v>
      </c>
      <c r="C13" s="9" t="s">
        <v>33</v>
      </c>
      <c r="D13" s="32" t="s">
        <v>34</v>
      </c>
      <c r="E13" s="9">
        <v>1</v>
      </c>
      <c r="F13" s="9" t="s">
        <v>27</v>
      </c>
    </row>
    <row r="14" spans="1:10" s="6" customFormat="1" ht="111" customHeight="1" x14ac:dyDescent="0.15">
      <c r="A14" s="9">
        <f>ROW()-4</f>
        <v>10</v>
      </c>
      <c r="B14" s="9" t="s">
        <v>35</v>
      </c>
      <c r="C14" s="9" t="s">
        <v>36</v>
      </c>
      <c r="D14" s="32" t="s">
        <v>37</v>
      </c>
      <c r="E14" s="9">
        <v>20</v>
      </c>
      <c r="F14" s="9" t="s">
        <v>15</v>
      </c>
    </row>
    <row r="15" spans="1:10" s="6" customFormat="1" ht="90.75" customHeight="1" x14ac:dyDescent="0.15">
      <c r="A15" s="9">
        <f>ROW()-4</f>
        <v>11</v>
      </c>
      <c r="B15" s="9" t="s">
        <v>24</v>
      </c>
      <c r="C15" s="9" t="s">
        <v>25</v>
      </c>
      <c r="D15" s="32" t="s">
        <v>26</v>
      </c>
      <c r="E15" s="9">
        <v>1</v>
      </c>
      <c r="F15" s="9" t="s">
        <v>38</v>
      </c>
    </row>
    <row r="16" spans="1:10" s="6" customFormat="1" ht="86.1" customHeight="1" x14ac:dyDescent="0.15">
      <c r="A16" s="9">
        <f t="shared" ref="A16:A21" si="0">ROW()-4</f>
        <v>12</v>
      </c>
      <c r="B16" s="20" t="s">
        <v>39</v>
      </c>
      <c r="C16" s="20" t="s">
        <v>40</v>
      </c>
      <c r="D16" s="20" t="s">
        <v>41</v>
      </c>
      <c r="E16" s="20">
        <v>9</v>
      </c>
      <c r="F16" s="20" t="s">
        <v>31</v>
      </c>
    </row>
    <row r="17" spans="1:6" s="6" customFormat="1" ht="81.95" customHeight="1" x14ac:dyDescent="0.15">
      <c r="A17" s="9">
        <f t="shared" si="0"/>
        <v>13</v>
      </c>
      <c r="B17" s="9" t="s">
        <v>24</v>
      </c>
      <c r="C17" s="9" t="s">
        <v>25</v>
      </c>
      <c r="D17" s="32" t="s">
        <v>26</v>
      </c>
      <c r="E17" s="9">
        <v>1</v>
      </c>
      <c r="F17" s="9" t="s">
        <v>38</v>
      </c>
    </row>
    <row r="18" spans="1:6" s="6" customFormat="1" ht="72" customHeight="1" x14ac:dyDescent="0.15">
      <c r="A18" s="9">
        <f t="shared" si="0"/>
        <v>14</v>
      </c>
      <c r="B18" s="9" t="s">
        <v>32</v>
      </c>
      <c r="C18" s="9" t="s">
        <v>33</v>
      </c>
      <c r="D18" s="32" t="s">
        <v>34</v>
      </c>
      <c r="E18" s="9">
        <v>1</v>
      </c>
      <c r="F18" s="9" t="s">
        <v>27</v>
      </c>
    </row>
    <row r="19" spans="1:6" s="6" customFormat="1" ht="108" customHeight="1" x14ac:dyDescent="0.15">
      <c r="A19" s="9">
        <f t="shared" si="0"/>
        <v>15</v>
      </c>
      <c r="B19" s="20" t="s">
        <v>42</v>
      </c>
      <c r="C19" s="20" t="s">
        <v>43</v>
      </c>
      <c r="D19" s="20" t="s">
        <v>44</v>
      </c>
      <c r="E19" s="20">
        <v>26</v>
      </c>
      <c r="F19" s="20" t="s">
        <v>31</v>
      </c>
    </row>
    <row r="20" spans="1:6" s="6" customFormat="1" ht="108" customHeight="1" x14ac:dyDescent="0.15">
      <c r="A20" s="9">
        <f t="shared" si="0"/>
        <v>16</v>
      </c>
      <c r="B20" s="20" t="s">
        <v>45</v>
      </c>
      <c r="C20" s="20" t="s">
        <v>46</v>
      </c>
      <c r="D20" s="20" t="s">
        <v>47</v>
      </c>
      <c r="E20" s="28">
        <v>17.600000000000001</v>
      </c>
      <c r="F20" s="28" t="s">
        <v>48</v>
      </c>
    </row>
    <row r="21" spans="1:6" s="6" customFormat="1" ht="108" customHeight="1" x14ac:dyDescent="0.15">
      <c r="A21" s="9">
        <f t="shared" si="0"/>
        <v>17</v>
      </c>
      <c r="B21" s="20" t="s">
        <v>49</v>
      </c>
      <c r="C21" s="20" t="s">
        <v>50</v>
      </c>
      <c r="D21" s="20" t="s">
        <v>51</v>
      </c>
      <c r="E21" s="28">
        <v>11</v>
      </c>
      <c r="F21" s="29" t="s">
        <v>31</v>
      </c>
    </row>
    <row r="22" spans="1:6" s="6" customFormat="1" ht="84" customHeight="1" x14ac:dyDescent="0.15">
      <c r="A22" s="35" t="s">
        <v>52</v>
      </c>
      <c r="B22" s="36"/>
      <c r="C22" s="36"/>
      <c r="D22" s="36"/>
      <c r="E22" s="36"/>
      <c r="F22" s="36"/>
    </row>
    <row r="23" spans="1:6" s="6" customFormat="1" ht="409.5" customHeight="1" x14ac:dyDescent="0.15">
      <c r="A23" s="9">
        <f>ROW()-5</f>
        <v>18</v>
      </c>
      <c r="B23" s="21" t="s">
        <v>53</v>
      </c>
      <c r="C23" s="9" t="s">
        <v>54</v>
      </c>
      <c r="D23" s="22" t="s">
        <v>55</v>
      </c>
      <c r="E23" s="9">
        <v>2</v>
      </c>
      <c r="F23" s="9" t="s">
        <v>15</v>
      </c>
    </row>
    <row r="24" spans="1:6" s="6" customFormat="1" ht="84" customHeight="1" x14ac:dyDescent="0.15">
      <c r="A24" s="9">
        <f t="shared" ref="A24:A38" si="1">ROW()-5</f>
        <v>19</v>
      </c>
      <c r="B24" s="22" t="s">
        <v>56</v>
      </c>
      <c r="C24" s="9" t="s">
        <v>57</v>
      </c>
      <c r="D24" s="22" t="s">
        <v>58</v>
      </c>
      <c r="E24" s="20">
        <v>2</v>
      </c>
      <c r="F24" s="22" t="s">
        <v>38</v>
      </c>
    </row>
    <row r="25" spans="1:6" s="6" customFormat="1" ht="189" customHeight="1" x14ac:dyDescent="0.15">
      <c r="A25" s="9">
        <f t="shared" si="1"/>
        <v>20</v>
      </c>
      <c r="B25" s="21" t="s">
        <v>59</v>
      </c>
      <c r="C25" s="9" t="s">
        <v>60</v>
      </c>
      <c r="D25" s="20" t="s">
        <v>61</v>
      </c>
      <c r="E25" s="21">
        <v>2</v>
      </c>
      <c r="F25" s="21" t="s">
        <v>62</v>
      </c>
    </row>
    <row r="26" spans="1:6" s="6" customFormat="1" ht="409.5" customHeight="1" x14ac:dyDescent="0.15">
      <c r="A26" s="9">
        <f t="shared" si="1"/>
        <v>21</v>
      </c>
      <c r="B26" s="21" t="s">
        <v>63</v>
      </c>
      <c r="C26" s="9" t="s">
        <v>64</v>
      </c>
      <c r="D26" s="21" t="s">
        <v>65</v>
      </c>
      <c r="E26" s="21">
        <v>18</v>
      </c>
      <c r="F26" s="21" t="s">
        <v>38</v>
      </c>
    </row>
    <row r="27" spans="1:6" s="6" customFormat="1" ht="129.75" customHeight="1" x14ac:dyDescent="0.15">
      <c r="A27" s="9">
        <f t="shared" si="1"/>
        <v>22</v>
      </c>
      <c r="B27" s="21" t="s">
        <v>66</v>
      </c>
      <c r="C27" s="9" t="s">
        <v>67</v>
      </c>
      <c r="D27" s="20" t="s">
        <v>68</v>
      </c>
      <c r="E27" s="21">
        <v>20</v>
      </c>
      <c r="F27" s="21" t="s">
        <v>11</v>
      </c>
    </row>
    <row r="28" spans="1:6" s="6" customFormat="1" ht="209.25" customHeight="1" x14ac:dyDescent="0.15">
      <c r="A28" s="9">
        <f t="shared" si="1"/>
        <v>23</v>
      </c>
      <c r="B28" s="21" t="s">
        <v>69</v>
      </c>
      <c r="C28" s="9" t="s">
        <v>70</v>
      </c>
      <c r="D28" s="23" t="s">
        <v>71</v>
      </c>
      <c r="E28" s="21">
        <v>108</v>
      </c>
      <c r="F28" s="21" t="s">
        <v>38</v>
      </c>
    </row>
    <row r="29" spans="1:6" s="6" customFormat="1" ht="409.5" customHeight="1" x14ac:dyDescent="0.15">
      <c r="A29" s="9">
        <f t="shared" si="1"/>
        <v>24</v>
      </c>
      <c r="B29" s="20" t="s">
        <v>72</v>
      </c>
      <c r="C29" s="9" t="s">
        <v>73</v>
      </c>
      <c r="D29" s="20" t="s">
        <v>74</v>
      </c>
      <c r="E29" s="28">
        <v>8</v>
      </c>
      <c r="F29" s="28" t="s">
        <v>11</v>
      </c>
    </row>
    <row r="30" spans="1:6" s="6" customFormat="1" ht="84" customHeight="1" x14ac:dyDescent="0.15">
      <c r="A30" s="9">
        <f t="shared" si="1"/>
        <v>25</v>
      </c>
      <c r="B30" s="18" t="s">
        <v>75</v>
      </c>
      <c r="C30" s="9" t="s">
        <v>60</v>
      </c>
      <c r="D30" s="18" t="s">
        <v>76</v>
      </c>
      <c r="E30" s="30">
        <v>4</v>
      </c>
      <c r="F30" s="18" t="s">
        <v>11</v>
      </c>
    </row>
    <row r="31" spans="1:6" s="6" customFormat="1" ht="84" customHeight="1" x14ac:dyDescent="0.15">
      <c r="A31" s="9">
        <f t="shared" si="1"/>
        <v>26</v>
      </c>
      <c r="B31" s="18" t="s">
        <v>77</v>
      </c>
      <c r="C31" s="9" t="s">
        <v>60</v>
      </c>
      <c r="D31" s="32" t="s">
        <v>78</v>
      </c>
      <c r="E31" s="30">
        <v>2</v>
      </c>
      <c r="F31" s="18" t="s">
        <v>11</v>
      </c>
    </row>
    <row r="32" spans="1:6" s="14" customFormat="1" ht="105.95" customHeight="1" x14ac:dyDescent="0.15">
      <c r="A32" s="9">
        <f t="shared" si="1"/>
        <v>27</v>
      </c>
      <c r="B32" s="9" t="s">
        <v>79</v>
      </c>
      <c r="C32" s="9" t="s">
        <v>80</v>
      </c>
      <c r="D32" s="32" t="s">
        <v>81</v>
      </c>
      <c r="E32" s="9">
        <v>26</v>
      </c>
      <c r="F32" s="9" t="s">
        <v>38</v>
      </c>
    </row>
    <row r="33" spans="1:6" s="14" customFormat="1" ht="105.95" customHeight="1" x14ac:dyDescent="0.15">
      <c r="A33" s="9">
        <f t="shared" si="1"/>
        <v>28</v>
      </c>
      <c r="B33" s="9" t="s">
        <v>82</v>
      </c>
      <c r="C33" s="9" t="s">
        <v>83</v>
      </c>
      <c r="D33" s="32" t="s">
        <v>84</v>
      </c>
      <c r="E33" s="9">
        <v>52</v>
      </c>
      <c r="F33" s="9" t="s">
        <v>85</v>
      </c>
    </row>
    <row r="34" spans="1:6" s="6" customFormat="1" ht="105" customHeight="1" x14ac:dyDescent="0.15">
      <c r="A34" s="9">
        <f t="shared" si="1"/>
        <v>29</v>
      </c>
      <c r="B34" s="9" t="s">
        <v>86</v>
      </c>
      <c r="C34" s="9" t="s">
        <v>87</v>
      </c>
      <c r="D34" s="32" t="s">
        <v>88</v>
      </c>
      <c r="E34" s="9">
        <v>52</v>
      </c>
      <c r="F34" s="9" t="s">
        <v>15</v>
      </c>
    </row>
    <row r="35" spans="1:6" s="6" customFormat="1" ht="113.1" customHeight="1" x14ac:dyDescent="0.15">
      <c r="A35" s="9">
        <f t="shared" si="1"/>
        <v>30</v>
      </c>
      <c r="B35" s="9" t="s">
        <v>89</v>
      </c>
      <c r="C35" s="9" t="s">
        <v>90</v>
      </c>
      <c r="D35" s="32" t="s">
        <v>91</v>
      </c>
      <c r="E35" s="9">
        <v>1</v>
      </c>
      <c r="F35" s="9" t="s">
        <v>62</v>
      </c>
    </row>
    <row r="36" spans="1:6" s="6" customFormat="1" ht="86.1" customHeight="1" x14ac:dyDescent="0.15">
      <c r="A36" s="9">
        <f t="shared" si="1"/>
        <v>31</v>
      </c>
      <c r="B36" s="9" t="s">
        <v>92</v>
      </c>
      <c r="C36" s="9" t="s">
        <v>93</v>
      </c>
      <c r="D36" s="32" t="s">
        <v>94</v>
      </c>
      <c r="E36" s="9">
        <v>10</v>
      </c>
      <c r="F36" s="9" t="s">
        <v>95</v>
      </c>
    </row>
    <row r="37" spans="1:6" s="6" customFormat="1" ht="86.1" customHeight="1" x14ac:dyDescent="0.15">
      <c r="A37" s="9">
        <f t="shared" si="1"/>
        <v>32</v>
      </c>
      <c r="B37" s="9" t="s">
        <v>96</v>
      </c>
      <c r="C37" s="9" t="s">
        <v>97</v>
      </c>
      <c r="D37" s="32" t="s">
        <v>98</v>
      </c>
      <c r="E37" s="9">
        <v>10</v>
      </c>
      <c r="F37" s="9" t="s">
        <v>38</v>
      </c>
    </row>
    <row r="38" spans="1:6" s="6" customFormat="1" ht="86.1" customHeight="1" x14ac:dyDescent="0.15">
      <c r="A38" s="9">
        <f t="shared" si="1"/>
        <v>33</v>
      </c>
      <c r="B38" s="24" t="s">
        <v>99</v>
      </c>
      <c r="C38" s="24" t="s">
        <v>60</v>
      </c>
      <c r="D38" s="24" t="s">
        <v>100</v>
      </c>
      <c r="E38" s="24">
        <v>12</v>
      </c>
      <c r="F38" s="24" t="s">
        <v>101</v>
      </c>
    </row>
    <row r="39" spans="1:6" s="6" customFormat="1" ht="86.1" customHeight="1" x14ac:dyDescent="0.15">
      <c r="A39" s="19"/>
      <c r="B39" s="25" t="s">
        <v>102</v>
      </c>
      <c r="C39" s="25" t="s">
        <v>103</v>
      </c>
      <c r="D39" s="25" t="s">
        <v>104</v>
      </c>
      <c r="E39" s="25">
        <v>12</v>
      </c>
      <c r="F39" s="25" t="s">
        <v>11</v>
      </c>
    </row>
    <row r="40" spans="1:6" s="6" customFormat="1" ht="63.95" customHeight="1" x14ac:dyDescent="0.15">
      <c r="A40" s="35" t="s">
        <v>105</v>
      </c>
      <c r="B40" s="36"/>
      <c r="C40" s="36"/>
      <c r="D40" s="36"/>
      <c r="E40" s="36"/>
      <c r="F40" s="36"/>
    </row>
    <row r="41" spans="1:6" s="6" customFormat="1" ht="105" customHeight="1" x14ac:dyDescent="0.15">
      <c r="A41" s="9">
        <f t="shared" ref="A41:A50" si="2">ROW()-7</f>
        <v>34</v>
      </c>
      <c r="B41" s="9" t="s">
        <v>106</v>
      </c>
      <c r="C41" s="20" t="s">
        <v>107</v>
      </c>
      <c r="D41" s="20" t="s">
        <v>108</v>
      </c>
      <c r="E41" s="9">
        <v>3</v>
      </c>
      <c r="F41" s="20" t="s">
        <v>15</v>
      </c>
    </row>
    <row r="42" spans="1:6" s="6" customFormat="1" ht="57.95" customHeight="1" x14ac:dyDescent="0.15">
      <c r="A42" s="9">
        <f t="shared" si="2"/>
        <v>35</v>
      </c>
      <c r="B42" s="20" t="s">
        <v>109</v>
      </c>
      <c r="C42" s="9" t="s">
        <v>110</v>
      </c>
      <c r="D42" s="32" t="s">
        <v>111</v>
      </c>
      <c r="E42" s="9">
        <v>1</v>
      </c>
      <c r="F42" s="9" t="s">
        <v>38</v>
      </c>
    </row>
    <row r="43" spans="1:6" s="6" customFormat="1" ht="102.95" customHeight="1" x14ac:dyDescent="0.15">
      <c r="A43" s="9">
        <f t="shared" si="2"/>
        <v>36</v>
      </c>
      <c r="B43" s="9" t="s">
        <v>112</v>
      </c>
      <c r="C43" s="9" t="s">
        <v>113</v>
      </c>
      <c r="D43" s="20" t="s">
        <v>114</v>
      </c>
      <c r="E43" s="9">
        <v>1</v>
      </c>
      <c r="F43" s="20" t="s">
        <v>38</v>
      </c>
    </row>
    <row r="44" spans="1:6" s="6" customFormat="1" ht="294.95" customHeight="1" x14ac:dyDescent="0.15">
      <c r="A44" s="9">
        <f t="shared" si="2"/>
        <v>37</v>
      </c>
      <c r="B44" s="9" t="s">
        <v>115</v>
      </c>
      <c r="C44" s="9" t="s">
        <v>116</v>
      </c>
      <c r="D44" s="32" t="s">
        <v>117</v>
      </c>
      <c r="E44" s="9">
        <v>1</v>
      </c>
      <c r="F44" s="9" t="s">
        <v>27</v>
      </c>
    </row>
    <row r="45" spans="1:6" s="6" customFormat="1" ht="99" customHeight="1" x14ac:dyDescent="0.15">
      <c r="A45" s="9">
        <f t="shared" si="2"/>
        <v>38</v>
      </c>
      <c r="B45" s="9" t="s">
        <v>118</v>
      </c>
      <c r="C45" s="9" t="s">
        <v>119</v>
      </c>
      <c r="D45" s="32" t="s">
        <v>120</v>
      </c>
      <c r="E45" s="9">
        <v>2</v>
      </c>
      <c r="F45" s="9" t="s">
        <v>85</v>
      </c>
    </row>
    <row r="46" spans="1:6" s="6" customFormat="1" ht="110.1" customHeight="1" x14ac:dyDescent="0.15">
      <c r="A46" s="9">
        <f t="shared" si="2"/>
        <v>39</v>
      </c>
      <c r="B46" s="9" t="s">
        <v>121</v>
      </c>
      <c r="C46" s="26" t="s">
        <v>122</v>
      </c>
      <c r="D46" s="32" t="s">
        <v>123</v>
      </c>
      <c r="E46" s="9">
        <v>1</v>
      </c>
      <c r="F46" s="9" t="s">
        <v>38</v>
      </c>
    </row>
    <row r="47" spans="1:6" s="6" customFormat="1" ht="384.75" customHeight="1" x14ac:dyDescent="0.15">
      <c r="A47" s="9">
        <f t="shared" si="2"/>
        <v>40</v>
      </c>
      <c r="B47" s="9" t="s">
        <v>124</v>
      </c>
      <c r="C47" s="26" t="s">
        <v>125</v>
      </c>
      <c r="D47" s="32" t="s">
        <v>126</v>
      </c>
      <c r="E47" s="9">
        <v>1</v>
      </c>
      <c r="F47" s="9" t="s">
        <v>27</v>
      </c>
    </row>
    <row r="48" spans="1:6" s="6" customFormat="1" ht="110.1" customHeight="1" x14ac:dyDescent="0.15">
      <c r="A48" s="9">
        <f t="shared" si="2"/>
        <v>41</v>
      </c>
      <c r="B48" s="9" t="s">
        <v>127</v>
      </c>
      <c r="C48" s="26" t="s">
        <v>128</v>
      </c>
      <c r="D48" s="26" t="s">
        <v>129</v>
      </c>
      <c r="E48" s="9">
        <v>6</v>
      </c>
      <c r="F48" s="9" t="s">
        <v>38</v>
      </c>
    </row>
    <row r="49" spans="1:6" s="6" customFormat="1" ht="111.95" customHeight="1" x14ac:dyDescent="0.15">
      <c r="A49" s="9">
        <f t="shared" si="2"/>
        <v>42</v>
      </c>
      <c r="B49" s="9" t="s">
        <v>130</v>
      </c>
      <c r="C49" s="9" t="s">
        <v>131</v>
      </c>
      <c r="D49" s="32" t="s">
        <v>123</v>
      </c>
      <c r="E49" s="9">
        <v>1</v>
      </c>
      <c r="F49" s="9" t="s">
        <v>85</v>
      </c>
    </row>
    <row r="50" spans="1:6" s="6" customFormat="1" ht="87" customHeight="1" x14ac:dyDescent="0.15">
      <c r="A50" s="9">
        <f t="shared" si="2"/>
        <v>43</v>
      </c>
      <c r="B50" s="9" t="s">
        <v>132</v>
      </c>
      <c r="C50" s="9" t="s">
        <v>133</v>
      </c>
      <c r="D50" s="32" t="s">
        <v>134</v>
      </c>
      <c r="E50" s="9">
        <v>1</v>
      </c>
      <c r="F50" s="9" t="s">
        <v>15</v>
      </c>
    </row>
    <row r="51" spans="1:6" s="6" customFormat="1" ht="78.95" customHeight="1" x14ac:dyDescent="0.15">
      <c r="A51" s="9">
        <f t="shared" ref="A51:A60" si="3">ROW()-7</f>
        <v>44</v>
      </c>
      <c r="B51" s="9" t="s">
        <v>135</v>
      </c>
      <c r="C51" s="9" t="s">
        <v>136</v>
      </c>
      <c r="D51" s="32" t="s">
        <v>137</v>
      </c>
      <c r="E51" s="9">
        <v>1</v>
      </c>
      <c r="F51" s="9" t="s">
        <v>31</v>
      </c>
    </row>
    <row r="52" spans="1:6" s="6" customFormat="1" ht="78.95" customHeight="1" x14ac:dyDescent="0.15">
      <c r="A52" s="9">
        <f t="shared" si="3"/>
        <v>45</v>
      </c>
      <c r="B52" s="9" t="s">
        <v>138</v>
      </c>
      <c r="C52" s="9" t="s">
        <v>139</v>
      </c>
      <c r="D52" s="32" t="s">
        <v>140</v>
      </c>
      <c r="E52" s="9">
        <v>1</v>
      </c>
      <c r="F52" s="9" t="s">
        <v>31</v>
      </c>
    </row>
    <row r="53" spans="1:6" s="6" customFormat="1" ht="78.95" customHeight="1" x14ac:dyDescent="0.15">
      <c r="A53" s="9">
        <f t="shared" si="3"/>
        <v>46</v>
      </c>
      <c r="B53" s="9" t="s">
        <v>141</v>
      </c>
      <c r="C53" s="9" t="s">
        <v>103</v>
      </c>
      <c r="D53" s="32" t="s">
        <v>140</v>
      </c>
      <c r="E53" s="9">
        <v>1</v>
      </c>
      <c r="F53" s="9" t="s">
        <v>31</v>
      </c>
    </row>
    <row r="54" spans="1:6" s="6" customFormat="1" ht="125.1" customHeight="1" x14ac:dyDescent="0.15">
      <c r="A54" s="9">
        <f t="shared" si="3"/>
        <v>47</v>
      </c>
      <c r="B54" s="9" t="s">
        <v>142</v>
      </c>
      <c r="C54" s="20" t="s">
        <v>143</v>
      </c>
      <c r="D54" s="20" t="s">
        <v>108</v>
      </c>
      <c r="E54" s="9">
        <v>3</v>
      </c>
      <c r="F54" s="20" t="s">
        <v>15</v>
      </c>
    </row>
    <row r="55" spans="1:6" s="6" customFormat="1" ht="110.1" customHeight="1" x14ac:dyDescent="0.15">
      <c r="A55" s="9">
        <f t="shared" si="3"/>
        <v>48</v>
      </c>
      <c r="B55" s="9" t="s">
        <v>144</v>
      </c>
      <c r="C55" s="9" t="s">
        <v>145</v>
      </c>
      <c r="D55" s="32" t="s">
        <v>146</v>
      </c>
      <c r="E55" s="9">
        <v>25</v>
      </c>
      <c r="F55" s="9" t="s">
        <v>11</v>
      </c>
    </row>
    <row r="56" spans="1:6" s="6" customFormat="1" ht="119.1" customHeight="1" x14ac:dyDescent="0.15">
      <c r="A56" s="9">
        <f t="shared" si="3"/>
        <v>49</v>
      </c>
      <c r="B56" s="9" t="s">
        <v>115</v>
      </c>
      <c r="C56" s="9" t="s">
        <v>116</v>
      </c>
      <c r="D56" s="32" t="s">
        <v>117</v>
      </c>
      <c r="E56" s="9">
        <v>1</v>
      </c>
      <c r="F56" s="9" t="s">
        <v>27</v>
      </c>
    </row>
    <row r="57" spans="1:6" s="6" customFormat="1" ht="99" customHeight="1" x14ac:dyDescent="0.15">
      <c r="A57" s="9">
        <f t="shared" si="3"/>
        <v>50</v>
      </c>
      <c r="B57" s="9" t="s">
        <v>147</v>
      </c>
      <c r="C57" s="9" t="s">
        <v>148</v>
      </c>
      <c r="D57" s="32" t="s">
        <v>149</v>
      </c>
      <c r="E57" s="9">
        <v>1</v>
      </c>
      <c r="F57" s="9" t="s">
        <v>38</v>
      </c>
    </row>
    <row r="58" spans="1:6" s="6" customFormat="1" ht="99" customHeight="1" x14ac:dyDescent="0.15">
      <c r="A58" s="9">
        <f t="shared" si="3"/>
        <v>51</v>
      </c>
      <c r="B58" s="9" t="s">
        <v>118</v>
      </c>
      <c r="C58" s="9" t="s">
        <v>119</v>
      </c>
      <c r="D58" s="32" t="s">
        <v>120</v>
      </c>
      <c r="E58" s="9">
        <v>35</v>
      </c>
      <c r="F58" s="9" t="s">
        <v>85</v>
      </c>
    </row>
    <row r="59" spans="1:6" s="6" customFormat="1" ht="99" customHeight="1" x14ac:dyDescent="0.15">
      <c r="A59" s="9">
        <f t="shared" si="3"/>
        <v>52</v>
      </c>
      <c r="B59" s="9" t="s">
        <v>150</v>
      </c>
      <c r="C59" s="9" t="s">
        <v>151</v>
      </c>
      <c r="D59" s="20" t="s">
        <v>152</v>
      </c>
      <c r="E59" s="9">
        <v>17</v>
      </c>
      <c r="F59" s="9" t="s">
        <v>95</v>
      </c>
    </row>
    <row r="60" spans="1:6" s="6" customFormat="1" ht="99" customHeight="1" x14ac:dyDescent="0.15">
      <c r="A60" s="9">
        <f t="shared" si="3"/>
        <v>53</v>
      </c>
      <c r="B60" s="9" t="s">
        <v>150</v>
      </c>
      <c r="C60" s="9" t="s">
        <v>151</v>
      </c>
      <c r="D60" s="20" t="s">
        <v>152</v>
      </c>
      <c r="E60" s="9">
        <v>17</v>
      </c>
      <c r="F60" s="9" t="s">
        <v>95</v>
      </c>
    </row>
    <row r="61" spans="1:6" s="6" customFormat="1" ht="88.7" customHeight="1" x14ac:dyDescent="0.15">
      <c r="A61" s="9">
        <f t="shared" ref="A61:A70" si="4">ROW()-7</f>
        <v>54</v>
      </c>
      <c r="B61" s="9" t="s">
        <v>153</v>
      </c>
      <c r="C61" s="9" t="s">
        <v>154</v>
      </c>
      <c r="D61" s="32" t="s">
        <v>155</v>
      </c>
      <c r="E61" s="9">
        <v>13</v>
      </c>
      <c r="F61" s="9" t="s">
        <v>38</v>
      </c>
    </row>
    <row r="62" spans="1:6" s="6" customFormat="1" ht="129" customHeight="1" x14ac:dyDescent="0.15">
      <c r="A62" s="9">
        <f t="shared" si="4"/>
        <v>55</v>
      </c>
      <c r="B62" s="9" t="s">
        <v>156</v>
      </c>
      <c r="C62" s="20" t="s">
        <v>143</v>
      </c>
      <c r="D62" s="32" t="s">
        <v>37</v>
      </c>
      <c r="E62" s="9">
        <v>4</v>
      </c>
      <c r="F62" s="9" t="s">
        <v>15</v>
      </c>
    </row>
    <row r="63" spans="1:6" s="6" customFormat="1" ht="75" customHeight="1" x14ac:dyDescent="0.15">
      <c r="A63" s="9">
        <f t="shared" si="4"/>
        <v>56</v>
      </c>
      <c r="B63" s="9" t="s">
        <v>157</v>
      </c>
      <c r="C63" s="9" t="s">
        <v>158</v>
      </c>
      <c r="D63" s="32" t="s">
        <v>159</v>
      </c>
      <c r="E63" s="9">
        <v>1</v>
      </c>
      <c r="F63" s="9" t="s">
        <v>27</v>
      </c>
    </row>
    <row r="64" spans="1:6" s="6" customFormat="1" ht="75" customHeight="1" x14ac:dyDescent="0.15">
      <c r="A64" s="9">
        <f t="shared" si="4"/>
        <v>57</v>
      </c>
      <c r="B64" s="9" t="s">
        <v>160</v>
      </c>
      <c r="C64" s="9" t="s">
        <v>161</v>
      </c>
      <c r="D64" s="32" t="s">
        <v>159</v>
      </c>
      <c r="E64" s="9">
        <v>1</v>
      </c>
      <c r="F64" s="9" t="s">
        <v>27</v>
      </c>
    </row>
    <row r="65" spans="1:6" s="6" customFormat="1" ht="75" customHeight="1" x14ac:dyDescent="0.15">
      <c r="A65" s="9">
        <f t="shared" si="4"/>
        <v>58</v>
      </c>
      <c r="B65" s="9" t="s">
        <v>162</v>
      </c>
      <c r="C65" s="9" t="s">
        <v>163</v>
      </c>
      <c r="D65" s="32" t="s">
        <v>164</v>
      </c>
      <c r="E65" s="9">
        <v>2</v>
      </c>
      <c r="F65" s="9" t="s">
        <v>31</v>
      </c>
    </row>
    <row r="66" spans="1:6" s="6" customFormat="1" ht="75" customHeight="1" x14ac:dyDescent="0.15">
      <c r="A66" s="9">
        <f t="shared" si="4"/>
        <v>59</v>
      </c>
      <c r="B66" s="9" t="s">
        <v>138</v>
      </c>
      <c r="C66" s="9" t="s">
        <v>165</v>
      </c>
      <c r="D66" s="32" t="s">
        <v>140</v>
      </c>
      <c r="E66" s="9">
        <v>2</v>
      </c>
      <c r="F66" s="9" t="s">
        <v>31</v>
      </c>
    </row>
    <row r="67" spans="1:6" s="6" customFormat="1" ht="118.5" customHeight="1" x14ac:dyDescent="0.15">
      <c r="A67" s="9">
        <f t="shared" si="4"/>
        <v>60</v>
      </c>
      <c r="B67" s="9" t="s">
        <v>166</v>
      </c>
      <c r="C67" s="9" t="s">
        <v>167</v>
      </c>
      <c r="D67" s="32" t="s">
        <v>37</v>
      </c>
      <c r="E67" s="9">
        <v>10</v>
      </c>
      <c r="F67" s="9" t="s">
        <v>15</v>
      </c>
    </row>
    <row r="68" spans="1:6" s="6" customFormat="1" ht="409.5" customHeight="1" x14ac:dyDescent="0.15">
      <c r="A68" s="9">
        <f t="shared" si="4"/>
        <v>61</v>
      </c>
      <c r="B68" s="9" t="s">
        <v>168</v>
      </c>
      <c r="C68" s="9" t="s">
        <v>116</v>
      </c>
      <c r="D68" s="32" t="s">
        <v>117</v>
      </c>
      <c r="E68" s="9">
        <v>8</v>
      </c>
      <c r="F68" s="9" t="s">
        <v>27</v>
      </c>
    </row>
    <row r="69" spans="1:6" s="6" customFormat="1" ht="87" customHeight="1" x14ac:dyDescent="0.15">
      <c r="A69" s="9">
        <f t="shared" si="4"/>
        <v>62</v>
      </c>
      <c r="B69" s="9" t="s">
        <v>144</v>
      </c>
      <c r="C69" s="9" t="s">
        <v>145</v>
      </c>
      <c r="D69" s="32" t="s">
        <v>146</v>
      </c>
      <c r="E69" s="9">
        <v>40</v>
      </c>
      <c r="F69" s="9" t="s">
        <v>11</v>
      </c>
    </row>
    <row r="70" spans="1:6" s="6" customFormat="1" ht="120.95" customHeight="1" x14ac:dyDescent="0.15">
      <c r="A70" s="9">
        <f t="shared" si="4"/>
        <v>63</v>
      </c>
      <c r="B70" s="31" t="s">
        <v>142</v>
      </c>
      <c r="C70" s="20" t="s">
        <v>143</v>
      </c>
      <c r="D70" s="32" t="s">
        <v>37</v>
      </c>
      <c r="E70" s="9">
        <v>10</v>
      </c>
      <c r="F70" s="9" t="s">
        <v>15</v>
      </c>
    </row>
    <row r="71" spans="1:6" s="6" customFormat="1" ht="48" customHeight="1" x14ac:dyDescent="0.15">
      <c r="A71" s="9">
        <f t="shared" ref="A71:A85" si="5">ROW()-7</f>
        <v>64</v>
      </c>
      <c r="B71" s="9" t="s">
        <v>169</v>
      </c>
      <c r="C71" s="9" t="s">
        <v>170</v>
      </c>
      <c r="D71" s="32" t="s">
        <v>164</v>
      </c>
      <c r="E71" s="9">
        <v>1</v>
      </c>
      <c r="F71" s="9" t="s">
        <v>31</v>
      </c>
    </row>
    <row r="72" spans="1:6" s="6" customFormat="1" ht="63" customHeight="1" x14ac:dyDescent="0.15">
      <c r="A72" s="9">
        <f t="shared" si="5"/>
        <v>65</v>
      </c>
      <c r="B72" s="9" t="s">
        <v>162</v>
      </c>
      <c r="C72" s="9" t="s">
        <v>171</v>
      </c>
      <c r="D72" s="32" t="s">
        <v>164</v>
      </c>
      <c r="E72" s="9">
        <v>2</v>
      </c>
      <c r="F72" s="9" t="s">
        <v>31</v>
      </c>
    </row>
    <row r="73" spans="1:6" s="6" customFormat="1" ht="75.95" customHeight="1" x14ac:dyDescent="0.15">
      <c r="A73" s="9">
        <f t="shared" si="5"/>
        <v>66</v>
      </c>
      <c r="B73" s="9" t="s">
        <v>138</v>
      </c>
      <c r="C73" s="9" t="s">
        <v>165</v>
      </c>
      <c r="D73" s="32" t="s">
        <v>140</v>
      </c>
      <c r="E73" s="9">
        <v>1</v>
      </c>
      <c r="F73" s="9" t="s">
        <v>31</v>
      </c>
    </row>
    <row r="74" spans="1:6" s="6" customFormat="1" ht="75.95" customHeight="1" x14ac:dyDescent="0.15">
      <c r="A74" s="9">
        <f t="shared" si="5"/>
        <v>67</v>
      </c>
      <c r="B74" s="9" t="s">
        <v>141</v>
      </c>
      <c r="C74" s="9" t="s">
        <v>103</v>
      </c>
      <c r="D74" s="32" t="s">
        <v>140</v>
      </c>
      <c r="E74" s="9">
        <v>1</v>
      </c>
      <c r="F74" s="9" t="s">
        <v>31</v>
      </c>
    </row>
    <row r="75" spans="1:6" s="6" customFormat="1" ht="129" customHeight="1" x14ac:dyDescent="0.15">
      <c r="A75" s="9">
        <f t="shared" si="5"/>
        <v>68</v>
      </c>
      <c r="B75" s="20" t="s">
        <v>172</v>
      </c>
      <c r="C75" s="9" t="s">
        <v>173</v>
      </c>
      <c r="D75" s="32" t="s">
        <v>111</v>
      </c>
      <c r="E75" s="9">
        <v>9</v>
      </c>
      <c r="F75" s="9" t="s">
        <v>38</v>
      </c>
    </row>
    <row r="76" spans="1:6" s="6" customFormat="1" ht="129" customHeight="1" x14ac:dyDescent="0.15">
      <c r="A76" s="9">
        <f t="shared" si="5"/>
        <v>69</v>
      </c>
      <c r="B76" s="9" t="s">
        <v>174</v>
      </c>
      <c r="C76" s="9" t="s">
        <v>113</v>
      </c>
      <c r="D76" s="32" t="s">
        <v>175</v>
      </c>
      <c r="E76" s="9">
        <v>9</v>
      </c>
      <c r="F76" s="9" t="s">
        <v>38</v>
      </c>
    </row>
    <row r="77" spans="1:6" s="6" customFormat="1" ht="129" customHeight="1" x14ac:dyDescent="0.15">
      <c r="A77" s="9">
        <f t="shared" si="5"/>
        <v>70</v>
      </c>
      <c r="B77" s="9" t="s">
        <v>176</v>
      </c>
      <c r="C77" s="9" t="s">
        <v>113</v>
      </c>
      <c r="D77" s="32" t="s">
        <v>175</v>
      </c>
      <c r="E77" s="9">
        <v>18</v>
      </c>
      <c r="F77" s="9" t="s">
        <v>38</v>
      </c>
    </row>
    <row r="78" spans="1:6" s="6" customFormat="1" ht="105" customHeight="1" x14ac:dyDescent="0.15">
      <c r="A78" s="9">
        <f t="shared" si="5"/>
        <v>71</v>
      </c>
      <c r="B78" s="9" t="s">
        <v>177</v>
      </c>
      <c r="C78" s="9" t="s">
        <v>178</v>
      </c>
      <c r="D78" s="32" t="s">
        <v>179</v>
      </c>
      <c r="E78" s="9">
        <v>18</v>
      </c>
      <c r="F78" s="9" t="s">
        <v>15</v>
      </c>
    </row>
    <row r="79" spans="1:6" s="6" customFormat="1" ht="112.5" customHeight="1" x14ac:dyDescent="0.15">
      <c r="A79" s="9">
        <f t="shared" si="5"/>
        <v>72</v>
      </c>
      <c r="B79" s="9" t="s">
        <v>180</v>
      </c>
      <c r="C79" s="9" t="s">
        <v>181</v>
      </c>
      <c r="D79" s="32" t="s">
        <v>37</v>
      </c>
      <c r="E79" s="9">
        <v>10</v>
      </c>
      <c r="F79" s="9" t="s">
        <v>15</v>
      </c>
    </row>
    <row r="80" spans="1:6" s="6" customFormat="1" ht="120.95" customHeight="1" x14ac:dyDescent="0.15">
      <c r="A80" s="9">
        <f t="shared" si="5"/>
        <v>73</v>
      </c>
      <c r="B80" s="31" t="s">
        <v>142</v>
      </c>
      <c r="C80" s="20" t="s">
        <v>143</v>
      </c>
      <c r="D80" s="32" t="s">
        <v>37</v>
      </c>
      <c r="E80" s="9">
        <v>12</v>
      </c>
      <c r="F80" s="9" t="s">
        <v>15</v>
      </c>
    </row>
    <row r="81" spans="1:6" s="6" customFormat="1" ht="409.5" customHeight="1" x14ac:dyDescent="0.15">
      <c r="A81" s="9">
        <f t="shared" si="5"/>
        <v>74</v>
      </c>
      <c r="B81" s="9" t="s">
        <v>102</v>
      </c>
      <c r="C81" s="9" t="s">
        <v>103</v>
      </c>
      <c r="D81" s="32" t="s">
        <v>104</v>
      </c>
      <c r="E81" s="9">
        <v>3</v>
      </c>
      <c r="F81" s="9" t="s">
        <v>11</v>
      </c>
    </row>
    <row r="82" spans="1:6" s="6" customFormat="1" ht="409.5" customHeight="1" x14ac:dyDescent="0.15">
      <c r="A82" s="9">
        <f t="shared" si="5"/>
        <v>75</v>
      </c>
      <c r="B82" s="9" t="s">
        <v>168</v>
      </c>
      <c r="C82" s="9" t="s">
        <v>116</v>
      </c>
      <c r="D82" s="32" t="s">
        <v>117</v>
      </c>
      <c r="E82" s="9">
        <v>16</v>
      </c>
      <c r="F82" s="9" t="s">
        <v>27</v>
      </c>
    </row>
    <row r="83" spans="1:6" s="6" customFormat="1" ht="98.1" customHeight="1" x14ac:dyDescent="0.15">
      <c r="A83" s="9">
        <f t="shared" si="5"/>
        <v>76</v>
      </c>
      <c r="B83" s="9" t="s">
        <v>144</v>
      </c>
      <c r="C83" s="9" t="s">
        <v>145</v>
      </c>
      <c r="D83" s="32" t="s">
        <v>146</v>
      </c>
      <c r="E83" s="9">
        <v>57</v>
      </c>
      <c r="F83" s="9" t="s">
        <v>11</v>
      </c>
    </row>
    <row r="84" spans="1:6" s="6" customFormat="1" ht="117.95" customHeight="1" x14ac:dyDescent="0.15">
      <c r="A84" s="9">
        <f t="shared" si="5"/>
        <v>77</v>
      </c>
      <c r="B84" s="9" t="s">
        <v>182</v>
      </c>
      <c r="C84" s="9" t="s">
        <v>183</v>
      </c>
      <c r="D84" s="32" t="s">
        <v>184</v>
      </c>
      <c r="E84" s="9">
        <v>1</v>
      </c>
      <c r="F84" s="9" t="s">
        <v>38</v>
      </c>
    </row>
    <row r="85" spans="1:6" s="6" customFormat="1" ht="122.1" customHeight="1" x14ac:dyDescent="0.15">
      <c r="A85" s="9">
        <f t="shared" si="5"/>
        <v>78</v>
      </c>
      <c r="B85" s="9" t="s">
        <v>118</v>
      </c>
      <c r="C85" s="20" t="s">
        <v>185</v>
      </c>
      <c r="D85" s="20" t="s">
        <v>186</v>
      </c>
      <c r="E85" s="9">
        <v>10</v>
      </c>
      <c r="F85" s="9" t="s">
        <v>85</v>
      </c>
    </row>
    <row r="86" spans="1:6" s="6" customFormat="1" ht="409.5" customHeight="1" x14ac:dyDescent="0.15">
      <c r="A86" s="9">
        <f t="shared" ref="A86:A91" si="6">ROW()-7</f>
        <v>79</v>
      </c>
      <c r="B86" s="9" t="s">
        <v>187</v>
      </c>
      <c r="C86" s="20" t="s">
        <v>188</v>
      </c>
      <c r="D86" s="20" t="s">
        <v>189</v>
      </c>
      <c r="E86" s="9">
        <v>15</v>
      </c>
      <c r="F86" s="9" t="s">
        <v>19</v>
      </c>
    </row>
    <row r="87" spans="1:6" s="6" customFormat="1" ht="86.1" customHeight="1" x14ac:dyDescent="0.15">
      <c r="A87" s="9">
        <f t="shared" si="6"/>
        <v>80</v>
      </c>
      <c r="B87" s="9" t="s">
        <v>24</v>
      </c>
      <c r="C87" s="9" t="s">
        <v>25</v>
      </c>
      <c r="D87" s="32" t="s">
        <v>26</v>
      </c>
      <c r="E87" s="9">
        <v>15</v>
      </c>
      <c r="F87" s="9" t="s">
        <v>27</v>
      </c>
    </row>
    <row r="88" spans="1:6" s="6" customFormat="1" ht="80.099999999999994" customHeight="1" x14ac:dyDescent="0.15">
      <c r="A88" s="9">
        <f t="shared" si="6"/>
        <v>81</v>
      </c>
      <c r="B88" s="9" t="s">
        <v>190</v>
      </c>
      <c r="C88" s="9" t="s">
        <v>119</v>
      </c>
      <c r="D88" s="32" t="s">
        <v>120</v>
      </c>
      <c r="E88" s="9">
        <v>15</v>
      </c>
      <c r="F88" s="9" t="s">
        <v>85</v>
      </c>
    </row>
    <row r="89" spans="1:6" s="6" customFormat="1" ht="78.95" customHeight="1" x14ac:dyDescent="0.15">
      <c r="A89" s="9">
        <f t="shared" si="6"/>
        <v>82</v>
      </c>
      <c r="B89" s="9" t="s">
        <v>191</v>
      </c>
      <c r="C89" s="9" t="s">
        <v>192</v>
      </c>
      <c r="D89" s="32"/>
      <c r="E89" s="9">
        <v>15</v>
      </c>
      <c r="F89" s="9" t="s">
        <v>27</v>
      </c>
    </row>
    <row r="90" spans="1:6" s="6" customFormat="1" ht="123.75" customHeight="1" x14ac:dyDescent="0.15">
      <c r="A90" s="9">
        <f t="shared" si="6"/>
        <v>83</v>
      </c>
      <c r="B90" s="9" t="s">
        <v>193</v>
      </c>
      <c r="C90" s="20" t="s">
        <v>143</v>
      </c>
      <c r="D90" s="32" t="s">
        <v>37</v>
      </c>
      <c r="E90" s="9">
        <v>15</v>
      </c>
      <c r="F90" s="9" t="s">
        <v>15</v>
      </c>
    </row>
    <row r="91" spans="1:6" s="6" customFormat="1" ht="105.95" customHeight="1" x14ac:dyDescent="0.15">
      <c r="A91" s="9">
        <f t="shared" si="6"/>
        <v>84</v>
      </c>
      <c r="B91" s="9" t="s">
        <v>194</v>
      </c>
      <c r="C91" s="20" t="s">
        <v>195</v>
      </c>
      <c r="D91" s="32" t="s">
        <v>196</v>
      </c>
      <c r="E91" s="9">
        <v>2</v>
      </c>
      <c r="F91" s="9" t="s">
        <v>27</v>
      </c>
    </row>
    <row r="92" spans="1:6" x14ac:dyDescent="0.15">
      <c r="B92" s="6"/>
      <c r="C92" s="6"/>
      <c r="D92" s="6"/>
      <c r="E92" s="14"/>
      <c r="F92" s="14"/>
    </row>
  </sheetData>
  <sheetProtection formatCells="0" insertHyperlinks="0" autoFilter="0"/>
  <mergeCells count="7">
    <mergeCell ref="A1:F1"/>
    <mergeCell ref="A2:F2"/>
    <mergeCell ref="A3:F3"/>
    <mergeCell ref="A5:F5"/>
    <mergeCell ref="A10:F10"/>
    <mergeCell ref="A22:F22"/>
    <mergeCell ref="A40:F40"/>
  </mergeCells>
  <phoneticPr fontId="9" type="noConversion"/>
  <conditionalFormatting sqref="B23">
    <cfRule type="duplicateValues" dxfId="2" priority="3"/>
  </conditionalFormatting>
  <conditionalFormatting sqref="B24:B29">
    <cfRule type="duplicateValues" dxfId="1" priority="2"/>
  </conditionalFormatting>
  <conditionalFormatting sqref="B30:B31">
    <cfRule type="duplicateValues" dxfId="0" priority="1"/>
  </conditionalFormatting>
  <pageMargins left="0.74803149606299213" right="0.74803149606299213" top="0.98425196850393704" bottom="0.98425196850393704" header="0.51181102362204722" footer="0.5118110236220472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4"/>
  <sheetViews>
    <sheetView zoomScale="106" zoomScaleNormal="106" workbookViewId="0">
      <selection activeCell="J8" sqref="J8"/>
    </sheetView>
  </sheetViews>
  <sheetFormatPr defaultColWidth="9" defaultRowHeight="17.25" x14ac:dyDescent="0.15"/>
  <cols>
    <col min="1" max="1" width="7.375" style="8" customWidth="1"/>
    <col min="2" max="2" width="17.5" style="8" customWidth="1"/>
    <col min="3" max="3" width="12.375" style="8" customWidth="1"/>
    <col min="4" max="4" width="31.75" style="8" customWidth="1"/>
    <col min="5" max="6" width="9" style="8"/>
    <col min="7" max="7" width="8.125" style="8" customWidth="1"/>
    <col min="8" max="16384" width="9" style="8"/>
  </cols>
  <sheetData>
    <row r="1" spans="1:6" ht="44.25" customHeight="1" x14ac:dyDescent="0.15">
      <c r="A1" s="40" t="s">
        <v>291</v>
      </c>
      <c r="B1" s="40"/>
      <c r="C1" s="40"/>
      <c r="D1" s="40"/>
      <c r="E1" s="40"/>
      <c r="F1" s="40"/>
    </row>
    <row r="2" spans="1:6" ht="33" customHeight="1" x14ac:dyDescent="0.15">
      <c r="A2" s="41" t="s">
        <v>292</v>
      </c>
      <c r="B2" s="41"/>
      <c r="C2" s="41"/>
      <c r="D2" s="41"/>
      <c r="E2" s="41"/>
      <c r="F2" s="41"/>
    </row>
    <row r="3" spans="1:6" s="6" customFormat="1" ht="30" customHeight="1" x14ac:dyDescent="0.15">
      <c r="A3" s="43" t="s">
        <v>197</v>
      </c>
      <c r="B3" s="42"/>
      <c r="C3" s="42"/>
      <c r="D3" s="42"/>
      <c r="E3" s="42"/>
      <c r="F3" s="45"/>
    </row>
    <row r="4" spans="1:6" s="6" customFormat="1" ht="30" customHeight="1" x14ac:dyDescent="0.15">
      <c r="A4" s="10" t="s">
        <v>0</v>
      </c>
      <c r="B4" s="10" t="s">
        <v>1</v>
      </c>
      <c r="C4" s="10" t="s">
        <v>2</v>
      </c>
      <c r="D4" s="10" t="s">
        <v>198</v>
      </c>
      <c r="E4" s="10" t="s">
        <v>4</v>
      </c>
      <c r="F4" s="10" t="s">
        <v>5</v>
      </c>
    </row>
    <row r="5" spans="1:6" s="6" customFormat="1" ht="30" customHeight="1" x14ac:dyDescent="0.15">
      <c r="A5" s="33" t="s">
        <v>7</v>
      </c>
      <c r="B5" s="33"/>
      <c r="C5" s="33"/>
      <c r="D5" s="33"/>
      <c r="E5" s="33"/>
      <c r="F5" s="33"/>
    </row>
    <row r="6" spans="1:6" s="6" customFormat="1" ht="30" customHeight="1" x14ac:dyDescent="0.15">
      <c r="A6" s="10">
        <v>1</v>
      </c>
      <c r="B6" s="11" t="s">
        <v>199</v>
      </c>
      <c r="C6" s="11" t="s">
        <v>60</v>
      </c>
      <c r="D6" s="11" t="s">
        <v>200</v>
      </c>
      <c r="E6" s="11">
        <v>100</v>
      </c>
      <c r="F6" s="11" t="s">
        <v>95</v>
      </c>
    </row>
    <row r="7" spans="1:6" s="6" customFormat="1" ht="39.950000000000003" customHeight="1" x14ac:dyDescent="0.15">
      <c r="A7" s="33" t="s">
        <v>201</v>
      </c>
      <c r="B7" s="33"/>
      <c r="C7" s="33"/>
      <c r="D7" s="33"/>
      <c r="E7" s="33"/>
      <c r="F7" s="33"/>
    </row>
    <row r="8" spans="1:6" s="6" customFormat="1" ht="30" customHeight="1" x14ac:dyDescent="0.15">
      <c r="A8" s="10">
        <v>2</v>
      </c>
      <c r="B8" s="10" t="s">
        <v>32</v>
      </c>
      <c r="C8" s="10" t="s">
        <v>60</v>
      </c>
      <c r="D8" s="10" t="s">
        <v>202</v>
      </c>
      <c r="E8" s="10">
        <v>14</v>
      </c>
      <c r="F8" s="10" t="s">
        <v>27</v>
      </c>
    </row>
    <row r="9" spans="1:6" s="6" customFormat="1" ht="30" customHeight="1" x14ac:dyDescent="0.15">
      <c r="A9" s="10">
        <v>3</v>
      </c>
      <c r="B9" s="12" t="s">
        <v>203</v>
      </c>
      <c r="C9" s="12" t="s">
        <v>60</v>
      </c>
      <c r="D9" s="12" t="s">
        <v>204</v>
      </c>
      <c r="E9" s="12">
        <v>200</v>
      </c>
      <c r="F9" s="10" t="s">
        <v>95</v>
      </c>
    </row>
    <row r="10" spans="1:6" s="6" customFormat="1" ht="39.950000000000003" customHeight="1" x14ac:dyDescent="0.15">
      <c r="A10" s="33" t="s">
        <v>205</v>
      </c>
      <c r="B10" s="33"/>
      <c r="C10" s="33"/>
      <c r="D10" s="33"/>
      <c r="E10" s="33"/>
      <c r="F10" s="33"/>
    </row>
    <row r="11" spans="1:6" s="6" customFormat="1" ht="30" customHeight="1" x14ac:dyDescent="0.15">
      <c r="A11" s="10">
        <f>ROW()-5</f>
        <v>6</v>
      </c>
      <c r="B11" s="10" t="s">
        <v>32</v>
      </c>
      <c r="C11" s="10" t="s">
        <v>60</v>
      </c>
      <c r="D11" s="10" t="s">
        <v>202</v>
      </c>
      <c r="E11" s="10">
        <v>28</v>
      </c>
      <c r="F11" s="10" t="s">
        <v>27</v>
      </c>
    </row>
    <row r="12" spans="1:6" s="6" customFormat="1" ht="30" customHeight="1" x14ac:dyDescent="0.15">
      <c r="A12" s="10">
        <f>ROW()-5</f>
        <v>7</v>
      </c>
      <c r="B12" s="12" t="s">
        <v>203</v>
      </c>
      <c r="C12" s="12" t="s">
        <v>60</v>
      </c>
      <c r="D12" s="12" t="s">
        <v>204</v>
      </c>
      <c r="E12" s="12">
        <v>96</v>
      </c>
      <c r="F12" s="10" t="s">
        <v>95</v>
      </c>
    </row>
    <row r="13" spans="1:6" s="7" customFormat="1" ht="39.950000000000003" customHeight="1" x14ac:dyDescent="0.15">
      <c r="A13" s="37" t="s">
        <v>206</v>
      </c>
      <c r="B13" s="37"/>
      <c r="C13" s="37"/>
      <c r="D13" s="37"/>
      <c r="E13" s="37"/>
      <c r="F13" s="37"/>
    </row>
    <row r="14" spans="1:6" s="7" customFormat="1" ht="93.95" customHeight="1" x14ac:dyDescent="0.15">
      <c r="A14" s="10">
        <v>6</v>
      </c>
      <c r="B14" s="10" t="s">
        <v>207</v>
      </c>
      <c r="C14" s="10" t="s">
        <v>60</v>
      </c>
      <c r="D14" s="13" t="s">
        <v>208</v>
      </c>
      <c r="E14" s="10">
        <v>26</v>
      </c>
      <c r="F14" s="10" t="s">
        <v>95</v>
      </c>
    </row>
    <row r="15" spans="1:6" s="7" customFormat="1" ht="30" customHeight="1" x14ac:dyDescent="0.15">
      <c r="A15" s="10">
        <v>7</v>
      </c>
      <c r="B15" s="10" t="s">
        <v>209</v>
      </c>
      <c r="C15" s="10" t="s">
        <v>60</v>
      </c>
      <c r="D15" s="13" t="s">
        <v>210</v>
      </c>
      <c r="E15" s="10">
        <v>50</v>
      </c>
      <c r="F15" s="10" t="s">
        <v>95</v>
      </c>
    </row>
    <row r="16" spans="1:6" s="7" customFormat="1" ht="30" customHeight="1" x14ac:dyDescent="0.15">
      <c r="A16" s="10">
        <v>8</v>
      </c>
      <c r="B16" s="10" t="s">
        <v>209</v>
      </c>
      <c r="C16" s="10" t="s">
        <v>60</v>
      </c>
      <c r="D16" s="13" t="s">
        <v>211</v>
      </c>
      <c r="E16" s="10">
        <v>100</v>
      </c>
      <c r="F16" s="10" t="s">
        <v>95</v>
      </c>
    </row>
    <row r="17" spans="1:6" s="7" customFormat="1" ht="30" customHeight="1" x14ac:dyDescent="0.15">
      <c r="A17" s="10">
        <v>9</v>
      </c>
      <c r="B17" s="10" t="s">
        <v>212</v>
      </c>
      <c r="C17" s="10" t="s">
        <v>60</v>
      </c>
      <c r="D17" s="13" t="s">
        <v>213</v>
      </c>
      <c r="E17" s="10">
        <v>45</v>
      </c>
      <c r="F17" s="10" t="s">
        <v>95</v>
      </c>
    </row>
    <row r="18" spans="1:6" s="7" customFormat="1" ht="30" customHeight="1" x14ac:dyDescent="0.15">
      <c r="A18" s="10">
        <v>10</v>
      </c>
      <c r="B18" s="10" t="s">
        <v>209</v>
      </c>
      <c r="C18" s="10" t="s">
        <v>60</v>
      </c>
      <c r="D18" s="13" t="s">
        <v>211</v>
      </c>
      <c r="E18" s="10">
        <v>24</v>
      </c>
      <c r="F18" s="10" t="s">
        <v>95</v>
      </c>
    </row>
    <row r="19" spans="1:6" s="6" customFormat="1" ht="30" customHeight="1" x14ac:dyDescent="0.15">
      <c r="A19" s="10">
        <v>11</v>
      </c>
      <c r="B19" s="10" t="s">
        <v>214</v>
      </c>
      <c r="C19" s="10" t="s">
        <v>60</v>
      </c>
      <c r="D19" s="10" t="s">
        <v>215</v>
      </c>
      <c r="E19" s="10">
        <v>455</v>
      </c>
      <c r="F19" s="10" t="s">
        <v>95</v>
      </c>
    </row>
    <row r="20" spans="1:6" s="7" customFormat="1" ht="30" customHeight="1" x14ac:dyDescent="0.15">
      <c r="A20" s="10">
        <v>12</v>
      </c>
      <c r="B20" s="10" t="s">
        <v>199</v>
      </c>
      <c r="C20" s="10" t="s">
        <v>60</v>
      </c>
      <c r="D20" s="10" t="s">
        <v>200</v>
      </c>
      <c r="E20" s="10">
        <v>100</v>
      </c>
      <c r="F20" s="10" t="s">
        <v>95</v>
      </c>
    </row>
    <row r="21" spans="1:6" s="7" customFormat="1" ht="30" customHeight="1" x14ac:dyDescent="0.15">
      <c r="A21" s="10">
        <v>13</v>
      </c>
      <c r="B21" s="12" t="s">
        <v>216</v>
      </c>
      <c r="C21" s="10" t="s">
        <v>60</v>
      </c>
      <c r="D21" s="12" t="s">
        <v>217</v>
      </c>
      <c r="E21" s="12">
        <v>69</v>
      </c>
      <c r="F21" s="12" t="s">
        <v>95</v>
      </c>
    </row>
    <row r="22" spans="1:6" s="7" customFormat="1" ht="30" customHeight="1" x14ac:dyDescent="0.15">
      <c r="A22" s="10">
        <v>14</v>
      </c>
      <c r="B22" s="12" t="s">
        <v>218</v>
      </c>
      <c r="C22" s="10" t="s">
        <v>60</v>
      </c>
      <c r="D22" s="12"/>
      <c r="E22" s="12">
        <v>63</v>
      </c>
      <c r="F22" s="12" t="s">
        <v>95</v>
      </c>
    </row>
    <row r="23" spans="1:6" s="7" customFormat="1" ht="30" customHeight="1" x14ac:dyDescent="0.15">
      <c r="A23" s="10">
        <v>15</v>
      </c>
      <c r="B23" s="13" t="s">
        <v>219</v>
      </c>
      <c r="C23" s="10" t="s">
        <v>60</v>
      </c>
      <c r="D23" s="13" t="s">
        <v>220</v>
      </c>
      <c r="E23" s="13">
        <v>1</v>
      </c>
      <c r="F23" s="13" t="s">
        <v>27</v>
      </c>
    </row>
    <row r="24" spans="1:6" s="7" customFormat="1" ht="30" customHeight="1" x14ac:dyDescent="0.15">
      <c r="A24" s="10">
        <v>16</v>
      </c>
      <c r="B24" s="13" t="s">
        <v>221</v>
      </c>
      <c r="C24" s="10" t="s">
        <v>60</v>
      </c>
      <c r="D24" s="13" t="s">
        <v>222</v>
      </c>
      <c r="E24" s="13">
        <v>1</v>
      </c>
      <c r="F24" s="13" t="s">
        <v>27</v>
      </c>
    </row>
    <row r="25" spans="1:6" s="7" customFormat="1" ht="30" customHeight="1" x14ac:dyDescent="0.15">
      <c r="A25" s="10">
        <v>17</v>
      </c>
      <c r="B25" s="13" t="s">
        <v>223</v>
      </c>
      <c r="C25" s="10" t="s">
        <v>60</v>
      </c>
      <c r="D25" s="13" t="s">
        <v>224</v>
      </c>
      <c r="E25" s="13">
        <v>1</v>
      </c>
      <c r="F25" s="13" t="s">
        <v>27</v>
      </c>
    </row>
    <row r="26" spans="1:6" s="7" customFormat="1" ht="30" customHeight="1" x14ac:dyDescent="0.15"/>
    <row r="27" spans="1:6" s="7" customFormat="1" ht="30" customHeight="1" x14ac:dyDescent="0.15"/>
    <row r="28" spans="1:6" s="7" customFormat="1" ht="30" customHeight="1" x14ac:dyDescent="0.15"/>
    <row r="29" spans="1:6" s="7" customFormat="1" ht="30" customHeight="1" x14ac:dyDescent="0.15"/>
    <row r="30" spans="1:6" s="7" customFormat="1" ht="30" customHeight="1" x14ac:dyDescent="0.15"/>
    <row r="31" spans="1:6" s="7" customFormat="1" x14ac:dyDescent="0.15"/>
    <row r="32" spans="1:6" s="7" customFormat="1" x14ac:dyDescent="0.15"/>
    <row r="33" spans="1:6" s="7" customFormat="1" x14ac:dyDescent="0.15"/>
    <row r="34" spans="1:6" x14ac:dyDescent="0.15">
      <c r="A34" s="7"/>
      <c r="B34" s="7"/>
      <c r="C34" s="7"/>
      <c r="D34" s="7"/>
      <c r="E34" s="7"/>
      <c r="F34" s="7"/>
    </row>
  </sheetData>
  <sheetProtection formatCells="0" insertHyperlinks="0" autoFilter="0"/>
  <mergeCells count="7">
    <mergeCell ref="A1:F1"/>
    <mergeCell ref="A2:F2"/>
    <mergeCell ref="A3:F3"/>
    <mergeCell ref="A5:F5"/>
    <mergeCell ref="A7:F7"/>
    <mergeCell ref="A10:F10"/>
    <mergeCell ref="A13:F13"/>
  </mergeCells>
  <phoneticPr fontId="9" type="noConversion"/>
  <pageMargins left="0.69930555555555596" right="0.69930555555555596"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tabSelected="1" zoomScaleNormal="100" workbookViewId="0">
      <selection activeCell="J8" sqref="J8"/>
    </sheetView>
  </sheetViews>
  <sheetFormatPr defaultColWidth="9" defaultRowHeight="17.25" x14ac:dyDescent="0.15"/>
  <cols>
    <col min="1" max="1" width="9" style="2"/>
    <col min="2" max="2" width="18.875" style="2" customWidth="1"/>
    <col min="3" max="3" width="21.75" style="2" customWidth="1"/>
    <col min="4" max="4" width="25.125" style="2" customWidth="1"/>
    <col min="5" max="5" width="8.875" style="2" customWidth="1"/>
    <col min="6" max="16384" width="9" style="2"/>
  </cols>
  <sheetData>
    <row r="1" spans="1:6" ht="46.5" customHeight="1" x14ac:dyDescent="0.15">
      <c r="A1" s="40" t="s">
        <v>291</v>
      </c>
      <c r="B1" s="40"/>
      <c r="C1" s="40"/>
      <c r="D1" s="40"/>
      <c r="E1" s="40"/>
      <c r="F1" s="40"/>
    </row>
    <row r="2" spans="1:6" ht="24" customHeight="1" x14ac:dyDescent="0.15">
      <c r="A2" s="41" t="s">
        <v>292</v>
      </c>
      <c r="B2" s="41"/>
      <c r="C2" s="41"/>
      <c r="D2" s="41"/>
      <c r="E2" s="41"/>
      <c r="F2" s="41"/>
    </row>
    <row r="3" spans="1:6" ht="22.5" customHeight="1" x14ac:dyDescent="0.15">
      <c r="A3" s="46" t="s">
        <v>225</v>
      </c>
      <c r="B3" s="47"/>
      <c r="C3" s="47"/>
      <c r="D3" s="47"/>
      <c r="E3" s="47"/>
      <c r="F3" s="48"/>
    </row>
    <row r="4" spans="1:6" s="1" customFormat="1" ht="24.75" customHeight="1" x14ac:dyDescent="0.15">
      <c r="A4" s="4" t="s">
        <v>0</v>
      </c>
      <c r="B4" s="4" t="s">
        <v>1</v>
      </c>
      <c r="C4" s="4" t="s">
        <v>2</v>
      </c>
      <c r="D4" s="4" t="s">
        <v>198</v>
      </c>
      <c r="E4" s="4" t="s">
        <v>4</v>
      </c>
      <c r="F4" s="4" t="s">
        <v>5</v>
      </c>
    </row>
    <row r="5" spans="1:6" x14ac:dyDescent="0.15">
      <c r="A5" s="3">
        <f t="shared" ref="A5:A10" si="0">ROW()-2</f>
        <v>3</v>
      </c>
      <c r="B5" s="3" t="s">
        <v>226</v>
      </c>
      <c r="C5" s="3" t="s">
        <v>227</v>
      </c>
      <c r="D5" s="3" t="s">
        <v>228</v>
      </c>
      <c r="E5" s="3">
        <v>1</v>
      </c>
      <c r="F5" s="3" t="s">
        <v>62</v>
      </c>
    </row>
    <row r="6" spans="1:6" x14ac:dyDescent="0.15">
      <c r="A6" s="3">
        <f t="shared" si="0"/>
        <v>4</v>
      </c>
      <c r="B6" s="3" t="s">
        <v>229</v>
      </c>
      <c r="C6" s="3" t="s">
        <v>230</v>
      </c>
      <c r="D6" s="3" t="s">
        <v>231</v>
      </c>
      <c r="E6" s="3">
        <v>1</v>
      </c>
      <c r="F6" s="3" t="s">
        <v>27</v>
      </c>
    </row>
    <row r="7" spans="1:6" ht="51.75" x14ac:dyDescent="0.15">
      <c r="A7" s="3">
        <f t="shared" si="0"/>
        <v>5</v>
      </c>
      <c r="B7" s="3" t="s">
        <v>232</v>
      </c>
      <c r="C7" s="3"/>
      <c r="D7" s="5" t="s">
        <v>233</v>
      </c>
      <c r="E7" s="3">
        <v>1</v>
      </c>
      <c r="F7" s="3" t="s">
        <v>27</v>
      </c>
    </row>
    <row r="8" spans="1:6" ht="34.5" x14ac:dyDescent="0.15">
      <c r="A8" s="3">
        <f t="shared" si="0"/>
        <v>6</v>
      </c>
      <c r="B8" s="3" t="s">
        <v>234</v>
      </c>
      <c r="C8" s="3" t="s">
        <v>235</v>
      </c>
      <c r="D8" s="3" t="s">
        <v>236</v>
      </c>
      <c r="E8" s="3">
        <v>1</v>
      </c>
      <c r="F8" s="3" t="s">
        <v>27</v>
      </c>
    </row>
    <row r="9" spans="1:6" ht="34.5" x14ac:dyDescent="0.15">
      <c r="A9" s="3">
        <f t="shared" si="0"/>
        <v>7</v>
      </c>
      <c r="B9" s="3" t="s">
        <v>237</v>
      </c>
      <c r="C9" s="3" t="s">
        <v>238</v>
      </c>
      <c r="D9" s="3" t="s">
        <v>236</v>
      </c>
      <c r="E9" s="3">
        <v>1</v>
      </c>
      <c r="F9" s="3" t="s">
        <v>27</v>
      </c>
    </row>
    <row r="10" spans="1:6" ht="34.5" x14ac:dyDescent="0.15">
      <c r="A10" s="3">
        <f t="shared" si="0"/>
        <v>8</v>
      </c>
      <c r="B10" s="3" t="s">
        <v>239</v>
      </c>
      <c r="C10" s="3" t="s">
        <v>240</v>
      </c>
      <c r="D10" s="3" t="s">
        <v>241</v>
      </c>
      <c r="E10" s="3">
        <v>1</v>
      </c>
      <c r="F10" s="3" t="s">
        <v>27</v>
      </c>
    </row>
    <row r="11" spans="1:6" x14ac:dyDescent="0.15">
      <c r="A11" s="3">
        <f t="shared" ref="A11:A25" si="1">ROW()-2</f>
        <v>9</v>
      </c>
      <c r="B11" s="3" t="s">
        <v>242</v>
      </c>
      <c r="C11" s="3"/>
      <c r="D11" s="3"/>
      <c r="E11" s="3">
        <v>1</v>
      </c>
      <c r="F11" s="3" t="s">
        <v>27</v>
      </c>
    </row>
    <row r="12" spans="1:6" x14ac:dyDescent="0.15">
      <c r="A12" s="3">
        <f t="shared" si="1"/>
        <v>10</v>
      </c>
      <c r="B12" s="3" t="s">
        <v>243</v>
      </c>
      <c r="C12" s="3" t="s">
        <v>244</v>
      </c>
      <c r="D12" s="3" t="s">
        <v>245</v>
      </c>
      <c r="E12" s="3">
        <v>1450</v>
      </c>
      <c r="F12" s="3" t="s">
        <v>95</v>
      </c>
    </row>
    <row r="13" spans="1:6" ht="34.5" x14ac:dyDescent="0.15">
      <c r="A13" s="3">
        <f t="shared" si="1"/>
        <v>11</v>
      </c>
      <c r="B13" s="3" t="s">
        <v>246</v>
      </c>
      <c r="C13" s="3" t="s">
        <v>247</v>
      </c>
      <c r="D13" s="3" t="s">
        <v>248</v>
      </c>
      <c r="E13" s="3">
        <v>129.6</v>
      </c>
      <c r="F13" s="3" t="s">
        <v>249</v>
      </c>
    </row>
    <row r="14" spans="1:6" ht="34.5" x14ac:dyDescent="0.15">
      <c r="A14" s="3">
        <f t="shared" si="1"/>
        <v>12</v>
      </c>
      <c r="B14" s="3" t="s">
        <v>250</v>
      </c>
      <c r="C14" s="3" t="s">
        <v>251</v>
      </c>
      <c r="D14" s="3" t="s">
        <v>252</v>
      </c>
      <c r="E14" s="3">
        <v>27.5</v>
      </c>
      <c r="F14" s="3" t="s">
        <v>249</v>
      </c>
    </row>
    <row r="15" spans="1:6" ht="34.5" x14ac:dyDescent="0.15">
      <c r="A15" s="3">
        <f t="shared" si="1"/>
        <v>13</v>
      </c>
      <c r="B15" s="3" t="s">
        <v>253</v>
      </c>
      <c r="C15" s="3" t="s">
        <v>254</v>
      </c>
      <c r="D15" s="3" t="s">
        <v>255</v>
      </c>
      <c r="E15" s="3">
        <v>30</v>
      </c>
      <c r="F15" s="3" t="s">
        <v>249</v>
      </c>
    </row>
    <row r="16" spans="1:6" ht="34.5" x14ac:dyDescent="0.15">
      <c r="A16" s="3">
        <f t="shared" si="1"/>
        <v>14</v>
      </c>
      <c r="B16" s="3" t="s">
        <v>256</v>
      </c>
      <c r="C16" s="3" t="s">
        <v>254</v>
      </c>
      <c r="D16" s="3" t="s">
        <v>257</v>
      </c>
      <c r="E16" s="3">
        <v>30</v>
      </c>
      <c r="F16" s="3" t="s">
        <v>249</v>
      </c>
    </row>
    <row r="17" spans="1:6" ht="34.5" x14ac:dyDescent="0.15">
      <c r="A17" s="3">
        <f t="shared" si="1"/>
        <v>15</v>
      </c>
      <c r="B17" s="3" t="s">
        <v>258</v>
      </c>
      <c r="C17" s="3" t="s">
        <v>259</v>
      </c>
      <c r="D17" s="3" t="s">
        <v>255</v>
      </c>
      <c r="E17" s="3">
        <v>16.864999999999998</v>
      </c>
      <c r="F17" s="3" t="s">
        <v>249</v>
      </c>
    </row>
    <row r="18" spans="1:6" ht="34.5" x14ac:dyDescent="0.15">
      <c r="A18" s="3">
        <f t="shared" si="1"/>
        <v>16</v>
      </c>
      <c r="B18" s="3" t="s">
        <v>260</v>
      </c>
      <c r="C18" s="3" t="s">
        <v>259</v>
      </c>
      <c r="D18" s="3" t="s">
        <v>261</v>
      </c>
      <c r="E18" s="3">
        <v>16.864999999999998</v>
      </c>
      <c r="F18" s="3" t="s">
        <v>249</v>
      </c>
    </row>
    <row r="19" spans="1:6" x14ac:dyDescent="0.15">
      <c r="A19" s="3">
        <f t="shared" si="1"/>
        <v>17</v>
      </c>
      <c r="B19" s="3" t="s">
        <v>262</v>
      </c>
      <c r="C19" s="3"/>
      <c r="D19" s="3" t="s">
        <v>263</v>
      </c>
      <c r="E19" s="3">
        <v>205.81</v>
      </c>
      <c r="F19" s="3" t="s">
        <v>249</v>
      </c>
    </row>
    <row r="20" spans="1:6" x14ac:dyDescent="0.15">
      <c r="A20" s="3">
        <f t="shared" si="1"/>
        <v>18</v>
      </c>
      <c r="B20" s="3" t="s">
        <v>264</v>
      </c>
      <c r="C20" s="3" t="s">
        <v>247</v>
      </c>
      <c r="D20" s="3" t="s">
        <v>265</v>
      </c>
      <c r="E20" s="3">
        <v>200</v>
      </c>
      <c r="F20" s="3" t="s">
        <v>95</v>
      </c>
    </row>
    <row r="21" spans="1:6" ht="34.5" x14ac:dyDescent="0.15">
      <c r="A21" s="3">
        <f t="shared" si="1"/>
        <v>19</v>
      </c>
      <c r="B21" s="3" t="s">
        <v>266</v>
      </c>
      <c r="C21" s="3" t="s">
        <v>267</v>
      </c>
      <c r="D21" s="3" t="s">
        <v>268</v>
      </c>
      <c r="E21" s="3">
        <v>294.5</v>
      </c>
      <c r="F21" s="3" t="s">
        <v>95</v>
      </c>
    </row>
    <row r="22" spans="1:6" ht="69" x14ac:dyDescent="0.15">
      <c r="A22" s="3">
        <f t="shared" si="1"/>
        <v>20</v>
      </c>
      <c r="B22" s="3" t="s">
        <v>269</v>
      </c>
      <c r="C22" s="3" t="s">
        <v>270</v>
      </c>
      <c r="D22" s="3" t="s">
        <v>271</v>
      </c>
      <c r="E22" s="3">
        <v>50</v>
      </c>
      <c r="F22" s="3" t="s">
        <v>95</v>
      </c>
    </row>
    <row r="23" spans="1:6" ht="34.5" x14ac:dyDescent="0.15">
      <c r="A23" s="3">
        <f t="shared" si="1"/>
        <v>21</v>
      </c>
      <c r="B23" s="3" t="s">
        <v>272</v>
      </c>
      <c r="C23" s="3" t="s">
        <v>273</v>
      </c>
      <c r="D23" s="3" t="s">
        <v>274</v>
      </c>
      <c r="E23" s="3">
        <v>40</v>
      </c>
      <c r="F23" s="3" t="s">
        <v>95</v>
      </c>
    </row>
    <row r="24" spans="1:6" ht="34.5" x14ac:dyDescent="0.15">
      <c r="A24" s="3">
        <f t="shared" si="1"/>
        <v>22</v>
      </c>
      <c r="B24" s="3" t="s">
        <v>275</v>
      </c>
      <c r="C24" s="3" t="s">
        <v>276</v>
      </c>
      <c r="D24" s="3" t="s">
        <v>268</v>
      </c>
      <c r="E24" s="3">
        <v>30</v>
      </c>
      <c r="F24" s="3" t="s">
        <v>95</v>
      </c>
    </row>
    <row r="25" spans="1:6" ht="69" x14ac:dyDescent="0.15">
      <c r="A25" s="3">
        <f t="shared" si="1"/>
        <v>23</v>
      </c>
      <c r="B25" s="3" t="s">
        <v>277</v>
      </c>
      <c r="C25" s="3" t="s">
        <v>278</v>
      </c>
      <c r="D25" s="3" t="s">
        <v>279</v>
      </c>
      <c r="E25" s="3">
        <v>6</v>
      </c>
      <c r="F25" s="3" t="s">
        <v>95</v>
      </c>
    </row>
    <row r="26" spans="1:6" x14ac:dyDescent="0.15">
      <c r="A26" s="3">
        <f>ROW()-2</f>
        <v>24</v>
      </c>
      <c r="B26" s="3" t="s">
        <v>280</v>
      </c>
      <c r="C26" s="3" t="s">
        <v>281</v>
      </c>
      <c r="D26" s="3" t="s">
        <v>280</v>
      </c>
      <c r="E26" s="3">
        <v>1</v>
      </c>
      <c r="F26" s="3" t="s">
        <v>27</v>
      </c>
    </row>
    <row r="27" spans="1:6" x14ac:dyDescent="0.15">
      <c r="A27" s="3">
        <f>ROW()-2</f>
        <v>25</v>
      </c>
      <c r="B27" s="3" t="s">
        <v>282</v>
      </c>
      <c r="C27" s="3" t="s">
        <v>283</v>
      </c>
      <c r="D27" s="3" t="s">
        <v>284</v>
      </c>
      <c r="E27" s="3">
        <v>610</v>
      </c>
      <c r="F27" s="3" t="s">
        <v>95</v>
      </c>
    </row>
    <row r="28" spans="1:6" x14ac:dyDescent="0.15">
      <c r="A28" s="3">
        <f>ROW()-2</f>
        <v>26</v>
      </c>
      <c r="B28" s="3" t="s">
        <v>285</v>
      </c>
      <c r="C28" s="3" t="s">
        <v>283</v>
      </c>
      <c r="D28" s="3" t="s">
        <v>286</v>
      </c>
      <c r="E28" s="3">
        <v>1</v>
      </c>
      <c r="F28" s="3" t="s">
        <v>27</v>
      </c>
    </row>
    <row r="29" spans="1:6" ht="34.5" customHeight="1" x14ac:dyDescent="0.15">
      <c r="A29" s="3">
        <f>ROW()-2</f>
        <v>27</v>
      </c>
      <c r="B29" s="3" t="s">
        <v>287</v>
      </c>
      <c r="C29" s="3" t="s">
        <v>283</v>
      </c>
      <c r="D29" s="3" t="s">
        <v>288</v>
      </c>
      <c r="E29" s="3">
        <v>1</v>
      </c>
      <c r="F29" s="3" t="s">
        <v>27</v>
      </c>
    </row>
    <row r="30" spans="1:6" x14ac:dyDescent="0.15">
      <c r="A30" s="3">
        <f>ROW()-2</f>
        <v>28</v>
      </c>
      <c r="B30" s="3" t="s">
        <v>289</v>
      </c>
      <c r="C30" s="3" t="s">
        <v>283</v>
      </c>
      <c r="D30" s="3" t="s">
        <v>290</v>
      </c>
      <c r="E30" s="3">
        <v>1</v>
      </c>
      <c r="F30" s="3" t="s">
        <v>27</v>
      </c>
    </row>
  </sheetData>
  <sheetProtection formatCells="0" insertHyperlinks="0" autoFilter="0"/>
  <mergeCells count="3">
    <mergeCell ref="A3:F3"/>
    <mergeCell ref="A1:F1"/>
    <mergeCell ref="A2:F2"/>
  </mergeCells>
  <phoneticPr fontId="9" type="noConversion"/>
  <pageMargins left="0.55118110236220474" right="0.55118110236220474" top="0.98425196850393704" bottom="0.59055118110236227" header="0.51181102362204722" footer="0.5118110236220472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新综合楼设备</vt:lpstr>
      <vt:lpstr>新综合楼装饰</vt:lpstr>
      <vt:lpstr>劳育基地设备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cp:lastPrinted>2021-11-04T08:04:41Z</cp:lastPrinted>
  <dcterms:created xsi:type="dcterms:W3CDTF">2021-09-23T00:12:00Z</dcterms:created>
  <dcterms:modified xsi:type="dcterms:W3CDTF">2021-11-04T08:04:44Z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ECA72340AC5F4387AE29CF5F4D2E2628</vt:lpwstr>
  </property>
  <property fmtid="{D5CDD505-2E9C-101B-9397-08002B2CF9AE}" pid="3" name="KSOProductBuildVer">
    <vt:lpwstr>2052-3.9.1.6204</vt:lpwstr>
  </property>
</Properties>
</file>