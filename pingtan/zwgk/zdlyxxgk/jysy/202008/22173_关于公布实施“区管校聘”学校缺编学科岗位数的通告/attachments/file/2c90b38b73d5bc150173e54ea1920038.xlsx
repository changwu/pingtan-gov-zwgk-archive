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D33" i="1"/>
  <c r="E33"/>
  <c r="F33"/>
  <c r="G33"/>
  <c r="H33"/>
  <c r="I33"/>
  <c r="J33"/>
  <c r="K33"/>
  <c r="L33"/>
  <c r="M33"/>
  <c r="N33"/>
  <c r="O33"/>
  <c r="P33"/>
  <c r="S33"/>
  <c r="C4"/>
  <c r="C5"/>
  <c r="C6"/>
  <c r="C7"/>
  <c r="C8"/>
  <c r="C9"/>
  <c r="C10"/>
  <c r="C11"/>
  <c r="C12"/>
  <c r="C13"/>
  <c r="C14"/>
  <c r="C15"/>
  <c r="C16"/>
  <c r="C17"/>
  <c r="C18"/>
  <c r="C19"/>
  <c r="C21"/>
  <c r="C22"/>
  <c r="C23"/>
  <c r="C25"/>
  <c r="C26"/>
  <c r="C27"/>
  <c r="C28"/>
  <c r="C29"/>
  <c r="C30"/>
  <c r="C31"/>
  <c r="C32"/>
  <c r="C3"/>
  <c r="C33" l="1"/>
</calcChain>
</file>

<file path=xl/sharedStrings.xml><?xml version="1.0" encoding="utf-8"?>
<sst xmlns="http://schemas.openxmlformats.org/spreadsheetml/2006/main" count="81" uniqueCount="57">
  <si>
    <t>学校</t>
  </si>
  <si>
    <t>学段</t>
  </si>
  <si>
    <t>语文</t>
  </si>
  <si>
    <t>数学</t>
  </si>
  <si>
    <t>英语</t>
  </si>
  <si>
    <t>物理</t>
  </si>
  <si>
    <t>化学</t>
  </si>
  <si>
    <t>生物</t>
  </si>
  <si>
    <t>历史</t>
  </si>
  <si>
    <t>地理</t>
  </si>
  <si>
    <t>体育</t>
  </si>
  <si>
    <t>音乐</t>
  </si>
  <si>
    <t>美术</t>
  </si>
  <si>
    <t>信息
技术</t>
  </si>
  <si>
    <t>科学</t>
  </si>
  <si>
    <t>小学</t>
  </si>
  <si>
    <t>平潭敖东镇中心小学</t>
  </si>
  <si>
    <t xml:space="preserve"> 平潭城关小学</t>
  </si>
  <si>
    <t>平潭北门小学</t>
  </si>
  <si>
    <t>平潭城北小学</t>
  </si>
  <si>
    <t>岚城乡中心小学</t>
  </si>
  <si>
    <t>平潭流水镇中心小学</t>
  </si>
  <si>
    <t>平潭平原镇中心小学</t>
  </si>
  <si>
    <t>平潭麒麟小学</t>
  </si>
  <si>
    <t>政治（思品）</t>
    <phoneticPr fontId="1" type="noConversion"/>
  </si>
  <si>
    <t>高中</t>
  </si>
  <si>
    <t>合计</t>
    <phoneticPr fontId="1" type="noConversion"/>
  </si>
  <si>
    <t>第二实验小学</t>
    <phoneticPr fontId="1" type="noConversion"/>
  </si>
  <si>
    <t>平潭澳前镇中心小学</t>
    <phoneticPr fontId="1" type="noConversion"/>
  </si>
  <si>
    <t>小学</t>
    <phoneticPr fontId="2" type="noConversion"/>
  </si>
  <si>
    <t>北厝镇中心小学</t>
    <phoneticPr fontId="1" type="noConversion"/>
  </si>
  <si>
    <t>平潭城中小学</t>
    <phoneticPr fontId="2" type="noConversion"/>
  </si>
  <si>
    <t>平潭实验小学</t>
    <phoneticPr fontId="1" type="noConversion"/>
  </si>
  <si>
    <t>平潭屿头乡中心小学</t>
    <phoneticPr fontId="2" type="noConversion"/>
  </si>
  <si>
    <t>平潭思源学校</t>
    <phoneticPr fontId="1" type="noConversion"/>
  </si>
  <si>
    <t>小学</t>
    <phoneticPr fontId="1" type="noConversion"/>
  </si>
  <si>
    <t>平潭南海学校</t>
    <phoneticPr fontId="1" type="noConversion"/>
  </si>
  <si>
    <t>平潭渔限学校</t>
    <phoneticPr fontId="1" type="noConversion"/>
  </si>
  <si>
    <t>平潭国彩学校</t>
    <phoneticPr fontId="1" type="noConversion"/>
  </si>
  <si>
    <t>平潭中湖小学</t>
    <phoneticPr fontId="1" type="noConversion"/>
  </si>
  <si>
    <t>平潭三中</t>
    <phoneticPr fontId="1" type="noConversion"/>
  </si>
  <si>
    <t>城南学校</t>
    <phoneticPr fontId="1" type="noConversion"/>
  </si>
  <si>
    <t>初中</t>
    <phoneticPr fontId="1" type="noConversion"/>
  </si>
  <si>
    <t>强兴中学</t>
    <phoneticPr fontId="1" type="noConversion"/>
  </si>
  <si>
    <t>潭东初中</t>
    <phoneticPr fontId="1" type="noConversion"/>
  </si>
  <si>
    <t>屿头初中</t>
    <phoneticPr fontId="1" type="noConversion"/>
  </si>
  <si>
    <t>中楼学校</t>
    <phoneticPr fontId="1" type="noConversion"/>
  </si>
  <si>
    <t>渔限学校</t>
    <phoneticPr fontId="1" type="noConversion"/>
  </si>
  <si>
    <t>城关中学</t>
    <phoneticPr fontId="1" type="noConversion"/>
  </si>
  <si>
    <t>高中</t>
    <phoneticPr fontId="1" type="noConversion"/>
  </si>
  <si>
    <t>南海学校</t>
    <phoneticPr fontId="1" type="noConversion"/>
  </si>
  <si>
    <t>平潭一中</t>
    <phoneticPr fontId="1" type="noConversion"/>
  </si>
  <si>
    <t>2（其中1人
兼实验室）</t>
    <phoneticPr fontId="1" type="noConversion"/>
  </si>
  <si>
    <t>缺编的学科岗位数（拟向余编学校教师公布的跨校竞聘学科岗位数）</t>
    <phoneticPr fontId="1" type="noConversion"/>
  </si>
  <si>
    <t>中学</t>
    <phoneticPr fontId="1" type="noConversion"/>
  </si>
  <si>
    <t>心理</t>
    <phoneticPr fontId="1" type="noConversion"/>
  </si>
  <si>
    <t>书法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</si>
</sst>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>
      <selection activeCell="R10" sqref="R10"/>
    </sheetView>
  </sheetViews>
  <sheetFormatPr defaultRowHeight="13.5"/>
  <cols>
    <col min="1" max="1" width="22" customWidth="1"/>
    <col min="2" max="2" width="6.75" customWidth="1"/>
    <col min="3" max="3" width="5.5" customWidth="1"/>
    <col min="4" max="4" width="5.625" customWidth="1"/>
    <col min="5" max="5" width="6.25" customWidth="1"/>
    <col min="6" max="6" width="6.625" customWidth="1"/>
    <col min="7" max="7" width="11.875" customWidth="1"/>
    <col min="8" max="8" width="6" customWidth="1"/>
    <col min="9" max="9" width="5.5" customWidth="1"/>
    <col min="10" max="10" width="5.75" customWidth="1"/>
    <col min="11" max="11" width="5.25" customWidth="1"/>
    <col min="12" max="12" width="5.625" customWidth="1"/>
    <col min="13" max="13" width="5.875" customWidth="1"/>
    <col min="14" max="14" width="5.25" customWidth="1"/>
    <col min="15" max="15" width="5" customWidth="1"/>
    <col min="16" max="16" width="5.125" customWidth="1"/>
    <col min="17" max="18" width="5.5" customWidth="1"/>
    <col min="19" max="19" width="5.75" customWidth="1"/>
  </cols>
  <sheetData>
    <row r="1" spans="1:19" ht="30.75" customHeight="1">
      <c r="A1" s="8" t="s">
        <v>0</v>
      </c>
      <c r="B1" s="9" t="s">
        <v>1</v>
      </c>
      <c r="C1" s="2"/>
      <c r="D1" s="10" t="s">
        <v>53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40.5">
      <c r="A2" s="9"/>
      <c r="B2" s="9"/>
      <c r="C2" s="2" t="s">
        <v>26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24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55</v>
      </c>
      <c r="R2" s="1" t="s">
        <v>56</v>
      </c>
      <c r="S2" s="1" t="s">
        <v>14</v>
      </c>
    </row>
    <row r="3" spans="1:19" s="3" customFormat="1" ht="20.100000000000001" customHeight="1">
      <c r="A3" s="5" t="s">
        <v>27</v>
      </c>
      <c r="B3" s="5" t="s">
        <v>15</v>
      </c>
      <c r="C3" s="5">
        <f>SUM(D3:S3)</f>
        <v>18</v>
      </c>
      <c r="D3" s="6">
        <v>6</v>
      </c>
      <c r="E3" s="6">
        <v>6</v>
      </c>
      <c r="F3" s="6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5">
        <v>2</v>
      </c>
      <c r="N3" s="5">
        <v>0</v>
      </c>
      <c r="O3" s="5">
        <v>2</v>
      </c>
      <c r="P3" s="5">
        <v>0</v>
      </c>
      <c r="Q3" s="5"/>
      <c r="R3" s="5"/>
      <c r="S3" s="5">
        <v>1</v>
      </c>
    </row>
    <row r="4" spans="1:19" s="3" customFormat="1" ht="20.100000000000001" customHeight="1">
      <c r="A4" s="5" t="s">
        <v>16</v>
      </c>
      <c r="B4" s="5" t="s">
        <v>15</v>
      </c>
      <c r="C4" s="5">
        <f t="shared" ref="C4:C32" si="0">SUM(D4:S4)</f>
        <v>7</v>
      </c>
      <c r="D4" s="7"/>
      <c r="E4" s="7"/>
      <c r="F4" s="7"/>
      <c r="G4" s="7"/>
      <c r="H4" s="7"/>
      <c r="I4" s="7"/>
      <c r="J4" s="7"/>
      <c r="K4" s="7"/>
      <c r="L4" s="7"/>
      <c r="M4" s="5"/>
      <c r="N4" s="5">
        <v>1</v>
      </c>
      <c r="O4" s="5">
        <v>1</v>
      </c>
      <c r="P4" s="5">
        <v>1</v>
      </c>
      <c r="Q4" s="5"/>
      <c r="R4" s="5"/>
      <c r="S4" s="5">
        <v>4</v>
      </c>
    </row>
    <row r="5" spans="1:19" s="3" customFormat="1" ht="20.100000000000001" customHeight="1">
      <c r="A5" s="5" t="s">
        <v>28</v>
      </c>
      <c r="B5" s="5" t="s">
        <v>29</v>
      </c>
      <c r="C5" s="5">
        <f t="shared" si="0"/>
        <v>18</v>
      </c>
      <c r="D5" s="6">
        <v>5</v>
      </c>
      <c r="E5" s="6">
        <v>10</v>
      </c>
      <c r="F5" s="6">
        <v>1</v>
      </c>
      <c r="G5" s="6"/>
      <c r="H5" s="6"/>
      <c r="I5" s="6"/>
      <c r="J5" s="6"/>
      <c r="K5" s="6"/>
      <c r="L5" s="6"/>
      <c r="M5" s="5">
        <v>1</v>
      </c>
      <c r="N5" s="5">
        <v>1</v>
      </c>
      <c r="O5" s="5"/>
      <c r="P5" s="5"/>
      <c r="Q5" s="5"/>
      <c r="R5" s="5"/>
      <c r="S5" s="5"/>
    </row>
    <row r="6" spans="1:19" s="3" customFormat="1" ht="20.100000000000001" customHeight="1">
      <c r="A6" s="5" t="s">
        <v>30</v>
      </c>
      <c r="B6" s="5" t="s">
        <v>15</v>
      </c>
      <c r="C6" s="5">
        <f t="shared" si="0"/>
        <v>2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</v>
      </c>
      <c r="N6" s="5"/>
      <c r="O6" s="5"/>
      <c r="P6" s="5"/>
      <c r="Q6" s="5"/>
      <c r="R6" s="5"/>
      <c r="S6" s="5"/>
    </row>
    <row r="7" spans="1:19" ht="20.100000000000001" customHeight="1">
      <c r="A7" s="5" t="s">
        <v>17</v>
      </c>
      <c r="B7" s="5" t="s">
        <v>29</v>
      </c>
      <c r="C7" s="5">
        <f t="shared" si="0"/>
        <v>14</v>
      </c>
      <c r="D7" s="6">
        <v>6</v>
      </c>
      <c r="E7" s="6">
        <v>6</v>
      </c>
      <c r="F7" s="6"/>
      <c r="G7" s="6"/>
      <c r="H7" s="6"/>
      <c r="I7" s="6"/>
      <c r="J7" s="6"/>
      <c r="K7" s="6"/>
      <c r="L7" s="6"/>
      <c r="M7" s="5">
        <v>1</v>
      </c>
      <c r="N7" s="5"/>
      <c r="O7" s="5">
        <v>1</v>
      </c>
      <c r="P7" s="5"/>
      <c r="Q7" s="5"/>
      <c r="R7" s="5"/>
      <c r="S7" s="5"/>
    </row>
    <row r="8" spans="1:19" s="3" customFormat="1" ht="20.100000000000001" customHeight="1">
      <c r="A8" s="5" t="s">
        <v>18</v>
      </c>
      <c r="B8" s="5" t="s">
        <v>15</v>
      </c>
      <c r="C8" s="5">
        <f t="shared" si="0"/>
        <v>2</v>
      </c>
      <c r="D8" s="5">
        <v>1</v>
      </c>
      <c r="E8" s="5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s="3" customFormat="1" ht="20.100000000000001" customHeight="1">
      <c r="A9" s="5" t="s">
        <v>19</v>
      </c>
      <c r="B9" s="5" t="s">
        <v>15</v>
      </c>
      <c r="C9" s="5">
        <f t="shared" si="0"/>
        <v>12</v>
      </c>
      <c r="D9" s="6">
        <v>8</v>
      </c>
      <c r="E9" s="6">
        <v>3</v>
      </c>
      <c r="F9" s="6"/>
      <c r="G9" s="6"/>
      <c r="H9" s="6"/>
      <c r="I9" s="6"/>
      <c r="J9" s="6"/>
      <c r="K9" s="6"/>
      <c r="L9" s="6"/>
      <c r="M9" s="5"/>
      <c r="N9" s="5"/>
      <c r="O9" s="5"/>
      <c r="P9" s="5"/>
      <c r="Q9" s="5"/>
      <c r="R9" s="5"/>
      <c r="S9" s="5">
        <v>1</v>
      </c>
    </row>
    <row r="10" spans="1:19" s="3" customFormat="1" ht="20.100000000000001" customHeight="1">
      <c r="A10" s="5" t="s">
        <v>31</v>
      </c>
      <c r="B10" s="5" t="s">
        <v>29</v>
      </c>
      <c r="C10" s="5">
        <f t="shared" si="0"/>
        <v>17</v>
      </c>
      <c r="D10" s="6">
        <v>5</v>
      </c>
      <c r="E10" s="6">
        <v>3</v>
      </c>
      <c r="F10" s="6"/>
      <c r="G10" s="6"/>
      <c r="H10" s="6"/>
      <c r="I10" s="6"/>
      <c r="J10" s="6"/>
      <c r="K10" s="6"/>
      <c r="L10" s="6"/>
      <c r="M10" s="5">
        <v>2</v>
      </c>
      <c r="N10" s="5"/>
      <c r="O10" s="5">
        <v>2</v>
      </c>
      <c r="P10" s="5">
        <v>1</v>
      </c>
      <c r="Q10" s="5">
        <v>1</v>
      </c>
      <c r="R10" s="5">
        <v>1</v>
      </c>
      <c r="S10" s="5">
        <v>2</v>
      </c>
    </row>
    <row r="11" spans="1:19" s="3" customFormat="1" ht="20.100000000000001" customHeight="1">
      <c r="A11" s="5" t="s">
        <v>20</v>
      </c>
      <c r="B11" s="5" t="s">
        <v>15</v>
      </c>
      <c r="C11" s="5">
        <f t="shared" si="0"/>
        <v>33</v>
      </c>
      <c r="D11" s="5">
        <v>13</v>
      </c>
      <c r="E11" s="5">
        <v>13</v>
      </c>
      <c r="F11" s="5"/>
      <c r="G11" s="5"/>
      <c r="H11" s="5"/>
      <c r="I11" s="5"/>
      <c r="J11" s="5"/>
      <c r="K11" s="5"/>
      <c r="L11" s="5"/>
      <c r="M11" s="5">
        <v>4</v>
      </c>
      <c r="N11" s="5">
        <v>1</v>
      </c>
      <c r="O11" s="5">
        <v>1</v>
      </c>
      <c r="P11" s="5">
        <v>1</v>
      </c>
      <c r="Q11" s="5"/>
      <c r="R11" s="5"/>
      <c r="S11" s="5"/>
    </row>
    <row r="12" spans="1:19" s="3" customFormat="1" ht="20.100000000000001" customHeight="1">
      <c r="A12" s="5" t="s">
        <v>21</v>
      </c>
      <c r="B12" s="5" t="s">
        <v>15</v>
      </c>
      <c r="C12" s="5">
        <f t="shared" si="0"/>
        <v>20</v>
      </c>
      <c r="D12" s="6">
        <v>9</v>
      </c>
      <c r="E12" s="6">
        <v>11</v>
      </c>
      <c r="F12" s="6"/>
      <c r="G12" s="6"/>
      <c r="H12" s="6"/>
      <c r="I12" s="6"/>
      <c r="J12" s="6"/>
      <c r="K12" s="6"/>
      <c r="L12" s="6"/>
      <c r="M12" s="5"/>
      <c r="N12" s="5"/>
      <c r="O12" s="5"/>
      <c r="P12" s="5"/>
      <c r="Q12" s="5"/>
      <c r="R12" s="5"/>
      <c r="S12" s="5"/>
    </row>
    <row r="13" spans="1:19" s="3" customFormat="1" ht="20.100000000000001" customHeight="1">
      <c r="A13" s="5" t="s">
        <v>22</v>
      </c>
      <c r="B13" s="5" t="s">
        <v>15</v>
      </c>
      <c r="C13" s="5">
        <f t="shared" si="0"/>
        <v>1</v>
      </c>
      <c r="D13" s="5">
        <v>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s="3" customFormat="1" ht="20.100000000000001" customHeight="1">
      <c r="A14" s="5" t="s">
        <v>23</v>
      </c>
      <c r="B14" s="5" t="s">
        <v>15</v>
      </c>
      <c r="C14" s="5">
        <f t="shared" si="0"/>
        <v>27</v>
      </c>
      <c r="D14" s="5">
        <v>17</v>
      </c>
      <c r="E14" s="5">
        <v>4</v>
      </c>
      <c r="F14" s="5">
        <v>0</v>
      </c>
      <c r="G14" s="5"/>
      <c r="H14" s="5"/>
      <c r="I14" s="5"/>
      <c r="J14" s="5"/>
      <c r="K14" s="5"/>
      <c r="L14" s="5"/>
      <c r="M14" s="5">
        <v>3</v>
      </c>
      <c r="N14" s="5">
        <v>1</v>
      </c>
      <c r="O14" s="5">
        <v>0</v>
      </c>
      <c r="P14" s="5">
        <v>1</v>
      </c>
      <c r="Q14" s="5"/>
      <c r="R14" s="5"/>
      <c r="S14" s="5">
        <v>1</v>
      </c>
    </row>
    <row r="15" spans="1:19" s="3" customFormat="1" ht="20.100000000000001" customHeight="1">
      <c r="A15" s="5" t="s">
        <v>32</v>
      </c>
      <c r="B15" s="5" t="s">
        <v>15</v>
      </c>
      <c r="C15" s="5">
        <f t="shared" si="0"/>
        <v>6</v>
      </c>
      <c r="D15" s="5">
        <v>3</v>
      </c>
      <c r="E15" s="5">
        <v>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s="4" customFormat="1" ht="20.100000000000001" customHeight="1">
      <c r="A16" s="5" t="s">
        <v>33</v>
      </c>
      <c r="B16" s="5" t="s">
        <v>29</v>
      </c>
      <c r="C16" s="5">
        <f t="shared" si="0"/>
        <v>5</v>
      </c>
      <c r="D16" s="6"/>
      <c r="E16" s="6"/>
      <c r="F16" s="6">
        <v>2</v>
      </c>
      <c r="G16" s="6"/>
      <c r="H16" s="6"/>
      <c r="I16" s="6"/>
      <c r="J16" s="6"/>
      <c r="K16" s="6"/>
      <c r="L16" s="6"/>
      <c r="M16" s="7">
        <v>2</v>
      </c>
      <c r="N16" s="7">
        <v>1</v>
      </c>
      <c r="O16" s="5"/>
      <c r="P16" s="5"/>
      <c r="Q16" s="5"/>
      <c r="R16" s="5"/>
      <c r="S16" s="5"/>
    </row>
    <row r="17" spans="1:19" s="3" customFormat="1" ht="20.100000000000001" customHeight="1">
      <c r="A17" s="5" t="s">
        <v>34</v>
      </c>
      <c r="B17" s="5" t="s">
        <v>35</v>
      </c>
      <c r="C17" s="5">
        <f t="shared" si="0"/>
        <v>1</v>
      </c>
      <c r="D17" s="6"/>
      <c r="E17" s="6"/>
      <c r="F17" s="6"/>
      <c r="G17" s="6"/>
      <c r="H17" s="6"/>
      <c r="I17" s="6"/>
      <c r="J17" s="6"/>
      <c r="K17" s="6"/>
      <c r="L17" s="6"/>
      <c r="M17" s="7"/>
      <c r="N17" s="7">
        <v>1</v>
      </c>
      <c r="O17" s="5"/>
      <c r="P17" s="5"/>
      <c r="Q17" s="5"/>
      <c r="R17" s="5"/>
      <c r="S17" s="5"/>
    </row>
    <row r="18" spans="1:19" s="4" customFormat="1" ht="20.100000000000001" customHeight="1">
      <c r="A18" s="5" t="s">
        <v>36</v>
      </c>
      <c r="B18" s="5" t="s">
        <v>35</v>
      </c>
      <c r="C18" s="5">
        <f t="shared" si="0"/>
        <v>1</v>
      </c>
      <c r="D18" s="6"/>
      <c r="E18" s="6"/>
      <c r="F18" s="6">
        <v>1</v>
      </c>
      <c r="G18" s="6"/>
      <c r="H18" s="6"/>
      <c r="I18" s="6"/>
      <c r="J18" s="6"/>
      <c r="K18" s="6"/>
      <c r="L18" s="6"/>
      <c r="M18" s="7"/>
      <c r="N18" s="7"/>
      <c r="O18" s="5"/>
      <c r="P18" s="5"/>
      <c r="Q18" s="5"/>
      <c r="R18" s="5"/>
      <c r="S18" s="5"/>
    </row>
    <row r="19" spans="1:19" s="3" customFormat="1" ht="20.100000000000001" customHeight="1">
      <c r="A19" s="5" t="s">
        <v>37</v>
      </c>
      <c r="B19" s="5" t="s">
        <v>35</v>
      </c>
      <c r="C19" s="5">
        <f t="shared" si="0"/>
        <v>1</v>
      </c>
      <c r="D19" s="6"/>
      <c r="E19" s="6"/>
      <c r="F19" s="6">
        <v>1</v>
      </c>
      <c r="G19" s="6"/>
      <c r="H19" s="6"/>
      <c r="I19" s="6"/>
      <c r="J19" s="6"/>
      <c r="K19" s="6"/>
      <c r="L19" s="6"/>
      <c r="M19" s="7"/>
      <c r="N19" s="7"/>
      <c r="O19" s="5"/>
      <c r="P19" s="5"/>
      <c r="Q19" s="5"/>
      <c r="R19" s="5"/>
      <c r="S19" s="5"/>
    </row>
    <row r="20" spans="1:19" s="3" customFormat="1" ht="20.100000000000001" customHeight="1">
      <c r="A20" s="5" t="s">
        <v>38</v>
      </c>
      <c r="B20" s="5" t="s">
        <v>35</v>
      </c>
      <c r="C20" s="5"/>
      <c r="D20" s="6"/>
      <c r="E20" s="6"/>
      <c r="F20" s="6"/>
      <c r="G20" s="6"/>
      <c r="H20" s="6"/>
      <c r="I20" s="6"/>
      <c r="J20" s="6"/>
      <c r="K20" s="6"/>
      <c r="L20" s="6"/>
      <c r="M20" s="7"/>
      <c r="N20" s="7"/>
      <c r="O20" s="5"/>
      <c r="P20" s="5">
        <v>1</v>
      </c>
      <c r="Q20" s="5"/>
      <c r="R20" s="5"/>
      <c r="S20" s="5"/>
    </row>
    <row r="21" spans="1:19" s="3" customFormat="1" ht="20.100000000000001" customHeight="1">
      <c r="A21" s="5" t="s">
        <v>39</v>
      </c>
      <c r="B21" s="5" t="s">
        <v>35</v>
      </c>
      <c r="C21" s="5">
        <f t="shared" si="0"/>
        <v>11</v>
      </c>
      <c r="D21" s="6">
        <v>4</v>
      </c>
      <c r="E21" s="6">
        <v>5</v>
      </c>
      <c r="F21" s="6"/>
      <c r="G21" s="6"/>
      <c r="H21" s="6"/>
      <c r="I21" s="6"/>
      <c r="J21" s="6"/>
      <c r="K21" s="6"/>
      <c r="L21" s="6"/>
      <c r="M21" s="7">
        <v>1</v>
      </c>
      <c r="N21" s="7"/>
      <c r="O21" s="5"/>
      <c r="P21" s="5"/>
      <c r="Q21" s="5"/>
      <c r="R21" s="5"/>
      <c r="S21" s="5">
        <v>1</v>
      </c>
    </row>
    <row r="22" spans="1:19" s="3" customFormat="1" ht="20.100000000000001" customHeight="1">
      <c r="A22" s="5" t="s">
        <v>40</v>
      </c>
      <c r="B22" s="5" t="s">
        <v>25</v>
      </c>
      <c r="C22" s="5">
        <f t="shared" si="0"/>
        <v>4</v>
      </c>
      <c r="D22" s="5"/>
      <c r="E22" s="5"/>
      <c r="F22" s="5"/>
      <c r="G22" s="5">
        <v>1</v>
      </c>
      <c r="H22" s="5"/>
      <c r="I22" s="5">
        <v>2</v>
      </c>
      <c r="J22" s="5"/>
      <c r="K22" s="5"/>
      <c r="L22" s="5">
        <v>1</v>
      </c>
      <c r="M22" s="5"/>
      <c r="N22" s="5"/>
      <c r="O22" s="5"/>
      <c r="P22" s="5"/>
      <c r="Q22" s="5"/>
      <c r="R22" s="5"/>
      <c r="S22" s="5"/>
    </row>
    <row r="23" spans="1:19" s="3" customFormat="1" ht="20.100000000000001" customHeight="1">
      <c r="A23" s="5" t="s">
        <v>41</v>
      </c>
      <c r="B23" s="5" t="s">
        <v>42</v>
      </c>
      <c r="C23" s="5">
        <f t="shared" si="0"/>
        <v>7</v>
      </c>
      <c r="D23" s="5"/>
      <c r="E23" s="5">
        <v>1</v>
      </c>
      <c r="F23" s="5">
        <v>1</v>
      </c>
      <c r="G23" s="5"/>
      <c r="H23" s="5">
        <v>1</v>
      </c>
      <c r="I23" s="5">
        <v>1</v>
      </c>
      <c r="J23" s="5"/>
      <c r="K23" s="5">
        <v>1</v>
      </c>
      <c r="L23" s="5">
        <v>1</v>
      </c>
      <c r="M23" s="5">
        <v>1</v>
      </c>
      <c r="N23" s="5"/>
      <c r="O23" s="5"/>
      <c r="P23" s="5"/>
      <c r="Q23" s="5"/>
      <c r="R23" s="5"/>
      <c r="S23" s="5"/>
    </row>
    <row r="24" spans="1:19" s="3" customFormat="1" ht="30" customHeight="1">
      <c r="A24" s="5" t="s">
        <v>43</v>
      </c>
      <c r="B24" s="5" t="s">
        <v>42</v>
      </c>
      <c r="C24" s="5">
        <v>6</v>
      </c>
      <c r="D24" s="5">
        <v>2</v>
      </c>
      <c r="E24" s="5"/>
      <c r="F24" s="5"/>
      <c r="G24" s="7" t="s">
        <v>52</v>
      </c>
      <c r="H24" s="5">
        <v>1</v>
      </c>
      <c r="I24" s="5">
        <v>1</v>
      </c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s="3" customFormat="1" ht="20.100000000000001" customHeight="1">
      <c r="A25" s="5" t="s">
        <v>44</v>
      </c>
      <c r="B25" s="5" t="s">
        <v>42</v>
      </c>
      <c r="C25" s="5">
        <f t="shared" si="0"/>
        <v>3</v>
      </c>
      <c r="D25" s="5"/>
      <c r="E25" s="5"/>
      <c r="F25" s="5"/>
      <c r="G25" s="5">
        <v>1</v>
      </c>
      <c r="H25" s="5"/>
      <c r="I25" s="5"/>
      <c r="J25" s="5"/>
      <c r="K25" s="5"/>
      <c r="L25" s="5">
        <v>1</v>
      </c>
      <c r="M25" s="5">
        <v>1</v>
      </c>
      <c r="N25" s="5"/>
      <c r="O25" s="5"/>
      <c r="P25" s="5"/>
      <c r="Q25" s="5"/>
      <c r="R25" s="5"/>
      <c r="S25" s="5"/>
    </row>
    <row r="26" spans="1:19" s="4" customFormat="1" ht="20.100000000000001" customHeight="1">
      <c r="A26" s="5" t="s">
        <v>45</v>
      </c>
      <c r="B26" s="5" t="s">
        <v>42</v>
      </c>
      <c r="C26" s="5">
        <f t="shared" si="0"/>
        <v>4</v>
      </c>
      <c r="D26" s="5"/>
      <c r="E26" s="5"/>
      <c r="F26" s="5"/>
      <c r="G26" s="5"/>
      <c r="H26" s="5"/>
      <c r="I26" s="5">
        <v>1</v>
      </c>
      <c r="J26" s="5">
        <v>1</v>
      </c>
      <c r="K26" s="5">
        <v>1</v>
      </c>
      <c r="L26" s="5"/>
      <c r="M26" s="5"/>
      <c r="N26" s="5">
        <v>1</v>
      </c>
      <c r="O26" s="5"/>
      <c r="P26" s="5"/>
      <c r="Q26" s="5"/>
      <c r="R26" s="5"/>
      <c r="S26" s="5"/>
    </row>
    <row r="27" spans="1:19" ht="20.100000000000001" customHeight="1">
      <c r="A27" s="5" t="s">
        <v>46</v>
      </c>
      <c r="B27" s="5" t="s">
        <v>42</v>
      </c>
      <c r="C27" s="5">
        <f t="shared" si="0"/>
        <v>1</v>
      </c>
      <c r="D27" s="5"/>
      <c r="E27" s="5"/>
      <c r="F27" s="5"/>
      <c r="G27" s="5"/>
      <c r="H27" s="5"/>
      <c r="I27" s="5"/>
      <c r="J27" s="5"/>
      <c r="K27" s="5"/>
      <c r="L27" s="5">
        <v>1</v>
      </c>
      <c r="M27" s="5"/>
      <c r="N27" s="5"/>
      <c r="O27" s="5"/>
      <c r="P27" s="5"/>
      <c r="Q27" s="5"/>
      <c r="R27" s="5"/>
      <c r="S27" s="5"/>
    </row>
    <row r="28" spans="1:19" s="3" customFormat="1" ht="20.100000000000001" customHeight="1">
      <c r="A28" s="5" t="s">
        <v>47</v>
      </c>
      <c r="B28" s="5" t="s">
        <v>42</v>
      </c>
      <c r="C28" s="5">
        <f t="shared" si="0"/>
        <v>1</v>
      </c>
      <c r="D28" s="5"/>
      <c r="E28" s="5"/>
      <c r="F28" s="5"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s="3" customFormat="1" ht="20.100000000000001" customHeight="1">
      <c r="A29" s="5" t="s">
        <v>48</v>
      </c>
      <c r="B29" s="5" t="s">
        <v>49</v>
      </c>
      <c r="C29" s="5">
        <f t="shared" si="0"/>
        <v>8</v>
      </c>
      <c r="D29" s="5"/>
      <c r="E29" s="5">
        <v>1</v>
      </c>
      <c r="F29" s="5"/>
      <c r="G29" s="5"/>
      <c r="H29" s="5"/>
      <c r="I29" s="5"/>
      <c r="J29" s="5">
        <v>2</v>
      </c>
      <c r="K29" s="5"/>
      <c r="L29" s="5">
        <v>3</v>
      </c>
      <c r="M29" s="5">
        <v>2</v>
      </c>
      <c r="N29" s="5"/>
      <c r="O29" s="5"/>
      <c r="P29" s="5"/>
      <c r="Q29" s="5"/>
      <c r="R29" s="5"/>
      <c r="S29" s="5"/>
    </row>
    <row r="30" spans="1:19" s="3" customFormat="1" ht="20.100000000000001" customHeight="1">
      <c r="A30" s="5" t="s">
        <v>48</v>
      </c>
      <c r="B30" s="5" t="s">
        <v>42</v>
      </c>
      <c r="C30" s="5">
        <f t="shared" si="0"/>
        <v>3</v>
      </c>
      <c r="D30" s="5">
        <v>1</v>
      </c>
      <c r="E30" s="5"/>
      <c r="F30" s="5"/>
      <c r="G30" s="5"/>
      <c r="H30" s="5"/>
      <c r="I30" s="5">
        <v>1</v>
      </c>
      <c r="J30" s="5"/>
      <c r="K30" s="5">
        <v>1</v>
      </c>
      <c r="L30" s="5"/>
      <c r="M30" s="5"/>
      <c r="N30" s="5"/>
      <c r="O30" s="5"/>
      <c r="P30" s="5"/>
      <c r="Q30" s="5"/>
      <c r="R30" s="5"/>
      <c r="S30" s="5"/>
    </row>
    <row r="31" spans="1:19" s="4" customFormat="1" ht="20.100000000000001" customHeight="1">
      <c r="A31" s="5" t="s">
        <v>50</v>
      </c>
      <c r="B31" s="5" t="s">
        <v>42</v>
      </c>
      <c r="C31" s="5">
        <f t="shared" si="0"/>
        <v>1</v>
      </c>
      <c r="D31" s="5"/>
      <c r="E31" s="5"/>
      <c r="F31" s="5"/>
      <c r="G31" s="5">
        <v>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20.100000000000001" customHeight="1">
      <c r="A32" s="5" t="s">
        <v>51</v>
      </c>
      <c r="B32" s="5" t="s">
        <v>54</v>
      </c>
      <c r="C32" s="5">
        <f t="shared" si="0"/>
        <v>16</v>
      </c>
      <c r="D32" s="5">
        <v>4</v>
      </c>
      <c r="E32" s="5">
        <v>3</v>
      </c>
      <c r="F32" s="5">
        <v>4</v>
      </c>
      <c r="G32" s="5"/>
      <c r="H32" s="5"/>
      <c r="I32" s="5">
        <v>1</v>
      </c>
      <c r="J32" s="5">
        <v>2</v>
      </c>
      <c r="K32" s="5">
        <v>1</v>
      </c>
      <c r="L32" s="5"/>
      <c r="M32" s="5">
        <v>1</v>
      </c>
      <c r="N32" s="5"/>
      <c r="O32" s="5"/>
      <c r="P32" s="5"/>
      <c r="Q32" s="5"/>
      <c r="R32" s="5"/>
      <c r="S32" s="5"/>
    </row>
    <row r="33" spans="1:19" ht="20.100000000000001" customHeight="1">
      <c r="A33" s="5"/>
      <c r="B33" s="5"/>
      <c r="C33" s="5">
        <f>SUM(C3:C32)</f>
        <v>250</v>
      </c>
      <c r="D33" s="5">
        <f t="shared" ref="D33:S33" si="1">SUM(D3:D32)</f>
        <v>86</v>
      </c>
      <c r="E33" s="5">
        <f t="shared" si="1"/>
        <v>70</v>
      </c>
      <c r="F33" s="5">
        <f t="shared" si="1"/>
        <v>12</v>
      </c>
      <c r="G33" s="5">
        <f t="shared" si="1"/>
        <v>3</v>
      </c>
      <c r="H33" s="5">
        <f t="shared" si="1"/>
        <v>2</v>
      </c>
      <c r="I33" s="5">
        <f t="shared" si="1"/>
        <v>7</v>
      </c>
      <c r="J33" s="5">
        <f t="shared" si="1"/>
        <v>5</v>
      </c>
      <c r="K33" s="5">
        <f t="shared" si="1"/>
        <v>4</v>
      </c>
      <c r="L33" s="5">
        <f t="shared" si="1"/>
        <v>7</v>
      </c>
      <c r="M33" s="5">
        <f t="shared" si="1"/>
        <v>22</v>
      </c>
      <c r="N33" s="5">
        <f t="shared" si="1"/>
        <v>7</v>
      </c>
      <c r="O33" s="5">
        <f t="shared" si="1"/>
        <v>7</v>
      </c>
      <c r="P33" s="5">
        <f t="shared" si="1"/>
        <v>5</v>
      </c>
      <c r="Q33" s="5"/>
      <c r="R33" s="5"/>
      <c r="S33" s="5">
        <f t="shared" si="1"/>
        <v>10</v>
      </c>
    </row>
    <row r="34" spans="1:19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</sheetData>
  <mergeCells count="4">
    <mergeCell ref="A1:A2"/>
    <mergeCell ref="B1:B2"/>
    <mergeCell ref="D1:S1"/>
    <mergeCell ref="A34:S3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2020-08-13T01:08:41Z</dcterms:modified>
</cp:coreProperties>
</file>