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00"/>
  </bookViews>
  <sheets>
    <sheet name="发文附件" sheetId="1" r:id="rId1"/>
  </sheets>
  <externalReferences>
    <externalReference r:id="rId2"/>
  </externalReferences>
  <definedNames>
    <definedName name="_xlnm._FilterDatabase" localSheetId="0" hidden="1">发文附件!$A$4:$J$298</definedName>
    <definedName name="_xlnm.Print_Titles" localSheetId="0">发文附件!$3:$4</definedName>
  </definedNames>
  <calcPr calcId="144525"/>
</workbook>
</file>

<file path=xl/sharedStrings.xml><?xml version="1.0" encoding="utf-8"?>
<sst xmlns="http://schemas.openxmlformats.org/spreadsheetml/2006/main" count="815" uniqueCount="716">
  <si>
    <t>附件</t>
  </si>
  <si>
    <t>平潭综合实验区按病种收费标准调整表</t>
  </si>
  <si>
    <t>序号</t>
  </si>
  <si>
    <t>病种编码</t>
  </si>
  <si>
    <t>病种名称</t>
  </si>
  <si>
    <t>主要操作/诊疗方法</t>
  </si>
  <si>
    <t>除外内容</t>
  </si>
  <si>
    <t>调整前收费标准</t>
  </si>
  <si>
    <t>调整后收费标准</t>
  </si>
  <si>
    <t>说明</t>
  </si>
  <si>
    <t>A类</t>
  </si>
  <si>
    <t>B类</t>
  </si>
  <si>
    <t>BO80901</t>
  </si>
  <si>
    <t>自然临产阴道分娩</t>
  </si>
  <si>
    <t>单胎顺产接生</t>
  </si>
  <si>
    <t>BJ18907</t>
  </si>
  <si>
    <t>肺炎</t>
  </si>
  <si>
    <t>BR42x00</t>
  </si>
  <si>
    <t>头晕和眩晕</t>
  </si>
  <si>
    <t>对症治疗</t>
  </si>
  <si>
    <t>BJ98400</t>
  </si>
  <si>
    <t>肺部感染</t>
  </si>
  <si>
    <t>BJ18905</t>
  </si>
  <si>
    <t>社区获得性肺炎</t>
  </si>
  <si>
    <t>BJ18000</t>
  </si>
  <si>
    <t>支气管肺炎</t>
  </si>
  <si>
    <t>/</t>
  </si>
  <si>
    <t>BO82001</t>
  </si>
  <si>
    <t>计划性剖宫产</t>
  </si>
  <si>
    <t>子宫下段剖宫产术</t>
  </si>
  <si>
    <t>BE11900</t>
  </si>
  <si>
    <t>2型糖尿病（无严重并发症）</t>
  </si>
  <si>
    <t>控制血糖、抗血小板、调脂等</t>
  </si>
  <si>
    <t>BI10x07</t>
  </si>
  <si>
    <t>高血压病</t>
  </si>
  <si>
    <t>降压，抗血小板、调脂等</t>
  </si>
  <si>
    <t>BK63501</t>
  </si>
  <si>
    <t>结肠息肉</t>
  </si>
  <si>
    <t>内镜下结肠息肉切除术</t>
  </si>
  <si>
    <t>BI67800</t>
  </si>
  <si>
    <t>慢性缺血性脑血管病</t>
  </si>
  <si>
    <t>BI63802</t>
  </si>
  <si>
    <t>腔隙性脑梗死</t>
  </si>
  <si>
    <t>抗血小板、改善脑循环及康复治疗</t>
  </si>
  <si>
    <t>BI10x10</t>
  </si>
  <si>
    <t>高血压3级</t>
  </si>
  <si>
    <t/>
  </si>
  <si>
    <t>BJ44900</t>
  </si>
  <si>
    <t>慢性阻塞性肺病</t>
  </si>
  <si>
    <t>BI63900</t>
  </si>
  <si>
    <t>脑梗死</t>
  </si>
  <si>
    <t>抗血小板、改善脑循环及神经保护治疗</t>
  </si>
  <si>
    <t>BK35307</t>
  </si>
  <si>
    <t>急性化脓性阑尾炎</t>
  </si>
  <si>
    <t>经腹腔镜阑尾切除术</t>
  </si>
  <si>
    <t>BP59900</t>
  </si>
  <si>
    <t>新生儿高胆红素血症</t>
  </si>
  <si>
    <t>BZ33x00</t>
  </si>
  <si>
    <t>妊娠状态</t>
  </si>
  <si>
    <t>BI49900</t>
  </si>
  <si>
    <t>心律失常</t>
  </si>
  <si>
    <t>BC34970</t>
  </si>
  <si>
    <t>肺恶性肿瘤</t>
  </si>
  <si>
    <t>BI50923</t>
  </si>
  <si>
    <t>心功能不全</t>
  </si>
  <si>
    <t>强心、利尿、控制心率、抑制心肌重构等</t>
  </si>
  <si>
    <t>BI50900</t>
  </si>
  <si>
    <t>心力衰竭</t>
  </si>
  <si>
    <t>BN40x04</t>
  </si>
  <si>
    <t>前列腺增生</t>
  </si>
  <si>
    <t>经尿道前列腺电切术</t>
  </si>
  <si>
    <t>BP23900</t>
  </si>
  <si>
    <t>新生儿肺炎</t>
  </si>
  <si>
    <t>BH25920</t>
  </si>
  <si>
    <t>老年性白内障</t>
  </si>
  <si>
    <t>白内障超声乳化摘除术+人工晶体植入术</t>
  </si>
  <si>
    <t>BI27900</t>
  </si>
  <si>
    <t>慢性肺源性心脏病</t>
  </si>
  <si>
    <t>BN84002</t>
  </si>
  <si>
    <t>子宫内膜息肉</t>
  </si>
  <si>
    <t>宫腔镜子宫病损切除术</t>
  </si>
  <si>
    <t>BM81900</t>
  </si>
  <si>
    <t>骨质疏松症</t>
  </si>
  <si>
    <t>BE11700</t>
  </si>
  <si>
    <t>2型糖尿病伴有多个并发症</t>
  </si>
  <si>
    <t>BN39000</t>
  </si>
  <si>
    <t>泌尿道感染</t>
  </si>
  <si>
    <t>BK62115</t>
  </si>
  <si>
    <t>直肠息肉</t>
  </si>
  <si>
    <t>经内镜直肠良性肿物切除术</t>
  </si>
  <si>
    <t>BI25132</t>
  </si>
  <si>
    <t>冠状动脉粥样硬化性心脏病</t>
  </si>
  <si>
    <t>保守治疗（抗血小板、调脂、扩冠等）</t>
  </si>
  <si>
    <t>BZ47033</t>
  </si>
  <si>
    <t>取除骨折内固定装置</t>
  </si>
  <si>
    <t>内固定物取出术</t>
  </si>
  <si>
    <t>BS72006</t>
  </si>
  <si>
    <t>股骨颈骨折</t>
  </si>
  <si>
    <t>人工股骨头置换术</t>
  </si>
  <si>
    <t>BO04909</t>
  </si>
  <si>
    <t>流产</t>
  </si>
  <si>
    <t>清宫术</t>
  </si>
  <si>
    <t>BJ06900</t>
  </si>
  <si>
    <t>急性上呼吸道感染</t>
  </si>
  <si>
    <t>BK40906</t>
  </si>
  <si>
    <t>腹股沟斜疝</t>
  </si>
  <si>
    <t>腹腔镜下单侧腹股沟斜疝无张力修补术</t>
  </si>
  <si>
    <t>BM51200</t>
  </si>
  <si>
    <t>腰椎间盘突出</t>
  </si>
  <si>
    <t>BK56700</t>
  </si>
  <si>
    <t>肠梗阻</t>
  </si>
  <si>
    <t>BS72118</t>
  </si>
  <si>
    <t>股骨粗隆间骨折</t>
  </si>
  <si>
    <t>股骨骨折闭合复位髓内针内固定术</t>
  </si>
  <si>
    <t>BH81301</t>
  </si>
  <si>
    <t>前庭周围性眩晕</t>
  </si>
  <si>
    <t>BK60202</t>
  </si>
  <si>
    <t>肛裂</t>
  </si>
  <si>
    <t>肛裂切除术</t>
  </si>
  <si>
    <t>BK92204</t>
  </si>
  <si>
    <t>急性上消化道出血</t>
  </si>
  <si>
    <t>BR55x00</t>
  </si>
  <si>
    <t>晕厥</t>
  </si>
  <si>
    <t>BH11001</t>
  </si>
  <si>
    <t>翼状胬肉</t>
  </si>
  <si>
    <t>单侧翼状胬肉切除组织移植术</t>
  </si>
  <si>
    <t>BK40219</t>
  </si>
  <si>
    <t>双侧腹股沟斜疝</t>
  </si>
  <si>
    <t>腹腔镜下双侧腹股沟斜疝修补术</t>
  </si>
  <si>
    <t>BI48900</t>
  </si>
  <si>
    <t>心房颤动</t>
  </si>
  <si>
    <t>BF45300</t>
  </si>
  <si>
    <t>心脏神经官能症</t>
  </si>
  <si>
    <t>BK80203</t>
  </si>
  <si>
    <t>胆囊结石</t>
  </si>
  <si>
    <t>经腹腔镜胆囊切除术</t>
  </si>
  <si>
    <t>BN18900</t>
  </si>
  <si>
    <t>慢性肾衰竭</t>
  </si>
  <si>
    <t>BD61900</t>
  </si>
  <si>
    <t>再生障碍性贫血</t>
  </si>
  <si>
    <t>保守治疗、补血等</t>
  </si>
  <si>
    <t>BC22900</t>
  </si>
  <si>
    <t>肝恶性肿瘤</t>
  </si>
  <si>
    <t>BJ04000</t>
  </si>
  <si>
    <t>急性喉炎</t>
  </si>
  <si>
    <t>抗感染及对症治疗等</t>
  </si>
  <si>
    <t>BC16900</t>
  </si>
  <si>
    <t>胃恶性肿瘤</t>
  </si>
  <si>
    <t>BJ44100</t>
  </si>
  <si>
    <t>慢性阻塞性肺病伴急性加重</t>
  </si>
  <si>
    <t>BO21900</t>
  </si>
  <si>
    <t>妊娠剧吐</t>
  </si>
  <si>
    <t>保守治疗</t>
  </si>
  <si>
    <t>BN18509</t>
  </si>
  <si>
    <t>慢性肾脏病5期</t>
  </si>
  <si>
    <t>BR06506</t>
  </si>
  <si>
    <t>鼾症</t>
  </si>
  <si>
    <t>扁桃体伴腺样体等离子切除术/扁桃体等离子切除术</t>
  </si>
  <si>
    <t>BI63906</t>
  </si>
  <si>
    <t>溶栓治疗</t>
  </si>
  <si>
    <t>BG44200</t>
  </si>
  <si>
    <t>紧张型头痛</t>
  </si>
  <si>
    <t>BK61001</t>
  </si>
  <si>
    <t>肛周脓肿</t>
  </si>
  <si>
    <t>肛周脓肿切开引流术</t>
  </si>
  <si>
    <t>BK35801</t>
  </si>
  <si>
    <t>急性单纯性阑尾炎</t>
  </si>
  <si>
    <t>BI25131</t>
  </si>
  <si>
    <t>冠状动脉粥样硬化</t>
  </si>
  <si>
    <t>BK64856</t>
  </si>
  <si>
    <t>混合痔</t>
  </si>
  <si>
    <t>混合痔外剥内扎术</t>
  </si>
  <si>
    <t>BE07904</t>
  </si>
  <si>
    <t>甲状腺肿物</t>
  </si>
  <si>
    <t>甲状腺病损切除术</t>
  </si>
  <si>
    <t>BK31705</t>
  </si>
  <si>
    <t>胃息肉</t>
  </si>
  <si>
    <t>胃镜下胃病损切除术</t>
  </si>
  <si>
    <t>BN87901</t>
  </si>
  <si>
    <t>子宫颈皮内瘤变</t>
  </si>
  <si>
    <t>宫颈锥切术</t>
  </si>
  <si>
    <t>BB18100</t>
  </si>
  <si>
    <t>慢性乙型病毒性肝炎</t>
  </si>
  <si>
    <t>抗病毒、保肝等</t>
  </si>
  <si>
    <t>BB08400</t>
  </si>
  <si>
    <t>手足口病</t>
  </si>
  <si>
    <t>抗病毒及对症治疗等</t>
  </si>
  <si>
    <t>BJ42x00</t>
  </si>
  <si>
    <t>慢性支气管炎</t>
  </si>
  <si>
    <t>抗感染、化痰、解痉平喘等</t>
  </si>
  <si>
    <t>BG40900</t>
  </si>
  <si>
    <t>癫痫</t>
  </si>
  <si>
    <t>BA09900</t>
  </si>
  <si>
    <t>胃肠炎</t>
  </si>
  <si>
    <t>BJ21900</t>
  </si>
  <si>
    <t>急性喘息性支气管炎</t>
  </si>
  <si>
    <t>BN20139</t>
  </si>
  <si>
    <t>输尿管结石</t>
  </si>
  <si>
    <t>经尿道输尿管/肾盂激光碎石术</t>
  </si>
  <si>
    <t>BM17102</t>
  </si>
  <si>
    <t>膝关节骨性关节炎</t>
  </si>
  <si>
    <t>单侧人工全膝关节置换术</t>
  </si>
  <si>
    <t>BS09900</t>
  </si>
  <si>
    <t>头部外伤</t>
  </si>
  <si>
    <t>改善循环及对症药物治疗</t>
  </si>
  <si>
    <t>BS42007</t>
  </si>
  <si>
    <t>锁骨骨折</t>
  </si>
  <si>
    <t>锁骨骨折切开复位术</t>
  </si>
  <si>
    <t>BN20100</t>
  </si>
  <si>
    <t>BC34919</t>
  </si>
  <si>
    <t>支气管肺癌</t>
  </si>
  <si>
    <t>经胸腔镜肺叶切除术</t>
  </si>
  <si>
    <t>BJ47x00</t>
  </si>
  <si>
    <t>支气管扩张伴感染</t>
  </si>
  <si>
    <t>BK83001</t>
  </si>
  <si>
    <t>胆道感染</t>
  </si>
  <si>
    <t>BK92202</t>
  </si>
  <si>
    <t>上消化道出血</t>
  </si>
  <si>
    <t>BO04900</t>
  </si>
  <si>
    <t>BG20x00</t>
  </si>
  <si>
    <t>帕金森病</t>
  </si>
  <si>
    <t>BD50900</t>
  </si>
  <si>
    <t>缺铁性贫血</t>
  </si>
  <si>
    <t>BG45903</t>
  </si>
  <si>
    <t>短暂性脑缺血发作</t>
  </si>
  <si>
    <t>BJ03903</t>
  </si>
  <si>
    <t>急性化脓性扁桃体炎</t>
  </si>
  <si>
    <t>BM47900</t>
  </si>
  <si>
    <t>颈椎病</t>
  </si>
  <si>
    <t>BS52504</t>
  </si>
  <si>
    <t>桡骨下端骨折</t>
  </si>
  <si>
    <t>桡骨骨折切开复位内固定术</t>
  </si>
  <si>
    <t>BJ47x24</t>
  </si>
  <si>
    <t>支气管扩张伴咯血</t>
  </si>
  <si>
    <t>BN20105</t>
  </si>
  <si>
    <t>经输尿管镜碎石取石术</t>
  </si>
  <si>
    <t>BN40x00</t>
  </si>
  <si>
    <t>BN19901</t>
  </si>
  <si>
    <t>尿毒症</t>
  </si>
  <si>
    <t>BJ02900</t>
  </si>
  <si>
    <t>急性咽炎</t>
  </si>
  <si>
    <t>BH81101</t>
  </si>
  <si>
    <t>良性阵发性位置性眩晕</t>
  </si>
  <si>
    <t>BR22900</t>
  </si>
  <si>
    <t>体表肿物</t>
  </si>
  <si>
    <t>皮下组织病损切除术</t>
  </si>
  <si>
    <t>BS22300</t>
  </si>
  <si>
    <t>肋骨骨折</t>
  </si>
  <si>
    <t>固定、镇痛、伴肺挫伤者酌情止血等</t>
  </si>
  <si>
    <t>BO60000</t>
  </si>
  <si>
    <t>先兆早产不伴分娩</t>
  </si>
  <si>
    <t>保胎</t>
  </si>
  <si>
    <t>BP55100</t>
  </si>
  <si>
    <t>新生儿ABO溶血性黄疸</t>
  </si>
  <si>
    <t>BN45905</t>
  </si>
  <si>
    <t>急性附睾炎</t>
  </si>
  <si>
    <t>BI25108</t>
  </si>
  <si>
    <t>冠状动脉造影</t>
  </si>
  <si>
    <t>BK80318</t>
  </si>
  <si>
    <t>胆总管结石伴急性胆管炎</t>
  </si>
  <si>
    <t>腹腔镜下胆总管切开取石术</t>
  </si>
  <si>
    <t>BC15900</t>
  </si>
  <si>
    <t>食管恶性肿瘤</t>
  </si>
  <si>
    <t>BP07300</t>
  </si>
  <si>
    <t>早产儿</t>
  </si>
  <si>
    <t>BM61500</t>
  </si>
  <si>
    <t>急性胃肠炎</t>
  </si>
  <si>
    <t>抑酸、保护胃肠粘膜、补液等</t>
  </si>
  <si>
    <t>BS32000</t>
  </si>
  <si>
    <t>腰椎骨折</t>
  </si>
  <si>
    <t>保守治疗（腰托固定、镇痛）</t>
  </si>
  <si>
    <t>BS82801</t>
  </si>
  <si>
    <t>踝关节骨折</t>
  </si>
  <si>
    <t>踝关节骨折切开复位内固定术</t>
  </si>
  <si>
    <t>BQ24500</t>
  </si>
  <si>
    <t>冠状动脉肌桥</t>
  </si>
  <si>
    <t>抗血小板、改善循环、扩冠等</t>
  </si>
  <si>
    <t>BJ45902</t>
  </si>
  <si>
    <t>支气管哮喘发作</t>
  </si>
  <si>
    <t>BC67901</t>
  </si>
  <si>
    <t>膀胱癌</t>
  </si>
  <si>
    <t>经尿道膀胱肿瘤电切术</t>
  </si>
  <si>
    <t>BC73x07</t>
  </si>
  <si>
    <t>甲状腺癌</t>
  </si>
  <si>
    <t>单侧甲状腺癌根治术</t>
  </si>
  <si>
    <t>BK80002</t>
  </si>
  <si>
    <t>胆囊结石伴有急性胆囊炎</t>
  </si>
  <si>
    <t>腹腔镜下胆囊切除术</t>
  </si>
  <si>
    <t>BE10900</t>
  </si>
  <si>
    <t>1型糖尿病</t>
  </si>
  <si>
    <t>BE14100</t>
  </si>
  <si>
    <t>酮症</t>
  </si>
  <si>
    <t>BE05900</t>
  </si>
  <si>
    <t>甲状腺功能亢进症</t>
  </si>
  <si>
    <t>BK35800</t>
  </si>
  <si>
    <t>急性阑尾炎</t>
  </si>
  <si>
    <t>BD24x22</t>
  </si>
  <si>
    <t>乳腺良性肿瘤</t>
  </si>
  <si>
    <t>乳腺肿物切除术</t>
  </si>
  <si>
    <t>BN10x00</t>
  </si>
  <si>
    <t>急性肾盂肾炎</t>
  </si>
  <si>
    <t>BJ34228</t>
  </si>
  <si>
    <t>鼻中隔偏曲</t>
  </si>
  <si>
    <t>鼻内窥镜下鼻中隔成形术+双下甲外移术</t>
  </si>
  <si>
    <t>BN20008</t>
  </si>
  <si>
    <t>肾结石</t>
  </si>
  <si>
    <t>BC34917</t>
  </si>
  <si>
    <t>经胸腔镜肺段切除术</t>
  </si>
  <si>
    <t>BR91x00</t>
  </si>
  <si>
    <t>肺部阴影</t>
  </si>
  <si>
    <t>BK25900</t>
  </si>
  <si>
    <t>胃溃疡</t>
  </si>
  <si>
    <t>BO00106</t>
  </si>
  <si>
    <t>输卵管妊娠</t>
  </si>
  <si>
    <t>经腹腔镜单侧输卵管切除术</t>
  </si>
  <si>
    <t>BK40918</t>
  </si>
  <si>
    <t>腹腔镜下单侧腹股沟斜疝疝囊高位结扎术</t>
  </si>
  <si>
    <t>BI24904</t>
  </si>
  <si>
    <t>急性冠脉综合征</t>
  </si>
  <si>
    <t>BK27501</t>
  </si>
  <si>
    <t>消化道穿孔</t>
  </si>
  <si>
    <t>手术治疗</t>
  </si>
  <si>
    <t>BS82003</t>
  </si>
  <si>
    <t>闭合性髌骨骨折</t>
  </si>
  <si>
    <t>髌骨骨折切开复位内固定术</t>
  </si>
  <si>
    <t>BQ24501</t>
  </si>
  <si>
    <t>BJ44800</t>
  </si>
  <si>
    <t>慢性支气管炎伴肺气肿</t>
  </si>
  <si>
    <t>抗感染、改善肺功能、呼吸支持、化痰、解痉平喘等</t>
  </si>
  <si>
    <t>BN03905</t>
  </si>
  <si>
    <t>慢性肾炎</t>
  </si>
  <si>
    <t>BD17901</t>
  </si>
  <si>
    <t>脂肪瘤</t>
  </si>
  <si>
    <t>BG03x01</t>
  </si>
  <si>
    <t>颅内感染</t>
  </si>
  <si>
    <t>BI42200</t>
  </si>
  <si>
    <t>肥厚型心肌病</t>
  </si>
  <si>
    <t>BS52305</t>
  </si>
  <si>
    <t>桡骨干骨折</t>
  </si>
  <si>
    <t>BI61904</t>
  </si>
  <si>
    <t>高血压脑出血</t>
  </si>
  <si>
    <t>保守治疗（脱水降颅压、控制血压、止血等）</t>
  </si>
  <si>
    <t>BR04000</t>
  </si>
  <si>
    <t>鼻出血</t>
  </si>
  <si>
    <t>鼻内镜下鼻腔电凝止血</t>
  </si>
  <si>
    <t>BM10900</t>
  </si>
  <si>
    <t>痛风</t>
  </si>
  <si>
    <t>BI83920</t>
  </si>
  <si>
    <t>大隐静脉曲张</t>
  </si>
  <si>
    <t>双侧大隐静脉高位结扎术+剥脱术</t>
  </si>
  <si>
    <t>BM80811</t>
  </si>
  <si>
    <t>骨质疏松伴有病理性骨折</t>
  </si>
  <si>
    <t>经皮穿刺椎体成形术/经皮椎体球囊扩张成形术</t>
  </si>
  <si>
    <t>BM54500</t>
  </si>
  <si>
    <t>腰痛病</t>
  </si>
  <si>
    <t>BH11009</t>
  </si>
  <si>
    <t>双侧翼状胬肉切除组织移植术</t>
  </si>
  <si>
    <t>BC73X16</t>
  </si>
  <si>
    <t>甲状腺恶性肿瘤</t>
  </si>
  <si>
    <t>单侧甲状腺切除伴峡部和其他叶部分切除术</t>
  </si>
  <si>
    <t>BN34200</t>
  </si>
  <si>
    <t>急性尿道炎</t>
  </si>
  <si>
    <t>保守治疗（抗感染等）</t>
  </si>
  <si>
    <t>BD25908</t>
  </si>
  <si>
    <t>子宫平滑肌瘤</t>
  </si>
  <si>
    <t>子宫肌瘤切除术</t>
  </si>
  <si>
    <t>BK71600</t>
  </si>
  <si>
    <t>药物性肝炎</t>
  </si>
  <si>
    <t>BI69300</t>
  </si>
  <si>
    <t>脑梗死后遗症</t>
  </si>
  <si>
    <t>BJ32929</t>
  </si>
  <si>
    <t>慢性鼻窦炎</t>
  </si>
  <si>
    <t>鼻内窥镜下多个鼻窦开窗术/多个鼻窦切开术</t>
  </si>
  <si>
    <t>BN93815</t>
  </si>
  <si>
    <t>功能障碍性子宫出血</t>
  </si>
  <si>
    <t>诊断性刮宫术/宫腔镜诊断性刮宫术</t>
  </si>
  <si>
    <t>BK80000</t>
  </si>
  <si>
    <t>胆囊结石伴急性胆囊炎</t>
  </si>
  <si>
    <t>保守治疗（抗感染、解痉、利胆等）</t>
  </si>
  <si>
    <t>BD27x03</t>
  </si>
  <si>
    <t>卵巢良性肿瘤</t>
  </si>
  <si>
    <t>经腹腔镜单侧卵巢囊肿剥除术</t>
  </si>
  <si>
    <t>BS42201</t>
  </si>
  <si>
    <t>肱骨上端骨折</t>
  </si>
  <si>
    <t>肱骨近端骨折切开复位内固定术</t>
  </si>
  <si>
    <t>BS92301</t>
  </si>
  <si>
    <t>跖骨骨折</t>
  </si>
  <si>
    <t>跖骨骨折切开复位内固定术</t>
  </si>
  <si>
    <t>BN13201</t>
  </si>
  <si>
    <t>肾积水伴输尿管结石</t>
  </si>
  <si>
    <t>BK27500</t>
  </si>
  <si>
    <t>BB02900</t>
  </si>
  <si>
    <t>带状疱疹</t>
  </si>
  <si>
    <t>BK85100</t>
  </si>
  <si>
    <t>急性胆源型胰腺炎，轻症</t>
  </si>
  <si>
    <t>抑制胰液分泌、抑酸、抗感染、补液、营养支持等</t>
  </si>
  <si>
    <t>BK80100</t>
  </si>
  <si>
    <t>胆囊结石伴胆囊炎</t>
  </si>
  <si>
    <t>BA09901</t>
  </si>
  <si>
    <t>急性腹泻</t>
  </si>
  <si>
    <t>补液、调节肠道菌群、保护肠粘膜、营养支持等</t>
  </si>
  <si>
    <t>BD69000</t>
  </si>
  <si>
    <t>过敏性紫癜</t>
  </si>
  <si>
    <t>BC73x28</t>
  </si>
  <si>
    <t>甲状腺全部切除术</t>
  </si>
  <si>
    <t>BT18100</t>
  </si>
  <si>
    <t>食管内异物</t>
  </si>
  <si>
    <t>食管镜食管异物取出术</t>
  </si>
  <si>
    <t>BC73x11</t>
  </si>
  <si>
    <t>单侧甲状腺切除伴甲状腺峡部切除术</t>
  </si>
  <si>
    <t>BN40x02</t>
  </si>
  <si>
    <t>经尿道前列腺激光切除术</t>
  </si>
  <si>
    <t>BJ93113</t>
  </si>
  <si>
    <t>自发性气胸</t>
  </si>
  <si>
    <t>经胸腔镜肺大泡切除胸膜固定术</t>
  </si>
  <si>
    <t>BD25914</t>
  </si>
  <si>
    <t>经腹腔镜全子宫切除术</t>
  </si>
  <si>
    <t>BO00105</t>
  </si>
  <si>
    <t>经腹单侧输卵管切除术</t>
  </si>
  <si>
    <t>BJ36x00</t>
  </si>
  <si>
    <t>扁桃体周围炎</t>
  </si>
  <si>
    <t>BI83904</t>
  </si>
  <si>
    <t>下肢静脉曲张</t>
  </si>
  <si>
    <t>单侧大隐静脉高位结扎＋剥脱术</t>
  </si>
  <si>
    <t>BS72306</t>
  </si>
  <si>
    <t>股骨干骨折</t>
  </si>
  <si>
    <t>股骨干骨折切开复位内固定术</t>
  </si>
  <si>
    <t>BK82802</t>
  </si>
  <si>
    <t>胆囊息肉</t>
  </si>
  <si>
    <t>BS52001</t>
  </si>
  <si>
    <t>尺骨鹰嘴骨折</t>
  </si>
  <si>
    <t>尺骨鹰嘴骨折切开复位内固定术</t>
  </si>
  <si>
    <t>BK92201</t>
  </si>
  <si>
    <t>下消化道出血</t>
  </si>
  <si>
    <t>止血、抑酸、保护胃黏膜、营养支持等</t>
  </si>
  <si>
    <t>BA41902</t>
  </si>
  <si>
    <t>脓毒血症</t>
  </si>
  <si>
    <t>BI60900</t>
  </si>
  <si>
    <t>蛛网膜下腔出血</t>
  </si>
  <si>
    <t>预防再出血及血管痉挛等</t>
  </si>
  <si>
    <t>BS22000</t>
  </si>
  <si>
    <t>胸椎骨折</t>
  </si>
  <si>
    <t>保守治疗（胸托固定、镇痛等）</t>
  </si>
  <si>
    <t>BS72304</t>
  </si>
  <si>
    <t>股骨干骨折闭合复位髓内针内固定术</t>
  </si>
  <si>
    <t>BN28101</t>
  </si>
  <si>
    <t>单纯性肾囊肿</t>
  </si>
  <si>
    <t>腹腔镜下肾囊肿去顶术</t>
  </si>
  <si>
    <t>BS72005</t>
  </si>
  <si>
    <t>人工全髋关节置换术</t>
  </si>
  <si>
    <t>BS92011</t>
  </si>
  <si>
    <t>跟骨骨折</t>
  </si>
  <si>
    <t>跟骨骨折切开复位内固定术</t>
  </si>
  <si>
    <t>BJ38107</t>
  </si>
  <si>
    <t>声带息肉</t>
  </si>
  <si>
    <t>内镜下声带病损切除术</t>
  </si>
  <si>
    <t>BS62300</t>
  </si>
  <si>
    <t>掌骨骨折</t>
  </si>
  <si>
    <t>掌骨骨折切开复位内固定术</t>
  </si>
  <si>
    <t>BK21000</t>
  </si>
  <si>
    <t>反流食管炎</t>
  </si>
  <si>
    <t>BJ32805</t>
  </si>
  <si>
    <t>慢性多鼻窦炎</t>
  </si>
  <si>
    <t>内镜下全组鼻实开窗术</t>
  </si>
  <si>
    <t>BE04901</t>
  </si>
  <si>
    <t>结节性甲状腺肿</t>
  </si>
  <si>
    <t>单侧甲状腺叶切除术</t>
  </si>
  <si>
    <t>BD27x05</t>
  </si>
  <si>
    <t>经腹单侧卵巢囊肿剥除术</t>
  </si>
  <si>
    <t>BC73x00</t>
  </si>
  <si>
    <t>BK74600</t>
  </si>
  <si>
    <t>肝硬化失代偿期</t>
  </si>
  <si>
    <t>BQ89201</t>
  </si>
  <si>
    <t>甲状舌管囊肿</t>
  </si>
  <si>
    <t>甲状舌管囊肿切除术</t>
  </si>
  <si>
    <t>BM79200</t>
  </si>
  <si>
    <t>神经痛</t>
  </si>
  <si>
    <t>BI20005</t>
  </si>
  <si>
    <t>不稳定型心绞痛</t>
  </si>
  <si>
    <t>药物洗脱冠状动脉支架置入</t>
  </si>
  <si>
    <t>BD24x05</t>
  </si>
  <si>
    <t>乳房良性肿瘤</t>
  </si>
  <si>
    <t>乳房腺体区段切除术</t>
  </si>
  <si>
    <t>BH66338</t>
  </si>
  <si>
    <t>慢性化脓性中耳炎</t>
  </si>
  <si>
    <t>乳突改良根治术</t>
  </si>
  <si>
    <t>BD25911</t>
  </si>
  <si>
    <t>经宫腔镜黏膜下肌瘤切除术</t>
  </si>
  <si>
    <t>BN20006</t>
  </si>
  <si>
    <t>经皮肾镜超声碎石取石术</t>
  </si>
  <si>
    <t>BS01001</t>
  </si>
  <si>
    <t>头部外伤/头皮裂伤</t>
  </si>
  <si>
    <t>头皮局部清创缝合</t>
  </si>
  <si>
    <t>BI87201</t>
  </si>
  <si>
    <t>下肢深静脉瓣膜功能不全</t>
  </si>
  <si>
    <t>大隐静脉高位结扎和剥脱术</t>
  </si>
  <si>
    <t>BE16200</t>
  </si>
  <si>
    <t>低血糖症</t>
  </si>
  <si>
    <t>BC16927</t>
  </si>
  <si>
    <t>胃癌</t>
  </si>
  <si>
    <t>经腹腔镜根治性远端胃大部切除+胃空肠吻合术</t>
  </si>
  <si>
    <t>BN04900</t>
  </si>
  <si>
    <t>肾病综合征</t>
  </si>
  <si>
    <t>BM06907</t>
  </si>
  <si>
    <t>类风湿性关节炎</t>
  </si>
  <si>
    <t>BJ35006</t>
  </si>
  <si>
    <t>慢性扁桃体炎</t>
  </si>
  <si>
    <t>扁桃体等离子切除术</t>
  </si>
  <si>
    <t>BI86111</t>
  </si>
  <si>
    <t>精索静脉曲张</t>
  </si>
  <si>
    <t>显微镜下单侧精索静脉结扎术</t>
  </si>
  <si>
    <t>BM47806</t>
  </si>
  <si>
    <t>颈椎关节强硬</t>
  </si>
  <si>
    <t>BI21413</t>
  </si>
  <si>
    <t>急性非ST段抬高性心肌梗死</t>
  </si>
  <si>
    <t>经皮冠状动脉支架置入术</t>
  </si>
  <si>
    <t>BJ32900</t>
  </si>
  <si>
    <t>鼻内镜下多组鼻窦开窗术+鼻中隔偏曲矫正术+下鼻甲外移术</t>
  </si>
  <si>
    <t>BS62602</t>
  </si>
  <si>
    <t>指骨骨折</t>
  </si>
  <si>
    <t>指骨骨折切开复位内固定术</t>
  </si>
  <si>
    <t>BD34x08</t>
  </si>
  <si>
    <t>甲状腺良性肿瘤</t>
  </si>
  <si>
    <t>腔镜下单侧甲状腺部分切除术</t>
  </si>
  <si>
    <t>BC64x06</t>
  </si>
  <si>
    <t>肾恶性肿瘤</t>
  </si>
  <si>
    <t>腹腔镜下肾部分切除术</t>
  </si>
  <si>
    <t>BD24x02</t>
  </si>
  <si>
    <t>乳房病损切除术</t>
  </si>
  <si>
    <t>BM10000</t>
  </si>
  <si>
    <t>痛风性关节炎</t>
  </si>
  <si>
    <t>BI86101</t>
  </si>
  <si>
    <t>单侧精索静脉曲张高位结扎术</t>
  </si>
  <si>
    <t>BK80500</t>
  </si>
  <si>
    <t>胆总管结石
（无胆管炎或胆囊炎）</t>
  </si>
  <si>
    <t>保守治疗（解痉、利胆等）</t>
  </si>
  <si>
    <t>BS82102</t>
  </si>
  <si>
    <t>闭合性胫骨平台骨折</t>
  </si>
  <si>
    <t>胫骨平台骨折闭合复位内固定术</t>
  </si>
  <si>
    <t>BS82239</t>
  </si>
  <si>
    <t>胫腓骨骨折</t>
  </si>
  <si>
    <t>胫腓骨骨折闭合复位髓内针内固定术</t>
  </si>
  <si>
    <t>BD24x00</t>
  </si>
  <si>
    <t>BK74100</t>
  </si>
  <si>
    <t>肝硬化</t>
  </si>
  <si>
    <t>BK75000</t>
  </si>
  <si>
    <t>肝脓肿</t>
  </si>
  <si>
    <t>BS06000</t>
  </si>
  <si>
    <t>脑震荡</t>
  </si>
  <si>
    <t>BM43002</t>
  </si>
  <si>
    <t>腰椎滑脱</t>
  </si>
  <si>
    <t>腰椎脱位切开复位术</t>
  </si>
  <si>
    <t>BK40901</t>
  </si>
  <si>
    <t>腹股沟疝</t>
  </si>
  <si>
    <t>单侧腹股沟疝修补术</t>
  </si>
  <si>
    <t>BM75005</t>
  </si>
  <si>
    <t>漏肩风病</t>
  </si>
  <si>
    <t>BE04906</t>
  </si>
  <si>
    <t>单侧甲状腺全切术</t>
  </si>
  <si>
    <t>BM48908</t>
  </si>
  <si>
    <t>腰椎退行性病变</t>
  </si>
  <si>
    <t>BS02201</t>
  </si>
  <si>
    <t>鼻骨骨折</t>
  </si>
  <si>
    <t>鼻骨骨折闭合复位术</t>
  </si>
  <si>
    <t>BI20826</t>
  </si>
  <si>
    <t>稳定型心绞痛</t>
  </si>
  <si>
    <t>BD25009</t>
  </si>
  <si>
    <t>子宫黏膜下平滑肌瘤</t>
  </si>
  <si>
    <t>BE88901</t>
  </si>
  <si>
    <t>代谢性白内障</t>
  </si>
  <si>
    <t>白内障超声乳化抽吸术</t>
  </si>
  <si>
    <t>BJ03905</t>
  </si>
  <si>
    <t>急性扁桃体炎</t>
  </si>
  <si>
    <t>BD11006</t>
  </si>
  <si>
    <t>腮腺良性肿瘤</t>
  </si>
  <si>
    <t>腮腺病损切除术</t>
  </si>
  <si>
    <t>BL50800</t>
  </si>
  <si>
    <t>急性荨麻疹</t>
  </si>
  <si>
    <t>BN43300</t>
  </si>
  <si>
    <t>鞘膜积液</t>
  </si>
  <si>
    <t>睾丸鞘状突高位结扎术</t>
  </si>
  <si>
    <t>BS32003</t>
  </si>
  <si>
    <t>骨折切开复位内固定术</t>
  </si>
  <si>
    <t>BM87203</t>
  </si>
  <si>
    <t>股骨头坏死（FicatIII-IV期，严重疼痛伴功能障碍）</t>
  </si>
  <si>
    <t>全髋人工关节置换术</t>
  </si>
  <si>
    <t>BS52107</t>
  </si>
  <si>
    <t>桡骨头骨折</t>
  </si>
  <si>
    <t>桡骨头骨折切开复位内固定术</t>
  </si>
  <si>
    <t>BI83900</t>
  </si>
  <si>
    <t>BD34x07</t>
  </si>
  <si>
    <t>腔镜下单侧甲状腺次全切除术</t>
  </si>
  <si>
    <t>BT14000</t>
  </si>
  <si>
    <t>皮肤挫伤</t>
  </si>
  <si>
    <t>BC34918</t>
  </si>
  <si>
    <t>肺段切除术</t>
  </si>
  <si>
    <t>BN21003</t>
  </si>
  <si>
    <t>膀胱结石</t>
  </si>
  <si>
    <t>经尿道膀胱镜膀胱激光碎石取石术</t>
  </si>
  <si>
    <t>BK29400</t>
  </si>
  <si>
    <t>慢性萎缩性胃炎</t>
  </si>
  <si>
    <t>BI20031</t>
  </si>
  <si>
    <t>不稳定性心绞痛</t>
  </si>
  <si>
    <t>BJ32913</t>
  </si>
  <si>
    <t>经鼻内镜全组鼻窦开放术</t>
  </si>
  <si>
    <t>BN93800</t>
  </si>
  <si>
    <t>BA46x00</t>
  </si>
  <si>
    <t>丹毒病</t>
  </si>
  <si>
    <t>BE87100</t>
  </si>
  <si>
    <t>低钠血症</t>
  </si>
  <si>
    <t>补钠补液、营养神经、改善循环等</t>
  </si>
  <si>
    <t>BN50901</t>
  </si>
  <si>
    <t>阴囊肿物</t>
  </si>
  <si>
    <t>阴囊病损切除术</t>
  </si>
  <si>
    <t>BJ93001</t>
  </si>
  <si>
    <t>肺大泡切除修补术</t>
  </si>
  <si>
    <t>BN43301</t>
  </si>
  <si>
    <t>精索鞘膜积液</t>
  </si>
  <si>
    <t>BN13220</t>
  </si>
  <si>
    <t>肾积水伴肾结石</t>
  </si>
  <si>
    <t>BC90000</t>
  </si>
  <si>
    <t>多发性骨髓瘤</t>
  </si>
  <si>
    <t>BQ53900</t>
  </si>
  <si>
    <t>隐睾</t>
  </si>
  <si>
    <t>睾丸固定术</t>
  </si>
  <si>
    <t>BD25909</t>
  </si>
  <si>
    <t>腹腔镜子宫病损切除术</t>
  </si>
  <si>
    <t>BI69101</t>
  </si>
  <si>
    <t>中风病</t>
  </si>
  <si>
    <t>BC50917</t>
  </si>
  <si>
    <t>乳房恶性肿瘤</t>
  </si>
  <si>
    <t>单侧乳腺改良根治术/双侧乳腺改良根治术</t>
  </si>
  <si>
    <t>BK64804</t>
  </si>
  <si>
    <t>内痔</t>
  </si>
  <si>
    <t>吻合器痔上粘膜切除术</t>
  </si>
  <si>
    <t>BB18106</t>
  </si>
  <si>
    <t>慢性中度乙型病毒性肝炎</t>
  </si>
  <si>
    <t>BI86102</t>
  </si>
  <si>
    <t>经腹腔镜单侧精索静脉曲张高位结扎术</t>
  </si>
  <si>
    <t>BI20000</t>
  </si>
  <si>
    <t>BJ46x00</t>
  </si>
  <si>
    <t>支气管哮喘，危重</t>
  </si>
  <si>
    <t>BK81009</t>
  </si>
  <si>
    <t>慢性胆囊炎急性发作</t>
  </si>
  <si>
    <t>BM17100</t>
  </si>
  <si>
    <t>膝关节骨性关节炎(膝关节病）</t>
  </si>
  <si>
    <t>BBNP110</t>
  </si>
  <si>
    <t>泄泻病</t>
  </si>
  <si>
    <t>BBNG080</t>
  </si>
  <si>
    <t>BK40900</t>
  </si>
  <si>
    <t>腹腔镜下双侧腹股沟斜疝疝囊高位结扎术</t>
  </si>
  <si>
    <t>BN00900</t>
  </si>
  <si>
    <t>急性肾小球肾炎</t>
  </si>
  <si>
    <t>BG51809</t>
  </si>
  <si>
    <t>面瘫病</t>
  </si>
  <si>
    <t>BM54505</t>
  </si>
  <si>
    <t>BS43101</t>
  </si>
  <si>
    <t>肩锁关节脱位</t>
  </si>
  <si>
    <t>肩锁关节脱位切开复位内固定术</t>
  </si>
  <si>
    <t>BO03401</t>
  </si>
  <si>
    <t>不完全性自然流产</t>
  </si>
  <si>
    <t>流产后刮宫术</t>
  </si>
  <si>
    <t>BM51209</t>
  </si>
  <si>
    <t>腰椎间盘摘除术</t>
  </si>
  <si>
    <t>BS92000</t>
  </si>
  <si>
    <t>保守治疗（固定、镇痛）</t>
  </si>
  <si>
    <t>BD27x07</t>
  </si>
  <si>
    <t>经腹单侧卵巢切除术</t>
  </si>
  <si>
    <t>BBNG081</t>
  </si>
  <si>
    <t>BS82305</t>
  </si>
  <si>
    <t>胫骨远端骨折</t>
  </si>
  <si>
    <t>胫骨骨折切开复位钢板内固定术</t>
  </si>
  <si>
    <t>BC16922</t>
  </si>
  <si>
    <t>根治性远端胃大部切除+胃空肠吻合术</t>
  </si>
  <si>
    <t>BN02800</t>
  </si>
  <si>
    <t>IgA肾病</t>
  </si>
  <si>
    <t>BI21900</t>
  </si>
  <si>
    <t>急性心肌梗死</t>
  </si>
  <si>
    <t>保守治疗（抗血小板、抗凝、调脂、扩冠等）</t>
  </si>
  <si>
    <t>BI86180</t>
  </si>
  <si>
    <t>经腹腔镜双侧精索静脉曲张高位结扎术</t>
  </si>
  <si>
    <t>BC16907</t>
  </si>
  <si>
    <t>经腹腔镜根治性远端胃大部切除+胃十二指肠吻合术</t>
  </si>
  <si>
    <t>BN93803</t>
  </si>
  <si>
    <t>宫腔镜检查</t>
  </si>
  <si>
    <t>BS82253</t>
  </si>
  <si>
    <t>BK82801</t>
  </si>
  <si>
    <t>胆囊切除术</t>
  </si>
  <si>
    <t>BK29100</t>
  </si>
  <si>
    <t>特指急性胃炎</t>
  </si>
  <si>
    <t>抑酸、保护胃粘膜等，必要时胃镜检查</t>
  </si>
  <si>
    <t>BN94803</t>
  </si>
  <si>
    <t>交通性腹膜鞘突管积液</t>
  </si>
  <si>
    <t>腹腔镜单侧鞘状突高位结扎术</t>
  </si>
  <si>
    <t>BM54501</t>
  </si>
  <si>
    <t>腰肌劳损</t>
  </si>
  <si>
    <t>BS80101</t>
  </si>
  <si>
    <t>小腿挫伤</t>
  </si>
  <si>
    <t>皮肤及皮下组织清创术</t>
  </si>
  <si>
    <t>BD27x06</t>
  </si>
  <si>
    <t>经腹腔镜单侧卵巢切除术</t>
  </si>
  <si>
    <t>BN61x05</t>
  </si>
  <si>
    <t>乳腺脓肿</t>
  </si>
  <si>
    <t>乳房切开引流术</t>
  </si>
  <si>
    <t>BJ15700</t>
  </si>
  <si>
    <t>肺炎支原体性肺炎</t>
  </si>
  <si>
    <t>BK40938</t>
  </si>
  <si>
    <t>腔镜下单侧无张力腹股沟疝修补术</t>
  </si>
  <si>
    <t>BS82000</t>
  </si>
  <si>
    <t>髌骨骨折</t>
  </si>
  <si>
    <t>BH26900</t>
  </si>
  <si>
    <t>白内障</t>
  </si>
  <si>
    <t>白内障摘除伴人工晶体一期置入术/眼内人工晶状体置入伴白内障摘出术，一期</t>
  </si>
  <si>
    <t>BC50908</t>
  </si>
  <si>
    <t>乳腺癌</t>
  </si>
  <si>
    <t>单侧乳腺癌根治术</t>
  </si>
</sst>
</file>

<file path=xl/styles.xml><?xml version="1.0" encoding="utf-8"?>
<styleSheet xmlns="http://schemas.openxmlformats.org/spreadsheetml/2006/main">
  <numFmts count="5">
    <numFmt numFmtId="176" formatCode="0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仿宋_GB2312"/>
      <charset val="134"/>
    </font>
    <font>
      <sz val="11"/>
      <name val="宋体"/>
      <charset val="134"/>
      <scheme val="minor"/>
    </font>
    <font>
      <sz val="14"/>
      <name val="黑体"/>
      <charset val="134"/>
    </font>
    <font>
      <sz val="24"/>
      <name val="方正小标宋简体"/>
      <charset val="134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b/>
      <sz val="12"/>
      <name val="仿宋"/>
      <charset val="134"/>
    </font>
    <font>
      <sz val="11"/>
      <name val="仿宋_GB2312"/>
      <charset val="134"/>
    </font>
    <font>
      <sz val="12"/>
      <name val="仿宋_GB2312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</fills>
  <borders count="12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6" fillId="16" borderId="0" applyNumberFormat="false" applyBorder="false" applyAlignment="false" applyProtection="false">
      <alignment vertical="center"/>
    </xf>
    <xf numFmtId="0" fontId="11" fillId="3" borderId="0" applyNumberFormat="false" applyBorder="false" applyAlignment="false" applyProtection="false">
      <alignment vertical="center"/>
    </xf>
    <xf numFmtId="0" fontId="20" fillId="15" borderId="9" applyNumberFormat="false" applyAlignment="false" applyProtection="false">
      <alignment vertical="center"/>
    </xf>
    <xf numFmtId="0" fontId="18" fillId="9" borderId="6" applyNumberFormat="false" applyAlignment="false" applyProtection="false">
      <alignment vertical="center"/>
    </xf>
    <xf numFmtId="0" fontId="23" fillId="18" borderId="0" applyNumberFormat="false" applyBorder="false" applyAlignment="false" applyProtection="false">
      <alignment vertical="center"/>
    </xf>
    <xf numFmtId="0" fontId="22" fillId="0" borderId="7" applyNumberFormat="false" applyFill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0" fontId="19" fillId="0" borderId="7" applyNumberFormat="false" applyFill="false" applyAlignment="false" applyProtection="false">
      <alignment vertical="center"/>
    </xf>
    <xf numFmtId="0" fontId="11" fillId="17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1" fillId="8" borderId="0" applyNumberFormat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16" fillId="7" borderId="0" applyNumberFormat="false" applyBorder="false" applyAlignment="false" applyProtection="false">
      <alignment vertical="center"/>
    </xf>
    <xf numFmtId="0" fontId="14" fillId="0" borderId="4" applyNumberFormat="false" applyFill="false" applyAlignment="false" applyProtection="false">
      <alignment vertical="center"/>
    </xf>
    <xf numFmtId="0" fontId="15" fillId="0" borderId="5" applyNumberFormat="false" applyFill="false" applyAlignment="false" applyProtection="false">
      <alignment vertical="center"/>
    </xf>
    <xf numFmtId="0" fontId="11" fillId="10" borderId="0" applyNumberFormat="false" applyBorder="false" applyAlignment="false" applyProtection="false">
      <alignment vertical="center"/>
    </xf>
    <xf numFmtId="0" fontId="11" fillId="5" borderId="0" applyNumberFormat="false" applyBorder="false" applyAlignment="false" applyProtection="false">
      <alignment vertical="center"/>
    </xf>
    <xf numFmtId="0" fontId="16" fillId="4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1" fillId="19" borderId="0" applyNumberFormat="false" applyBorder="false" applyAlignment="false" applyProtection="false">
      <alignment vertical="center"/>
    </xf>
    <xf numFmtId="0" fontId="25" fillId="0" borderId="10" applyNumberFormat="false" applyFill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1" fillId="21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11" fillId="22" borderId="0" applyNumberFormat="false" applyBorder="false" applyAlignment="false" applyProtection="false">
      <alignment vertical="center"/>
    </xf>
    <xf numFmtId="0" fontId="0" fillId="13" borderId="8" applyNumberFormat="false" applyFont="false" applyAlignment="false" applyProtection="false">
      <alignment vertical="center"/>
    </xf>
    <xf numFmtId="0" fontId="16" fillId="23" borderId="0" applyNumberFormat="false" applyBorder="false" applyAlignment="false" applyProtection="false">
      <alignment vertical="center"/>
    </xf>
    <xf numFmtId="0" fontId="26" fillId="25" borderId="0" applyNumberFormat="false" applyBorder="false" applyAlignment="false" applyProtection="false">
      <alignment vertical="center"/>
    </xf>
    <xf numFmtId="0" fontId="11" fillId="26" borderId="0" applyNumberFormat="false" applyBorder="false" applyAlignment="false" applyProtection="false">
      <alignment vertical="center"/>
    </xf>
    <xf numFmtId="0" fontId="27" fillId="27" borderId="0" applyNumberFormat="false" applyBorder="false" applyAlignment="false" applyProtection="false">
      <alignment vertical="center"/>
    </xf>
    <xf numFmtId="0" fontId="28" fillId="15" borderId="11" applyNumberFormat="false" applyAlignment="false" applyProtection="false">
      <alignment vertical="center"/>
    </xf>
    <xf numFmtId="0" fontId="16" fillId="14" borderId="0" applyNumberFormat="false" applyBorder="false" applyAlignment="false" applyProtection="false">
      <alignment vertical="center"/>
    </xf>
    <xf numFmtId="0" fontId="16" fillId="28" borderId="0" applyNumberFormat="false" applyBorder="false" applyAlignment="false" applyProtection="false">
      <alignment vertical="center"/>
    </xf>
    <xf numFmtId="0" fontId="16" fillId="30" borderId="0" applyNumberFormat="false" applyBorder="false" applyAlignment="false" applyProtection="false">
      <alignment vertical="center"/>
    </xf>
    <xf numFmtId="0" fontId="16" fillId="24" borderId="0" applyNumberFormat="false" applyBorder="false" applyAlignment="false" applyProtection="false">
      <alignment vertical="center"/>
    </xf>
    <xf numFmtId="0" fontId="16" fillId="31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6" fillId="20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6" fillId="29" borderId="0" applyNumberFormat="false" applyBorder="false" applyAlignment="false" applyProtection="false">
      <alignment vertical="center"/>
    </xf>
    <xf numFmtId="0" fontId="11" fillId="6" borderId="0" applyNumberFormat="false" applyBorder="false" applyAlignment="false" applyProtection="false">
      <alignment vertical="center"/>
    </xf>
    <xf numFmtId="0" fontId="29" fillId="32" borderId="11" applyNumberFormat="false" applyAlignment="false" applyProtection="false">
      <alignment vertical="center"/>
    </xf>
    <xf numFmtId="0" fontId="11" fillId="2" borderId="0" applyNumberFormat="false" applyBorder="false" applyAlignment="false" applyProtection="false">
      <alignment vertical="center"/>
    </xf>
    <xf numFmtId="0" fontId="16" fillId="12" borderId="0" applyNumberFormat="false" applyBorder="false" applyAlignment="false" applyProtection="false">
      <alignment vertical="center"/>
    </xf>
    <xf numFmtId="0" fontId="11" fillId="11" borderId="0" applyNumberFormat="false" applyBorder="false" applyAlignment="false" applyProtection="false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true">
      <alignment vertical="center" wrapText="true"/>
    </xf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0" xfId="0" applyFont="true" applyFill="true" applyAlignment="true">
      <alignment horizontal="center" vertical="center" wrapText="true"/>
    </xf>
    <xf numFmtId="0" fontId="3" fillId="0" borderId="0" xfId="0" applyFont="true" applyFill="true" applyAlignment="true">
      <alignment horizontal="center" vertical="center"/>
    </xf>
    <xf numFmtId="176" fontId="3" fillId="0" borderId="0" xfId="0" applyNumberFormat="true" applyFont="true" applyFill="true" applyAlignment="true">
      <alignment horizontal="center" vertical="center"/>
    </xf>
    <xf numFmtId="0" fontId="4" fillId="0" borderId="0" xfId="0" applyFont="true" applyFill="true" applyAlignment="true">
      <alignment horizontal="left" vertical="center" wrapText="true"/>
    </xf>
    <xf numFmtId="0" fontId="5" fillId="0" borderId="0" xfId="0" applyFont="true" applyFill="true" applyAlignment="true">
      <alignment horizontal="center" vertical="center" wrapText="true"/>
    </xf>
    <xf numFmtId="0" fontId="6" fillId="0" borderId="1" xfId="0" applyFont="true" applyFill="true" applyBorder="true" applyAlignment="true">
      <alignment horizontal="center" vertical="center" wrapText="true"/>
    </xf>
    <xf numFmtId="0" fontId="7" fillId="0" borderId="1" xfId="0" applyFont="true" applyFill="true" applyBorder="true" applyAlignment="true">
      <alignment horizontal="center" vertical="center" wrapText="true"/>
    </xf>
    <xf numFmtId="0" fontId="8" fillId="0" borderId="1" xfId="0" applyFont="true" applyFill="true" applyBorder="true" applyAlignment="true">
      <alignment horizontal="center" vertical="center" wrapText="true"/>
    </xf>
    <xf numFmtId="0" fontId="9" fillId="0" borderId="1" xfId="0" applyFont="true" applyFill="true" applyBorder="true" applyAlignment="true">
      <alignment horizontal="center" vertical="center" wrapText="true"/>
    </xf>
    <xf numFmtId="0" fontId="10" fillId="0" borderId="1" xfId="0" applyFont="true" applyFill="true" applyBorder="true" applyAlignment="true">
      <alignment horizontal="center" vertical="center" wrapText="true"/>
    </xf>
    <xf numFmtId="0" fontId="5" fillId="0" borderId="0" xfId="0" applyFont="true" applyFill="true" applyAlignment="true">
      <alignment horizontal="center" vertical="center"/>
    </xf>
    <xf numFmtId="0" fontId="6" fillId="0" borderId="1" xfId="0" applyFont="true" applyFill="true" applyBorder="true" applyAlignment="true">
      <alignment horizontal="center" vertical="center"/>
    </xf>
    <xf numFmtId="176" fontId="6" fillId="0" borderId="1" xfId="0" applyNumberFormat="true" applyFont="true" applyFill="true" applyBorder="true" applyAlignment="true">
      <alignment horizontal="center" vertical="center" wrapText="true"/>
    </xf>
    <xf numFmtId="0" fontId="9" fillId="0" borderId="2" xfId="0" applyFont="true" applyFill="true" applyBorder="true" applyAlignment="true">
      <alignment horizontal="center" vertical="center"/>
    </xf>
    <xf numFmtId="0" fontId="9" fillId="0" borderId="3" xfId="0" applyFont="true" applyFill="true" applyBorder="true" applyAlignment="true">
      <alignment horizontal="center" vertical="center"/>
    </xf>
    <xf numFmtId="176" fontId="9" fillId="0" borderId="2" xfId="0" applyNumberFormat="true" applyFont="true" applyFill="true" applyBorder="true" applyAlignment="true">
      <alignment horizontal="center" vertical="center"/>
    </xf>
    <xf numFmtId="0" fontId="9" fillId="0" borderId="1" xfId="0" applyFont="true" applyFill="true" applyBorder="true" applyAlignment="true">
      <alignment horizontal="center" vertical="center"/>
    </xf>
    <xf numFmtId="176" fontId="9" fillId="0" borderId="1" xfId="0" applyNumberFormat="true" applyFont="true" applyFill="true" applyBorder="true" applyAlignment="true">
      <alignment horizontal="center" vertical="center"/>
    </xf>
    <xf numFmtId="176" fontId="9" fillId="0" borderId="3" xfId="0" applyNumberFormat="true" applyFont="true" applyFill="true" applyBorder="true" applyAlignment="true">
      <alignment horizontal="center" vertical="center"/>
    </xf>
    <xf numFmtId="0" fontId="2" fillId="0" borderId="1" xfId="0" applyFont="true" applyBorder="true" applyAlignment="true">
      <alignment horizontal="center" vertical="center" wrapText="true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pingtan/&#26700;&#38754;/&#24179;&#28525;&#25353;&#30149;&#31181;49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490（最终版）"/>
      <sheetName val="490（最终版） (2)"/>
    </sheetNames>
    <sheetDataSet>
      <sheetData sheetId="0"/>
      <sheetData sheetId="1">
        <row r="3">
          <cell r="B3" t="str">
            <v>国家编码
（2021.9.22）</v>
          </cell>
          <cell r="C3" t="str">
            <v>本地
病种编码</v>
          </cell>
          <cell r="D3" t="str">
            <v>病种名称（主诊断）</v>
          </cell>
          <cell r="E3" t="str">
            <v>主要操作/诊疗方法</v>
          </cell>
          <cell r="F3" t="str">
            <v>除外内容</v>
          </cell>
          <cell r="G3" t="str">
            <v>调整后收费标准</v>
          </cell>
        </row>
        <row r="3">
          <cell r="I3" t="str">
            <v>说明</v>
          </cell>
        </row>
        <row r="4">
          <cell r="G4" t="str">
            <v>A档</v>
          </cell>
          <cell r="H4" t="str">
            <v>B档</v>
          </cell>
        </row>
        <row r="5">
          <cell r="B5" t="str">
            <v>BD69000</v>
          </cell>
          <cell r="C5" t="str">
            <v>BZ0000001</v>
          </cell>
          <cell r="D5" t="str">
            <v>过敏性紫癜</v>
          </cell>
          <cell r="E5" t="str">
            <v>/</v>
          </cell>
        </row>
        <row r="5">
          <cell r="G5">
            <v>4000</v>
          </cell>
          <cell r="H5">
            <v>4000</v>
          </cell>
          <cell r="I5" t="str">
            <v>14周岁以下患者</v>
          </cell>
        </row>
        <row r="6">
          <cell r="B6" t="str">
            <v>BD69300</v>
          </cell>
          <cell r="C6" t="str">
            <v>BZ0000002</v>
          </cell>
          <cell r="D6" t="str">
            <v>特发性血小板减少性紫癜</v>
          </cell>
          <cell r="E6" t="str">
            <v>/</v>
          </cell>
        </row>
        <row r="6">
          <cell r="G6">
            <v>10200</v>
          </cell>
          <cell r="H6">
            <v>10200</v>
          </cell>
        </row>
        <row r="7">
          <cell r="B7" t="str">
            <v>BE03800</v>
          </cell>
          <cell r="C7" t="str">
            <v>BZ0000003</v>
          </cell>
          <cell r="D7" t="str">
            <v>原发性甲状腺功能减退症</v>
          </cell>
          <cell r="E7" t="str">
            <v>/</v>
          </cell>
        </row>
        <row r="7">
          <cell r="G7">
            <v>4400</v>
          </cell>
          <cell r="H7">
            <v>4400</v>
          </cell>
        </row>
        <row r="8">
          <cell r="B8" t="str">
            <v>BG45903</v>
          </cell>
          <cell r="C8" t="str">
            <v>BZ0000004</v>
          </cell>
          <cell r="D8" t="str">
            <v>短暂性脑缺血发作</v>
          </cell>
          <cell r="E8" t="str">
            <v>/</v>
          </cell>
        </row>
        <row r="8">
          <cell r="G8">
            <v>5200</v>
          </cell>
          <cell r="H8">
            <v>4500</v>
          </cell>
          <cell r="I8" t="str">
            <v>不含介入治疗患者</v>
          </cell>
        </row>
        <row r="9">
          <cell r="B9" t="str">
            <v>BJ18000</v>
          </cell>
          <cell r="C9" t="str">
            <v>BZ0000005</v>
          </cell>
          <cell r="D9" t="str">
            <v>支气管肺炎</v>
          </cell>
          <cell r="E9" t="str">
            <v>/</v>
          </cell>
        </row>
        <row r="9">
          <cell r="G9">
            <v>2600</v>
          </cell>
          <cell r="H9">
            <v>2600</v>
          </cell>
          <cell r="I9" t="str">
            <v>14周岁以下患者</v>
          </cell>
        </row>
        <row r="10">
          <cell r="B10" t="str">
            <v>BK26400</v>
          </cell>
          <cell r="C10" t="str">
            <v>BZ0000007</v>
          </cell>
          <cell r="D10" t="str">
            <v>十二指肠溃疡伴出血</v>
          </cell>
          <cell r="E10" t="str">
            <v>/</v>
          </cell>
        </row>
        <row r="10">
          <cell r="G10">
            <v>5000</v>
          </cell>
          <cell r="H10">
            <v>5000</v>
          </cell>
        </row>
        <row r="11">
          <cell r="B11" t="str">
            <v>BM06907</v>
          </cell>
          <cell r="C11" t="str">
            <v>BZ0000008</v>
          </cell>
          <cell r="D11" t="str">
            <v>类风湿性关节炎</v>
          </cell>
          <cell r="E11" t="str">
            <v>/</v>
          </cell>
        </row>
        <row r="11">
          <cell r="G11">
            <v>4300</v>
          </cell>
          <cell r="H11">
            <v>4300</v>
          </cell>
        </row>
        <row r="12">
          <cell r="B12" t="str">
            <v>BN00900</v>
          </cell>
          <cell r="C12" t="str">
            <v>BZ0000009</v>
          </cell>
          <cell r="D12" t="str">
            <v>急性肾小球肾炎</v>
          </cell>
          <cell r="E12" t="str">
            <v>/</v>
          </cell>
        </row>
        <row r="12">
          <cell r="G12">
            <v>5000</v>
          </cell>
          <cell r="H12">
            <v>5000</v>
          </cell>
        </row>
        <row r="13">
          <cell r="B13" t="str">
            <v>BN10x00</v>
          </cell>
          <cell r="C13" t="str">
            <v>BZ0000010</v>
          </cell>
          <cell r="D13" t="str">
            <v>急性肾盂肾炎</v>
          </cell>
          <cell r="E13" t="str">
            <v>/</v>
          </cell>
        </row>
        <row r="13">
          <cell r="G13">
            <v>7000</v>
          </cell>
          <cell r="H13">
            <v>7000</v>
          </cell>
        </row>
        <row r="14">
          <cell r="B14" t="str">
            <v>BI45601</v>
          </cell>
          <cell r="C14" t="str">
            <v>BZ0000011</v>
          </cell>
          <cell r="D14" t="str">
            <v>预激综合征</v>
          </cell>
          <cell r="E14" t="str">
            <v>射频消融术</v>
          </cell>
        </row>
        <row r="14">
          <cell r="G14">
            <v>23800</v>
          </cell>
          <cell r="H14">
            <v>23800</v>
          </cell>
        </row>
        <row r="15">
          <cell r="B15" t="str">
            <v>BI47121</v>
          </cell>
          <cell r="C15" t="str">
            <v>BZ0000012</v>
          </cell>
          <cell r="D15" t="str">
            <v>阵发性室上性心动过速</v>
          </cell>
          <cell r="E15" t="str">
            <v>射频消融术</v>
          </cell>
        </row>
        <row r="15">
          <cell r="G15">
            <v>25500</v>
          </cell>
          <cell r="H15">
            <v>25500</v>
          </cell>
        </row>
        <row r="16">
          <cell r="B16" t="str">
            <v>BI47123</v>
          </cell>
          <cell r="C16" t="str">
            <v>BZ0000013</v>
          </cell>
          <cell r="D16" t="str">
            <v>房室结折返性心动过速</v>
          </cell>
          <cell r="E16" t="str">
            <v>射频消融术</v>
          </cell>
        </row>
        <row r="16">
          <cell r="G16">
            <v>24700</v>
          </cell>
          <cell r="H16">
            <v>24700</v>
          </cell>
        </row>
        <row r="17">
          <cell r="B17" t="str">
            <v>BI49510</v>
          </cell>
          <cell r="C17" t="str">
            <v>BZ0000014</v>
          </cell>
          <cell r="D17" t="str">
            <v>病态窦房结综合征</v>
          </cell>
          <cell r="E17" t="str">
            <v>永久起搏器安置术</v>
          </cell>
          <cell r="F17" t="str">
            <v>起搏器</v>
          </cell>
          <cell r="G17">
            <v>15300</v>
          </cell>
          <cell r="H17">
            <v>15300</v>
          </cell>
        </row>
        <row r="18">
          <cell r="B18" t="str">
            <v>BC73x13</v>
          </cell>
          <cell r="C18" t="str">
            <v>BZ0000015</v>
          </cell>
          <cell r="D18" t="str">
            <v>甲状腺癌术后</v>
          </cell>
          <cell r="E18" t="str">
            <v>放射性碘-131治疗</v>
          </cell>
        </row>
        <row r="18">
          <cell r="G18">
            <v>10200</v>
          </cell>
          <cell r="H18">
            <v>10200</v>
          </cell>
        </row>
        <row r="19">
          <cell r="B19" t="str">
            <v>BK63501</v>
          </cell>
          <cell r="C19" t="str">
            <v>BZ0000016</v>
          </cell>
          <cell r="D19" t="str">
            <v>结肠息肉</v>
          </cell>
          <cell r="E19" t="str">
            <v>内镜下结肠息肉切除术</v>
          </cell>
        </row>
        <row r="19">
          <cell r="G19">
            <v>5600</v>
          </cell>
          <cell r="H19">
            <v>5600</v>
          </cell>
        </row>
        <row r="20">
          <cell r="B20" t="str">
            <v>BC16922</v>
          </cell>
          <cell r="C20" t="str">
            <v>BZ0000017</v>
          </cell>
          <cell r="D20" t="str">
            <v>胃癌</v>
          </cell>
          <cell r="E20" t="str">
            <v>根治性远端胃大部切除+胃空肠吻合术</v>
          </cell>
        </row>
        <row r="20">
          <cell r="G20">
            <v>43000</v>
          </cell>
          <cell r="H20">
            <v>43000</v>
          </cell>
        </row>
        <row r="21">
          <cell r="B21" t="str">
            <v>BC16906</v>
          </cell>
          <cell r="C21" t="str">
            <v>BZ0000018</v>
          </cell>
          <cell r="D21" t="str">
            <v>胃癌</v>
          </cell>
          <cell r="E21" t="str">
            <v>根治性远端胃大部切除+胃十二指肠吻合术</v>
          </cell>
        </row>
        <row r="21">
          <cell r="G21">
            <v>51000</v>
          </cell>
          <cell r="H21">
            <v>51000</v>
          </cell>
        </row>
        <row r="22">
          <cell r="B22" t="str">
            <v>BC16927</v>
          </cell>
          <cell r="C22" t="str">
            <v>BZ0000019</v>
          </cell>
          <cell r="D22" t="str">
            <v>胃癌</v>
          </cell>
          <cell r="E22" t="str">
            <v>经腹腔镜根治性远端胃大部切除+胃空肠吻合术</v>
          </cell>
        </row>
        <row r="22">
          <cell r="G22">
            <v>61200</v>
          </cell>
          <cell r="H22">
            <v>61200</v>
          </cell>
        </row>
        <row r="23">
          <cell r="B23" t="str">
            <v>BC16907</v>
          </cell>
          <cell r="C23" t="str">
            <v>BZ0000020</v>
          </cell>
          <cell r="D23" t="str">
            <v>胃癌</v>
          </cell>
          <cell r="E23" t="str">
            <v>经腹腔镜根治性远端胃大部切除+胃十二指肠吻合术</v>
          </cell>
        </row>
        <row r="23">
          <cell r="G23">
            <v>52700</v>
          </cell>
          <cell r="H23">
            <v>52700</v>
          </cell>
        </row>
        <row r="24">
          <cell r="B24" t="str">
            <v>BC16905</v>
          </cell>
          <cell r="C24" t="str">
            <v>BZ0000021</v>
          </cell>
          <cell r="D24" t="str">
            <v>胃癌</v>
          </cell>
          <cell r="E24" t="str">
            <v>根治性近端胃大部切除+食管胃吻合术</v>
          </cell>
        </row>
        <row r="24">
          <cell r="G24">
            <v>60400</v>
          </cell>
          <cell r="H24">
            <v>60400</v>
          </cell>
        </row>
        <row r="25">
          <cell r="B25" t="str">
            <v>BC16916</v>
          </cell>
          <cell r="C25" t="str">
            <v>BZ0000022</v>
          </cell>
          <cell r="D25" t="str">
            <v>胃癌</v>
          </cell>
          <cell r="E25" t="str">
            <v>经腹腔镜根治性近端胃大部切除+食管胃吻合术</v>
          </cell>
        </row>
        <row r="25">
          <cell r="G25">
            <v>62100</v>
          </cell>
          <cell r="H25">
            <v>62100</v>
          </cell>
        </row>
        <row r="26">
          <cell r="B26" t="str">
            <v>BC18912</v>
          </cell>
          <cell r="C26" t="str">
            <v>BZ0000023</v>
          </cell>
          <cell r="D26" t="str">
            <v>结肠癌</v>
          </cell>
          <cell r="E26" t="str">
            <v>左半结肠癌根治术</v>
          </cell>
        </row>
        <row r="26">
          <cell r="G26">
            <v>40000</v>
          </cell>
          <cell r="H26">
            <v>40000</v>
          </cell>
        </row>
        <row r="27">
          <cell r="B27" t="str">
            <v>BC18905</v>
          </cell>
          <cell r="C27" t="str">
            <v>BZ0000024</v>
          </cell>
          <cell r="D27" t="str">
            <v>结肠癌</v>
          </cell>
          <cell r="E27" t="str">
            <v>经腹腔镜左半结肠癌根治术</v>
          </cell>
        </row>
        <row r="27">
          <cell r="G27">
            <v>45100</v>
          </cell>
          <cell r="H27">
            <v>45100</v>
          </cell>
        </row>
        <row r="28">
          <cell r="B28" t="str">
            <v>BC18902</v>
          </cell>
          <cell r="C28" t="str">
            <v>BZ0000025</v>
          </cell>
          <cell r="D28" t="str">
            <v>结肠癌</v>
          </cell>
          <cell r="E28" t="str">
            <v>右半结肠癌根治术</v>
          </cell>
        </row>
        <row r="28">
          <cell r="G28">
            <v>40000</v>
          </cell>
          <cell r="H28">
            <v>40000</v>
          </cell>
        </row>
        <row r="29">
          <cell r="B29" t="str">
            <v>BC18924</v>
          </cell>
          <cell r="C29" t="str">
            <v>BZ0000026</v>
          </cell>
          <cell r="D29" t="str">
            <v>结肠癌</v>
          </cell>
          <cell r="E29" t="str">
            <v>经腹腔镜右半结肠癌根治术</v>
          </cell>
        </row>
        <row r="29">
          <cell r="G29">
            <v>46800</v>
          </cell>
          <cell r="H29">
            <v>46800</v>
          </cell>
        </row>
        <row r="30">
          <cell r="B30" t="str">
            <v>BC18914</v>
          </cell>
          <cell r="C30" t="str">
            <v>BZ0000027</v>
          </cell>
          <cell r="D30" t="str">
            <v>结肠癌</v>
          </cell>
          <cell r="E30" t="str">
            <v>乙状结肠癌根治术</v>
          </cell>
        </row>
        <row r="30">
          <cell r="G30">
            <v>31500</v>
          </cell>
          <cell r="H30">
            <v>31500</v>
          </cell>
        </row>
        <row r="31">
          <cell r="B31" t="str">
            <v>BC18906</v>
          </cell>
          <cell r="C31" t="str">
            <v>BZ0000028</v>
          </cell>
          <cell r="D31" t="str">
            <v>结肠癌</v>
          </cell>
          <cell r="E31" t="str">
            <v>经腹腔镜乙状结肠癌根治术</v>
          </cell>
        </row>
        <row r="31">
          <cell r="G31">
            <v>45100</v>
          </cell>
          <cell r="H31">
            <v>45100</v>
          </cell>
        </row>
        <row r="32">
          <cell r="B32" t="str">
            <v>BC34913</v>
          </cell>
          <cell r="C32" t="str">
            <v>BZ0000029</v>
          </cell>
          <cell r="D32" t="str">
            <v>支气管肺癌</v>
          </cell>
          <cell r="E32" t="str">
            <v>全肺切除术</v>
          </cell>
        </row>
        <row r="32">
          <cell r="G32">
            <v>57000</v>
          </cell>
          <cell r="H32">
            <v>57000</v>
          </cell>
        </row>
        <row r="33">
          <cell r="B33" t="str">
            <v>BC34918</v>
          </cell>
          <cell r="C33" t="str">
            <v>BZ0000030</v>
          </cell>
          <cell r="D33" t="str">
            <v>支气管肺癌</v>
          </cell>
          <cell r="E33" t="str">
            <v>肺段切除术</v>
          </cell>
        </row>
        <row r="33">
          <cell r="G33">
            <v>51000</v>
          </cell>
          <cell r="H33">
            <v>51000</v>
          </cell>
        </row>
        <row r="34">
          <cell r="B34" t="str">
            <v>BC34917</v>
          </cell>
          <cell r="C34" t="str">
            <v>BZ0000031</v>
          </cell>
          <cell r="D34" t="str">
            <v>支气管肺癌</v>
          </cell>
          <cell r="E34" t="str">
            <v>经胸腔镜肺段切除术</v>
          </cell>
        </row>
        <row r="34">
          <cell r="G34">
            <v>51000</v>
          </cell>
          <cell r="H34">
            <v>51000</v>
          </cell>
        </row>
        <row r="35">
          <cell r="B35" t="str">
            <v>BC34910</v>
          </cell>
          <cell r="C35" t="str">
            <v>BZ0000032</v>
          </cell>
          <cell r="D35" t="str">
            <v>支气管肺癌</v>
          </cell>
          <cell r="E35" t="str">
            <v>肺叶切除术</v>
          </cell>
        </row>
        <row r="35">
          <cell r="G35">
            <v>54400</v>
          </cell>
          <cell r="H35">
            <v>54400</v>
          </cell>
        </row>
        <row r="36">
          <cell r="B36" t="str">
            <v>BC34919</v>
          </cell>
          <cell r="C36" t="str">
            <v>BZ0000033</v>
          </cell>
          <cell r="D36" t="str">
            <v>支气管肺癌</v>
          </cell>
          <cell r="E36" t="str">
            <v>经胸腔镜肺叶切除术</v>
          </cell>
        </row>
        <row r="36">
          <cell r="G36">
            <v>54400</v>
          </cell>
          <cell r="H36">
            <v>54400</v>
          </cell>
        </row>
        <row r="37">
          <cell r="B37" t="str">
            <v>BC50908</v>
          </cell>
          <cell r="C37" t="str">
            <v>BZ0000034</v>
          </cell>
          <cell r="D37" t="str">
            <v>乳腺癌</v>
          </cell>
          <cell r="E37" t="str">
            <v>单侧乳腺癌根治术</v>
          </cell>
        </row>
        <row r="37">
          <cell r="G37">
            <v>17000</v>
          </cell>
          <cell r="H37">
            <v>17000</v>
          </cell>
          <cell r="I37" t="str">
            <v>含乳癌改良根治术</v>
          </cell>
        </row>
        <row r="38">
          <cell r="B38" t="str">
            <v>BC61x06</v>
          </cell>
          <cell r="C38" t="str">
            <v>BZ0000035</v>
          </cell>
          <cell r="D38" t="str">
            <v>前列腺癌</v>
          </cell>
          <cell r="E38" t="str">
            <v>前列腺癌根治术</v>
          </cell>
        </row>
        <row r="38">
          <cell r="G38">
            <v>40000</v>
          </cell>
          <cell r="H38">
            <v>40000</v>
          </cell>
        </row>
        <row r="39">
          <cell r="B39" t="str">
            <v>BC67907</v>
          </cell>
          <cell r="C39" t="str">
            <v>BZ0000036</v>
          </cell>
          <cell r="D39" t="str">
            <v>膀胱癌</v>
          </cell>
          <cell r="E39" t="str">
            <v>根治性膀胱全切除术</v>
          </cell>
        </row>
        <row r="39">
          <cell r="G39">
            <v>63800</v>
          </cell>
          <cell r="H39">
            <v>63800</v>
          </cell>
        </row>
        <row r="40">
          <cell r="B40" t="str">
            <v>BC67901</v>
          </cell>
          <cell r="C40" t="str">
            <v>BZ0000037</v>
          </cell>
          <cell r="D40" t="str">
            <v>膀胱癌</v>
          </cell>
          <cell r="E40" t="str">
            <v>经尿道膀胱肿瘤电切术</v>
          </cell>
        </row>
        <row r="40">
          <cell r="G40">
            <v>15900</v>
          </cell>
          <cell r="H40">
            <v>15900</v>
          </cell>
        </row>
        <row r="41">
          <cell r="B41" t="str">
            <v>BC73x07</v>
          </cell>
          <cell r="C41" t="str">
            <v>BZ0000038</v>
          </cell>
          <cell r="D41" t="str">
            <v>甲状腺癌</v>
          </cell>
          <cell r="E41" t="str">
            <v>单侧甲状腺癌根治术</v>
          </cell>
        </row>
        <row r="41">
          <cell r="G41">
            <v>14500</v>
          </cell>
          <cell r="H41">
            <v>14500</v>
          </cell>
          <cell r="I41" t="str">
            <v>不含颈部淋巴结清扫；不含既往有甲状腺手术史患者</v>
          </cell>
        </row>
        <row r="42">
          <cell r="B42" t="str">
            <v>BC73x42</v>
          </cell>
          <cell r="C42" t="str">
            <v>BZ0000039</v>
          </cell>
          <cell r="D42" t="str">
            <v>甲状腺癌</v>
          </cell>
          <cell r="E42" t="str">
            <v>腔镜下单侧甲状腺癌根治术</v>
          </cell>
        </row>
        <row r="42">
          <cell r="G42">
            <v>15300</v>
          </cell>
          <cell r="H42">
            <v>15300</v>
          </cell>
          <cell r="I42" t="str">
            <v>不含颈部淋巴结清扫；不含既往有甲状腺手术史患者</v>
          </cell>
        </row>
        <row r="43">
          <cell r="B43" t="str">
            <v>BD24x22</v>
          </cell>
          <cell r="C43" t="str">
            <v>BZ0000040</v>
          </cell>
          <cell r="D43" t="str">
            <v>乳腺良性肿瘤</v>
          </cell>
          <cell r="E43" t="str">
            <v>乳腺肿物切除术</v>
          </cell>
        </row>
        <row r="43">
          <cell r="G43">
            <v>5400</v>
          </cell>
          <cell r="H43">
            <v>5400</v>
          </cell>
          <cell r="I43" t="str">
            <v>含乳腺病损切除术</v>
          </cell>
        </row>
        <row r="44">
          <cell r="B44" t="str">
            <v>BD25915</v>
          </cell>
          <cell r="C44" t="str">
            <v>BZ0000041</v>
          </cell>
          <cell r="D44" t="str">
            <v>子宫平滑肌瘤</v>
          </cell>
          <cell r="E44" t="str">
            <v>经腹全子宫切除术</v>
          </cell>
        </row>
        <row r="44">
          <cell r="G44">
            <v>11000</v>
          </cell>
          <cell r="H44">
            <v>11000</v>
          </cell>
        </row>
        <row r="45">
          <cell r="B45" t="str">
            <v>BD25914</v>
          </cell>
          <cell r="C45" t="str">
            <v>BZ0000042</v>
          </cell>
          <cell r="D45" t="str">
            <v>子宫平滑肌瘤</v>
          </cell>
          <cell r="E45" t="str">
            <v>经腹腔镜全子宫切除术</v>
          </cell>
        </row>
        <row r="45">
          <cell r="G45">
            <v>11500</v>
          </cell>
          <cell r="H45">
            <v>11500</v>
          </cell>
        </row>
        <row r="46">
          <cell r="B46" t="str">
            <v>BD25917</v>
          </cell>
          <cell r="C46" t="str">
            <v>BZ0000043</v>
          </cell>
          <cell r="D46" t="str">
            <v>子宫平滑肌瘤</v>
          </cell>
          <cell r="E46" t="str">
            <v>经阴道全子宫切除术</v>
          </cell>
        </row>
        <row r="46">
          <cell r="G46">
            <v>10900</v>
          </cell>
          <cell r="H46">
            <v>10900</v>
          </cell>
        </row>
        <row r="47">
          <cell r="B47" t="str">
            <v>BD25913</v>
          </cell>
          <cell r="C47" t="str">
            <v>BZ0000044</v>
          </cell>
          <cell r="D47" t="str">
            <v>子宫平滑肌瘤</v>
          </cell>
          <cell r="E47" t="str">
            <v>经腹子宫次全切除术</v>
          </cell>
        </row>
        <row r="47">
          <cell r="G47">
            <v>8900</v>
          </cell>
          <cell r="H47">
            <v>8900</v>
          </cell>
        </row>
        <row r="48">
          <cell r="B48" t="str">
            <v>BD25920</v>
          </cell>
          <cell r="C48" t="str">
            <v>BZ0000045</v>
          </cell>
          <cell r="D48" t="str">
            <v>子宫平滑肌瘤</v>
          </cell>
          <cell r="E48" t="str">
            <v>腹腔镜联合阴式全子宫切除术</v>
          </cell>
        </row>
        <row r="48">
          <cell r="G48">
            <v>12200</v>
          </cell>
          <cell r="H48">
            <v>12200</v>
          </cell>
        </row>
        <row r="49">
          <cell r="B49" t="str">
            <v>BD25911</v>
          </cell>
          <cell r="C49" t="str">
            <v>BZ0000046</v>
          </cell>
          <cell r="D49" t="str">
            <v>子宫平滑肌瘤</v>
          </cell>
          <cell r="E49" t="str">
            <v>经宫腔镜黏膜下肌瘤切除术</v>
          </cell>
        </row>
        <row r="49">
          <cell r="G49">
            <v>6200</v>
          </cell>
          <cell r="H49">
            <v>6200</v>
          </cell>
        </row>
        <row r="50">
          <cell r="B50" t="str">
            <v>BD27x05</v>
          </cell>
          <cell r="C50" t="str">
            <v>BZ0000047</v>
          </cell>
          <cell r="D50" t="str">
            <v>卵巢良性肿瘤</v>
          </cell>
          <cell r="E50" t="str">
            <v>经腹单侧卵巢囊肿剥除术</v>
          </cell>
        </row>
        <row r="50">
          <cell r="G50">
            <v>11100</v>
          </cell>
          <cell r="H50">
            <v>11100</v>
          </cell>
          <cell r="I50" t="str">
            <v>含单侧卵巢病损切除术</v>
          </cell>
        </row>
        <row r="51">
          <cell r="B51" t="str">
            <v>BD27x03</v>
          </cell>
          <cell r="C51" t="str">
            <v>BZ0000048</v>
          </cell>
          <cell r="D51" t="str">
            <v>卵巢良性肿瘤</v>
          </cell>
          <cell r="E51" t="str">
            <v>经腹腔镜单侧卵巢囊肿剥除术</v>
          </cell>
        </row>
        <row r="51">
          <cell r="G51">
            <v>11900</v>
          </cell>
          <cell r="H51">
            <v>11900</v>
          </cell>
          <cell r="I51" t="str">
            <v>含腹腔镜单侧卵巢病损切除术</v>
          </cell>
        </row>
        <row r="52">
          <cell r="B52" t="str">
            <v>BE04903</v>
          </cell>
          <cell r="C52" t="str">
            <v>BZ0000049</v>
          </cell>
          <cell r="D52" t="str">
            <v>结节性甲状腺肿</v>
          </cell>
          <cell r="E52" t="str">
            <v>单侧甲状腺次全切除术</v>
          </cell>
        </row>
        <row r="52">
          <cell r="G52">
            <v>11100</v>
          </cell>
          <cell r="H52">
            <v>11100</v>
          </cell>
        </row>
        <row r="53">
          <cell r="B53" t="str">
            <v>BE04906</v>
          </cell>
          <cell r="C53" t="str">
            <v>BZ0000050</v>
          </cell>
          <cell r="D53" t="str">
            <v>结节性甲状腺肿</v>
          </cell>
          <cell r="E53" t="str">
            <v>单侧甲状腺全切术</v>
          </cell>
        </row>
        <row r="53">
          <cell r="G53">
            <v>10200</v>
          </cell>
          <cell r="H53">
            <v>10200</v>
          </cell>
        </row>
        <row r="54">
          <cell r="B54" t="str">
            <v>BE04902</v>
          </cell>
          <cell r="C54" t="str">
            <v>BZ0000051</v>
          </cell>
          <cell r="D54" t="str">
            <v>结节性甲状腺肿</v>
          </cell>
          <cell r="E54" t="str">
            <v>单侧甲状腺部分切除术</v>
          </cell>
        </row>
        <row r="54">
          <cell r="G54">
            <v>9400</v>
          </cell>
          <cell r="H54">
            <v>9400</v>
          </cell>
        </row>
        <row r="55">
          <cell r="B55" t="str">
            <v>BE04933</v>
          </cell>
          <cell r="C55" t="str">
            <v>BZ0000052</v>
          </cell>
          <cell r="D55" t="str">
            <v>结节性甲状腺肿</v>
          </cell>
          <cell r="E55" t="str">
            <v>单侧甲状腺切除术</v>
          </cell>
        </row>
        <row r="55">
          <cell r="G55">
            <v>10200</v>
          </cell>
          <cell r="H55">
            <v>10200</v>
          </cell>
          <cell r="I55" t="str">
            <v>含甲状腺峡部切除术</v>
          </cell>
        </row>
        <row r="56">
          <cell r="B56" t="str">
            <v>BH25920</v>
          </cell>
          <cell r="C56" t="str">
            <v>BZ0000053</v>
          </cell>
          <cell r="D56" t="str">
            <v>老年性白内障</v>
          </cell>
          <cell r="E56" t="str">
            <v>白内障超声乳化摘除术+人工晶体植入术</v>
          </cell>
          <cell r="F56" t="str">
            <v>人工晶体</v>
          </cell>
          <cell r="G56">
            <v>4500</v>
          </cell>
          <cell r="H56">
            <v>4500</v>
          </cell>
        </row>
        <row r="57">
          <cell r="B57" t="str">
            <v>BH40234</v>
          </cell>
          <cell r="C57" t="str">
            <v>BZ0000054</v>
          </cell>
          <cell r="D57" t="str">
            <v>原发性急性闭角型青光眼</v>
          </cell>
          <cell r="E57" t="str">
            <v>小梁切除术</v>
          </cell>
        </row>
        <row r="57">
          <cell r="G57">
            <v>6300</v>
          </cell>
          <cell r="H57">
            <v>6300</v>
          </cell>
        </row>
        <row r="58">
          <cell r="B58" t="str">
            <v>BI05903</v>
          </cell>
          <cell r="C58" t="str">
            <v>BZ0000055</v>
          </cell>
          <cell r="D58" t="str">
            <v>风湿性心脏病二尖瓣病变</v>
          </cell>
          <cell r="E58" t="str">
            <v>二尖瓣置换术</v>
          </cell>
          <cell r="F58" t="str">
            <v>人工瓣膜</v>
          </cell>
          <cell r="G58">
            <v>59500</v>
          </cell>
          <cell r="H58">
            <v>59500</v>
          </cell>
        </row>
        <row r="59">
          <cell r="B59" t="str">
            <v>BI83904</v>
          </cell>
          <cell r="C59" t="str">
            <v>BZ0000056</v>
          </cell>
          <cell r="D59" t="str">
            <v>下肢静脉曲张</v>
          </cell>
          <cell r="E59" t="str">
            <v>单侧大隐静脉高位结扎＋剥脱术</v>
          </cell>
        </row>
        <row r="59">
          <cell r="G59">
            <v>7700</v>
          </cell>
          <cell r="H59">
            <v>7700</v>
          </cell>
        </row>
        <row r="60">
          <cell r="B60" t="str">
            <v>BK64880</v>
          </cell>
          <cell r="C60" t="str">
            <v>BZ0000057</v>
          </cell>
          <cell r="D60" t="str">
            <v>内痔</v>
          </cell>
          <cell r="E60" t="str">
            <v>内痔套扎术</v>
          </cell>
        </row>
        <row r="60">
          <cell r="G60">
            <v>6400</v>
          </cell>
          <cell r="H60">
            <v>6400</v>
          </cell>
        </row>
        <row r="61">
          <cell r="B61" t="str">
            <v>BK64804</v>
          </cell>
          <cell r="C61" t="str">
            <v>BZ0000058</v>
          </cell>
          <cell r="D61" t="str">
            <v>内痔</v>
          </cell>
          <cell r="E61" t="str">
            <v>吻合器痔上粘膜切除术</v>
          </cell>
        </row>
        <row r="61">
          <cell r="G61">
            <v>6800</v>
          </cell>
          <cell r="H61">
            <v>6800</v>
          </cell>
        </row>
        <row r="62">
          <cell r="B62" t="str">
            <v>BK64861</v>
          </cell>
          <cell r="C62" t="str">
            <v>BZ0000059</v>
          </cell>
          <cell r="D62" t="str">
            <v>外痔</v>
          </cell>
          <cell r="E62" t="str">
            <v>外痔切除术</v>
          </cell>
        </row>
        <row r="62">
          <cell r="G62">
            <v>3800</v>
          </cell>
          <cell r="H62">
            <v>3800</v>
          </cell>
        </row>
        <row r="63">
          <cell r="B63" t="str">
            <v>BK64869</v>
          </cell>
          <cell r="C63" t="str">
            <v>BZ0000060</v>
          </cell>
          <cell r="D63" t="str">
            <v>混合痔</v>
          </cell>
          <cell r="E63" t="str">
            <v>吻合器痔上粘膜切除+外痔切除术</v>
          </cell>
        </row>
        <row r="63">
          <cell r="G63">
            <v>7200</v>
          </cell>
          <cell r="H63">
            <v>7200</v>
          </cell>
        </row>
        <row r="64">
          <cell r="B64" t="str">
            <v>BK64856</v>
          </cell>
          <cell r="C64" t="str">
            <v>BZ0000061</v>
          </cell>
          <cell r="D64" t="str">
            <v>混合痔</v>
          </cell>
          <cell r="E64" t="str">
            <v>混合痔外剥内扎术</v>
          </cell>
        </row>
        <row r="64">
          <cell r="G64">
            <v>3400</v>
          </cell>
          <cell r="H64">
            <v>3400</v>
          </cell>
        </row>
        <row r="65">
          <cell r="B65" t="str">
            <v>BJ32913</v>
          </cell>
          <cell r="C65" t="str">
            <v>BZ0000062</v>
          </cell>
          <cell r="D65" t="str">
            <v>慢性鼻窦炎</v>
          </cell>
          <cell r="E65" t="str">
            <v>经鼻内镜全组鼻窦开放术</v>
          </cell>
        </row>
        <row r="65">
          <cell r="G65">
            <v>8500</v>
          </cell>
          <cell r="H65">
            <v>8500</v>
          </cell>
        </row>
        <row r="66">
          <cell r="B66" t="str">
            <v>BJ34204</v>
          </cell>
          <cell r="C66" t="str">
            <v>BZ0000063</v>
          </cell>
          <cell r="D66" t="str">
            <v>鼻中隔偏曲</v>
          </cell>
          <cell r="E66" t="str">
            <v>经鼻内镜鼻中隔偏曲矫正术</v>
          </cell>
        </row>
        <row r="66">
          <cell r="G66">
            <v>6000</v>
          </cell>
          <cell r="H66">
            <v>6000</v>
          </cell>
        </row>
        <row r="67">
          <cell r="B67" t="str">
            <v>BJ35001</v>
          </cell>
          <cell r="C67" t="str">
            <v>BZ0000064</v>
          </cell>
          <cell r="D67" t="str">
            <v>慢性扁桃体炎</v>
          </cell>
          <cell r="E67" t="str">
            <v>扁桃体切除术</v>
          </cell>
        </row>
        <row r="67">
          <cell r="G67">
            <v>6800</v>
          </cell>
          <cell r="H67">
            <v>6800</v>
          </cell>
        </row>
        <row r="68">
          <cell r="B68" t="str">
            <v>BJ93001</v>
          </cell>
          <cell r="C68" t="str">
            <v>BZ0000065</v>
          </cell>
          <cell r="D68" t="str">
            <v>自发性气胸</v>
          </cell>
          <cell r="E68" t="str">
            <v>肺大泡切除修补术</v>
          </cell>
        </row>
        <row r="68">
          <cell r="G68">
            <v>23000</v>
          </cell>
          <cell r="H68">
            <v>23000</v>
          </cell>
        </row>
        <row r="69">
          <cell r="B69" t="str">
            <v>BJ93113</v>
          </cell>
          <cell r="C69" t="str">
            <v>BZ0000066</v>
          </cell>
          <cell r="D69" t="str">
            <v>自发性气胸</v>
          </cell>
          <cell r="E69" t="str">
            <v>经胸腔镜肺大泡切除胸膜固定术</v>
          </cell>
        </row>
        <row r="69">
          <cell r="G69">
            <v>23800</v>
          </cell>
          <cell r="H69">
            <v>23800</v>
          </cell>
        </row>
        <row r="70">
          <cell r="B70" t="str">
            <v>BK35801</v>
          </cell>
          <cell r="C70" t="str">
            <v>BZ0000067</v>
          </cell>
          <cell r="D70" t="str">
            <v>急性单纯性阑尾炎</v>
          </cell>
          <cell r="E70" t="str">
            <v>经腹腔镜阑尾切除术</v>
          </cell>
        </row>
        <row r="70">
          <cell r="G70">
            <v>7800</v>
          </cell>
          <cell r="H70">
            <v>7300</v>
          </cell>
        </row>
        <row r="71">
          <cell r="B71" t="str">
            <v>BK35802</v>
          </cell>
          <cell r="C71" t="str">
            <v>BZ0000068</v>
          </cell>
          <cell r="D71" t="str">
            <v>急性单纯性阑尾炎</v>
          </cell>
          <cell r="E71" t="str">
            <v>阑尾切除术</v>
          </cell>
        </row>
        <row r="71">
          <cell r="G71">
            <v>6000</v>
          </cell>
          <cell r="H71">
            <v>6000</v>
          </cell>
        </row>
        <row r="72">
          <cell r="B72" t="str">
            <v>BK40901</v>
          </cell>
          <cell r="C72" t="str">
            <v>BZ0000069</v>
          </cell>
          <cell r="D72" t="str">
            <v>腹股沟疝</v>
          </cell>
          <cell r="E72" t="str">
            <v>单侧腹股沟疝修补术</v>
          </cell>
        </row>
        <row r="72">
          <cell r="G72">
            <v>4500</v>
          </cell>
          <cell r="H72">
            <v>4500</v>
          </cell>
        </row>
        <row r="73">
          <cell r="B73" t="str">
            <v>BK40902</v>
          </cell>
          <cell r="C73" t="str">
            <v>BZ0000070</v>
          </cell>
          <cell r="D73" t="str">
            <v>腹股沟疝</v>
          </cell>
          <cell r="E73" t="str">
            <v>单侧无张力腹股沟疝修补术</v>
          </cell>
          <cell r="F73" t="str">
            <v>补片</v>
          </cell>
          <cell r="G73">
            <v>6400</v>
          </cell>
          <cell r="H73">
            <v>6400</v>
          </cell>
        </row>
        <row r="74">
          <cell r="B74" t="str">
            <v>BK40938</v>
          </cell>
          <cell r="C74" t="str">
            <v>BZ0000071</v>
          </cell>
          <cell r="D74" t="str">
            <v>腹股沟疝</v>
          </cell>
          <cell r="E74" t="str">
            <v>腔镜下单侧无张力腹股沟疝修补术</v>
          </cell>
          <cell r="F74" t="str">
            <v>补片</v>
          </cell>
          <cell r="G74">
            <v>8500</v>
          </cell>
          <cell r="H74">
            <v>8500</v>
          </cell>
        </row>
        <row r="75">
          <cell r="B75" t="str">
            <v>BK80202</v>
          </cell>
          <cell r="C75" t="str">
            <v>BZ0000072</v>
          </cell>
          <cell r="D75" t="str">
            <v>胆囊结石</v>
          </cell>
          <cell r="E75" t="str">
            <v>胆囊切除术</v>
          </cell>
        </row>
        <row r="75">
          <cell r="G75">
            <v>19600</v>
          </cell>
          <cell r="H75">
            <v>19600</v>
          </cell>
        </row>
        <row r="76">
          <cell r="B76" t="str">
            <v>BK80203</v>
          </cell>
          <cell r="C76" t="str">
            <v>BZ0000073</v>
          </cell>
          <cell r="D76" t="str">
            <v>胆囊结石</v>
          </cell>
          <cell r="E76" t="str">
            <v>经腹腔镜胆囊切除术</v>
          </cell>
        </row>
        <row r="76">
          <cell r="G76">
            <v>13600</v>
          </cell>
          <cell r="H76">
            <v>13600</v>
          </cell>
        </row>
        <row r="77">
          <cell r="B77" t="str">
            <v>BK82802</v>
          </cell>
          <cell r="C77" t="str">
            <v>BZ0000074</v>
          </cell>
          <cell r="D77" t="str">
            <v>胆囊息肉</v>
          </cell>
          <cell r="E77" t="str">
            <v>经腹腔镜胆囊切除术</v>
          </cell>
        </row>
        <row r="77">
          <cell r="G77">
            <v>13600</v>
          </cell>
          <cell r="H77">
            <v>13600</v>
          </cell>
        </row>
        <row r="78">
          <cell r="B78" t="str">
            <v>BK82801</v>
          </cell>
          <cell r="C78" t="str">
            <v>BZ0000075</v>
          </cell>
          <cell r="D78" t="str">
            <v>胆囊息肉</v>
          </cell>
          <cell r="E78" t="str">
            <v>胆囊切除术</v>
          </cell>
        </row>
        <row r="78">
          <cell r="G78">
            <v>13600</v>
          </cell>
          <cell r="H78">
            <v>13600</v>
          </cell>
        </row>
        <row r="79">
          <cell r="B79" t="str">
            <v>BM17102</v>
          </cell>
          <cell r="C79" t="str">
            <v>BZ0000076</v>
          </cell>
          <cell r="D79" t="str">
            <v>膝关节骨性关节炎</v>
          </cell>
          <cell r="E79" t="str">
            <v>单侧人工全膝关节置换术</v>
          </cell>
          <cell r="F79" t="str">
            <v>人工膝关节组件、内外固定材料</v>
          </cell>
          <cell r="G79">
            <v>20400</v>
          </cell>
          <cell r="H79">
            <v>20400</v>
          </cell>
        </row>
        <row r="80">
          <cell r="B80" t="str">
            <v>BM51209</v>
          </cell>
          <cell r="C80" t="str">
            <v>BZ0000077</v>
          </cell>
          <cell r="D80" t="str">
            <v>腰椎间盘突出</v>
          </cell>
          <cell r="E80" t="str">
            <v>腰椎间盘摘除术</v>
          </cell>
          <cell r="F80" t="str">
            <v>内外固定材料</v>
          </cell>
          <cell r="G80">
            <v>17000</v>
          </cell>
          <cell r="H80">
            <v>17000</v>
          </cell>
        </row>
        <row r="81">
          <cell r="B81" t="str">
            <v>BM51211</v>
          </cell>
          <cell r="C81" t="str">
            <v>BZ0000078</v>
          </cell>
          <cell r="D81" t="str">
            <v>腰椎间盘突出</v>
          </cell>
          <cell r="E81" t="str">
            <v>经椎间盘镜髓核摘除术(MED)</v>
          </cell>
          <cell r="F81" t="str">
            <v>内外固定材料</v>
          </cell>
          <cell r="G81">
            <v>12800</v>
          </cell>
          <cell r="H81">
            <v>12800</v>
          </cell>
        </row>
        <row r="82">
          <cell r="B82" t="str">
            <v>BN20105</v>
          </cell>
          <cell r="C82" t="str">
            <v>BZ0000079</v>
          </cell>
          <cell r="D82" t="str">
            <v>输尿管结石</v>
          </cell>
          <cell r="E82" t="str">
            <v>经输尿管镜碎石取石术</v>
          </cell>
        </row>
        <row r="82">
          <cell r="G82">
            <v>12800</v>
          </cell>
          <cell r="H82">
            <v>12800</v>
          </cell>
        </row>
        <row r="83">
          <cell r="B83" t="str">
            <v>BN40x04</v>
          </cell>
          <cell r="C83" t="str">
            <v>BZ0000080</v>
          </cell>
          <cell r="D83" t="str">
            <v>前列腺增生</v>
          </cell>
          <cell r="E83" t="str">
            <v>经尿道前列腺电切术</v>
          </cell>
        </row>
        <row r="83">
          <cell r="G83">
            <v>16000</v>
          </cell>
          <cell r="H83">
            <v>16000</v>
          </cell>
        </row>
        <row r="84">
          <cell r="B84" t="str">
            <v>BN40x02</v>
          </cell>
          <cell r="C84" t="str">
            <v>BZ0000081</v>
          </cell>
          <cell r="D84" t="str">
            <v>前列腺增生</v>
          </cell>
          <cell r="E84" t="str">
            <v>经尿道前列腺激光切除术</v>
          </cell>
        </row>
        <row r="84">
          <cell r="G84">
            <v>15000</v>
          </cell>
          <cell r="H84">
            <v>15000</v>
          </cell>
        </row>
        <row r="85">
          <cell r="B85" t="str">
            <v>BO00105</v>
          </cell>
          <cell r="C85" t="str">
            <v>BZ0000082</v>
          </cell>
          <cell r="D85" t="str">
            <v>输卵管妊娠</v>
          </cell>
          <cell r="E85" t="str">
            <v>经腹单侧输卵管切除术</v>
          </cell>
        </row>
        <row r="85">
          <cell r="G85">
            <v>8000</v>
          </cell>
          <cell r="H85">
            <v>8000</v>
          </cell>
        </row>
        <row r="86">
          <cell r="B86" t="str">
            <v>BO00113</v>
          </cell>
          <cell r="C86" t="str">
            <v>BZ0000083</v>
          </cell>
          <cell r="D86" t="str">
            <v>输卵管妊娠</v>
          </cell>
          <cell r="E86" t="str">
            <v>经腹单侧输卵管开窗术</v>
          </cell>
        </row>
        <row r="86">
          <cell r="G86">
            <v>8800</v>
          </cell>
          <cell r="H86">
            <v>8800</v>
          </cell>
        </row>
        <row r="87">
          <cell r="B87" t="str">
            <v>BO00106</v>
          </cell>
          <cell r="C87" t="str">
            <v>BZ0000084</v>
          </cell>
          <cell r="D87" t="str">
            <v>输卵管妊娠</v>
          </cell>
          <cell r="E87" t="str">
            <v>经腹腔镜单侧输卵管切除术</v>
          </cell>
        </row>
        <row r="87">
          <cell r="G87">
            <v>8800</v>
          </cell>
          <cell r="H87">
            <v>8800</v>
          </cell>
        </row>
        <row r="88">
          <cell r="B88" t="str">
            <v>BO00118</v>
          </cell>
          <cell r="C88" t="str">
            <v>BZ0000085</v>
          </cell>
          <cell r="D88" t="str">
            <v>输卵管妊娠</v>
          </cell>
          <cell r="E88" t="str">
            <v>经腹腔镜单侧输卵管开窗术</v>
          </cell>
        </row>
        <row r="88">
          <cell r="G88">
            <v>9500</v>
          </cell>
          <cell r="H88">
            <v>9500</v>
          </cell>
        </row>
        <row r="89">
          <cell r="B89" t="str">
            <v>BQ21001</v>
          </cell>
          <cell r="C89" t="str">
            <v>BZ0000086</v>
          </cell>
          <cell r="D89" t="str">
            <v>室间隔缺损</v>
          </cell>
          <cell r="E89" t="str">
            <v>室间隔缺损缝合术</v>
          </cell>
        </row>
        <row r="89">
          <cell r="G89">
            <v>27200</v>
          </cell>
          <cell r="H89">
            <v>27200</v>
          </cell>
        </row>
        <row r="90">
          <cell r="B90" t="str">
            <v>BQ21004</v>
          </cell>
          <cell r="C90" t="str">
            <v>BZ0000087</v>
          </cell>
          <cell r="D90" t="str">
            <v>室间隔缺损</v>
          </cell>
          <cell r="E90" t="str">
            <v>室间隔缺损补片修补术</v>
          </cell>
        </row>
        <row r="90">
          <cell r="G90">
            <v>31500</v>
          </cell>
          <cell r="H90">
            <v>31500</v>
          </cell>
        </row>
        <row r="91">
          <cell r="B91" t="str">
            <v>BQ21104</v>
          </cell>
          <cell r="C91" t="str">
            <v>BZ0000088</v>
          </cell>
          <cell r="D91" t="str">
            <v>房间隔缺损</v>
          </cell>
          <cell r="E91" t="str">
            <v>房间隔缺损补片修补术</v>
          </cell>
        </row>
        <row r="91">
          <cell r="G91">
            <v>30600</v>
          </cell>
          <cell r="H91">
            <v>30600</v>
          </cell>
        </row>
        <row r="92">
          <cell r="B92" t="str">
            <v>BQ21101</v>
          </cell>
          <cell r="C92" t="str">
            <v>BZ0000089</v>
          </cell>
          <cell r="D92" t="str">
            <v>房间隔缺损</v>
          </cell>
          <cell r="E92" t="str">
            <v>房间隔缺损缝合术</v>
          </cell>
        </row>
        <row r="92">
          <cell r="G92">
            <v>26400</v>
          </cell>
          <cell r="H92">
            <v>26400</v>
          </cell>
        </row>
        <row r="93">
          <cell r="B93" t="str">
            <v>BS42007</v>
          </cell>
          <cell r="C93" t="str">
            <v>BZ0000090</v>
          </cell>
          <cell r="D93" t="str">
            <v>锁骨骨折</v>
          </cell>
          <cell r="E93" t="str">
            <v>锁骨骨折切开复位术</v>
          </cell>
          <cell r="F93" t="str">
            <v>内外固定材料</v>
          </cell>
          <cell r="G93">
            <v>10000</v>
          </cell>
          <cell r="H93">
            <v>8000</v>
          </cell>
        </row>
        <row r="94">
          <cell r="B94" t="str">
            <v>BS42201</v>
          </cell>
          <cell r="C94" t="str">
            <v>BZ0000091</v>
          </cell>
          <cell r="D94" t="str">
            <v>肱骨上端骨折</v>
          </cell>
          <cell r="E94" t="str">
            <v>肱骨近端骨折切开复位内固定术</v>
          </cell>
          <cell r="F94" t="str">
            <v>内外固定材料</v>
          </cell>
          <cell r="G94">
            <v>16200</v>
          </cell>
          <cell r="H94">
            <v>16200</v>
          </cell>
        </row>
        <row r="95">
          <cell r="B95" t="str">
            <v>BS42303</v>
          </cell>
          <cell r="C95" t="str">
            <v>BZ0000092</v>
          </cell>
          <cell r="D95" t="str">
            <v>肱骨干骨折</v>
          </cell>
          <cell r="E95" t="str">
            <v>肱骨干骨折切开复位内固定术术</v>
          </cell>
          <cell r="F95" t="str">
            <v>内外固定材料</v>
          </cell>
          <cell r="G95">
            <v>13600</v>
          </cell>
          <cell r="H95">
            <v>13600</v>
          </cell>
        </row>
        <row r="96">
          <cell r="B96" t="str">
            <v>BS42324</v>
          </cell>
          <cell r="C96" t="str">
            <v>BZ0000093</v>
          </cell>
          <cell r="D96" t="str">
            <v>肱骨骨折</v>
          </cell>
          <cell r="E96" t="str">
            <v>肱骨骨折切开复位内固定术</v>
          </cell>
          <cell r="F96" t="str">
            <v>内外固定材料</v>
          </cell>
          <cell r="G96">
            <v>13600</v>
          </cell>
          <cell r="H96">
            <v>13600</v>
          </cell>
        </row>
        <row r="97">
          <cell r="B97" t="str">
            <v>BS42411</v>
          </cell>
          <cell r="C97" t="str">
            <v>BZ0000094</v>
          </cell>
          <cell r="D97" t="str">
            <v>肱骨髁骨折</v>
          </cell>
          <cell r="E97" t="str">
            <v>肱骨内外髁骨折切开复位内固定术</v>
          </cell>
          <cell r="F97" t="str">
            <v>内外固定材料</v>
          </cell>
          <cell r="G97">
            <v>7700</v>
          </cell>
          <cell r="H97">
            <v>7700</v>
          </cell>
        </row>
        <row r="98">
          <cell r="B98" t="str">
            <v>BS52001</v>
          </cell>
          <cell r="C98" t="str">
            <v>BZ0000095</v>
          </cell>
          <cell r="D98" t="str">
            <v>尺骨鹰嘴骨折</v>
          </cell>
          <cell r="E98" t="str">
            <v>尺骨鹰嘴骨折切开复位内固定术</v>
          </cell>
          <cell r="F98" t="str">
            <v>内外固定材料</v>
          </cell>
          <cell r="G98">
            <v>9400</v>
          </cell>
          <cell r="H98">
            <v>9400</v>
          </cell>
        </row>
        <row r="99">
          <cell r="B99" t="str">
            <v>BS52107</v>
          </cell>
          <cell r="C99" t="str">
            <v>BZ0000096</v>
          </cell>
          <cell r="D99" t="str">
            <v>桡骨头骨折</v>
          </cell>
          <cell r="E99" t="str">
            <v>桡骨头骨折切开复位内固定术</v>
          </cell>
          <cell r="F99" t="str">
            <v>内外固定材料</v>
          </cell>
          <cell r="G99">
            <v>10200</v>
          </cell>
          <cell r="H99">
            <v>10200</v>
          </cell>
        </row>
        <row r="100">
          <cell r="B100" t="str">
            <v>BS72005</v>
          </cell>
          <cell r="C100" t="str">
            <v>BZ0000097</v>
          </cell>
          <cell r="D100" t="str">
            <v>股骨颈骨折</v>
          </cell>
          <cell r="E100" t="str">
            <v>人工全髋关节置换术</v>
          </cell>
          <cell r="F100" t="str">
            <v>人工髋关节组件、内外固定材料</v>
          </cell>
          <cell r="G100">
            <v>22100</v>
          </cell>
          <cell r="H100">
            <v>22100</v>
          </cell>
        </row>
        <row r="101">
          <cell r="B101" t="str">
            <v>BS72006</v>
          </cell>
          <cell r="C101" t="str">
            <v>BZ0000098</v>
          </cell>
          <cell r="D101" t="str">
            <v>股骨颈骨折</v>
          </cell>
          <cell r="E101" t="str">
            <v>人工股骨头置换术</v>
          </cell>
          <cell r="F101" t="str">
            <v>内外固定材料</v>
          </cell>
          <cell r="G101">
            <v>23000</v>
          </cell>
          <cell r="H101">
            <v>23000</v>
          </cell>
        </row>
        <row r="102">
          <cell r="B102" t="str">
            <v>BS72306</v>
          </cell>
          <cell r="C102" t="str">
            <v>BZ0000099</v>
          </cell>
          <cell r="D102" t="str">
            <v>股骨干骨折</v>
          </cell>
          <cell r="E102" t="str">
            <v>股骨干骨折切开复位内固定术</v>
          </cell>
          <cell r="F102" t="str">
            <v>内外固定材料</v>
          </cell>
          <cell r="G102">
            <v>21300</v>
          </cell>
          <cell r="H102">
            <v>21300</v>
          </cell>
        </row>
        <row r="103">
          <cell r="B103" t="str">
            <v>BS86001</v>
          </cell>
          <cell r="C103" t="str">
            <v>BZ0000100</v>
          </cell>
          <cell r="D103" t="str">
            <v>跟腱断裂</v>
          </cell>
          <cell r="E103" t="str">
            <v>跟腱断裂修补术</v>
          </cell>
          <cell r="F103" t="str">
            <v>内外固定材料</v>
          </cell>
          <cell r="G103">
            <v>6000</v>
          </cell>
          <cell r="H103">
            <v>6000</v>
          </cell>
        </row>
        <row r="104">
          <cell r="B104" t="str">
            <v>BD34x08</v>
          </cell>
          <cell r="C104" t="str">
            <v>BZ0000101</v>
          </cell>
          <cell r="D104" t="str">
            <v>甲状腺良性肿瘤</v>
          </cell>
          <cell r="E104" t="str">
            <v>腔镜下单侧甲状腺部分切除术</v>
          </cell>
        </row>
        <row r="104">
          <cell r="G104">
            <v>11250</v>
          </cell>
          <cell r="H104">
            <v>11250</v>
          </cell>
        </row>
        <row r="105">
          <cell r="B105" t="str">
            <v>BD34x45</v>
          </cell>
          <cell r="C105" t="str">
            <v>BZ0000102</v>
          </cell>
          <cell r="D105" t="str">
            <v>甲状腺良性肿瘤</v>
          </cell>
          <cell r="E105" t="str">
            <v>腔镜下双侧甲状腺部分切除术</v>
          </cell>
        </row>
        <row r="105">
          <cell r="G105">
            <v>13050</v>
          </cell>
          <cell r="H105">
            <v>13050</v>
          </cell>
        </row>
        <row r="106">
          <cell r="B106" t="str">
            <v>BD34x07</v>
          </cell>
          <cell r="C106" t="str">
            <v>BZ0000103</v>
          </cell>
          <cell r="D106" t="str">
            <v>甲状腺良性肿瘤</v>
          </cell>
          <cell r="E106" t="str">
            <v>腔镜下单侧甲状腺次全切除术</v>
          </cell>
        </row>
        <row r="106">
          <cell r="G106">
            <v>12060</v>
          </cell>
          <cell r="H106">
            <v>12060</v>
          </cell>
        </row>
        <row r="107">
          <cell r="B107" t="str">
            <v>BD34x00</v>
          </cell>
          <cell r="C107" t="str">
            <v>BZ0000104</v>
          </cell>
          <cell r="D107" t="str">
            <v>甲状腺良性肿瘤</v>
          </cell>
          <cell r="E107" t="str">
            <v>腔镜下双侧甲状腺次全切除术</v>
          </cell>
        </row>
        <row r="107">
          <cell r="G107">
            <v>13860</v>
          </cell>
          <cell r="H107">
            <v>13860</v>
          </cell>
        </row>
        <row r="108">
          <cell r="B108" t="str">
            <v>BH11001</v>
          </cell>
          <cell r="C108" t="str">
            <v>BZ0000105</v>
          </cell>
          <cell r="D108" t="str">
            <v>翼状胬肉</v>
          </cell>
          <cell r="E108" t="str">
            <v>单侧翼状胬肉切除组织移植术</v>
          </cell>
        </row>
        <row r="108">
          <cell r="G108">
            <v>2300</v>
          </cell>
          <cell r="H108">
            <v>2300</v>
          </cell>
        </row>
        <row r="109">
          <cell r="B109" t="str">
            <v>BH11009</v>
          </cell>
          <cell r="C109" t="str">
            <v>BZ0000106</v>
          </cell>
          <cell r="D109" t="str">
            <v>翼状胬肉</v>
          </cell>
          <cell r="E109" t="str">
            <v>双侧翼状胬肉切除组织移植术</v>
          </cell>
        </row>
        <row r="109">
          <cell r="G109">
            <v>3500</v>
          </cell>
          <cell r="H109">
            <v>3500</v>
          </cell>
        </row>
        <row r="110">
          <cell r="B110" t="str">
            <v>BJ38104</v>
          </cell>
          <cell r="C110" t="str">
            <v>BZ0000107</v>
          </cell>
          <cell r="D110" t="str">
            <v>声带息肉</v>
          </cell>
          <cell r="E110" t="str">
            <v>经支撑喉镜激光辅助声带肿物切除术</v>
          </cell>
        </row>
        <row r="110">
          <cell r="G110">
            <v>5400</v>
          </cell>
          <cell r="H110">
            <v>5400</v>
          </cell>
        </row>
        <row r="111">
          <cell r="B111" t="str">
            <v>BS02601</v>
          </cell>
          <cell r="C111" t="str">
            <v>BZ0000108</v>
          </cell>
          <cell r="D111" t="str">
            <v>下颌骨骨折</v>
          </cell>
          <cell r="E111" t="str">
            <v>口内入路下颌骨骨折切开复位内固定术</v>
          </cell>
          <cell r="F111" t="str">
            <v>内外固定材料</v>
          </cell>
          <cell r="G111">
            <v>18000</v>
          </cell>
          <cell r="H111">
            <v>18000</v>
          </cell>
        </row>
        <row r="112">
          <cell r="B112" t="str">
            <v>BQ89201</v>
          </cell>
          <cell r="C112" t="str">
            <v>BZ0000109</v>
          </cell>
          <cell r="D112" t="str">
            <v>甲状舌管囊肿</v>
          </cell>
          <cell r="E112" t="str">
            <v>甲状舌管囊肿切除术</v>
          </cell>
        </row>
        <row r="112">
          <cell r="G112">
            <v>6400</v>
          </cell>
          <cell r="H112">
            <v>6400</v>
          </cell>
        </row>
        <row r="113">
          <cell r="B113" t="str">
            <v>BA16500</v>
          </cell>
          <cell r="C113" t="str">
            <v>BZ0000110</v>
          </cell>
          <cell r="D113" t="str">
            <v>结核性胸膜炎</v>
          </cell>
          <cell r="E113" t="str">
            <v>/</v>
          </cell>
        </row>
        <row r="113">
          <cell r="G113">
            <v>9000</v>
          </cell>
          <cell r="H113">
            <v>9000</v>
          </cell>
        </row>
        <row r="114">
          <cell r="B114" t="str">
            <v>BQ25003</v>
          </cell>
          <cell r="C114" t="str">
            <v>BZ0000111</v>
          </cell>
          <cell r="D114" t="str">
            <v>动脉导管未闭</v>
          </cell>
          <cell r="E114" t="str">
            <v>经皮穿刺动脉导管未闭封堵术</v>
          </cell>
        </row>
        <row r="114">
          <cell r="G114">
            <v>24000</v>
          </cell>
          <cell r="H114">
            <v>24000</v>
          </cell>
        </row>
        <row r="115">
          <cell r="B115" t="str">
            <v>BQ21302</v>
          </cell>
          <cell r="C115" t="str">
            <v>BZ0000112</v>
          </cell>
          <cell r="D115" t="str">
            <v>法洛四联症</v>
          </cell>
          <cell r="E115" t="str">
            <v>法洛氏四联症根治术-不切右室</v>
          </cell>
        </row>
        <row r="115">
          <cell r="G115">
            <v>42000</v>
          </cell>
          <cell r="H115">
            <v>42000</v>
          </cell>
        </row>
        <row r="116">
          <cell r="B116" t="str">
            <v>BQ21304</v>
          </cell>
          <cell r="C116" t="str">
            <v>BZ0000113</v>
          </cell>
          <cell r="D116" t="str">
            <v>法洛四联症</v>
          </cell>
          <cell r="E116" t="str">
            <v>法洛氏四联症非跨环补片根治术-切右室</v>
          </cell>
        </row>
        <row r="116">
          <cell r="G116">
            <v>46000</v>
          </cell>
          <cell r="H116">
            <v>46000</v>
          </cell>
        </row>
        <row r="117">
          <cell r="B117" t="str">
            <v>BQ21301</v>
          </cell>
          <cell r="C117" t="str">
            <v>BZ0000114</v>
          </cell>
          <cell r="D117" t="str">
            <v>法洛四联症</v>
          </cell>
          <cell r="E117" t="str">
            <v>法洛氏四联症跨环补片根治术-切右室</v>
          </cell>
        </row>
        <row r="117">
          <cell r="G117">
            <v>53000</v>
          </cell>
          <cell r="H117">
            <v>53000</v>
          </cell>
        </row>
        <row r="118">
          <cell r="B118" t="str">
            <v>BI20031</v>
          </cell>
          <cell r="C118" t="str">
            <v>BZ0000115</v>
          </cell>
          <cell r="D118" t="str">
            <v>不稳定性心绞痛</v>
          </cell>
          <cell r="E118" t="str">
            <v>经皮冠状动脉支架置入术</v>
          </cell>
          <cell r="F118" t="str">
            <v>支架</v>
          </cell>
          <cell r="G118">
            <v>27000</v>
          </cell>
          <cell r="H118">
            <v>27000</v>
          </cell>
        </row>
        <row r="119">
          <cell r="B119" t="str">
            <v>BI21413</v>
          </cell>
          <cell r="C119" t="str">
            <v>BZ0000116</v>
          </cell>
          <cell r="D119" t="str">
            <v>急性非ST段抬高性心肌梗死</v>
          </cell>
          <cell r="E119" t="str">
            <v>经皮冠状动脉支架置入术</v>
          </cell>
          <cell r="F119" t="str">
            <v>支架</v>
          </cell>
          <cell r="G119">
            <v>27000</v>
          </cell>
          <cell r="H119">
            <v>27000</v>
          </cell>
        </row>
        <row r="120">
          <cell r="B120" t="str">
            <v>BI21321</v>
          </cell>
          <cell r="C120" t="str">
            <v>BZ0000117</v>
          </cell>
          <cell r="D120" t="str">
            <v>急性ST段抬高心肌梗死</v>
          </cell>
          <cell r="E120" t="str">
            <v>经皮冠状动脉支架置入术</v>
          </cell>
          <cell r="F120" t="str">
            <v>支架</v>
          </cell>
          <cell r="G120">
            <v>34000</v>
          </cell>
          <cell r="H120">
            <v>34000</v>
          </cell>
        </row>
        <row r="121">
          <cell r="B121" t="str">
            <v>BK62115</v>
          </cell>
          <cell r="C121" t="str">
            <v>BZ0000118</v>
          </cell>
          <cell r="D121" t="str">
            <v>直肠息肉</v>
          </cell>
          <cell r="E121" t="str">
            <v>经内镜直肠良性肿物切除术</v>
          </cell>
        </row>
        <row r="121">
          <cell r="G121">
            <v>6300</v>
          </cell>
          <cell r="H121">
            <v>6300</v>
          </cell>
        </row>
        <row r="122">
          <cell r="B122" t="str">
            <v>BI83902</v>
          </cell>
          <cell r="C122" t="str">
            <v>BZ0000119</v>
          </cell>
          <cell r="D122" t="str">
            <v>下肢静脉曲张</v>
          </cell>
          <cell r="E122" t="str">
            <v>单侧大隐静脉腔内激光闭合术</v>
          </cell>
        </row>
        <row r="122">
          <cell r="G122">
            <v>8500</v>
          </cell>
          <cell r="H122">
            <v>8500</v>
          </cell>
        </row>
        <row r="123">
          <cell r="B123" t="str">
            <v>BI83980</v>
          </cell>
          <cell r="C123" t="str">
            <v>BZ0000120</v>
          </cell>
          <cell r="D123" t="str">
            <v>下肢静脉曲张</v>
          </cell>
          <cell r="E123" t="str">
            <v>双侧大隐静脉腔内激光闭合术</v>
          </cell>
        </row>
        <row r="123">
          <cell r="G123">
            <v>9600</v>
          </cell>
          <cell r="H123">
            <v>9600</v>
          </cell>
        </row>
        <row r="124">
          <cell r="B124" t="str">
            <v>BK60202</v>
          </cell>
          <cell r="C124" t="str">
            <v>BZ0000121</v>
          </cell>
          <cell r="D124" t="str">
            <v>肛裂</v>
          </cell>
          <cell r="E124" t="str">
            <v>肛裂切除术</v>
          </cell>
        </row>
        <row r="124">
          <cell r="G124">
            <v>4900</v>
          </cell>
          <cell r="H124">
            <v>4900</v>
          </cell>
        </row>
        <row r="125">
          <cell r="B125" t="str">
            <v>BD13001</v>
          </cell>
          <cell r="C125" t="str">
            <v>BZ0000122</v>
          </cell>
          <cell r="D125" t="str">
            <v>食管平滑肌瘤</v>
          </cell>
          <cell r="E125" t="str">
            <v>食管良性肿物切除术</v>
          </cell>
        </row>
        <row r="125">
          <cell r="G125">
            <v>17000</v>
          </cell>
          <cell r="H125">
            <v>17000</v>
          </cell>
        </row>
        <row r="126">
          <cell r="B126" t="str">
            <v>BD13003</v>
          </cell>
          <cell r="C126" t="str">
            <v>BZ0000123</v>
          </cell>
          <cell r="D126" t="str">
            <v>食管平滑肌瘤</v>
          </cell>
          <cell r="E126" t="str">
            <v>内镜下食管良性肿物切除术</v>
          </cell>
        </row>
        <row r="126">
          <cell r="G126">
            <v>14000</v>
          </cell>
          <cell r="H126">
            <v>14000</v>
          </cell>
        </row>
        <row r="127">
          <cell r="B127" t="str">
            <v>BC20x32</v>
          </cell>
          <cell r="C127" t="str">
            <v>BZ0000124</v>
          </cell>
          <cell r="D127" t="str">
            <v>直肠癌</v>
          </cell>
          <cell r="E127" t="str">
            <v>超低位直肠癌根治术</v>
          </cell>
        </row>
        <row r="127">
          <cell r="G127">
            <v>57000</v>
          </cell>
          <cell r="H127">
            <v>57000</v>
          </cell>
        </row>
        <row r="128">
          <cell r="B128" t="str">
            <v>BC20x35</v>
          </cell>
          <cell r="C128" t="str">
            <v>BZ0000125</v>
          </cell>
          <cell r="D128" t="str">
            <v>直肠癌</v>
          </cell>
          <cell r="E128" t="str">
            <v>经腹腔镜超低位直肠癌根治术</v>
          </cell>
        </row>
        <row r="128">
          <cell r="G128">
            <v>59000</v>
          </cell>
          <cell r="H128">
            <v>59000</v>
          </cell>
        </row>
        <row r="129">
          <cell r="B129" t="str">
            <v>BC20x11</v>
          </cell>
          <cell r="C129" t="str">
            <v>BZ0000126</v>
          </cell>
          <cell r="D129" t="str">
            <v>直肠癌</v>
          </cell>
          <cell r="E129" t="str">
            <v>经腹会阴直肠癌根治术(Miles手术)</v>
          </cell>
        </row>
        <row r="129">
          <cell r="G129">
            <v>54000</v>
          </cell>
          <cell r="H129">
            <v>54000</v>
          </cell>
        </row>
        <row r="130">
          <cell r="B130" t="str">
            <v>BC20x09</v>
          </cell>
          <cell r="C130" t="str">
            <v>BZ0000127</v>
          </cell>
          <cell r="D130" t="str">
            <v>直肠癌</v>
          </cell>
          <cell r="E130" t="str">
            <v>经腹腔镜会阴直肠癌根治术(Miles手术)</v>
          </cell>
        </row>
        <row r="130">
          <cell r="G130">
            <v>55000</v>
          </cell>
          <cell r="H130">
            <v>55000</v>
          </cell>
        </row>
        <row r="131">
          <cell r="B131" t="str">
            <v>BK35306</v>
          </cell>
          <cell r="C131" t="str">
            <v>BZ0000128</v>
          </cell>
          <cell r="D131" t="str">
            <v>急性化脓性阑尾炎</v>
          </cell>
          <cell r="E131" t="str">
            <v>阑尾切除术</v>
          </cell>
        </row>
        <row r="131">
          <cell r="G131">
            <v>7650</v>
          </cell>
          <cell r="H131">
            <v>7650</v>
          </cell>
        </row>
        <row r="132">
          <cell r="B132" t="str">
            <v>BK35307</v>
          </cell>
          <cell r="C132" t="str">
            <v>BZ0000129</v>
          </cell>
          <cell r="D132" t="str">
            <v>急性化脓性阑尾炎</v>
          </cell>
          <cell r="E132" t="str">
            <v>经腹腔镜阑尾切除术</v>
          </cell>
        </row>
        <row r="132">
          <cell r="G132">
            <v>9000</v>
          </cell>
          <cell r="H132">
            <v>8550</v>
          </cell>
        </row>
        <row r="133">
          <cell r="B133" t="str">
            <v>BC64x01</v>
          </cell>
          <cell r="C133" t="str">
            <v>BZ0000130</v>
          </cell>
          <cell r="D133" t="str">
            <v>肾癌</v>
          </cell>
          <cell r="E133" t="str">
            <v>根治性肾切除术</v>
          </cell>
        </row>
        <row r="133">
          <cell r="G133">
            <v>32000</v>
          </cell>
          <cell r="H133">
            <v>32000</v>
          </cell>
        </row>
        <row r="134">
          <cell r="B134" t="str">
            <v>BC64x02</v>
          </cell>
          <cell r="C134" t="str">
            <v>BZ0000131</v>
          </cell>
          <cell r="D134" t="str">
            <v>肾癌</v>
          </cell>
          <cell r="E134" t="str">
            <v>经腹腔镜根治性肾切除术</v>
          </cell>
        </row>
        <row r="134">
          <cell r="G134">
            <v>34000</v>
          </cell>
          <cell r="H134">
            <v>34000</v>
          </cell>
        </row>
        <row r="135">
          <cell r="B135" t="str">
            <v>BN18501</v>
          </cell>
          <cell r="C135" t="str">
            <v>BZ0000132</v>
          </cell>
          <cell r="D135" t="str">
            <v>终末期肾脏病</v>
          </cell>
          <cell r="E135" t="str">
            <v>自体动静脉内瘘成形术</v>
          </cell>
        </row>
        <row r="135">
          <cell r="G135">
            <v>10800</v>
          </cell>
          <cell r="H135">
            <v>10800</v>
          </cell>
        </row>
        <row r="136">
          <cell r="B136" t="str">
            <v>BN20006</v>
          </cell>
          <cell r="C136" t="str">
            <v>BZ0000133</v>
          </cell>
          <cell r="D136" t="str">
            <v>肾结石</v>
          </cell>
          <cell r="E136" t="str">
            <v>经皮肾镜超声碎石取石术</v>
          </cell>
        </row>
        <row r="136">
          <cell r="G136">
            <v>25800</v>
          </cell>
          <cell r="H136">
            <v>25800</v>
          </cell>
        </row>
        <row r="137">
          <cell r="B137" t="str">
            <v>BI86101</v>
          </cell>
          <cell r="C137" t="str">
            <v>BZ0000134</v>
          </cell>
          <cell r="D137" t="str">
            <v>精索静脉曲张</v>
          </cell>
          <cell r="E137" t="str">
            <v>单侧精索静脉曲张高位结扎术</v>
          </cell>
        </row>
        <row r="137">
          <cell r="G137">
            <v>5400</v>
          </cell>
          <cell r="H137">
            <v>5400</v>
          </cell>
        </row>
        <row r="138">
          <cell r="B138" t="str">
            <v>BI86104</v>
          </cell>
          <cell r="C138" t="str">
            <v>BZ0000135</v>
          </cell>
          <cell r="D138" t="str">
            <v>精索静脉曲张</v>
          </cell>
          <cell r="E138" t="str">
            <v>双侧精索静脉曲张高位结扎术</v>
          </cell>
        </row>
        <row r="138">
          <cell r="G138">
            <v>6200</v>
          </cell>
          <cell r="H138">
            <v>6200</v>
          </cell>
        </row>
        <row r="139">
          <cell r="B139" t="str">
            <v>BI86102</v>
          </cell>
          <cell r="C139" t="str">
            <v>BZ0000136</v>
          </cell>
          <cell r="D139" t="str">
            <v>精索静脉曲张</v>
          </cell>
          <cell r="E139" t="str">
            <v>经腹腔镜单侧精索静脉曲张高位结扎术</v>
          </cell>
        </row>
        <row r="139">
          <cell r="G139">
            <v>7100</v>
          </cell>
          <cell r="H139">
            <v>7100</v>
          </cell>
        </row>
        <row r="140">
          <cell r="B140" t="str">
            <v>BI86180</v>
          </cell>
          <cell r="C140" t="str">
            <v>BZ0000137</v>
          </cell>
          <cell r="D140" t="str">
            <v>精索静脉曲张</v>
          </cell>
          <cell r="E140" t="str">
            <v>经腹腔镜双侧精索静脉曲张高位结扎术</v>
          </cell>
        </row>
        <row r="140">
          <cell r="G140">
            <v>7900</v>
          </cell>
          <cell r="H140">
            <v>7900</v>
          </cell>
        </row>
        <row r="141">
          <cell r="B141" t="str">
            <v>BI86111</v>
          </cell>
          <cell r="C141" t="str">
            <v>BZ0000138</v>
          </cell>
          <cell r="D141" t="str">
            <v>精索静脉曲张</v>
          </cell>
          <cell r="E141" t="str">
            <v>显微镜下单侧精索静脉结扎术</v>
          </cell>
        </row>
        <row r="141">
          <cell r="G141">
            <v>7200</v>
          </cell>
          <cell r="H141">
            <v>7200</v>
          </cell>
        </row>
        <row r="142">
          <cell r="B142" t="str">
            <v>BI86110</v>
          </cell>
          <cell r="C142" t="str">
            <v>BZ0000139</v>
          </cell>
          <cell r="D142" t="str">
            <v>精索静脉曲张</v>
          </cell>
          <cell r="E142" t="str">
            <v>显微镜下双侧精索静脉结扎术</v>
          </cell>
        </row>
        <row r="142">
          <cell r="G142">
            <v>8100</v>
          </cell>
          <cell r="H142">
            <v>8100</v>
          </cell>
        </row>
        <row r="143">
          <cell r="B143" t="str">
            <v>BN43302</v>
          </cell>
          <cell r="C143" t="str">
            <v>BZ0000140</v>
          </cell>
          <cell r="D143" t="str">
            <v>睾丸鞘膜积液</v>
          </cell>
          <cell r="E143" t="str">
            <v>单侧睾丸鞘膜翻转术</v>
          </cell>
        </row>
        <row r="143">
          <cell r="G143">
            <v>6200</v>
          </cell>
          <cell r="H143">
            <v>6200</v>
          </cell>
        </row>
        <row r="144">
          <cell r="B144" t="str">
            <v>BN43307</v>
          </cell>
          <cell r="C144" t="str">
            <v>BZ0000141</v>
          </cell>
          <cell r="D144" t="str">
            <v>睾丸鞘膜积液</v>
          </cell>
          <cell r="E144" t="str">
            <v>双侧睾丸鞘膜翻转术</v>
          </cell>
        </row>
        <row r="144">
          <cell r="G144">
            <v>7000</v>
          </cell>
          <cell r="H144">
            <v>7000</v>
          </cell>
        </row>
        <row r="145">
          <cell r="B145" t="str">
            <v>BN80004</v>
          </cell>
          <cell r="C145" t="str">
            <v>BZ0000142</v>
          </cell>
          <cell r="D145" t="str">
            <v>子宫腺肌病</v>
          </cell>
          <cell r="E145" t="str">
            <v>经腹子宫腺肌病灶切除术</v>
          </cell>
        </row>
        <row r="145">
          <cell r="G145">
            <v>15500</v>
          </cell>
          <cell r="H145">
            <v>15500</v>
          </cell>
        </row>
        <row r="146">
          <cell r="B146" t="str">
            <v>BN80005</v>
          </cell>
          <cell r="C146" t="str">
            <v>BZ0000143</v>
          </cell>
          <cell r="D146" t="str">
            <v>子宫腺肌病</v>
          </cell>
          <cell r="E146" t="str">
            <v>经腹腔镜子宫腺肌病灶切除术</v>
          </cell>
        </row>
        <row r="146">
          <cell r="G146">
            <v>17500</v>
          </cell>
          <cell r="H146">
            <v>17500</v>
          </cell>
        </row>
        <row r="147">
          <cell r="B147" t="str">
            <v>BD27x07</v>
          </cell>
          <cell r="C147" t="str">
            <v>BZ0000144</v>
          </cell>
          <cell r="D147" t="str">
            <v>卵巢良性肿瘤</v>
          </cell>
          <cell r="E147" t="str">
            <v>经腹单侧卵巢切除术</v>
          </cell>
        </row>
        <row r="147">
          <cell r="G147">
            <v>14000</v>
          </cell>
          <cell r="H147">
            <v>14000</v>
          </cell>
        </row>
        <row r="148">
          <cell r="B148" t="str">
            <v>BD27x06</v>
          </cell>
          <cell r="C148" t="str">
            <v>BZ0000145</v>
          </cell>
          <cell r="D148" t="str">
            <v>卵巢良性肿瘤</v>
          </cell>
          <cell r="E148" t="str">
            <v>经腹腔镜单侧卵巢切除术</v>
          </cell>
        </row>
        <row r="148">
          <cell r="G148">
            <v>15500</v>
          </cell>
          <cell r="H148">
            <v>15500</v>
          </cell>
        </row>
        <row r="149">
          <cell r="B149" t="str">
            <v>BC53906</v>
          </cell>
          <cell r="C149" t="str">
            <v>BZ0000146</v>
          </cell>
          <cell r="D149" t="str">
            <v>宫颈癌</v>
          </cell>
          <cell r="E149" t="str">
            <v>经腹腔镜全子宫切除术</v>
          </cell>
        </row>
        <row r="149">
          <cell r="G149">
            <v>25000</v>
          </cell>
          <cell r="H149">
            <v>25000</v>
          </cell>
        </row>
        <row r="150">
          <cell r="B150" t="str">
            <v>BC53914</v>
          </cell>
          <cell r="C150" t="str">
            <v>BZ0000147</v>
          </cell>
          <cell r="D150" t="str">
            <v>宫颈癌</v>
          </cell>
          <cell r="E150" t="str">
            <v>腹腔镜联合阴式全子宫切除术</v>
          </cell>
        </row>
        <row r="150">
          <cell r="G150">
            <v>44000</v>
          </cell>
          <cell r="H150">
            <v>44000</v>
          </cell>
        </row>
        <row r="151">
          <cell r="B151" t="str">
            <v>BC53901</v>
          </cell>
          <cell r="C151" t="str">
            <v>BZ0000148</v>
          </cell>
          <cell r="D151" t="str">
            <v>宫颈癌</v>
          </cell>
          <cell r="E151" t="str">
            <v>经腹膜外盆腔淋巴结切除术</v>
          </cell>
        </row>
        <row r="151">
          <cell r="G151">
            <v>26000</v>
          </cell>
          <cell r="H151">
            <v>26000</v>
          </cell>
        </row>
        <row r="152">
          <cell r="B152" t="str">
            <v>BC53907</v>
          </cell>
          <cell r="C152" t="str">
            <v>BZ0000149</v>
          </cell>
          <cell r="D152" t="str">
            <v>宫颈癌</v>
          </cell>
          <cell r="E152" t="str">
            <v>经腹全子宫切除术</v>
          </cell>
        </row>
        <row r="152">
          <cell r="G152">
            <v>24000</v>
          </cell>
          <cell r="H152">
            <v>24000</v>
          </cell>
        </row>
        <row r="153">
          <cell r="B153" t="str">
            <v>BC53919</v>
          </cell>
          <cell r="C153" t="str">
            <v>BZ0000150</v>
          </cell>
          <cell r="D153" t="str">
            <v>宫颈癌</v>
          </cell>
          <cell r="E153" t="str">
            <v>经腹广泛性子宫切除术</v>
          </cell>
        </row>
        <row r="153">
          <cell r="G153">
            <v>34000</v>
          </cell>
          <cell r="H153">
            <v>34000</v>
          </cell>
        </row>
        <row r="154">
          <cell r="B154" t="str">
            <v>BC53909</v>
          </cell>
          <cell r="C154" t="str">
            <v>BZ0000151</v>
          </cell>
          <cell r="D154" t="str">
            <v>宫颈癌</v>
          </cell>
          <cell r="E154" t="str">
            <v>经腹腔镜广泛子宫切除术</v>
          </cell>
        </row>
        <row r="154">
          <cell r="G154">
            <v>35000</v>
          </cell>
          <cell r="H154">
            <v>35000</v>
          </cell>
        </row>
        <row r="155">
          <cell r="B155" t="str">
            <v>BS82101</v>
          </cell>
          <cell r="C155" t="str">
            <v>BZ0000152</v>
          </cell>
          <cell r="D155" t="str">
            <v>胫骨平台骨折</v>
          </cell>
          <cell r="E155" t="str">
            <v>胫骨骨折切开复位内固定术</v>
          </cell>
          <cell r="F155" t="str">
            <v>内外固定材料</v>
          </cell>
          <cell r="G155">
            <v>9100</v>
          </cell>
          <cell r="H155">
            <v>9100</v>
          </cell>
        </row>
        <row r="156">
          <cell r="B156" t="str">
            <v>BS82801</v>
          </cell>
          <cell r="C156" t="str">
            <v>BZ0000153</v>
          </cell>
          <cell r="D156" t="str">
            <v>踝关节骨折</v>
          </cell>
          <cell r="E156" t="str">
            <v>踝关节骨折切开复位内固定术</v>
          </cell>
          <cell r="F156" t="str">
            <v>内外固定材料</v>
          </cell>
          <cell r="G156">
            <v>12000</v>
          </cell>
          <cell r="H156">
            <v>12000</v>
          </cell>
        </row>
        <row r="157">
          <cell r="B157" t="str">
            <v>BS72304</v>
          </cell>
          <cell r="C157" t="str">
            <v>BZ0000154</v>
          </cell>
          <cell r="D157" t="str">
            <v>股骨干骨折</v>
          </cell>
          <cell r="E157" t="str">
            <v>股骨干骨折闭合复位髓内针内固定术</v>
          </cell>
          <cell r="F157" t="str">
            <v>内外固定材料</v>
          </cell>
          <cell r="G157">
            <v>18000</v>
          </cell>
          <cell r="H157">
            <v>18000</v>
          </cell>
        </row>
        <row r="158">
          <cell r="B158" t="str">
            <v>BS82103</v>
          </cell>
          <cell r="C158" t="str">
            <v>BZ0000155</v>
          </cell>
          <cell r="D158" t="str">
            <v>闭合性胫骨平台骨折</v>
          </cell>
          <cell r="E158" t="str">
            <v>胫骨平台骨折切开复位钢板螺丝钉内固定术</v>
          </cell>
          <cell r="F158" t="str">
            <v>内外固定材料</v>
          </cell>
          <cell r="G158">
            <v>14000</v>
          </cell>
          <cell r="H158">
            <v>14000</v>
          </cell>
        </row>
        <row r="159">
          <cell r="B159" t="str">
            <v>BS82102</v>
          </cell>
          <cell r="C159" t="str">
            <v>BZ0000156</v>
          </cell>
          <cell r="D159" t="str">
            <v>闭合性胫骨平台骨折</v>
          </cell>
          <cell r="E159" t="str">
            <v>胫骨平台骨折闭合复位内固定术</v>
          </cell>
          <cell r="F159" t="str">
            <v>内外固定材料</v>
          </cell>
          <cell r="G159">
            <v>15000</v>
          </cell>
          <cell r="H159">
            <v>15000</v>
          </cell>
        </row>
        <row r="160">
          <cell r="B160" t="str">
            <v>BM16702</v>
          </cell>
          <cell r="C160" t="str">
            <v>BZ0000157</v>
          </cell>
          <cell r="D160" t="str">
            <v>髋关节骨关节炎</v>
          </cell>
          <cell r="E160" t="str">
            <v>全髋人工关节置换术</v>
          </cell>
          <cell r="F160" t="str">
            <v>人工髋关节组件、内外固定材料</v>
          </cell>
          <cell r="G160">
            <v>22100</v>
          </cell>
          <cell r="H160">
            <v>22100</v>
          </cell>
        </row>
        <row r="161">
          <cell r="B161" t="str">
            <v>BM17101</v>
          </cell>
          <cell r="C161" t="str">
            <v>BZ0000158</v>
          </cell>
          <cell r="D161" t="str">
            <v>膝关节骨关节炎</v>
          </cell>
          <cell r="E161" t="str">
            <v>关节镜下膝关节清理术</v>
          </cell>
          <cell r="F161" t="str">
            <v>内外固定材料</v>
          </cell>
          <cell r="G161">
            <v>10000</v>
          </cell>
          <cell r="H161">
            <v>10000</v>
          </cell>
        </row>
        <row r="162">
          <cell r="B162" t="str">
            <v>BM87203</v>
          </cell>
          <cell r="C162" t="str">
            <v>BZ0000159</v>
          </cell>
          <cell r="D162" t="str">
            <v>股骨头坏死（FicatIII-IV期，严重疼痛伴功能障碍）</v>
          </cell>
          <cell r="E162" t="str">
            <v>全髋人工关节置换术</v>
          </cell>
          <cell r="F162" t="str">
            <v>人工髋关节组件、内外固定材料</v>
          </cell>
          <cell r="G162">
            <v>21100</v>
          </cell>
          <cell r="H162">
            <v>21100</v>
          </cell>
        </row>
        <row r="163">
          <cell r="B163" t="str">
            <v>BG40900</v>
          </cell>
          <cell r="C163" t="str">
            <v>BZ0000161</v>
          </cell>
          <cell r="D163" t="str">
            <v>癫痫</v>
          </cell>
        </row>
        <row r="163">
          <cell r="G163">
            <v>6600</v>
          </cell>
          <cell r="H163">
            <v>4300</v>
          </cell>
          <cell r="I163" t="str">
            <v>14周岁以上</v>
          </cell>
        </row>
        <row r="164">
          <cell r="B164" t="str">
            <v>BJ45902</v>
          </cell>
          <cell r="C164" t="str">
            <v>BZ0000165</v>
          </cell>
          <cell r="D164" t="str">
            <v>支气管哮喘发作</v>
          </cell>
        </row>
        <row r="164">
          <cell r="G164">
            <v>5950</v>
          </cell>
          <cell r="H164">
            <v>5000</v>
          </cell>
          <cell r="I164" t="str">
            <v>14周岁以上</v>
          </cell>
        </row>
        <row r="165">
          <cell r="B165" t="str">
            <v>BB02900</v>
          </cell>
          <cell r="C165" t="str">
            <v>BZ0000166</v>
          </cell>
          <cell r="D165" t="str">
            <v>带状疱疹</v>
          </cell>
        </row>
        <row r="165">
          <cell r="G165">
            <v>5200</v>
          </cell>
          <cell r="H165">
            <v>5200</v>
          </cell>
        </row>
        <row r="166">
          <cell r="B166" t="str">
            <v>BJ18905</v>
          </cell>
          <cell r="C166" t="str">
            <v>BZ0000168</v>
          </cell>
          <cell r="D166" t="str">
            <v>社区获得性肺炎</v>
          </cell>
        </row>
        <row r="166">
          <cell r="G166">
            <v>5000</v>
          </cell>
          <cell r="H166">
            <v>5000</v>
          </cell>
        </row>
        <row r="167">
          <cell r="B167" t="str">
            <v>BO80901</v>
          </cell>
          <cell r="C167" t="str">
            <v>BZ0000222</v>
          </cell>
          <cell r="D167" t="str">
            <v>自然临产阴道分娩</v>
          </cell>
          <cell r="E167" t="str">
            <v>单胎顺产接生</v>
          </cell>
          <cell r="F167" t="str">
            <v>产科特需服务/新生儿相关费用</v>
          </cell>
          <cell r="G167">
            <v>3100</v>
          </cell>
          <cell r="H167">
            <v>3100</v>
          </cell>
        </row>
        <row r="168">
          <cell r="B168" t="str">
            <v>BO82001</v>
          </cell>
          <cell r="C168" t="str">
            <v>BZ0000223</v>
          </cell>
          <cell r="D168" t="str">
            <v>计划性剖宫产</v>
          </cell>
          <cell r="E168" t="str">
            <v>子宫下段剖宫产术</v>
          </cell>
          <cell r="F168" t="str">
            <v>产科特需服务/新生儿相关费用</v>
          </cell>
          <cell r="G168">
            <v>7500</v>
          </cell>
          <cell r="H168">
            <v>7500</v>
          </cell>
        </row>
        <row r="169">
          <cell r="B169" t="str">
            <v>BO42904</v>
          </cell>
          <cell r="C169" t="str">
            <v>BZ0000225</v>
          </cell>
          <cell r="D169" t="str">
            <v>胎膜早破（足月）行阴道分娩</v>
          </cell>
          <cell r="E169" t="str">
            <v>单胎顺产接生</v>
          </cell>
          <cell r="F169" t="str">
            <v>产科特需服务/新生儿相关费用</v>
          </cell>
          <cell r="G169">
            <v>3100</v>
          </cell>
          <cell r="H169">
            <v>3100</v>
          </cell>
        </row>
        <row r="170">
          <cell r="B170" t="str">
            <v>BS82003</v>
          </cell>
          <cell r="C170" t="str">
            <v>BZ0000226</v>
          </cell>
          <cell r="D170" t="str">
            <v>闭合性髌骨骨折</v>
          </cell>
          <cell r="E170" t="str">
            <v>髌骨骨折切开复位内固定术</v>
          </cell>
          <cell r="F170" t="str">
            <v>内外固定材料</v>
          </cell>
          <cell r="G170">
            <v>11000</v>
          </cell>
          <cell r="H170">
            <v>10000</v>
          </cell>
        </row>
        <row r="171">
          <cell r="B171" t="str">
            <v>BS82237</v>
          </cell>
          <cell r="C171" t="str">
            <v>BZ0000227</v>
          </cell>
          <cell r="D171" t="str">
            <v>胫腓骨干骨折</v>
          </cell>
          <cell r="E171" t="str">
            <v>胫骨骨折切开复位内固定术</v>
          </cell>
          <cell r="F171" t="str">
            <v>内外固定材料</v>
          </cell>
          <cell r="G171">
            <v>9000</v>
          </cell>
          <cell r="H171">
            <v>9000</v>
          </cell>
        </row>
        <row r="172">
          <cell r="B172" t="str">
            <v>BO02102</v>
          </cell>
          <cell r="C172" t="str">
            <v>BZLD00001</v>
          </cell>
          <cell r="D172" t="str">
            <v>稽留流产</v>
          </cell>
          <cell r="E172" t="str">
            <v>分娩流产后刮宫术</v>
          </cell>
        </row>
        <row r="172">
          <cell r="G172">
            <v>1800</v>
          </cell>
          <cell r="H172">
            <v>1800</v>
          </cell>
        </row>
        <row r="173">
          <cell r="B173" t="str">
            <v>BO04909</v>
          </cell>
          <cell r="C173" t="str">
            <v>BZLD00002</v>
          </cell>
          <cell r="D173" t="str">
            <v>流产</v>
          </cell>
          <cell r="E173" t="str">
            <v>清宫术</v>
          </cell>
        </row>
        <row r="173">
          <cell r="G173">
            <v>1800</v>
          </cell>
          <cell r="H173">
            <v>1800</v>
          </cell>
        </row>
        <row r="174">
          <cell r="B174" t="str">
            <v>BO21900</v>
          </cell>
          <cell r="C174" t="str">
            <v>BZLD00003</v>
          </cell>
          <cell r="D174" t="str">
            <v>妊娠剧吐</v>
          </cell>
          <cell r="E174" t="str">
            <v>保守治疗</v>
          </cell>
        </row>
        <row r="174">
          <cell r="G174">
            <v>1950</v>
          </cell>
          <cell r="H174">
            <v>1950</v>
          </cell>
        </row>
        <row r="175">
          <cell r="B175" t="str">
            <v>BO20000</v>
          </cell>
          <cell r="C175" t="str">
            <v>BZLD00004</v>
          </cell>
          <cell r="D175" t="str">
            <v>先兆流产</v>
          </cell>
          <cell r="E175" t="str">
            <v>保胎</v>
          </cell>
        </row>
        <row r="175">
          <cell r="G175">
            <v>1400</v>
          </cell>
          <cell r="H175">
            <v>1400</v>
          </cell>
        </row>
        <row r="176">
          <cell r="B176" t="str">
            <v>BO60000</v>
          </cell>
          <cell r="C176" t="str">
            <v>BZLD00005</v>
          </cell>
          <cell r="D176" t="str">
            <v>先兆早产不伴分娩</v>
          </cell>
          <cell r="E176" t="str">
            <v>保胎</v>
          </cell>
        </row>
        <row r="176">
          <cell r="G176">
            <v>1400</v>
          </cell>
          <cell r="H176">
            <v>1400</v>
          </cell>
        </row>
        <row r="177">
          <cell r="B177" t="str">
            <v>BI25132</v>
          </cell>
          <cell r="C177" t="str">
            <v>BZLD00006</v>
          </cell>
          <cell r="D177" t="str">
            <v>冠状动脉粥样硬化性心脏病</v>
          </cell>
          <cell r="E177" t="str">
            <v>保守治疗（抗血小板、调脂、扩冠等）</v>
          </cell>
        </row>
        <row r="177">
          <cell r="G177">
            <v>7000</v>
          </cell>
          <cell r="H177">
            <v>4500</v>
          </cell>
        </row>
        <row r="178">
          <cell r="B178" t="str">
            <v>BI63900</v>
          </cell>
          <cell r="C178" t="str">
            <v>BZLD00007</v>
          </cell>
          <cell r="D178" t="str">
            <v>脑梗死</v>
          </cell>
          <cell r="E178" t="str">
            <v>抗血小板、改善脑循环及神经保护治疗</v>
          </cell>
        </row>
        <row r="178">
          <cell r="G178">
            <v>10000</v>
          </cell>
          <cell r="H178">
            <v>6000</v>
          </cell>
        </row>
        <row r="179">
          <cell r="B179" t="str">
            <v>BI63802</v>
          </cell>
          <cell r="C179" t="str">
            <v>BZLD00008</v>
          </cell>
          <cell r="D179" t="str">
            <v>腔隙性脑梗死</v>
          </cell>
          <cell r="E179" t="str">
            <v>抗血小板、改善脑循环及康复治疗</v>
          </cell>
        </row>
        <row r="179">
          <cell r="G179">
            <v>5800</v>
          </cell>
          <cell r="H179">
            <v>5000</v>
          </cell>
        </row>
        <row r="180">
          <cell r="B180" t="str">
            <v>BJ44100</v>
          </cell>
          <cell r="C180" t="str">
            <v>FM095</v>
          </cell>
          <cell r="D180" t="str">
            <v>慢性阻塞性肺病伴急性加重</v>
          </cell>
        </row>
        <row r="180">
          <cell r="G180">
            <v>8400</v>
          </cell>
          <cell r="H180">
            <v>8400</v>
          </cell>
        </row>
        <row r="181">
          <cell r="B181" t="str">
            <v>BJ20903</v>
          </cell>
          <cell r="C181" t="str">
            <v>FM081</v>
          </cell>
          <cell r="D181" t="str">
            <v>急性支气管炎</v>
          </cell>
        </row>
        <row r="181">
          <cell r="G181">
            <v>2200</v>
          </cell>
          <cell r="H181">
            <v>3000</v>
          </cell>
        </row>
        <row r="182">
          <cell r="B182" t="str">
            <v>BJ06900</v>
          </cell>
          <cell r="C182" t="str">
            <v>BZLD00011</v>
          </cell>
          <cell r="D182" t="str">
            <v>急性上呼吸道感染</v>
          </cell>
          <cell r="E182" t="str">
            <v>对症治疗</v>
          </cell>
        </row>
        <row r="182">
          <cell r="G182">
            <v>1800</v>
          </cell>
          <cell r="H182">
            <v>1800</v>
          </cell>
          <cell r="I182" t="str">
            <v>限14周岁以下</v>
          </cell>
        </row>
        <row r="183">
          <cell r="B183" t="str">
            <v>BI10x07</v>
          </cell>
          <cell r="C183" t="str">
            <v>BZLD00012</v>
          </cell>
          <cell r="D183" t="str">
            <v>高血压病</v>
          </cell>
          <cell r="E183" t="str">
            <v>降压，抗血小板、调脂等</v>
          </cell>
        </row>
        <row r="183">
          <cell r="G183">
            <v>5000</v>
          </cell>
          <cell r="H183">
            <v>5000</v>
          </cell>
        </row>
        <row r="184">
          <cell r="B184" t="str">
            <v>BK29500</v>
          </cell>
          <cell r="C184" t="str">
            <v>BZLD00013</v>
          </cell>
          <cell r="D184" t="str">
            <v>慢性胃炎</v>
          </cell>
          <cell r="E184" t="str">
            <v>抑酸、保护胃粘膜、促动力等</v>
          </cell>
        </row>
        <row r="184">
          <cell r="G184">
            <v>5500</v>
          </cell>
          <cell r="H184">
            <v>3300</v>
          </cell>
        </row>
        <row r="185">
          <cell r="B185" t="str">
            <v>BJ42x00</v>
          </cell>
          <cell r="C185" t="str">
            <v>BZLD00014</v>
          </cell>
          <cell r="D185" t="str">
            <v>慢性支气管炎</v>
          </cell>
          <cell r="E185" t="str">
            <v>抗感染、化痰、解痉平喘等</v>
          </cell>
        </row>
        <row r="185">
          <cell r="G185">
            <v>6700</v>
          </cell>
          <cell r="H185">
            <v>5000</v>
          </cell>
          <cell r="I185" t="str">
            <v>限急性加重期</v>
          </cell>
        </row>
        <row r="186">
          <cell r="B186" t="str">
            <v>BJ02900</v>
          </cell>
          <cell r="C186" t="str">
            <v>BZLD00015</v>
          </cell>
          <cell r="D186" t="str">
            <v>急性咽炎</v>
          </cell>
          <cell r="E186" t="str">
            <v>保守治疗</v>
          </cell>
        </row>
        <row r="186">
          <cell r="G186">
            <v>1900</v>
          </cell>
          <cell r="H186">
            <v>1900</v>
          </cell>
        </row>
        <row r="187">
          <cell r="B187" t="str">
            <v>BN40x00</v>
          </cell>
          <cell r="C187" t="str">
            <v>BZLD00016</v>
          </cell>
          <cell r="D187" t="str">
            <v>前列腺增生</v>
          </cell>
          <cell r="E187" t="str">
            <v>保守治疗</v>
          </cell>
        </row>
        <row r="187">
          <cell r="G187">
            <v>6800</v>
          </cell>
          <cell r="H187">
            <v>6800</v>
          </cell>
        </row>
        <row r="188">
          <cell r="B188" t="str">
            <v>BE11900</v>
          </cell>
          <cell r="C188" t="str">
            <v>BZLD00017</v>
          </cell>
          <cell r="D188" t="str">
            <v>2型糖尿病（无严重并发症）</v>
          </cell>
          <cell r="E188" t="str">
            <v>控制血糖、抗血小板、调脂等</v>
          </cell>
        </row>
        <row r="188">
          <cell r="G188">
            <v>5700</v>
          </cell>
          <cell r="H188">
            <v>5000</v>
          </cell>
        </row>
        <row r="189">
          <cell r="B189" t="str">
            <v>BT14004</v>
          </cell>
          <cell r="C189" t="str">
            <v>BZLD00018</v>
          </cell>
          <cell r="D189" t="str">
            <v>皮肤挫伤</v>
          </cell>
          <cell r="E189" t="str">
            <v>控制血糖、抗血小板、调脂等</v>
          </cell>
        </row>
        <row r="189">
          <cell r="G189">
            <v>3500</v>
          </cell>
          <cell r="H189">
            <v>3500</v>
          </cell>
        </row>
        <row r="190">
          <cell r="B190" t="str">
            <v>BM61500</v>
          </cell>
          <cell r="C190" t="str">
            <v>BZLD00019</v>
          </cell>
          <cell r="D190" t="str">
            <v>急性胃肠炎</v>
          </cell>
          <cell r="E190" t="str">
            <v>抑酸、保护胃肠粘膜、补液等</v>
          </cell>
        </row>
        <row r="190">
          <cell r="G190">
            <v>2500</v>
          </cell>
          <cell r="H190">
            <v>2500</v>
          </cell>
          <cell r="I190" t="str">
            <v>限非感染性</v>
          </cell>
        </row>
        <row r="191">
          <cell r="B191" t="str">
            <v>BA09901</v>
          </cell>
          <cell r="C191" t="str">
            <v>BZLD00021</v>
          </cell>
          <cell r="D191" t="str">
            <v>急性腹泻</v>
          </cell>
          <cell r="E191" t="str">
            <v>补液、调节肠道菌群、保护肠粘膜、营养支持等</v>
          </cell>
        </row>
        <row r="191">
          <cell r="G191">
            <v>1400</v>
          </cell>
          <cell r="H191">
            <v>1400</v>
          </cell>
          <cell r="I191" t="str">
            <v>限14周岁以下</v>
          </cell>
        </row>
        <row r="192">
          <cell r="B192" t="str">
            <v>BB08400</v>
          </cell>
          <cell r="C192" t="str">
            <v>BZLD00022</v>
          </cell>
          <cell r="D192" t="str">
            <v>手足口病</v>
          </cell>
          <cell r="E192" t="str">
            <v>抗病毒及对症治疗等</v>
          </cell>
        </row>
        <row r="192">
          <cell r="G192">
            <v>1700</v>
          </cell>
          <cell r="H192">
            <v>1700</v>
          </cell>
          <cell r="I192" t="str">
            <v>限14周岁以下</v>
          </cell>
        </row>
        <row r="193">
          <cell r="B193" t="str">
            <v>BS29900</v>
          </cell>
          <cell r="C193" t="str">
            <v>BZLD00023</v>
          </cell>
          <cell r="D193" t="str">
            <v>胸部损伤</v>
          </cell>
          <cell r="E193" t="str">
            <v>对症治疗</v>
          </cell>
        </row>
        <row r="193">
          <cell r="G193">
            <v>3600</v>
          </cell>
          <cell r="H193">
            <v>3600</v>
          </cell>
        </row>
        <row r="194">
          <cell r="B194" t="str">
            <v>BI61904</v>
          </cell>
          <cell r="C194" t="str">
            <v>BZLD00024</v>
          </cell>
          <cell r="D194" t="str">
            <v>高血压脑出血</v>
          </cell>
          <cell r="E194" t="str">
            <v>保守治疗（脱水降颅压、控制血压、止血等）</v>
          </cell>
        </row>
        <row r="194">
          <cell r="G194">
            <v>9360</v>
          </cell>
          <cell r="H194">
            <v>9360</v>
          </cell>
        </row>
        <row r="195">
          <cell r="B195" t="str">
            <v>BI49900</v>
          </cell>
          <cell r="C195" t="str">
            <v>BZLD00025</v>
          </cell>
          <cell r="D195" t="str">
            <v>心律失常</v>
          </cell>
          <cell r="E195" t="str">
            <v>对症治疗</v>
          </cell>
        </row>
        <row r="195">
          <cell r="G195">
            <v>5800</v>
          </cell>
          <cell r="H195">
            <v>5800</v>
          </cell>
        </row>
        <row r="196">
          <cell r="B196" t="str">
            <v>BR56000</v>
          </cell>
          <cell r="C196" t="str">
            <v>BZLD00026</v>
          </cell>
          <cell r="D196" t="str">
            <v>高热惊厥</v>
          </cell>
          <cell r="E196" t="str">
            <v>退热、止惊等</v>
          </cell>
        </row>
        <row r="196">
          <cell r="G196">
            <v>2050</v>
          </cell>
          <cell r="H196">
            <v>2050</v>
          </cell>
          <cell r="I196" t="str">
            <v>限14周岁以下</v>
          </cell>
        </row>
        <row r="197">
          <cell r="B197" t="str">
            <v>BK56700</v>
          </cell>
          <cell r="C197" t="str">
            <v>IM260</v>
          </cell>
          <cell r="D197" t="str">
            <v>肠梗阻</v>
          </cell>
        </row>
        <row r="197">
          <cell r="G197">
            <v>3300</v>
          </cell>
          <cell r="H197">
            <v>3300</v>
          </cell>
        </row>
        <row r="198">
          <cell r="B198" t="str">
            <v>BK92204</v>
          </cell>
          <cell r="C198" t="str">
            <v>IM457</v>
          </cell>
          <cell r="D198" t="str">
            <v>急性上消化道出血</v>
          </cell>
        </row>
        <row r="198">
          <cell r="G198">
            <v>6000</v>
          </cell>
          <cell r="H198">
            <v>6000</v>
          </cell>
        </row>
        <row r="199">
          <cell r="B199" t="str">
            <v>BK92202</v>
          </cell>
          <cell r="C199" t="str">
            <v>IM458</v>
          </cell>
          <cell r="D199" t="str">
            <v>上消化道出血</v>
          </cell>
        </row>
        <row r="199">
          <cell r="G199">
            <v>5000</v>
          </cell>
          <cell r="H199">
            <v>5000</v>
          </cell>
        </row>
        <row r="200">
          <cell r="B200" t="str">
            <v>BK92201</v>
          </cell>
          <cell r="C200" t="str">
            <v>BZLD00030</v>
          </cell>
          <cell r="D200" t="str">
            <v>下消化道出血</v>
          </cell>
          <cell r="E200" t="str">
            <v>止血、抑酸、保护胃黏膜、营养支持等</v>
          </cell>
        </row>
        <row r="200">
          <cell r="G200">
            <v>5000</v>
          </cell>
          <cell r="H200">
            <v>5000</v>
          </cell>
        </row>
        <row r="201">
          <cell r="B201" t="str">
            <v>BG43900</v>
          </cell>
          <cell r="C201" t="str">
            <v>BZLD00031</v>
          </cell>
          <cell r="D201" t="str">
            <v>偏头痛</v>
          </cell>
          <cell r="E201" t="str">
            <v>保守治疗</v>
          </cell>
        </row>
        <row r="201">
          <cell r="G201">
            <v>5000</v>
          </cell>
          <cell r="H201">
            <v>5000</v>
          </cell>
        </row>
        <row r="202">
          <cell r="B202" t="str">
            <v>BO24400</v>
          </cell>
          <cell r="C202" t="str">
            <v>BZLD00032</v>
          </cell>
          <cell r="D202" t="str">
            <v>妊娠期糖尿病</v>
          </cell>
          <cell r="E202" t="str">
            <v>胰岛素治疗，产科观察等</v>
          </cell>
        </row>
        <row r="202">
          <cell r="G202">
            <v>3300</v>
          </cell>
          <cell r="H202">
            <v>3300</v>
          </cell>
        </row>
        <row r="203">
          <cell r="B203" t="str">
            <v>BS01001</v>
          </cell>
          <cell r="C203" t="str">
            <v>BZLD00033</v>
          </cell>
          <cell r="D203" t="str">
            <v>头部外伤/头皮裂伤</v>
          </cell>
          <cell r="E203" t="str">
            <v>头皮局部清创缝合</v>
          </cell>
        </row>
        <row r="203">
          <cell r="G203">
            <v>3000</v>
          </cell>
          <cell r="H203">
            <v>3000</v>
          </cell>
        </row>
        <row r="204">
          <cell r="B204" t="str">
            <v>BI24904</v>
          </cell>
          <cell r="C204" t="str">
            <v>BZLD00034</v>
          </cell>
          <cell r="D204" t="str">
            <v>急性冠脉综合征</v>
          </cell>
          <cell r="E204" t="str">
            <v>保守治疗</v>
          </cell>
        </row>
        <row r="204">
          <cell r="G204">
            <v>5800</v>
          </cell>
          <cell r="H204">
            <v>5800</v>
          </cell>
        </row>
        <row r="205">
          <cell r="B205" t="str">
            <v>BK80000</v>
          </cell>
          <cell r="C205" t="str">
            <v>BZLD00035</v>
          </cell>
          <cell r="D205" t="str">
            <v>胆囊结石伴急性胆囊炎</v>
          </cell>
          <cell r="E205" t="str">
            <v>保守治疗（抗感染、解痉、利胆等）</v>
          </cell>
        </row>
        <row r="205">
          <cell r="G205">
            <v>4800</v>
          </cell>
          <cell r="H205">
            <v>4800</v>
          </cell>
        </row>
        <row r="206">
          <cell r="B206" t="str">
            <v>BI83920</v>
          </cell>
          <cell r="C206" t="str">
            <v>BZLD00036</v>
          </cell>
          <cell r="D206" t="str">
            <v>大隐静脉曲张</v>
          </cell>
          <cell r="E206" t="str">
            <v>双侧大隐静脉高位结扎术+剥脱术</v>
          </cell>
        </row>
        <row r="206">
          <cell r="G206">
            <v>7800</v>
          </cell>
          <cell r="H206">
            <v>7800</v>
          </cell>
        </row>
        <row r="207">
          <cell r="B207" t="str">
            <v>BI83000</v>
          </cell>
          <cell r="C207" t="str">
            <v>BZLD00037</v>
          </cell>
          <cell r="D207" t="str">
            <v>大隐静脉曲张</v>
          </cell>
          <cell r="E207" t="str">
            <v>保守治疗</v>
          </cell>
        </row>
        <row r="207">
          <cell r="G207">
            <v>5000</v>
          </cell>
          <cell r="H207">
            <v>5000</v>
          </cell>
        </row>
        <row r="208">
          <cell r="B208" t="str">
            <v>BI83900</v>
          </cell>
          <cell r="C208" t="str">
            <v>BZLD00038</v>
          </cell>
          <cell r="D208" t="str">
            <v>下肢静脉曲张</v>
          </cell>
          <cell r="E208" t="str">
            <v>保守治疗</v>
          </cell>
        </row>
        <row r="208">
          <cell r="G208">
            <v>5000</v>
          </cell>
          <cell r="H208">
            <v>5000</v>
          </cell>
        </row>
        <row r="209">
          <cell r="B209" t="str">
            <v>BI83982</v>
          </cell>
          <cell r="C209" t="str">
            <v>BZLD00039</v>
          </cell>
          <cell r="D209" t="str">
            <v>下肢静脉曲张</v>
          </cell>
          <cell r="E209" t="str">
            <v>双侧大隐静脉高位结扎+剥脱术</v>
          </cell>
        </row>
        <row r="209">
          <cell r="G209">
            <v>7800</v>
          </cell>
          <cell r="H209">
            <v>7800</v>
          </cell>
        </row>
        <row r="210">
          <cell r="B210" t="str">
            <v>BT00900</v>
          </cell>
          <cell r="C210" t="str">
            <v>BZLD00040</v>
          </cell>
          <cell r="D210" t="str">
            <v>全身挫伤、多处</v>
          </cell>
          <cell r="E210" t="str">
            <v>对症治疗</v>
          </cell>
        </row>
        <row r="210">
          <cell r="G210">
            <v>3000</v>
          </cell>
          <cell r="H210">
            <v>3000</v>
          </cell>
        </row>
        <row r="211">
          <cell r="B211" t="str">
            <v>BT14000</v>
          </cell>
          <cell r="C211" t="str">
            <v>BZLD00041</v>
          </cell>
          <cell r="D211" t="str">
            <v>皮肤挫伤</v>
          </cell>
          <cell r="E211" t="str">
            <v>对症治疗</v>
          </cell>
        </row>
        <row r="211">
          <cell r="G211">
            <v>3000</v>
          </cell>
          <cell r="H211">
            <v>3000</v>
          </cell>
        </row>
        <row r="212">
          <cell r="B212" t="str">
            <v>BB18100</v>
          </cell>
          <cell r="C212" t="str">
            <v>BZLD00042</v>
          </cell>
          <cell r="D212" t="str">
            <v>慢性乙型病毒性肝炎</v>
          </cell>
          <cell r="E212" t="str">
            <v>抗病毒、保肝等</v>
          </cell>
        </row>
        <row r="212">
          <cell r="G212">
            <v>6200</v>
          </cell>
          <cell r="H212">
            <v>6200</v>
          </cell>
          <cell r="I212" t="str">
            <v>限活动期</v>
          </cell>
        </row>
        <row r="213">
          <cell r="B213" t="str">
            <v>BB18101</v>
          </cell>
          <cell r="C213" t="str">
            <v>BZLD00043</v>
          </cell>
          <cell r="D213" t="str">
            <v>慢性乙型病毒性肝炎</v>
          </cell>
          <cell r="E213" t="str">
            <v>肝穿刺活组织检查，经皮</v>
          </cell>
        </row>
        <row r="213">
          <cell r="G213">
            <v>7600</v>
          </cell>
          <cell r="H213">
            <v>7600</v>
          </cell>
        </row>
        <row r="214">
          <cell r="B214" t="str">
            <v>BK27500</v>
          </cell>
          <cell r="C214" t="str">
            <v>BZLD00044</v>
          </cell>
          <cell r="D214" t="str">
            <v>消化道穿孔</v>
          </cell>
          <cell r="E214" t="str">
            <v>对症治疗</v>
          </cell>
        </row>
        <row r="214">
          <cell r="G214">
            <v>6000</v>
          </cell>
          <cell r="H214">
            <v>6000</v>
          </cell>
        </row>
        <row r="215">
          <cell r="B215" t="str">
            <v>BJ47x00</v>
          </cell>
          <cell r="C215" t="str">
            <v>BZLD00045</v>
          </cell>
          <cell r="D215" t="str">
            <v>支气管扩张伴感染</v>
          </cell>
          <cell r="E215" t="str">
            <v>对症治疗</v>
          </cell>
        </row>
        <row r="215">
          <cell r="G215">
            <v>7800</v>
          </cell>
          <cell r="H215">
            <v>5000</v>
          </cell>
        </row>
        <row r="216">
          <cell r="B216" t="str">
            <v>BG45001</v>
          </cell>
          <cell r="C216" t="str">
            <v>BZLD00046</v>
          </cell>
          <cell r="D216" t="str">
            <v>后循环缺血</v>
          </cell>
          <cell r="E216" t="str">
            <v>改善循环及对症药物治疗</v>
          </cell>
        </row>
        <row r="216">
          <cell r="G216">
            <v>5900</v>
          </cell>
          <cell r="H216">
            <v>4500</v>
          </cell>
        </row>
        <row r="217">
          <cell r="B217" t="str">
            <v>BI50923</v>
          </cell>
          <cell r="C217" t="str">
            <v>BZLD00047</v>
          </cell>
          <cell r="D217" t="str">
            <v>心功能不全</v>
          </cell>
          <cell r="E217" t="str">
            <v>强心、利尿、控制心率、抑制心肌重构等</v>
          </cell>
        </row>
        <row r="217">
          <cell r="G217">
            <v>7100</v>
          </cell>
          <cell r="H217">
            <v>6500</v>
          </cell>
        </row>
        <row r="218">
          <cell r="B218" t="str">
            <v>BI48900</v>
          </cell>
          <cell r="C218" t="str">
            <v>BZLD00048</v>
          </cell>
          <cell r="D218" t="str">
            <v>心房颤动</v>
          </cell>
          <cell r="E218" t="str">
            <v>对症治疗</v>
          </cell>
        </row>
        <row r="218">
          <cell r="G218">
            <v>6600</v>
          </cell>
          <cell r="H218">
            <v>6600</v>
          </cell>
        </row>
        <row r="219">
          <cell r="B219" t="str">
            <v>BN39000</v>
          </cell>
          <cell r="C219" t="str">
            <v>JM109</v>
          </cell>
          <cell r="D219" t="str">
            <v>泌尿道感染</v>
          </cell>
        </row>
        <row r="219">
          <cell r="G219">
            <v>4400</v>
          </cell>
          <cell r="H219">
            <v>4400</v>
          </cell>
        </row>
        <row r="220">
          <cell r="B220" t="str">
            <v>BN34200</v>
          </cell>
          <cell r="C220" t="str">
            <v>BZLD00050</v>
          </cell>
          <cell r="D220" t="str">
            <v>急性尿道炎</v>
          </cell>
          <cell r="E220" t="str">
            <v>保守治疗（抗感染等）</v>
          </cell>
        </row>
        <row r="220">
          <cell r="G220">
            <v>4700</v>
          </cell>
          <cell r="H220">
            <v>4700</v>
          </cell>
        </row>
        <row r="221">
          <cell r="B221" t="str">
            <v>BD17901</v>
          </cell>
          <cell r="C221" t="str">
            <v>BZLD00051</v>
          </cell>
          <cell r="D221" t="str">
            <v>脂肪瘤</v>
          </cell>
          <cell r="E221" t="str">
            <v>皮下组织病损切除术</v>
          </cell>
        </row>
        <row r="221">
          <cell r="G221">
            <v>2500</v>
          </cell>
          <cell r="H221">
            <v>2500</v>
          </cell>
          <cell r="I221" t="str">
            <v>限体表脂肪瘤</v>
          </cell>
        </row>
        <row r="222">
          <cell r="B222" t="str">
            <v>BK81000</v>
          </cell>
          <cell r="C222" t="str">
            <v>BZLD00052</v>
          </cell>
          <cell r="D222" t="str">
            <v>急性胆囊炎</v>
          </cell>
          <cell r="E222" t="str">
            <v>保守治疗（抗感染、解痉、利胆等）</v>
          </cell>
        </row>
        <row r="222">
          <cell r="G222">
            <v>5500</v>
          </cell>
          <cell r="H222">
            <v>5500</v>
          </cell>
        </row>
        <row r="223">
          <cell r="B223" t="str">
            <v>BK81009</v>
          </cell>
          <cell r="C223" t="str">
            <v>BZLD00053</v>
          </cell>
          <cell r="D223" t="str">
            <v>慢性胆囊炎急性发作</v>
          </cell>
          <cell r="E223" t="str">
            <v>保守治疗（抗感染、解痉、利胆等）</v>
          </cell>
        </row>
        <row r="223">
          <cell r="G223">
            <v>5500</v>
          </cell>
          <cell r="H223">
            <v>5500</v>
          </cell>
        </row>
        <row r="224">
          <cell r="B224" t="str">
            <v>BK80500</v>
          </cell>
          <cell r="C224" t="str">
            <v>BZLD00054</v>
          </cell>
          <cell r="D224" t="str">
            <v>胆总管结石
（无胆管炎或胆囊炎）</v>
          </cell>
          <cell r="E224" t="str">
            <v>保守治疗（解痉、利胆等）</v>
          </cell>
        </row>
        <row r="224">
          <cell r="G224">
            <v>5500</v>
          </cell>
          <cell r="H224">
            <v>5500</v>
          </cell>
        </row>
        <row r="225">
          <cell r="B225" t="str">
            <v>BK85900</v>
          </cell>
          <cell r="C225" t="str">
            <v>IM429</v>
          </cell>
          <cell r="D225" t="str">
            <v>急性胰腺炎</v>
          </cell>
        </row>
        <row r="225">
          <cell r="G225">
            <v>6500</v>
          </cell>
          <cell r="H225">
            <v>6500</v>
          </cell>
        </row>
        <row r="226">
          <cell r="B226" t="str">
            <v>BN20100</v>
          </cell>
          <cell r="C226" t="str">
            <v>BZLD00056</v>
          </cell>
          <cell r="D226" t="str">
            <v>输尿管结石</v>
          </cell>
          <cell r="E226" t="str">
            <v>保守治疗</v>
          </cell>
        </row>
        <row r="226">
          <cell r="G226">
            <v>2400</v>
          </cell>
          <cell r="H226">
            <v>2400</v>
          </cell>
        </row>
        <row r="227">
          <cell r="B227" t="str">
            <v>BR42x00</v>
          </cell>
          <cell r="C227" t="str">
            <v>BZLD00057</v>
          </cell>
          <cell r="D227" t="str">
            <v>头晕和眩晕</v>
          </cell>
          <cell r="E227" t="str">
            <v>对症治疗</v>
          </cell>
        </row>
        <row r="227">
          <cell r="G227">
            <v>4200</v>
          </cell>
          <cell r="H227">
            <v>4200</v>
          </cell>
        </row>
        <row r="228">
          <cell r="B228" t="str">
            <v>BS20200</v>
          </cell>
          <cell r="C228" t="str">
            <v>BZLD00058</v>
          </cell>
          <cell r="D228" t="str">
            <v>胸部挫伤</v>
          </cell>
          <cell r="E228" t="str">
            <v>对症治疗</v>
          </cell>
        </row>
        <row r="228">
          <cell r="G228">
            <v>3400</v>
          </cell>
          <cell r="H228">
            <v>3400</v>
          </cell>
        </row>
        <row r="229">
          <cell r="B229" t="str">
            <v>BD46900</v>
          </cell>
          <cell r="C229" t="str">
            <v>BZLD00059</v>
          </cell>
          <cell r="D229" t="str">
            <v>骨髓增生异常综合征</v>
          </cell>
          <cell r="E229" t="str">
            <v>对症治疗</v>
          </cell>
        </row>
        <row r="229">
          <cell r="G229">
            <v>5100</v>
          </cell>
          <cell r="H229">
            <v>5100</v>
          </cell>
        </row>
        <row r="230">
          <cell r="B230" t="str">
            <v>BJ93102</v>
          </cell>
          <cell r="C230" t="str">
            <v>BZLD00060</v>
          </cell>
          <cell r="D230" t="str">
            <v>自发性气胸</v>
          </cell>
          <cell r="E230" t="str">
            <v>胸腔闭式引流术</v>
          </cell>
        </row>
        <row r="230">
          <cell r="G230">
            <v>4500</v>
          </cell>
          <cell r="H230">
            <v>4500</v>
          </cell>
        </row>
        <row r="231">
          <cell r="B231" t="str">
            <v>BI21900</v>
          </cell>
          <cell r="C231" t="str">
            <v>BZLD00061</v>
          </cell>
          <cell r="D231" t="str">
            <v>急性心肌梗死</v>
          </cell>
          <cell r="E231" t="str">
            <v>保守治疗（抗血小板、抗凝、调脂、扩冠等）</v>
          </cell>
        </row>
        <row r="231">
          <cell r="G231">
            <v>5500</v>
          </cell>
          <cell r="H231">
            <v>5500</v>
          </cell>
          <cell r="I231" t="str">
            <v>不含溶栓治疗和介入治疗患者</v>
          </cell>
        </row>
        <row r="232">
          <cell r="B232" t="str">
            <v>BM51200</v>
          </cell>
          <cell r="C232" t="str">
            <v>OM141</v>
          </cell>
          <cell r="D232" t="str">
            <v>腰椎间盘突出</v>
          </cell>
        </row>
        <row r="232">
          <cell r="G232">
            <v>3800</v>
          </cell>
          <cell r="H232">
            <v>3800</v>
          </cell>
        </row>
        <row r="233">
          <cell r="B233" t="str">
            <v>BK83001</v>
          </cell>
          <cell r="C233" t="str">
            <v>BZLD00063</v>
          </cell>
          <cell r="D233" t="str">
            <v>胆道感染</v>
          </cell>
          <cell r="E233" t="str">
            <v>对症治疗</v>
          </cell>
        </row>
        <row r="233">
          <cell r="G233">
            <v>6000</v>
          </cell>
          <cell r="H233">
            <v>6000</v>
          </cell>
        </row>
        <row r="234">
          <cell r="B234" t="str">
            <v>BJ04000</v>
          </cell>
          <cell r="C234" t="str">
            <v>BZLD00064</v>
          </cell>
          <cell r="D234" t="str">
            <v>急性喉炎</v>
          </cell>
          <cell r="E234" t="str">
            <v>抗感染及对症治疗等</v>
          </cell>
        </row>
        <row r="234">
          <cell r="G234">
            <v>2200</v>
          </cell>
          <cell r="H234">
            <v>2200</v>
          </cell>
        </row>
        <row r="235">
          <cell r="B235" t="str">
            <v>BN20000</v>
          </cell>
          <cell r="C235" t="str">
            <v>BZLD00065</v>
          </cell>
          <cell r="D235" t="str">
            <v>肾结石</v>
          </cell>
          <cell r="E235" t="str">
            <v>保守治疗</v>
          </cell>
        </row>
        <row r="235">
          <cell r="G235">
            <v>2000</v>
          </cell>
          <cell r="H235">
            <v>2000</v>
          </cell>
        </row>
        <row r="236">
          <cell r="B236" t="str">
            <v>BI86100</v>
          </cell>
          <cell r="C236" t="str">
            <v>BZLD00066</v>
          </cell>
          <cell r="D236" t="str">
            <v>精索静脉曲张</v>
          </cell>
          <cell r="E236" t="str">
            <v>保守治疗</v>
          </cell>
        </row>
        <row r="236">
          <cell r="G236">
            <v>3800</v>
          </cell>
          <cell r="H236">
            <v>3800</v>
          </cell>
        </row>
        <row r="237">
          <cell r="B237" t="str">
            <v>BK26502</v>
          </cell>
          <cell r="C237" t="str">
            <v>BZLD00067</v>
          </cell>
          <cell r="D237" t="str">
            <v>十二指肠溃疡伴穿孔</v>
          </cell>
          <cell r="E237" t="str">
            <v>十二指肠穿孔修补术</v>
          </cell>
        </row>
        <row r="237">
          <cell r="G237">
            <v>12000</v>
          </cell>
          <cell r="H237">
            <v>12000</v>
          </cell>
        </row>
        <row r="238">
          <cell r="B238" t="str">
            <v>BK26510</v>
          </cell>
          <cell r="C238" t="str">
            <v>BZLD00068</v>
          </cell>
          <cell r="D238" t="str">
            <v>十二指肠溃疡伴穿孔</v>
          </cell>
          <cell r="E238" t="str">
            <v>腹腔镜下十二指肠溃疡穿孔修补术</v>
          </cell>
        </row>
        <row r="238">
          <cell r="G238">
            <v>15900</v>
          </cell>
          <cell r="H238">
            <v>15900</v>
          </cell>
        </row>
        <row r="239">
          <cell r="B239" t="str">
            <v>BK26300</v>
          </cell>
          <cell r="C239" t="str">
            <v>BZLD00069</v>
          </cell>
          <cell r="D239" t="str">
            <v>十二指肠溃疡</v>
          </cell>
          <cell r="E239" t="str">
            <v>对症治疗（补液、抑酸、保护粘膜等）</v>
          </cell>
        </row>
        <row r="239">
          <cell r="G239">
            <v>4200</v>
          </cell>
          <cell r="H239">
            <v>4200</v>
          </cell>
        </row>
        <row r="240">
          <cell r="B240" t="str">
            <v>BN61x05</v>
          </cell>
          <cell r="C240" t="str">
            <v>BZLD00071</v>
          </cell>
          <cell r="D240" t="str">
            <v>乳腺脓肿</v>
          </cell>
          <cell r="E240" t="str">
            <v>乳房切开引流术</v>
          </cell>
        </row>
        <row r="240">
          <cell r="G240">
            <v>3300</v>
          </cell>
          <cell r="H240">
            <v>3300</v>
          </cell>
        </row>
        <row r="241">
          <cell r="B241" t="str">
            <v>BN93807</v>
          </cell>
          <cell r="C241" t="str">
            <v>BZLD00073</v>
          </cell>
          <cell r="D241" t="str">
            <v>功能失调性子宫出血</v>
          </cell>
          <cell r="E241" t="str">
            <v>诊断性刮宫</v>
          </cell>
        </row>
        <row r="241">
          <cell r="G241">
            <v>3000</v>
          </cell>
          <cell r="H241">
            <v>3000</v>
          </cell>
        </row>
        <row r="242">
          <cell r="B242" t="str">
            <v>BK61001</v>
          </cell>
          <cell r="C242" t="str">
            <v>BZLD00074</v>
          </cell>
          <cell r="D242" t="str">
            <v>肛周脓肿</v>
          </cell>
          <cell r="E242" t="str">
            <v>肛周脓肿切开引流术</v>
          </cell>
        </row>
        <row r="242">
          <cell r="G242">
            <v>6100</v>
          </cell>
          <cell r="H242">
            <v>6100</v>
          </cell>
        </row>
        <row r="243">
          <cell r="B243" t="str">
            <v>BB01900</v>
          </cell>
          <cell r="C243" t="str">
            <v>BZLD00075</v>
          </cell>
          <cell r="D243" t="str">
            <v>水痘（不伴有并发症）</v>
          </cell>
          <cell r="E243" t="str">
            <v>抗病毒，对症</v>
          </cell>
        </row>
        <row r="243">
          <cell r="G243">
            <v>1700</v>
          </cell>
          <cell r="H243">
            <v>1700</v>
          </cell>
        </row>
        <row r="244">
          <cell r="B244" t="str">
            <v>BK75000</v>
          </cell>
          <cell r="C244" t="str">
            <v>IM355</v>
          </cell>
          <cell r="D244" t="str">
            <v>肝脓肿</v>
          </cell>
        </row>
        <row r="244">
          <cell r="G244">
            <v>7850</v>
          </cell>
          <cell r="H244">
            <v>7850</v>
          </cell>
        </row>
        <row r="245">
          <cell r="B245" t="str">
            <v>BK12100</v>
          </cell>
          <cell r="C245" t="str">
            <v>BZLD00077</v>
          </cell>
          <cell r="D245" t="str">
            <v>口腔炎</v>
          </cell>
          <cell r="E245" t="str">
            <v>对症治疗等</v>
          </cell>
        </row>
        <row r="245">
          <cell r="G245">
            <v>1350</v>
          </cell>
          <cell r="H245">
            <v>1350</v>
          </cell>
          <cell r="I245" t="str">
            <v>限14周岁以下</v>
          </cell>
        </row>
        <row r="246">
          <cell r="B246" t="str">
            <v>BD61900</v>
          </cell>
          <cell r="C246" t="str">
            <v>BZLD00078</v>
          </cell>
          <cell r="D246" t="str">
            <v>再生障碍性贫血</v>
          </cell>
          <cell r="E246" t="str">
            <v>保守治疗、补血等</v>
          </cell>
        </row>
        <row r="246">
          <cell r="G246">
            <v>5570</v>
          </cell>
          <cell r="H246">
            <v>5570</v>
          </cell>
        </row>
        <row r="247">
          <cell r="B247" t="str">
            <v>BG20x00</v>
          </cell>
          <cell r="C247" t="str">
            <v>AM080</v>
          </cell>
          <cell r="D247" t="str">
            <v>帕金森病</v>
          </cell>
        </row>
        <row r="247">
          <cell r="G247">
            <v>6900</v>
          </cell>
          <cell r="H247">
            <v>6900</v>
          </cell>
        </row>
        <row r="248">
          <cell r="B248" t="str">
            <v>BK76000</v>
          </cell>
          <cell r="C248" t="str">
            <v>BZLD00080</v>
          </cell>
          <cell r="D248" t="str">
            <v>脂肪肝</v>
          </cell>
          <cell r="E248" t="str">
            <v>保守治疗</v>
          </cell>
        </row>
        <row r="248">
          <cell r="G248">
            <v>5600</v>
          </cell>
          <cell r="H248">
            <v>5600</v>
          </cell>
        </row>
        <row r="249">
          <cell r="B249" t="str">
            <v>BS39900</v>
          </cell>
          <cell r="C249" t="str">
            <v>BZLD00081</v>
          </cell>
          <cell r="D249" t="str">
            <v>腹部损伤</v>
          </cell>
          <cell r="E249" t="str">
            <v>保守治疗</v>
          </cell>
        </row>
        <row r="249">
          <cell r="G249">
            <v>5500</v>
          </cell>
          <cell r="H249">
            <v>5500</v>
          </cell>
        </row>
        <row r="250">
          <cell r="B250" t="str">
            <v>BJ46x00</v>
          </cell>
          <cell r="C250" t="str">
            <v>BZLD00082</v>
          </cell>
          <cell r="D250" t="str">
            <v>支气管哮喘，危重</v>
          </cell>
          <cell r="E250" t="str">
            <v>保守治疗</v>
          </cell>
        </row>
        <row r="250">
          <cell r="G250">
            <v>7400</v>
          </cell>
          <cell r="H250">
            <v>7400</v>
          </cell>
        </row>
        <row r="251">
          <cell r="B251" t="str">
            <v>BS80101</v>
          </cell>
          <cell r="C251" t="str">
            <v>BZLD00083</v>
          </cell>
          <cell r="D251" t="str">
            <v>小腿挫伤</v>
          </cell>
          <cell r="E251" t="str">
            <v>皮肤及皮下组织清创术</v>
          </cell>
        </row>
        <row r="251">
          <cell r="G251">
            <v>4000</v>
          </cell>
          <cell r="H251">
            <v>4000</v>
          </cell>
        </row>
        <row r="252">
          <cell r="B252" t="str">
            <v>BE16200</v>
          </cell>
          <cell r="C252" t="str">
            <v>BZLD00084</v>
          </cell>
          <cell r="D252" t="str">
            <v>低血糖症</v>
          </cell>
          <cell r="E252" t="str">
            <v>保守治疗</v>
          </cell>
        </row>
        <row r="252">
          <cell r="G252">
            <v>5200</v>
          </cell>
          <cell r="H252">
            <v>5200</v>
          </cell>
        </row>
        <row r="253">
          <cell r="B253" t="str">
            <v>BK80300</v>
          </cell>
          <cell r="C253" t="str">
            <v>BZLD00085</v>
          </cell>
          <cell r="D253" t="str">
            <v>胆总管结石伴急性胆管炎</v>
          </cell>
          <cell r="E253" t="str">
            <v>保守治疗</v>
          </cell>
        </row>
        <row r="253">
          <cell r="G253">
            <v>6000</v>
          </cell>
          <cell r="H253">
            <v>6000</v>
          </cell>
        </row>
        <row r="254">
          <cell r="B254" t="str">
            <v>BP24000</v>
          </cell>
          <cell r="C254" t="str">
            <v>BZLD00086</v>
          </cell>
          <cell r="D254" t="str">
            <v>新生儿胎粪吸入综合征</v>
          </cell>
          <cell r="E254" t="str">
            <v>对症治疗</v>
          </cell>
        </row>
        <row r="254">
          <cell r="G254">
            <v>4400</v>
          </cell>
          <cell r="H254">
            <v>4400</v>
          </cell>
        </row>
        <row r="255">
          <cell r="B255" t="str">
            <v>BK29100</v>
          </cell>
          <cell r="C255" t="str">
            <v>BZLD00087</v>
          </cell>
          <cell r="D255" t="str">
            <v>特指急性胃炎</v>
          </cell>
          <cell r="E255" t="str">
            <v>抑酸、保护胃粘膜等，必要时胃镜检查</v>
          </cell>
        </row>
        <row r="255">
          <cell r="G255">
            <v>4000</v>
          </cell>
          <cell r="H255">
            <v>2100</v>
          </cell>
        </row>
        <row r="256">
          <cell r="B256" t="str">
            <v>BJ44800</v>
          </cell>
          <cell r="C256" t="str">
            <v>BZLD00088</v>
          </cell>
          <cell r="D256" t="str">
            <v>慢性支气管炎伴肺气肿</v>
          </cell>
          <cell r="E256" t="str">
            <v>抗感染、改善肺功能、呼吸支持、化痰、解痉平喘等</v>
          </cell>
        </row>
        <row r="256">
          <cell r="G256">
            <v>7400</v>
          </cell>
          <cell r="H256">
            <v>7400</v>
          </cell>
        </row>
        <row r="257">
          <cell r="B257" t="str">
            <v>BR65900</v>
          </cell>
          <cell r="C257" t="str">
            <v>BZLD00089</v>
          </cell>
          <cell r="D257" t="str">
            <v>全身炎症反应综合征</v>
          </cell>
          <cell r="E257" t="str">
            <v>保守治疗</v>
          </cell>
        </row>
        <row r="257">
          <cell r="G257">
            <v>2000</v>
          </cell>
          <cell r="H257">
            <v>2000</v>
          </cell>
        </row>
        <row r="258">
          <cell r="B258" t="str">
            <v>BS06000</v>
          </cell>
          <cell r="C258" t="str">
            <v>BZLD00090</v>
          </cell>
          <cell r="D258" t="str">
            <v>脑震荡</v>
          </cell>
          <cell r="E258" t="str">
            <v>对症治疗</v>
          </cell>
        </row>
        <row r="258">
          <cell r="G258">
            <v>3300</v>
          </cell>
          <cell r="H258">
            <v>3300</v>
          </cell>
        </row>
        <row r="259">
          <cell r="B259" t="str">
            <v>BZ47033</v>
          </cell>
          <cell r="C259" t="str">
            <v>BZLD00091</v>
          </cell>
          <cell r="D259" t="str">
            <v>取除骨折内固定装置</v>
          </cell>
          <cell r="E259" t="str">
            <v>内固定物取出术</v>
          </cell>
        </row>
        <row r="259">
          <cell r="G259">
            <v>6500</v>
          </cell>
          <cell r="H259">
            <v>5000</v>
          </cell>
        </row>
        <row r="260">
          <cell r="B260" t="str">
            <v>BS22000</v>
          </cell>
          <cell r="C260" t="str">
            <v>BZLD00092</v>
          </cell>
          <cell r="D260" t="str">
            <v>胸椎骨折</v>
          </cell>
          <cell r="E260" t="str">
            <v>保守治疗（胸托固定、镇痛等）</v>
          </cell>
        </row>
        <row r="260">
          <cell r="G260">
            <v>5500</v>
          </cell>
          <cell r="H260">
            <v>5500</v>
          </cell>
        </row>
        <row r="261">
          <cell r="B261" t="str">
            <v>BS22009</v>
          </cell>
          <cell r="C261" t="str">
            <v>BZLD00093</v>
          </cell>
          <cell r="D261" t="str">
            <v>胸椎骨折</v>
          </cell>
          <cell r="E261" t="str">
            <v>骨折切开复位内固定术</v>
          </cell>
          <cell r="F261" t="str">
            <v>内外固定材料</v>
          </cell>
          <cell r="G261">
            <v>15000</v>
          </cell>
          <cell r="H261">
            <v>8500</v>
          </cell>
          <cell r="I261" t="str">
            <v>限不伴脊髓损伤</v>
          </cell>
        </row>
        <row r="262">
          <cell r="B262" t="str">
            <v>BS32000</v>
          </cell>
          <cell r="C262" t="str">
            <v>BZLD00094</v>
          </cell>
          <cell r="D262" t="str">
            <v>腰椎骨折</v>
          </cell>
          <cell r="E262" t="str">
            <v>保守治疗（腰托固定、镇痛）</v>
          </cell>
        </row>
        <row r="262">
          <cell r="G262">
            <v>5500</v>
          </cell>
          <cell r="H262">
            <v>5500</v>
          </cell>
        </row>
        <row r="263">
          <cell r="B263" t="str">
            <v>BS32003</v>
          </cell>
          <cell r="C263" t="str">
            <v>BZLD00095</v>
          </cell>
          <cell r="D263" t="str">
            <v>腰椎骨折</v>
          </cell>
          <cell r="E263" t="str">
            <v>骨折切开复位内固定术</v>
          </cell>
          <cell r="F263" t="str">
            <v>内外固定材料</v>
          </cell>
          <cell r="G263">
            <v>15000</v>
          </cell>
          <cell r="H263">
            <v>8300</v>
          </cell>
        </row>
        <row r="264">
          <cell r="B264" t="str">
            <v>BS52304</v>
          </cell>
          <cell r="C264" t="str">
            <v>BZLD00096</v>
          </cell>
          <cell r="D264" t="str">
            <v>桡骨干骨折</v>
          </cell>
          <cell r="E264" t="str">
            <v>保守治疗（闭合复位+外固定等）</v>
          </cell>
        </row>
        <row r="264">
          <cell r="G264">
            <v>5000</v>
          </cell>
          <cell r="H264">
            <v>5000</v>
          </cell>
        </row>
        <row r="265">
          <cell r="B265" t="str">
            <v>BS52305</v>
          </cell>
          <cell r="C265" t="str">
            <v>BZLD00097</v>
          </cell>
          <cell r="D265" t="str">
            <v>桡骨干骨折</v>
          </cell>
          <cell r="E265" t="str">
            <v>桡骨骨折切开复位内固定术</v>
          </cell>
          <cell r="F265" t="str">
            <v>内外固定材料</v>
          </cell>
          <cell r="G265">
            <v>11000</v>
          </cell>
          <cell r="H265">
            <v>11000</v>
          </cell>
        </row>
        <row r="266">
          <cell r="B266" t="str">
            <v>BS52501</v>
          </cell>
          <cell r="C266" t="str">
            <v>BZLD00098</v>
          </cell>
          <cell r="D266" t="str">
            <v>桡骨下端骨折</v>
          </cell>
          <cell r="E266" t="str">
            <v>保守治疗（闭合复位+外固定等）</v>
          </cell>
          <cell r="F266" t="str">
            <v>内外固定材料</v>
          </cell>
          <cell r="G266">
            <v>4000</v>
          </cell>
          <cell r="H266">
            <v>4000</v>
          </cell>
        </row>
        <row r="267">
          <cell r="B267" t="str">
            <v>BS52504</v>
          </cell>
          <cell r="C267" t="str">
            <v>BZLD00099</v>
          </cell>
          <cell r="D267" t="str">
            <v>桡骨下端骨折</v>
          </cell>
          <cell r="E267" t="str">
            <v>桡骨骨折切开复位内固定术</v>
          </cell>
          <cell r="F267" t="str">
            <v>内外固定材料</v>
          </cell>
          <cell r="G267">
            <v>10000</v>
          </cell>
          <cell r="H267">
            <v>8800</v>
          </cell>
        </row>
        <row r="268">
          <cell r="B268" t="str">
            <v>BS72103</v>
          </cell>
          <cell r="C268" t="str">
            <v>BZLD00100</v>
          </cell>
          <cell r="D268" t="str">
            <v>股骨粗隆间骨折</v>
          </cell>
          <cell r="E268" t="str">
            <v>股骨切开复位内固定术</v>
          </cell>
          <cell r="F268" t="str">
            <v>内外固定材料</v>
          </cell>
          <cell r="G268">
            <v>10000</v>
          </cell>
          <cell r="H268">
            <v>10000</v>
          </cell>
        </row>
        <row r="269">
          <cell r="B269" t="str">
            <v>BS72118</v>
          </cell>
          <cell r="C269" t="str">
            <v>BZLD00101</v>
          </cell>
          <cell r="D269" t="str">
            <v>股骨粗隆间骨折</v>
          </cell>
          <cell r="E269" t="str">
            <v>股骨骨折闭合复位髓内针内固定术</v>
          </cell>
          <cell r="F269" t="str">
            <v>内外固定材料</v>
          </cell>
          <cell r="G269">
            <v>15500</v>
          </cell>
          <cell r="H269">
            <v>15500</v>
          </cell>
        </row>
        <row r="270">
          <cell r="B270" t="str">
            <v>BS82000</v>
          </cell>
          <cell r="C270" t="str">
            <v>BZLD00102</v>
          </cell>
          <cell r="D270" t="str">
            <v>髌骨骨折</v>
          </cell>
          <cell r="E270" t="str">
            <v>保守治疗（固定、镇痛）</v>
          </cell>
          <cell r="F270" t="str">
            <v>内外固定材料</v>
          </cell>
          <cell r="G270">
            <v>6800</v>
          </cell>
          <cell r="H270">
            <v>6800</v>
          </cell>
        </row>
        <row r="271">
          <cell r="B271" t="str">
            <v>BS82253</v>
          </cell>
          <cell r="C271" t="str">
            <v>BZLD00103</v>
          </cell>
          <cell r="D271" t="str">
            <v>胫腓骨骨折</v>
          </cell>
          <cell r="E271" t="str">
            <v>胫腓骨骨折闭合复位髓内针内固定术</v>
          </cell>
          <cell r="F271" t="str">
            <v>内外固定材料</v>
          </cell>
          <cell r="G271">
            <v>13442</v>
          </cell>
          <cell r="H271">
            <v>13442</v>
          </cell>
        </row>
        <row r="272">
          <cell r="B272" t="str">
            <v>BS82239</v>
          </cell>
          <cell r="C272" t="str">
            <v>BZLD00104</v>
          </cell>
          <cell r="D272" t="str">
            <v>胫腓骨骨折</v>
          </cell>
          <cell r="E272" t="str">
            <v>胫腓骨骨折闭合复位髓内针内固定术</v>
          </cell>
          <cell r="F272" t="str">
            <v>内外固定材料</v>
          </cell>
          <cell r="G272">
            <v>14812</v>
          </cell>
          <cell r="H272">
            <v>14812</v>
          </cell>
        </row>
        <row r="273">
          <cell r="B273" t="str">
            <v>BS92000</v>
          </cell>
          <cell r="C273" t="str">
            <v>BZLD00105</v>
          </cell>
          <cell r="D273" t="str">
            <v>跟骨骨折</v>
          </cell>
          <cell r="E273" t="str">
            <v>保守治疗（固定、镇痛）</v>
          </cell>
          <cell r="F273" t="str">
            <v>内外固定材料</v>
          </cell>
          <cell r="G273">
            <v>5000</v>
          </cell>
          <cell r="H273">
            <v>5000</v>
          </cell>
        </row>
        <row r="274">
          <cell r="B274" t="str">
            <v>BS92011</v>
          </cell>
          <cell r="C274" t="str">
            <v>BZLD00106</v>
          </cell>
          <cell r="D274" t="str">
            <v>跟骨骨折</v>
          </cell>
          <cell r="E274" t="str">
            <v>跟骨骨折切开复位内固定术</v>
          </cell>
          <cell r="F274" t="str">
            <v>内外固定材料</v>
          </cell>
          <cell r="G274">
            <v>10000</v>
          </cell>
          <cell r="H274">
            <v>9000</v>
          </cell>
        </row>
        <row r="275">
          <cell r="B275" t="str">
            <v>BO36301</v>
          </cell>
          <cell r="C275" t="str">
            <v>BZLD00107</v>
          </cell>
          <cell r="D275" t="str">
            <v>胎儿宫内窘迫</v>
          </cell>
          <cell r="E275" t="str">
            <v>子宫下段横切口剖宫产术</v>
          </cell>
          <cell r="F275" t="str">
            <v>产科特需服务/新生儿相关费用</v>
          </cell>
          <cell r="G275">
            <v>7700</v>
          </cell>
          <cell r="H275">
            <v>7700</v>
          </cell>
          <cell r="I275" t="str">
            <v>生育病种</v>
          </cell>
        </row>
        <row r="276">
          <cell r="B276" t="str">
            <v>BJ18907</v>
          </cell>
          <cell r="C276" t="str">
            <v>FM077</v>
          </cell>
          <cell r="D276" t="str">
            <v>肺炎</v>
          </cell>
        </row>
        <row r="276">
          <cell r="G276">
            <v>2800</v>
          </cell>
          <cell r="H276">
            <v>2800</v>
          </cell>
          <cell r="I276" t="str">
            <v>14岁以下</v>
          </cell>
        </row>
        <row r="277">
          <cell r="B277" t="str">
            <v>BI63906</v>
          </cell>
          <cell r="C277" t="str">
            <v>BZLD00109</v>
          </cell>
          <cell r="D277" t="str">
            <v>脑梗死</v>
          </cell>
          <cell r="E277" t="str">
            <v>溶栓治疗</v>
          </cell>
        </row>
        <row r="277">
          <cell r="G277">
            <v>14590</v>
          </cell>
          <cell r="H277">
            <v>14590</v>
          </cell>
        </row>
        <row r="278">
          <cell r="B278" t="str">
            <v>BK27501</v>
          </cell>
          <cell r="C278" t="str">
            <v>BZLD00110</v>
          </cell>
          <cell r="D278" t="str">
            <v>消化道穿孔</v>
          </cell>
          <cell r="E278" t="str">
            <v>手术治疗</v>
          </cell>
        </row>
        <row r="278">
          <cell r="G278">
            <v>14000</v>
          </cell>
          <cell r="H278">
            <v>14000</v>
          </cell>
        </row>
        <row r="279">
          <cell r="B279" t="str">
            <v>BE11700</v>
          </cell>
          <cell r="C279" t="str">
            <v>BZ0000232</v>
          </cell>
          <cell r="D279" t="str">
            <v>2型糖尿病伴有多个并发症</v>
          </cell>
        </row>
        <row r="279">
          <cell r="G279">
            <v>7600</v>
          </cell>
          <cell r="H279">
            <v>7600</v>
          </cell>
        </row>
        <row r="280">
          <cell r="B280" t="str">
            <v>BI10x10</v>
          </cell>
          <cell r="C280" t="str">
            <v>BZ0000233</v>
          </cell>
          <cell r="D280" t="str">
            <v>高血压3级</v>
          </cell>
        </row>
        <row r="280">
          <cell r="G280">
            <v>5900</v>
          </cell>
          <cell r="H280">
            <v>5900</v>
          </cell>
        </row>
        <row r="281">
          <cell r="B281" t="str">
            <v>BI20000</v>
          </cell>
          <cell r="C281" t="str">
            <v>BZ0000234</v>
          </cell>
          <cell r="D281" t="str">
            <v>不稳定型心绞痛</v>
          </cell>
        </row>
        <row r="281">
          <cell r="G281">
            <v>6900</v>
          </cell>
          <cell r="H281">
            <v>6900</v>
          </cell>
        </row>
        <row r="282">
          <cell r="B282" t="str">
            <v>BI25131</v>
          </cell>
          <cell r="C282" t="str">
            <v>BZ0000236</v>
          </cell>
          <cell r="D282" t="str">
            <v>冠状动脉粥样硬化</v>
          </cell>
        </row>
        <row r="282">
          <cell r="G282">
            <v>6700</v>
          </cell>
          <cell r="H282">
            <v>6700</v>
          </cell>
        </row>
        <row r="283">
          <cell r="B283" t="str">
            <v>BJ03903</v>
          </cell>
          <cell r="C283" t="str">
            <v>BZ0000238</v>
          </cell>
          <cell r="D283" t="str">
            <v>急性化脓性扁桃体炎</v>
          </cell>
        </row>
        <row r="283">
          <cell r="G283">
            <v>2000</v>
          </cell>
          <cell r="H283">
            <v>2000</v>
          </cell>
        </row>
        <row r="284">
          <cell r="B284" t="str">
            <v>BL50800</v>
          </cell>
          <cell r="C284" t="str">
            <v>BZ0000240</v>
          </cell>
          <cell r="D284" t="str">
            <v>急性荨麻疹</v>
          </cell>
        </row>
        <row r="284">
          <cell r="G284">
            <v>2700</v>
          </cell>
          <cell r="H284">
            <v>2700</v>
          </cell>
        </row>
        <row r="285">
          <cell r="B285" t="str">
            <v>BM10000</v>
          </cell>
          <cell r="C285" t="str">
            <v>BZ0000242</v>
          </cell>
          <cell r="D285" t="str">
            <v>痛风性关节炎</v>
          </cell>
        </row>
        <row r="285">
          <cell r="G285">
            <v>6200</v>
          </cell>
          <cell r="H285">
            <v>6200</v>
          </cell>
        </row>
        <row r="286">
          <cell r="B286" t="str">
            <v>BO36500</v>
          </cell>
          <cell r="C286" t="str">
            <v>BZ0000244</v>
          </cell>
          <cell r="D286" t="str">
            <v>胎儿生长发育迟缓</v>
          </cell>
        </row>
        <row r="286">
          <cell r="G286">
            <v>3000</v>
          </cell>
          <cell r="H286">
            <v>3000</v>
          </cell>
        </row>
        <row r="287">
          <cell r="B287" t="str">
            <v>BJ15700</v>
          </cell>
          <cell r="C287" t="str">
            <v>BZ0000250</v>
          </cell>
          <cell r="D287" t="str">
            <v>肺炎支原体性肺炎</v>
          </cell>
        </row>
        <row r="287">
          <cell r="G287">
            <v>4000</v>
          </cell>
          <cell r="H287">
            <v>4000</v>
          </cell>
        </row>
        <row r="288">
          <cell r="B288" t="str">
            <v>BN93800</v>
          </cell>
          <cell r="C288" t="str">
            <v>BZ0000253</v>
          </cell>
          <cell r="D288" t="str">
            <v>功能障碍性子宫出血</v>
          </cell>
        </row>
        <row r="288">
          <cell r="G288">
            <v>3000</v>
          </cell>
          <cell r="H288">
            <v>3000</v>
          </cell>
        </row>
        <row r="289">
          <cell r="B289" t="str">
            <v>BH26900</v>
          </cell>
          <cell r="C289" t="str">
            <v>BZ0000254</v>
          </cell>
          <cell r="D289" t="str">
            <v>白内障</v>
          </cell>
          <cell r="E289" t="str">
            <v>白内障摘除伴人工晶体一期置入术/眼内人工晶状体置入伴白内障摘出术，一期</v>
          </cell>
          <cell r="F289" t="str">
            <v>人工晶体</v>
          </cell>
          <cell r="G289">
            <v>4200</v>
          </cell>
          <cell r="H289">
            <v>4200</v>
          </cell>
        </row>
        <row r="290">
          <cell r="B290" t="str">
            <v>BH26202</v>
          </cell>
          <cell r="C290" t="str">
            <v>BZ0000255</v>
          </cell>
          <cell r="D290" t="str">
            <v>并发性白内障</v>
          </cell>
          <cell r="E290" t="str">
            <v>白内障超声乳化抽吸术</v>
          </cell>
          <cell r="F290" t="str">
            <v>人工晶体</v>
          </cell>
          <cell r="G290">
            <v>4200</v>
          </cell>
          <cell r="H290">
            <v>4200</v>
          </cell>
        </row>
        <row r="291">
          <cell r="B291" t="str">
            <v>BH26204</v>
          </cell>
          <cell r="C291" t="str">
            <v>BZ0000256</v>
          </cell>
          <cell r="D291" t="str">
            <v>并发性白内障</v>
          </cell>
          <cell r="E291" t="str">
            <v>白内障摘除伴人工晶体一期置入术/眼内人工晶状体置入伴白内障摘出术，一期</v>
          </cell>
          <cell r="F291" t="str">
            <v>人工晶体</v>
          </cell>
          <cell r="G291">
            <v>4200</v>
          </cell>
          <cell r="H291">
            <v>4200</v>
          </cell>
        </row>
        <row r="292">
          <cell r="B292" t="str">
            <v>BE88901</v>
          </cell>
          <cell r="C292" t="str">
            <v>BZ0000258</v>
          </cell>
          <cell r="D292" t="str">
            <v>代谢性白内障</v>
          </cell>
          <cell r="E292" t="str">
            <v>白内障超声乳化抽吸术</v>
          </cell>
          <cell r="F292" t="str">
            <v>人工晶体</v>
          </cell>
          <cell r="G292">
            <v>4200</v>
          </cell>
          <cell r="H292">
            <v>4200</v>
          </cell>
        </row>
        <row r="293">
          <cell r="B293" t="str">
            <v>BH26958</v>
          </cell>
          <cell r="C293" t="str">
            <v>BZ0000259</v>
          </cell>
          <cell r="D293" t="str">
            <v>代谢性白内障</v>
          </cell>
          <cell r="E293" t="str">
            <v>白内障摘除伴人工晶体一期置入术/眼内人工晶状体置入伴白内障摘出术，一期</v>
          </cell>
          <cell r="F293" t="str">
            <v>人工晶体</v>
          </cell>
          <cell r="G293">
            <v>4200</v>
          </cell>
          <cell r="H293">
            <v>4200</v>
          </cell>
        </row>
        <row r="294">
          <cell r="B294" t="str">
            <v>BH25006</v>
          </cell>
          <cell r="C294" t="str">
            <v>BZ0000260</v>
          </cell>
          <cell r="D294" t="str">
            <v>皮质型老年性白内障</v>
          </cell>
          <cell r="E294" t="str">
            <v>白内障超声乳化抽吸术</v>
          </cell>
          <cell r="F294" t="str">
            <v>人工晶体</v>
          </cell>
          <cell r="G294">
            <v>4200</v>
          </cell>
          <cell r="H294">
            <v>4200</v>
          </cell>
        </row>
        <row r="295">
          <cell r="B295" t="str">
            <v>BN47x00</v>
          </cell>
          <cell r="C295" t="str">
            <v>BZ0000261</v>
          </cell>
          <cell r="D295" t="str">
            <v>包茎（儿童）</v>
          </cell>
          <cell r="E295" t="str">
            <v>包皮环切术</v>
          </cell>
        </row>
        <row r="295">
          <cell r="G295">
            <v>3700</v>
          </cell>
          <cell r="H295">
            <v>3700</v>
          </cell>
          <cell r="I295" t="str">
            <v>14周岁及以下</v>
          </cell>
        </row>
        <row r="296">
          <cell r="B296" t="str">
            <v>BJ32929</v>
          </cell>
          <cell r="C296" t="str">
            <v>BZ0000264</v>
          </cell>
          <cell r="D296" t="str">
            <v>慢性鼻窦炎</v>
          </cell>
          <cell r="E296" t="str">
            <v>鼻内窥镜下多个鼻窦开窗术/多个鼻窦切开术</v>
          </cell>
        </row>
        <row r="296">
          <cell r="G296">
            <v>10000</v>
          </cell>
          <cell r="H296">
            <v>10000</v>
          </cell>
        </row>
        <row r="297">
          <cell r="B297" t="str">
            <v>BJ32805</v>
          </cell>
          <cell r="C297" t="str">
            <v>BZ0000265</v>
          </cell>
          <cell r="D297" t="str">
            <v>慢性多鼻窦炎</v>
          </cell>
          <cell r="E297" t="str">
            <v>内镜下全组鼻实开窗术</v>
          </cell>
        </row>
        <row r="297">
          <cell r="G297">
            <v>10000</v>
          </cell>
          <cell r="H297">
            <v>10000</v>
          </cell>
        </row>
        <row r="298">
          <cell r="B298" t="str">
            <v>BR06504</v>
          </cell>
          <cell r="C298" t="str">
            <v>BZ0000267</v>
          </cell>
          <cell r="D298" t="str">
            <v>鼾症</v>
          </cell>
          <cell r="E298" t="str">
            <v>扁桃体伴腺样体切除术/扁桃体切除术伴腺样增殖体切除术/扁桃体部分切除伴腺样体切除术</v>
          </cell>
        </row>
        <row r="298">
          <cell r="G298">
            <v>8800</v>
          </cell>
          <cell r="H298">
            <v>8800</v>
          </cell>
        </row>
        <row r="299">
          <cell r="B299" t="str">
            <v>BR06506</v>
          </cell>
          <cell r="C299" t="str">
            <v>BZ0000268</v>
          </cell>
          <cell r="D299" t="str">
            <v>鼾症</v>
          </cell>
          <cell r="E299" t="str">
            <v>扁桃体伴腺样体等离子切除术/扁桃体等离子切除术</v>
          </cell>
        </row>
        <row r="299">
          <cell r="G299">
            <v>10000</v>
          </cell>
          <cell r="H299">
            <v>10000</v>
          </cell>
        </row>
        <row r="300">
          <cell r="B300" t="str">
            <v>BH66338</v>
          </cell>
          <cell r="C300" t="str">
            <v>BZ0000280</v>
          </cell>
          <cell r="D300" t="str">
            <v>慢性化脓性中耳炎</v>
          </cell>
          <cell r="E300" t="str">
            <v>乳突改良根治术</v>
          </cell>
        </row>
        <row r="300">
          <cell r="G300">
            <v>7000</v>
          </cell>
          <cell r="H300">
            <v>7000</v>
          </cell>
        </row>
        <row r="301">
          <cell r="B301" t="str">
            <v>BJ38107</v>
          </cell>
          <cell r="C301" t="str">
            <v>BZ0000283</v>
          </cell>
          <cell r="D301" t="str">
            <v>声带息肉</v>
          </cell>
          <cell r="E301" t="str">
            <v>内镜下声带病损切除术</v>
          </cell>
        </row>
        <row r="301">
          <cell r="G301">
            <v>6700</v>
          </cell>
          <cell r="H301">
            <v>6700</v>
          </cell>
        </row>
        <row r="302">
          <cell r="B302" t="str">
            <v>BD11006</v>
          </cell>
          <cell r="C302" t="str">
            <v>BZ0000285</v>
          </cell>
          <cell r="D302" t="str">
            <v>腮腺良性肿瘤</v>
          </cell>
          <cell r="E302" t="str">
            <v>腮腺病损切除术</v>
          </cell>
        </row>
        <row r="302">
          <cell r="G302">
            <v>7300</v>
          </cell>
          <cell r="H302">
            <v>7300</v>
          </cell>
        </row>
        <row r="303">
          <cell r="B303" t="str">
            <v>BD35201</v>
          </cell>
          <cell r="C303" t="str">
            <v>BZ0000292</v>
          </cell>
          <cell r="D303" t="str">
            <v>垂体良性肿瘤</v>
          </cell>
          <cell r="E303" t="str">
            <v>经蝶骨垂体病损切除术</v>
          </cell>
        </row>
        <row r="303">
          <cell r="G303">
            <v>34000</v>
          </cell>
          <cell r="H303">
            <v>34000</v>
          </cell>
        </row>
        <row r="304">
          <cell r="B304" t="str">
            <v>BI87201</v>
          </cell>
          <cell r="C304" t="str">
            <v>BZ0000295</v>
          </cell>
          <cell r="D304" t="str">
            <v>下肢深静脉瓣膜功能不全</v>
          </cell>
          <cell r="E304" t="str">
            <v>大隐静脉高位结扎和剥脱术</v>
          </cell>
        </row>
        <row r="304">
          <cell r="G304">
            <v>7800</v>
          </cell>
          <cell r="H304">
            <v>7800</v>
          </cell>
          <cell r="I304" t="str">
            <v>单侧</v>
          </cell>
        </row>
        <row r="305">
          <cell r="B305" t="str">
            <v>BN28101</v>
          </cell>
          <cell r="C305" t="str">
            <v>BZ0000297</v>
          </cell>
          <cell r="D305" t="str">
            <v>单纯性肾囊肿</v>
          </cell>
          <cell r="E305" t="str">
            <v>腹腔镜下肾囊肿去顶术</v>
          </cell>
        </row>
        <row r="305">
          <cell r="G305">
            <v>16000</v>
          </cell>
          <cell r="H305">
            <v>16000</v>
          </cell>
        </row>
        <row r="306">
          <cell r="B306" t="str">
            <v>BC64x06</v>
          </cell>
          <cell r="C306" t="str">
            <v>BZ0000299</v>
          </cell>
          <cell r="D306" t="str">
            <v>肾恶性肿瘤</v>
          </cell>
          <cell r="E306" t="str">
            <v>腹腔镜下肾部分切除术</v>
          </cell>
        </row>
        <row r="306">
          <cell r="G306">
            <v>27000</v>
          </cell>
          <cell r="H306">
            <v>27000</v>
          </cell>
        </row>
        <row r="307">
          <cell r="B307" t="str">
            <v>BN13220</v>
          </cell>
          <cell r="C307" t="str">
            <v>BZ0000300</v>
          </cell>
          <cell r="D307" t="str">
            <v>肾积水伴肾结石</v>
          </cell>
          <cell r="E307" t="str">
            <v>经尿道输尿管/肾盂激光碎石术</v>
          </cell>
        </row>
        <row r="307">
          <cell r="G307">
            <v>20000</v>
          </cell>
          <cell r="H307">
            <v>20000</v>
          </cell>
        </row>
        <row r="308">
          <cell r="B308" t="str">
            <v>BN13200</v>
          </cell>
          <cell r="C308" t="str">
            <v>BZ0000301</v>
          </cell>
          <cell r="D308" t="str">
            <v>肾积水伴输尿管结石</v>
          </cell>
          <cell r="E308" t="str">
            <v>经尿道输尿管/肾盂气压弹道碎石术</v>
          </cell>
        </row>
        <row r="308">
          <cell r="G308">
            <v>16000</v>
          </cell>
          <cell r="H308">
            <v>16000</v>
          </cell>
        </row>
        <row r="309">
          <cell r="B309" t="str">
            <v>BN13201</v>
          </cell>
          <cell r="C309" t="str">
            <v>BZ0000302</v>
          </cell>
          <cell r="D309" t="str">
            <v>肾积水伴输尿管结石</v>
          </cell>
          <cell r="E309" t="str">
            <v>经尿道输尿管/肾盂激光碎石术</v>
          </cell>
        </row>
        <row r="309">
          <cell r="G309">
            <v>13500</v>
          </cell>
          <cell r="H309">
            <v>13500</v>
          </cell>
        </row>
        <row r="310">
          <cell r="B310" t="str">
            <v>BN13211</v>
          </cell>
          <cell r="C310" t="str">
            <v>BZ0000303</v>
          </cell>
          <cell r="D310" t="str">
            <v>肾积水伴输尿管结石</v>
          </cell>
          <cell r="E310" t="str">
            <v>经皮肾镜气压弹道碎石</v>
          </cell>
        </row>
        <row r="310">
          <cell r="G310">
            <v>27000</v>
          </cell>
          <cell r="H310">
            <v>27000</v>
          </cell>
        </row>
        <row r="311">
          <cell r="B311" t="str">
            <v>BN20008</v>
          </cell>
          <cell r="C311" t="str">
            <v>BZ0000304</v>
          </cell>
          <cell r="D311" t="str">
            <v>肾结石</v>
          </cell>
          <cell r="E311" t="str">
            <v>经尿道输尿管/肾盂激光碎石术</v>
          </cell>
        </row>
        <row r="311">
          <cell r="G311">
            <v>20000</v>
          </cell>
          <cell r="H311">
            <v>20000</v>
          </cell>
        </row>
        <row r="312">
          <cell r="B312" t="str">
            <v>BN20001</v>
          </cell>
          <cell r="C312" t="str">
            <v>BZ0000305</v>
          </cell>
          <cell r="D312" t="str">
            <v>肾结石</v>
          </cell>
          <cell r="E312" t="str">
            <v>经皮肾造口术</v>
          </cell>
        </row>
        <row r="312">
          <cell r="G312">
            <v>15000</v>
          </cell>
          <cell r="H312">
            <v>15000</v>
          </cell>
        </row>
        <row r="313">
          <cell r="B313" t="str">
            <v>BN20139</v>
          </cell>
          <cell r="C313" t="str">
            <v>BZ0000306</v>
          </cell>
          <cell r="D313" t="str">
            <v>输尿管结石</v>
          </cell>
          <cell r="E313" t="str">
            <v>经尿道输尿管/肾盂激光碎石术</v>
          </cell>
        </row>
        <row r="313">
          <cell r="G313">
            <v>13500</v>
          </cell>
          <cell r="H313">
            <v>13500</v>
          </cell>
        </row>
        <row r="314">
          <cell r="B314" t="str">
            <v>BK80002</v>
          </cell>
          <cell r="C314" t="str">
            <v>BZ0000307</v>
          </cell>
          <cell r="D314" t="str">
            <v>胆囊结石伴有急性胆囊炎</v>
          </cell>
          <cell r="E314" t="str">
            <v>腹腔镜下胆囊切除术</v>
          </cell>
        </row>
        <row r="314">
          <cell r="G314">
            <v>15500</v>
          </cell>
          <cell r="H314">
            <v>15500</v>
          </cell>
        </row>
        <row r="315">
          <cell r="B315" t="str">
            <v>BK80318</v>
          </cell>
          <cell r="C315" t="str">
            <v>BZ0000309</v>
          </cell>
          <cell r="D315" t="str">
            <v>胆总管结石伴急性胆管炎</v>
          </cell>
          <cell r="E315" t="str">
            <v>腹腔镜下胆总管切开取石术</v>
          </cell>
        </row>
        <row r="315">
          <cell r="G315">
            <v>25500</v>
          </cell>
          <cell r="H315">
            <v>25500</v>
          </cell>
        </row>
        <row r="316">
          <cell r="B316" t="str">
            <v>BO03401</v>
          </cell>
          <cell r="C316" t="str">
            <v>BZ0000311</v>
          </cell>
          <cell r="D316" t="str">
            <v>不完全性自然流产</v>
          </cell>
          <cell r="E316" t="str">
            <v>流产后刮宫术</v>
          </cell>
        </row>
        <row r="316">
          <cell r="G316">
            <v>2300</v>
          </cell>
          <cell r="H316">
            <v>2300</v>
          </cell>
        </row>
        <row r="317">
          <cell r="B317" t="str">
            <v>BO03402</v>
          </cell>
          <cell r="C317" t="str">
            <v>BZ0000312</v>
          </cell>
          <cell r="D317" t="str">
            <v>不完全性自然流产</v>
          </cell>
          <cell r="E317" t="str">
            <v>流产后电吸刮宫术</v>
          </cell>
        </row>
        <row r="317">
          <cell r="G317">
            <v>2400</v>
          </cell>
          <cell r="H317">
            <v>2400</v>
          </cell>
        </row>
        <row r="318">
          <cell r="B318" t="str">
            <v>BN93803</v>
          </cell>
          <cell r="C318" t="str">
            <v>BZ0000315</v>
          </cell>
          <cell r="D318" t="str">
            <v>功能障碍性子宫出血</v>
          </cell>
          <cell r="E318" t="str">
            <v>宫腔镜检查</v>
          </cell>
        </row>
        <row r="318">
          <cell r="G318">
            <v>3500</v>
          </cell>
          <cell r="H318">
            <v>3500</v>
          </cell>
        </row>
        <row r="319">
          <cell r="B319" t="str">
            <v>BN93815</v>
          </cell>
          <cell r="C319" t="str">
            <v>BZ0000316</v>
          </cell>
          <cell r="D319" t="str">
            <v>功能障碍性子宫出血</v>
          </cell>
          <cell r="E319" t="str">
            <v>诊断性刮宫术/宫腔镜诊断性刮宫术</v>
          </cell>
        </row>
        <row r="319">
          <cell r="G319">
            <v>4100</v>
          </cell>
          <cell r="H319">
            <v>4100</v>
          </cell>
        </row>
        <row r="320">
          <cell r="B320" t="str">
            <v>BD25009</v>
          </cell>
          <cell r="C320" t="str">
            <v>BZ0000331</v>
          </cell>
          <cell r="D320" t="str">
            <v>子宫黏膜下平滑肌瘤</v>
          </cell>
          <cell r="E320" t="str">
            <v>子宫肌瘤切除术</v>
          </cell>
        </row>
        <row r="320">
          <cell r="G320">
            <v>10000</v>
          </cell>
          <cell r="H320">
            <v>10000</v>
          </cell>
        </row>
        <row r="321">
          <cell r="B321" t="str">
            <v>BD25909</v>
          </cell>
          <cell r="C321" t="str">
            <v>BZ0000332</v>
          </cell>
          <cell r="D321" t="str">
            <v>子宫平滑肌瘤</v>
          </cell>
          <cell r="E321" t="str">
            <v>腹腔镜子宫病损切除术</v>
          </cell>
        </row>
        <row r="321">
          <cell r="G321">
            <v>14000</v>
          </cell>
          <cell r="H321">
            <v>14000</v>
          </cell>
        </row>
        <row r="322">
          <cell r="B322" t="str">
            <v>BD25908</v>
          </cell>
          <cell r="C322" t="str">
            <v>BZ0000334</v>
          </cell>
          <cell r="D322" t="str">
            <v>子宫平滑肌瘤</v>
          </cell>
          <cell r="E322" t="str">
            <v>子宫肌瘤切除术</v>
          </cell>
        </row>
        <row r="322">
          <cell r="G322">
            <v>12000</v>
          </cell>
          <cell r="H322">
            <v>12000</v>
          </cell>
        </row>
        <row r="323">
          <cell r="B323" t="str">
            <v>BC73x11</v>
          </cell>
          <cell r="C323" t="str">
            <v>BZ0000338</v>
          </cell>
          <cell r="D323" t="str">
            <v>甲状腺恶性肿瘤</v>
          </cell>
          <cell r="E323" t="str">
            <v>单侧甲状腺切除伴甲状腺峡部切除术</v>
          </cell>
        </row>
        <row r="323">
          <cell r="G323">
            <v>12000</v>
          </cell>
          <cell r="H323">
            <v>12000</v>
          </cell>
        </row>
        <row r="324">
          <cell r="B324" t="str">
            <v>BC73x14</v>
          </cell>
          <cell r="C324" t="str">
            <v>BZ0000339</v>
          </cell>
          <cell r="D324" t="str">
            <v>甲状腺恶性肿瘤</v>
          </cell>
          <cell r="E324" t="str">
            <v>单侧甲状腺切除伴他叶部分切除术</v>
          </cell>
        </row>
        <row r="324">
          <cell r="G324">
            <v>16000</v>
          </cell>
          <cell r="H324">
            <v>16000</v>
          </cell>
        </row>
        <row r="325">
          <cell r="B325" t="str">
            <v>BC73X16</v>
          </cell>
          <cell r="C325" t="str">
            <v>BZ0000340</v>
          </cell>
          <cell r="D325" t="str">
            <v>甲状腺恶性肿瘤</v>
          </cell>
          <cell r="E325" t="str">
            <v>单侧甲状腺切除伴峡部和其他叶部分切除术</v>
          </cell>
        </row>
        <row r="325">
          <cell r="G325">
            <v>15000</v>
          </cell>
          <cell r="H325">
            <v>15000</v>
          </cell>
        </row>
        <row r="326">
          <cell r="B326" t="str">
            <v>BC73x00</v>
          </cell>
          <cell r="C326" t="str">
            <v>BZ0000341</v>
          </cell>
          <cell r="D326" t="str">
            <v>甲状腺恶性肿瘤</v>
          </cell>
          <cell r="E326" t="str">
            <v>单侧甲状腺叶切除术</v>
          </cell>
        </row>
        <row r="326">
          <cell r="G326">
            <v>14000</v>
          </cell>
          <cell r="H326">
            <v>14000</v>
          </cell>
        </row>
        <row r="327">
          <cell r="B327" t="str">
            <v>BC73x28</v>
          </cell>
          <cell r="C327" t="str">
            <v>BZ0000343</v>
          </cell>
          <cell r="D327" t="str">
            <v>甲状腺恶性肿瘤</v>
          </cell>
          <cell r="E327" t="str">
            <v>甲状腺全部切除术</v>
          </cell>
        </row>
        <row r="327">
          <cell r="G327">
            <v>15500</v>
          </cell>
          <cell r="H327">
            <v>15500</v>
          </cell>
        </row>
        <row r="328">
          <cell r="B328" t="str">
            <v>BE07904</v>
          </cell>
          <cell r="C328" t="str">
            <v>BZ0000345</v>
          </cell>
          <cell r="D328" t="str">
            <v>甲状腺肿物</v>
          </cell>
          <cell r="E328" t="str">
            <v>甲状腺病损切除术</v>
          </cell>
        </row>
        <row r="328">
          <cell r="G328">
            <v>13000</v>
          </cell>
          <cell r="H328">
            <v>13000</v>
          </cell>
        </row>
        <row r="329">
          <cell r="B329" t="str">
            <v>BE04901</v>
          </cell>
          <cell r="C329" t="str">
            <v>BZ0000347</v>
          </cell>
          <cell r="D329" t="str">
            <v>结节性甲状腺肿</v>
          </cell>
          <cell r="E329" t="str">
            <v>单侧甲状腺叶切除术</v>
          </cell>
        </row>
        <row r="329">
          <cell r="G329">
            <v>12000</v>
          </cell>
          <cell r="H329">
            <v>12000</v>
          </cell>
        </row>
        <row r="330">
          <cell r="B330" t="str">
            <v>BE04913</v>
          </cell>
          <cell r="C330" t="str">
            <v>BZ0000349</v>
          </cell>
          <cell r="D330" t="str">
            <v>结节性甲状腺肿</v>
          </cell>
          <cell r="E330" t="str">
            <v>甲状腺病损切除术</v>
          </cell>
        </row>
        <row r="330">
          <cell r="G330">
            <v>12000</v>
          </cell>
          <cell r="H330">
            <v>12000</v>
          </cell>
        </row>
        <row r="331">
          <cell r="B331" t="str">
            <v>BD12602</v>
          </cell>
          <cell r="C331" t="str">
            <v>BZ0000353</v>
          </cell>
          <cell r="D331" t="str">
            <v>结肠腺瘤样息肉病</v>
          </cell>
          <cell r="E331" t="str">
            <v>内镜下结肠黏膜切除术(EMR)</v>
          </cell>
        </row>
        <row r="331">
          <cell r="G331">
            <v>6000</v>
          </cell>
          <cell r="H331">
            <v>6000</v>
          </cell>
        </row>
        <row r="332">
          <cell r="B332" t="str">
            <v>BQ53900</v>
          </cell>
          <cell r="C332" t="str">
            <v>BZ0000355</v>
          </cell>
          <cell r="D332" t="str">
            <v>隐睾</v>
          </cell>
          <cell r="E332" t="str">
            <v>睾丸固定术</v>
          </cell>
        </row>
        <row r="332">
          <cell r="G332">
            <v>6000</v>
          </cell>
          <cell r="H332">
            <v>6000</v>
          </cell>
        </row>
        <row r="333">
          <cell r="B333" t="str">
            <v>BN43300</v>
          </cell>
          <cell r="C333" t="str">
            <v>BZ0000356</v>
          </cell>
          <cell r="D333" t="str">
            <v>鞘膜积液</v>
          </cell>
          <cell r="E333" t="str">
            <v>睾丸鞘状突高位结扎术</v>
          </cell>
        </row>
        <row r="333">
          <cell r="G333">
            <v>5000</v>
          </cell>
          <cell r="H333">
            <v>5000</v>
          </cell>
        </row>
        <row r="334">
          <cell r="B334" t="str">
            <v>BN43301</v>
          </cell>
          <cell r="C334" t="str">
            <v>BZ0000357</v>
          </cell>
          <cell r="D334" t="str">
            <v>精索鞘膜积液</v>
          </cell>
          <cell r="E334" t="str">
            <v>睾丸鞘状突高位结扎术</v>
          </cell>
        </row>
        <row r="334">
          <cell r="G334">
            <v>5500</v>
          </cell>
          <cell r="H334">
            <v>5500</v>
          </cell>
        </row>
        <row r="335">
          <cell r="B335" t="str">
            <v>BC50900</v>
          </cell>
          <cell r="C335" t="str">
            <v>BZ0000358</v>
          </cell>
          <cell r="D335" t="str">
            <v>乳房恶性肿瘤</v>
          </cell>
          <cell r="E335" t="str">
            <v>单侧乳房切除术/双侧乳房切除术/双侧单纯乳房切除术</v>
          </cell>
        </row>
        <row r="335">
          <cell r="G335">
            <v>17000</v>
          </cell>
          <cell r="H335">
            <v>17000</v>
          </cell>
        </row>
        <row r="336">
          <cell r="B336" t="str">
            <v>BC50917</v>
          </cell>
          <cell r="C336" t="str">
            <v>BZ0000359</v>
          </cell>
          <cell r="D336" t="str">
            <v>乳房恶性肿瘤</v>
          </cell>
          <cell r="E336" t="str">
            <v>单侧乳腺改良根治术/双侧乳腺改良根治术</v>
          </cell>
        </row>
        <row r="336">
          <cell r="G336">
            <v>18000</v>
          </cell>
          <cell r="H336">
            <v>18000</v>
          </cell>
        </row>
        <row r="337">
          <cell r="B337" t="str">
            <v>BD24x02</v>
          </cell>
          <cell r="C337" t="str">
            <v>BZ0000360</v>
          </cell>
          <cell r="D337" t="str">
            <v>乳房良性肿瘤</v>
          </cell>
          <cell r="E337" t="str">
            <v>乳房病损切除术</v>
          </cell>
        </row>
        <row r="337">
          <cell r="G337">
            <v>4900</v>
          </cell>
          <cell r="H337">
            <v>4900</v>
          </cell>
          <cell r="I337" t="str">
            <v>单侧</v>
          </cell>
        </row>
        <row r="338">
          <cell r="B338" t="str">
            <v>BD24x00</v>
          </cell>
          <cell r="C338" t="str">
            <v>BZ0000361</v>
          </cell>
          <cell r="D338" t="str">
            <v>乳房良性肿瘤</v>
          </cell>
          <cell r="E338" t="str">
            <v>乳房病损切除术</v>
          </cell>
        </row>
        <row r="338">
          <cell r="G338">
            <v>7000</v>
          </cell>
          <cell r="H338">
            <v>7000</v>
          </cell>
          <cell r="I338" t="str">
            <v>双侧</v>
          </cell>
        </row>
        <row r="339">
          <cell r="B339" t="str">
            <v>BD24x05</v>
          </cell>
          <cell r="C339" t="str">
            <v>BZ0000362</v>
          </cell>
          <cell r="D339" t="str">
            <v>乳房良性肿瘤</v>
          </cell>
          <cell r="E339" t="str">
            <v>乳房腺体区段切除术</v>
          </cell>
        </row>
        <row r="339">
          <cell r="G339">
            <v>5600</v>
          </cell>
          <cell r="H339">
            <v>5600</v>
          </cell>
          <cell r="I339" t="str">
            <v>单侧</v>
          </cell>
        </row>
        <row r="340">
          <cell r="B340" t="str">
            <v>BD24x16</v>
          </cell>
          <cell r="C340" t="str">
            <v>BZ0000363</v>
          </cell>
          <cell r="D340" t="str">
            <v>乳房良性肿瘤</v>
          </cell>
          <cell r="E340" t="str">
            <v>乳房腺体区段切除术</v>
          </cell>
        </row>
        <row r="340">
          <cell r="G340">
            <v>6600</v>
          </cell>
          <cell r="H340">
            <v>6600</v>
          </cell>
          <cell r="I340" t="str">
            <v>双侧</v>
          </cell>
        </row>
        <row r="341">
          <cell r="B341" t="str">
            <v>BN60200</v>
          </cell>
          <cell r="C341" t="str">
            <v>BZ0000364</v>
          </cell>
          <cell r="D341" t="str">
            <v>乳腺腺病</v>
          </cell>
          <cell r="E341" t="str">
            <v>乳房病损切除术/乳房病损局部切除术</v>
          </cell>
        </row>
        <row r="341">
          <cell r="G341">
            <v>5800</v>
          </cell>
          <cell r="H341">
            <v>5800</v>
          </cell>
          <cell r="I341" t="str">
            <v>单侧</v>
          </cell>
        </row>
        <row r="342">
          <cell r="B342" t="str">
            <v>BN60201</v>
          </cell>
          <cell r="C342" t="str">
            <v>BZ0000365</v>
          </cell>
          <cell r="D342" t="str">
            <v>乳腺腺病</v>
          </cell>
          <cell r="E342" t="str">
            <v>乳房病损切除术/乳房病损局部切除术</v>
          </cell>
        </row>
        <row r="342">
          <cell r="G342">
            <v>8700</v>
          </cell>
          <cell r="H342">
            <v>8700</v>
          </cell>
          <cell r="I342" t="str">
            <v>双侧</v>
          </cell>
        </row>
        <row r="343">
          <cell r="B343" t="str">
            <v>BK31705</v>
          </cell>
          <cell r="C343" t="str">
            <v>BZ0000367</v>
          </cell>
          <cell r="D343" t="str">
            <v>胃息肉</v>
          </cell>
          <cell r="E343" t="str">
            <v>胃镜下胃病损切除术</v>
          </cell>
        </row>
        <row r="343">
          <cell r="G343">
            <v>5200</v>
          </cell>
          <cell r="H343">
            <v>5200</v>
          </cell>
        </row>
        <row r="344">
          <cell r="B344" t="str">
            <v>BK40903</v>
          </cell>
          <cell r="C344" t="str">
            <v>BZ0000383</v>
          </cell>
          <cell r="D344" t="str">
            <v>腹股沟斜疝</v>
          </cell>
          <cell r="E344" t="str">
            <v>单侧腹股沟斜疝疝囊高位结扎术</v>
          </cell>
        </row>
        <row r="344">
          <cell r="G344">
            <v>5200</v>
          </cell>
          <cell r="H344">
            <v>5200</v>
          </cell>
        </row>
        <row r="345">
          <cell r="B345" t="str">
            <v>BK40918</v>
          </cell>
          <cell r="C345" t="str">
            <v>BZ0000384</v>
          </cell>
          <cell r="D345" t="str">
            <v>腹股沟斜疝</v>
          </cell>
          <cell r="E345" t="str">
            <v>腹腔镜下单侧腹股沟斜疝疝囊高位结扎术</v>
          </cell>
        </row>
        <row r="345">
          <cell r="G345">
            <v>6000</v>
          </cell>
          <cell r="H345">
            <v>6000</v>
          </cell>
        </row>
        <row r="346">
          <cell r="B346" t="str">
            <v>BK40906</v>
          </cell>
          <cell r="C346" t="str">
            <v>BZ0000385</v>
          </cell>
          <cell r="D346" t="str">
            <v>腹股沟斜疝</v>
          </cell>
          <cell r="E346" t="str">
            <v>腹腔镜下单侧腹股沟斜疝无张力修补术</v>
          </cell>
          <cell r="F346" t="str">
            <v>补片</v>
          </cell>
          <cell r="G346">
            <v>9000</v>
          </cell>
          <cell r="H346">
            <v>9000</v>
          </cell>
        </row>
        <row r="347">
          <cell r="B347" t="str">
            <v>BK40219</v>
          </cell>
          <cell r="C347" t="str">
            <v>BZ0000386</v>
          </cell>
          <cell r="D347" t="str">
            <v>双侧腹股沟斜疝</v>
          </cell>
          <cell r="E347" t="str">
            <v>腹腔镜下双侧腹股沟斜疝修补术</v>
          </cell>
          <cell r="F347" t="str">
            <v>补片</v>
          </cell>
          <cell r="G347">
            <v>10000</v>
          </cell>
          <cell r="H347">
            <v>10000</v>
          </cell>
        </row>
        <row r="348">
          <cell r="B348" t="str">
            <v>BI20005</v>
          </cell>
          <cell r="C348" t="str">
            <v>BZ0000387</v>
          </cell>
          <cell r="D348" t="str">
            <v>不稳定型心绞痛</v>
          </cell>
          <cell r="E348" t="str">
            <v>药物洗脱冠状动脉支架置入</v>
          </cell>
          <cell r="F348" t="str">
            <v>支架</v>
          </cell>
          <cell r="G348">
            <v>25000</v>
          </cell>
          <cell r="H348">
            <v>25000</v>
          </cell>
        </row>
        <row r="349">
          <cell r="B349" t="str">
            <v>BI20826</v>
          </cell>
          <cell r="C349" t="str">
            <v>BZ0000388</v>
          </cell>
          <cell r="D349" t="str">
            <v>稳定型心绞痛</v>
          </cell>
          <cell r="E349" t="str">
            <v>药物洗脱冠状动脉支架置入</v>
          </cell>
          <cell r="F349" t="str">
            <v>支架</v>
          </cell>
          <cell r="G349">
            <v>25000</v>
          </cell>
          <cell r="H349">
            <v>25000</v>
          </cell>
        </row>
        <row r="350">
          <cell r="B350" t="str">
            <v>BM43002</v>
          </cell>
          <cell r="C350" t="str">
            <v>BZ0000392</v>
          </cell>
          <cell r="D350" t="str">
            <v>腰椎滑脱</v>
          </cell>
          <cell r="E350" t="str">
            <v>腰椎脱位切开复位术</v>
          </cell>
          <cell r="F350" t="str">
            <v>内外固定材料（人工间盘、人工椎体）</v>
          </cell>
          <cell r="G350">
            <v>25000</v>
          </cell>
          <cell r="H350">
            <v>25000</v>
          </cell>
        </row>
        <row r="351">
          <cell r="B351" t="str">
            <v>BM51205</v>
          </cell>
          <cell r="C351" t="str">
            <v>BZ0000393</v>
          </cell>
          <cell r="D351" t="str">
            <v>腰椎间盘突出</v>
          </cell>
          <cell r="E351" t="str">
            <v>后入路腰椎间盘切除术</v>
          </cell>
          <cell r="F351" t="str">
            <v>内外固定材料（人工间盘、人工椎体）</v>
          </cell>
          <cell r="G351">
            <v>18000</v>
          </cell>
          <cell r="H351">
            <v>18000</v>
          </cell>
        </row>
        <row r="352">
          <cell r="B352" t="str">
            <v>BM48000</v>
          </cell>
          <cell r="C352" t="str">
            <v>BZ0000395</v>
          </cell>
          <cell r="D352" t="str">
            <v>腰椎椎管狭窄</v>
          </cell>
          <cell r="E352" t="str">
            <v>后入路腰椎间盘切除术</v>
          </cell>
          <cell r="F352" t="str">
            <v>内外固定材料（人工间盘、人工椎体）</v>
          </cell>
          <cell r="G352">
            <v>19000</v>
          </cell>
          <cell r="H352">
            <v>19000</v>
          </cell>
        </row>
        <row r="353">
          <cell r="B353" t="str">
            <v>BJ98400</v>
          </cell>
          <cell r="C353" t="str">
            <v>BZLD00111</v>
          </cell>
          <cell r="D353" t="str">
            <v>肺部感染</v>
          </cell>
        </row>
        <row r="353">
          <cell r="G353">
            <v>8300</v>
          </cell>
          <cell r="H353">
            <v>6000</v>
          </cell>
        </row>
        <row r="354">
          <cell r="B354" t="str">
            <v>BI27900</v>
          </cell>
          <cell r="C354" t="str">
            <v>BZLD00112</v>
          </cell>
          <cell r="D354" t="str">
            <v>慢性肺源性心脏病</v>
          </cell>
        </row>
        <row r="354">
          <cell r="G354">
            <v>12500</v>
          </cell>
          <cell r="H354">
            <v>12500</v>
          </cell>
        </row>
        <row r="355">
          <cell r="B355" t="str">
            <v>BJ47x24</v>
          </cell>
          <cell r="C355" t="str">
            <v>FM109</v>
          </cell>
          <cell r="D355" t="str">
            <v>支气管扩张伴咯血</v>
          </cell>
        </row>
        <row r="355">
          <cell r="G355">
            <v>8500</v>
          </cell>
          <cell r="H355">
            <v>8500</v>
          </cell>
        </row>
        <row r="356">
          <cell r="B356" t="str">
            <v>BJ44900</v>
          </cell>
          <cell r="C356" t="str">
            <v>BZLD00114</v>
          </cell>
          <cell r="D356" t="str">
            <v>慢性阻塞性肺病</v>
          </cell>
        </row>
        <row r="356">
          <cell r="G356">
            <v>8500</v>
          </cell>
          <cell r="H356">
            <v>6000</v>
          </cell>
        </row>
        <row r="357">
          <cell r="B357" t="str">
            <v>BN94803</v>
          </cell>
          <cell r="C357" t="str">
            <v>BZLD00115</v>
          </cell>
          <cell r="D357" t="str">
            <v>交通性腹膜鞘突管积液</v>
          </cell>
          <cell r="E357" t="str">
            <v>腹腔镜单侧鞘状突高位结扎术</v>
          </cell>
        </row>
        <row r="357">
          <cell r="G357">
            <v>6000</v>
          </cell>
          <cell r="H357">
            <v>6000</v>
          </cell>
        </row>
        <row r="358">
          <cell r="B358" t="str">
            <v>BN94802</v>
          </cell>
          <cell r="C358" t="str">
            <v>BZLD00116</v>
          </cell>
          <cell r="D358" t="str">
            <v>交通性腹膜鞘突管积液</v>
          </cell>
          <cell r="E358" t="str">
            <v>单侧鞘状突高位结扎术</v>
          </cell>
        </row>
        <row r="358">
          <cell r="G358">
            <v>5000</v>
          </cell>
          <cell r="H358">
            <v>5000</v>
          </cell>
        </row>
        <row r="359">
          <cell r="B359" t="str">
            <v>BJ34228</v>
          </cell>
          <cell r="C359" t="str">
            <v>BZLD00117</v>
          </cell>
          <cell r="D359" t="str">
            <v>鼻中隔偏曲</v>
          </cell>
          <cell r="E359" t="str">
            <v>鼻内窥镜下鼻中隔成形术+双下甲外移术</v>
          </cell>
        </row>
        <row r="359">
          <cell r="G359">
            <v>8300</v>
          </cell>
          <cell r="H359">
            <v>8300</v>
          </cell>
        </row>
        <row r="360">
          <cell r="B360" t="str">
            <v>BQ18104</v>
          </cell>
          <cell r="C360" t="str">
            <v>BZLD00118</v>
          </cell>
          <cell r="D360" t="str">
            <v>先天性耳前瘘管</v>
          </cell>
          <cell r="E360" t="str">
            <v>耳前瘘管切除术</v>
          </cell>
        </row>
        <row r="360">
          <cell r="G360">
            <v>4500</v>
          </cell>
          <cell r="H360">
            <v>4500</v>
          </cell>
        </row>
        <row r="361">
          <cell r="B361" t="str">
            <v>BJ38703</v>
          </cell>
          <cell r="C361" t="str">
            <v>BZLD00119</v>
          </cell>
          <cell r="D361" t="str">
            <v>会厌囊肿</v>
          </cell>
          <cell r="E361" t="str">
            <v>内镜下会厌病损切除术</v>
          </cell>
        </row>
        <row r="361">
          <cell r="G361">
            <v>7500</v>
          </cell>
          <cell r="H361">
            <v>7500</v>
          </cell>
        </row>
        <row r="362">
          <cell r="B362" t="str">
            <v>BJ35006</v>
          </cell>
          <cell r="C362" t="str">
            <v>BZLD00120</v>
          </cell>
          <cell r="D362" t="str">
            <v>慢性扁桃体炎</v>
          </cell>
          <cell r="E362" t="str">
            <v>扁桃体等离子切除术</v>
          </cell>
        </row>
        <row r="362">
          <cell r="G362">
            <v>10000</v>
          </cell>
          <cell r="H362">
            <v>10000</v>
          </cell>
        </row>
        <row r="363">
          <cell r="B363" t="str">
            <v>BI25108</v>
          </cell>
          <cell r="C363" t="str">
            <v>BZLD00121</v>
          </cell>
          <cell r="D363" t="str">
            <v>冠状动脉粥样硬化性心脏病</v>
          </cell>
          <cell r="E363" t="str">
            <v>冠状动脉造影</v>
          </cell>
        </row>
        <row r="363">
          <cell r="G363">
            <v>14000</v>
          </cell>
          <cell r="H363">
            <v>14000</v>
          </cell>
        </row>
        <row r="364">
          <cell r="B364" t="str">
            <v>BN21003</v>
          </cell>
          <cell r="C364" t="str">
            <v>BZLD00122</v>
          </cell>
          <cell r="D364" t="str">
            <v>膀胱结石</v>
          </cell>
          <cell r="E364" t="str">
            <v>经尿道膀胱镜膀胱激光碎石取石术</v>
          </cell>
        </row>
        <row r="364">
          <cell r="G364">
            <v>10000</v>
          </cell>
          <cell r="H364">
            <v>10000</v>
          </cell>
        </row>
        <row r="365">
          <cell r="B365" t="str">
            <v>BN45905</v>
          </cell>
          <cell r="C365" t="str">
            <v>BZLD00123</v>
          </cell>
          <cell r="D365" t="str">
            <v>急性附睾炎</v>
          </cell>
        </row>
        <row r="365">
          <cell r="G365">
            <v>4000</v>
          </cell>
          <cell r="H365">
            <v>4000</v>
          </cell>
        </row>
        <row r="366">
          <cell r="B366" t="str">
            <v>BN50901</v>
          </cell>
          <cell r="C366" t="str">
            <v>BZLD00124</v>
          </cell>
          <cell r="D366" t="str">
            <v>阴囊肿物</v>
          </cell>
          <cell r="E366" t="str">
            <v>阴囊病损切除术</v>
          </cell>
        </row>
        <row r="366">
          <cell r="G366">
            <v>5700</v>
          </cell>
          <cell r="H366">
            <v>5700</v>
          </cell>
        </row>
        <row r="367">
          <cell r="B367" t="str">
            <v>BS02201</v>
          </cell>
          <cell r="C367" t="str">
            <v>BZLD00125</v>
          </cell>
          <cell r="D367" t="str">
            <v>鼻骨骨折</v>
          </cell>
          <cell r="E367" t="str">
            <v>鼻骨骨折闭合复位术</v>
          </cell>
        </row>
        <row r="367">
          <cell r="G367">
            <v>5000</v>
          </cell>
          <cell r="H367">
            <v>5000</v>
          </cell>
        </row>
        <row r="368">
          <cell r="B368" t="str">
            <v>BI67800</v>
          </cell>
          <cell r="C368" t="str">
            <v>BZLD00126</v>
          </cell>
          <cell r="D368" t="str">
            <v>慢性缺血性脑血管病</v>
          </cell>
        </row>
        <row r="368">
          <cell r="G368">
            <v>6000</v>
          </cell>
          <cell r="H368">
            <v>6000</v>
          </cell>
        </row>
        <row r="369">
          <cell r="B369" t="str">
            <v>BN64920</v>
          </cell>
          <cell r="C369" t="str">
            <v>BZLD00127</v>
          </cell>
          <cell r="D369" t="str">
            <v>单侧乳腺多发肿物</v>
          </cell>
          <cell r="E369" t="str">
            <v>多发乳腺病损切除术</v>
          </cell>
        </row>
        <row r="369">
          <cell r="G369">
            <v>5600</v>
          </cell>
          <cell r="H369">
            <v>5600</v>
          </cell>
        </row>
        <row r="370">
          <cell r="B370" t="str">
            <v>BS43101</v>
          </cell>
          <cell r="C370" t="str">
            <v>BZLD00128</v>
          </cell>
          <cell r="D370" t="str">
            <v>肩锁关节脱位</v>
          </cell>
          <cell r="E370" t="str">
            <v>肩锁关节脱位切开复位内固定术</v>
          </cell>
          <cell r="F370" t="str">
            <v>内外固定材料</v>
          </cell>
          <cell r="G370">
            <v>13000</v>
          </cell>
          <cell r="H370">
            <v>13000</v>
          </cell>
        </row>
        <row r="371">
          <cell r="B371" t="str">
            <v>BM80811</v>
          </cell>
          <cell r="C371" t="str">
            <v>BZLD00129</v>
          </cell>
          <cell r="D371" t="str">
            <v>骨质疏松伴有病理性骨折</v>
          </cell>
          <cell r="E371" t="str">
            <v>经皮穿刺椎体成形术/经皮椎体球囊扩张成形术</v>
          </cell>
          <cell r="F371" t="str">
            <v>内外固定材料</v>
          </cell>
          <cell r="G371">
            <v>8200</v>
          </cell>
          <cell r="H371">
            <v>8200</v>
          </cell>
        </row>
        <row r="372">
          <cell r="B372" t="str">
            <v>BB18106</v>
          </cell>
          <cell r="C372" t="str">
            <v>BZLD00131</v>
          </cell>
          <cell r="D372" t="str">
            <v>慢性中度乙型病毒性肝炎</v>
          </cell>
        </row>
        <row r="372">
          <cell r="G372">
            <v>9000</v>
          </cell>
          <cell r="H372">
            <v>6000</v>
          </cell>
        </row>
        <row r="373">
          <cell r="B373" t="str">
            <v>BB18105</v>
          </cell>
          <cell r="C373" t="str">
            <v>BZLD00132</v>
          </cell>
          <cell r="D373" t="str">
            <v>慢性重度乙型病毒性肝炎</v>
          </cell>
        </row>
        <row r="373">
          <cell r="G373">
            <v>11000</v>
          </cell>
          <cell r="H373">
            <v>11000</v>
          </cell>
        </row>
        <row r="374">
          <cell r="B374" t="str">
            <v>BS22010</v>
          </cell>
          <cell r="C374" t="str">
            <v>BZLD00133</v>
          </cell>
          <cell r="D374" t="str">
            <v>胸椎骨折</v>
          </cell>
          <cell r="E374" t="str">
            <v>经皮穿刺椎体成形术/经皮椎体球囊扩张成形术</v>
          </cell>
          <cell r="F374" t="str">
            <v>内外固定材料</v>
          </cell>
          <cell r="G374">
            <v>6500</v>
          </cell>
          <cell r="H374">
            <v>6500</v>
          </cell>
        </row>
        <row r="375">
          <cell r="B375" t="str">
            <v>BS32012</v>
          </cell>
          <cell r="C375" t="str">
            <v>BZLD00134</v>
          </cell>
          <cell r="D375" t="str">
            <v>腰椎骨折</v>
          </cell>
          <cell r="E375" t="str">
            <v>经皮穿刺椎体成形术/经皮椎体球囊扩张成形术</v>
          </cell>
          <cell r="F375" t="str">
            <v>内外固定材料</v>
          </cell>
          <cell r="G375">
            <v>9000</v>
          </cell>
          <cell r="H375">
            <v>9000</v>
          </cell>
        </row>
        <row r="376">
          <cell r="B376" t="str">
            <v>BC22900</v>
          </cell>
          <cell r="C376" t="str">
            <v>BZLD00135</v>
          </cell>
          <cell r="D376" t="str">
            <v>肝恶性肿瘤</v>
          </cell>
        </row>
        <row r="376">
          <cell r="G376">
            <v>8000</v>
          </cell>
          <cell r="H376">
            <v>8000</v>
          </cell>
        </row>
        <row r="377">
          <cell r="B377" t="str">
            <v>BC16900</v>
          </cell>
          <cell r="C377" t="str">
            <v>BZLD00136</v>
          </cell>
          <cell r="D377" t="str">
            <v>胃恶性肿瘤</v>
          </cell>
        </row>
        <row r="377">
          <cell r="G377">
            <v>8000</v>
          </cell>
          <cell r="H377">
            <v>8000</v>
          </cell>
        </row>
        <row r="378">
          <cell r="B378" t="str">
            <v>BC34970</v>
          </cell>
          <cell r="C378" t="str">
            <v>BZLD00137</v>
          </cell>
          <cell r="D378" t="str">
            <v>肺恶性肿瘤</v>
          </cell>
        </row>
        <row r="378">
          <cell r="G378">
            <v>11000</v>
          </cell>
          <cell r="H378">
            <v>7000</v>
          </cell>
        </row>
        <row r="379">
          <cell r="B379" t="str">
            <v>BE10900</v>
          </cell>
          <cell r="C379" t="str">
            <v>BZ0000163</v>
          </cell>
          <cell r="D379" t="str">
            <v>1型糖尿病</v>
          </cell>
        </row>
        <row r="379">
          <cell r="G379">
            <v>5700</v>
          </cell>
          <cell r="H379">
            <v>5700</v>
          </cell>
          <cell r="I379" t="str">
            <v>14周岁以上</v>
          </cell>
        </row>
        <row r="380">
          <cell r="B380" t="str">
            <v>BP23900</v>
          </cell>
          <cell r="C380" t="str">
            <v>BZ0000246</v>
          </cell>
          <cell r="D380" t="str">
            <v>新生儿肺炎</v>
          </cell>
        </row>
        <row r="380">
          <cell r="G380">
            <v>7500</v>
          </cell>
          <cell r="H380">
            <v>7500</v>
          </cell>
        </row>
        <row r="381">
          <cell r="B381" t="str">
            <v>BP59900</v>
          </cell>
          <cell r="C381" t="str">
            <v>BZ0000248</v>
          </cell>
          <cell r="D381" t="str">
            <v>新生儿高胆红素血症</v>
          </cell>
        </row>
        <row r="381">
          <cell r="G381">
            <v>4800</v>
          </cell>
          <cell r="H381">
            <v>4800</v>
          </cell>
        </row>
        <row r="382">
          <cell r="B382" t="str">
            <v>BC15900</v>
          </cell>
          <cell r="C382" t="str">
            <v>BZLD00138</v>
          </cell>
          <cell r="D382" t="str">
            <v>食管恶性肿瘤</v>
          </cell>
        </row>
        <row r="382">
          <cell r="G382">
            <v>6700</v>
          </cell>
          <cell r="H382">
            <v>6700</v>
          </cell>
        </row>
        <row r="383">
          <cell r="B383" t="str">
            <v>BC18900</v>
          </cell>
          <cell r="C383" t="str">
            <v>BZLD00139</v>
          </cell>
          <cell r="D383" t="str">
            <v>结肠恶性肿瘤</v>
          </cell>
        </row>
        <row r="383">
          <cell r="G383">
            <v>6000</v>
          </cell>
          <cell r="H383">
            <v>6000</v>
          </cell>
        </row>
        <row r="384">
          <cell r="B384" t="str">
            <v>BC20x00</v>
          </cell>
          <cell r="C384" t="str">
            <v>BZLD00140</v>
          </cell>
          <cell r="D384" t="str">
            <v>直肠恶性肿瘤</v>
          </cell>
        </row>
        <row r="384">
          <cell r="G384">
            <v>6000</v>
          </cell>
          <cell r="H384">
            <v>6000</v>
          </cell>
        </row>
        <row r="385">
          <cell r="B385" t="str">
            <v>BS82305</v>
          </cell>
          <cell r="C385" t="str">
            <v>BZLD00141</v>
          </cell>
          <cell r="D385" t="str">
            <v>胫骨远端骨折</v>
          </cell>
          <cell r="E385" t="str">
            <v>胫骨骨折切开复位钢板内固定术</v>
          </cell>
          <cell r="F385" t="str">
            <v>内外固定材料</v>
          </cell>
          <cell r="G385">
            <v>18000</v>
          </cell>
          <cell r="H385">
            <v>18000</v>
          </cell>
        </row>
        <row r="386">
          <cell r="B386" t="str">
            <v>BM51254</v>
          </cell>
          <cell r="C386" t="str">
            <v>BZLD00142</v>
          </cell>
          <cell r="D386" t="str">
            <v>腰椎间盘突出</v>
          </cell>
          <cell r="E386" t="str">
            <v>经皮微通道腰椎间盘髓核切除术</v>
          </cell>
        </row>
        <row r="386">
          <cell r="G386">
            <v>24000</v>
          </cell>
          <cell r="H386">
            <v>24000</v>
          </cell>
        </row>
        <row r="387">
          <cell r="B387" t="str">
            <v>BH81301</v>
          </cell>
          <cell r="C387" t="str">
            <v>BZLD00145</v>
          </cell>
          <cell r="D387" t="str">
            <v>前庭周围性眩晕</v>
          </cell>
        </row>
        <row r="387">
          <cell r="G387">
            <v>5600</v>
          </cell>
          <cell r="H387">
            <v>5600</v>
          </cell>
        </row>
        <row r="388">
          <cell r="B388" t="str">
            <v>BJ32900</v>
          </cell>
          <cell r="C388" t="str">
            <v>BZLD00146</v>
          </cell>
          <cell r="D388" t="str">
            <v>慢性多鼻窦炎</v>
          </cell>
          <cell r="E388" t="str">
            <v>鼻内镜下多组鼻窦开窗术+鼻中隔偏曲矫正术+下鼻甲外移术</v>
          </cell>
        </row>
        <row r="388">
          <cell r="G388">
            <v>15300</v>
          </cell>
          <cell r="H388">
            <v>15300</v>
          </cell>
        </row>
        <row r="389">
          <cell r="B389" t="str">
            <v>BK35800</v>
          </cell>
          <cell r="C389" t="str">
            <v>BZLD00147</v>
          </cell>
          <cell r="D389" t="str">
            <v>急性阑尾炎</v>
          </cell>
          <cell r="E389" t="str">
            <v>保守治疗</v>
          </cell>
        </row>
        <row r="389">
          <cell r="G389">
            <v>2800</v>
          </cell>
          <cell r="H389">
            <v>2800</v>
          </cell>
        </row>
        <row r="390">
          <cell r="B390" t="str">
            <v>BK85100</v>
          </cell>
          <cell r="C390" t="str">
            <v>BZLD00148</v>
          </cell>
          <cell r="D390" t="str">
            <v>急性胆源型胰腺炎，轻症</v>
          </cell>
          <cell r="E390" t="str">
            <v>抑制胰液分泌、抑酸、抗感染、补液、营养支持等</v>
          </cell>
        </row>
        <row r="390">
          <cell r="G390">
            <v>8200</v>
          </cell>
          <cell r="H390">
            <v>8200</v>
          </cell>
        </row>
        <row r="391">
          <cell r="B391" t="str">
            <v>BK71600</v>
          </cell>
          <cell r="C391" t="str">
            <v>BZLD00149</v>
          </cell>
          <cell r="D391" t="str">
            <v>药物性肝炎</v>
          </cell>
        </row>
        <row r="391">
          <cell r="G391">
            <v>6100</v>
          </cell>
          <cell r="H391">
            <v>6100</v>
          </cell>
        </row>
        <row r="392">
          <cell r="B392" t="str">
            <v>BK37x07</v>
          </cell>
          <cell r="C392" t="str">
            <v>BZLD00150</v>
          </cell>
          <cell r="D392" t="str">
            <v>阑尾周围脓肿</v>
          </cell>
        </row>
        <row r="392">
          <cell r="G392">
            <v>6200</v>
          </cell>
          <cell r="H392">
            <v>6200</v>
          </cell>
        </row>
        <row r="393">
          <cell r="B393" t="str">
            <v>BT18100</v>
          </cell>
          <cell r="C393" t="str">
            <v>BZLD00151</v>
          </cell>
          <cell r="D393" t="str">
            <v>食管内异物</v>
          </cell>
          <cell r="E393" t="str">
            <v>食管镜食管异物取出术</v>
          </cell>
        </row>
        <row r="393">
          <cell r="G393">
            <v>4000</v>
          </cell>
          <cell r="H393">
            <v>4000</v>
          </cell>
        </row>
        <row r="394">
          <cell r="B394" t="str">
            <v>BJ36x00</v>
          </cell>
          <cell r="C394" t="str">
            <v>BZLD00152</v>
          </cell>
          <cell r="D394" t="str">
            <v>扁桃体周围炎</v>
          </cell>
        </row>
        <row r="394">
          <cell r="G394">
            <v>2900</v>
          </cell>
          <cell r="H394">
            <v>2900</v>
          </cell>
        </row>
        <row r="395">
          <cell r="B395" t="str">
            <v>BH91200</v>
          </cell>
          <cell r="C395" t="str">
            <v>BZLD00153</v>
          </cell>
          <cell r="D395" t="str">
            <v>突发性耳聋</v>
          </cell>
        </row>
        <row r="395">
          <cell r="G395">
            <v>4000</v>
          </cell>
          <cell r="H395">
            <v>4000</v>
          </cell>
        </row>
        <row r="396">
          <cell r="B396" t="str">
            <v>BN84000</v>
          </cell>
          <cell r="C396" t="str">
            <v>BZLD00154</v>
          </cell>
          <cell r="D396" t="str">
            <v>子宫内膜息肉</v>
          </cell>
          <cell r="E396" t="str">
            <v>宫腔镜检查</v>
          </cell>
        </row>
        <row r="396">
          <cell r="G396">
            <v>1900</v>
          </cell>
          <cell r="H396">
            <v>1900</v>
          </cell>
        </row>
        <row r="397">
          <cell r="B397" t="str">
            <v>BE14100</v>
          </cell>
          <cell r="C397" t="str">
            <v>BZLD00155</v>
          </cell>
          <cell r="D397" t="str">
            <v>酮症</v>
          </cell>
        </row>
        <row r="397">
          <cell r="G397">
            <v>6200</v>
          </cell>
          <cell r="H397">
            <v>6200</v>
          </cell>
        </row>
        <row r="398">
          <cell r="B398" t="str">
            <v>BS32800</v>
          </cell>
          <cell r="C398" t="str">
            <v>BZLD00156</v>
          </cell>
          <cell r="D398" t="str">
            <v>骨盆骨折</v>
          </cell>
          <cell r="E398" t="str">
            <v>保守治疗(固定、镇痛）</v>
          </cell>
        </row>
        <row r="398">
          <cell r="G398">
            <v>8900</v>
          </cell>
          <cell r="H398">
            <v>8900</v>
          </cell>
        </row>
        <row r="399">
          <cell r="B399" t="str">
            <v>BS62300</v>
          </cell>
          <cell r="C399" t="str">
            <v>BZLD00157</v>
          </cell>
          <cell r="D399" t="str">
            <v>掌骨骨折</v>
          </cell>
          <cell r="E399" t="str">
            <v>掌骨骨折切开复位内固定术</v>
          </cell>
          <cell r="F399" t="str">
            <v>内外固定材料</v>
          </cell>
          <cell r="G399">
            <v>9000</v>
          </cell>
          <cell r="H399">
            <v>9000</v>
          </cell>
        </row>
        <row r="400">
          <cell r="B400" t="str">
            <v>BC90000</v>
          </cell>
          <cell r="C400" t="str">
            <v>BZLD00158</v>
          </cell>
          <cell r="D400" t="str">
            <v>多发性骨髓瘤</v>
          </cell>
        </row>
        <row r="400">
          <cell r="G400">
            <v>3800</v>
          </cell>
          <cell r="H400">
            <v>3800</v>
          </cell>
        </row>
        <row r="401">
          <cell r="B401" t="str">
            <v>BS09900</v>
          </cell>
          <cell r="C401" t="str">
            <v>BZLD00159</v>
          </cell>
          <cell r="D401" t="str">
            <v>头部外伤</v>
          </cell>
          <cell r="E401" t="str">
            <v>改善循环及对症药物治疗</v>
          </cell>
        </row>
        <row r="401">
          <cell r="G401">
            <v>6500</v>
          </cell>
          <cell r="H401">
            <v>6500</v>
          </cell>
        </row>
        <row r="402">
          <cell r="B402" t="str">
            <v>BK92900</v>
          </cell>
          <cell r="C402" t="str">
            <v>BZLD00160</v>
          </cell>
          <cell r="D402" t="str">
            <v>胃肠功能紊乱</v>
          </cell>
        </row>
        <row r="402">
          <cell r="G402">
            <v>4000</v>
          </cell>
          <cell r="H402">
            <v>4000</v>
          </cell>
        </row>
        <row r="403">
          <cell r="B403" t="str">
            <v>BK74100</v>
          </cell>
          <cell r="C403" t="str">
            <v>IM338</v>
          </cell>
          <cell r="D403" t="str">
            <v>肝硬化</v>
          </cell>
        </row>
        <row r="403">
          <cell r="G403">
            <v>8000</v>
          </cell>
          <cell r="H403">
            <v>8000</v>
          </cell>
        </row>
        <row r="404">
          <cell r="B404" t="str">
            <v>BR04000</v>
          </cell>
          <cell r="C404" t="str">
            <v>BZLD00162</v>
          </cell>
          <cell r="D404" t="str">
            <v>鼻出血</v>
          </cell>
          <cell r="E404" t="str">
            <v>鼻内镜下鼻腔电凝止血</v>
          </cell>
        </row>
        <row r="404">
          <cell r="G404">
            <v>3700</v>
          </cell>
          <cell r="H404">
            <v>3700</v>
          </cell>
        </row>
        <row r="405">
          <cell r="B405" t="str">
            <v>BR22900</v>
          </cell>
          <cell r="C405" t="str">
            <v>BZLD00163</v>
          </cell>
          <cell r="D405" t="str">
            <v>体表肿物</v>
          </cell>
          <cell r="E405" t="str">
            <v>皮下组织病损切除术</v>
          </cell>
        </row>
        <row r="405">
          <cell r="G405">
            <v>2500</v>
          </cell>
          <cell r="H405">
            <v>2500</v>
          </cell>
        </row>
        <row r="406">
          <cell r="B406" t="str">
            <v>BA09900</v>
          </cell>
          <cell r="C406" t="str">
            <v>IM003</v>
          </cell>
          <cell r="D406" t="str">
            <v>胃肠炎</v>
          </cell>
        </row>
        <row r="406">
          <cell r="G406">
            <v>1500</v>
          </cell>
          <cell r="H406">
            <v>1500</v>
          </cell>
        </row>
        <row r="407">
          <cell r="B407" t="str">
            <v>BG03x01</v>
          </cell>
          <cell r="C407" t="str">
            <v>BZLD00165</v>
          </cell>
          <cell r="D407" t="str">
            <v>颅内感染</v>
          </cell>
        </row>
        <row r="407">
          <cell r="G407">
            <v>7200</v>
          </cell>
          <cell r="H407">
            <v>7200</v>
          </cell>
        </row>
        <row r="408">
          <cell r="B408" t="str">
            <v>BM79200</v>
          </cell>
          <cell r="C408" t="str">
            <v>BZLD00166</v>
          </cell>
          <cell r="D408" t="str">
            <v>神经痛</v>
          </cell>
        </row>
        <row r="408">
          <cell r="G408">
            <v>5200</v>
          </cell>
          <cell r="H408">
            <v>5200</v>
          </cell>
        </row>
        <row r="409">
          <cell r="B409" t="str">
            <v>BR55x00</v>
          </cell>
          <cell r="C409" t="str">
            <v>BZLD00167</v>
          </cell>
          <cell r="D409" t="str">
            <v>晕厥</v>
          </cell>
        </row>
        <row r="409">
          <cell r="G409">
            <v>6200</v>
          </cell>
          <cell r="H409">
            <v>6200</v>
          </cell>
        </row>
        <row r="410">
          <cell r="B410" t="str">
            <v>BR91x00</v>
          </cell>
          <cell r="C410" t="str">
            <v>BZLD00168</v>
          </cell>
          <cell r="D410" t="str">
            <v>肺部阴影</v>
          </cell>
        </row>
        <row r="410">
          <cell r="G410">
            <v>6000</v>
          </cell>
          <cell r="H410">
            <v>6000</v>
          </cell>
        </row>
        <row r="411">
          <cell r="B411" t="str">
            <v>BK25900</v>
          </cell>
          <cell r="C411" t="str">
            <v>BZLD00169</v>
          </cell>
          <cell r="D411" t="str">
            <v>胃溃疡</v>
          </cell>
        </row>
        <row r="411">
          <cell r="G411">
            <v>5500</v>
          </cell>
          <cell r="H411">
            <v>5500</v>
          </cell>
        </row>
        <row r="412">
          <cell r="B412" t="str">
            <v>BK40900</v>
          </cell>
          <cell r="C412" t="str">
            <v>BZLD00170</v>
          </cell>
          <cell r="D412" t="str">
            <v>腹股沟斜疝</v>
          </cell>
          <cell r="E412" t="str">
            <v>腹腔镜下双侧腹股沟斜疝疝囊高位结扎术</v>
          </cell>
        </row>
        <row r="412">
          <cell r="G412">
            <v>6100</v>
          </cell>
          <cell r="H412">
            <v>6100</v>
          </cell>
        </row>
        <row r="413">
          <cell r="B413" t="str">
            <v>BM47900</v>
          </cell>
          <cell r="C413" t="str">
            <v>BZLD00171</v>
          </cell>
          <cell r="D413" t="str">
            <v>颈椎病</v>
          </cell>
        </row>
        <row r="413">
          <cell r="G413">
            <v>5500</v>
          </cell>
          <cell r="H413">
            <v>5500</v>
          </cell>
        </row>
        <row r="414">
          <cell r="B414" t="str">
            <v>BM17100</v>
          </cell>
          <cell r="C414" t="str">
            <v>BZLD00172</v>
          </cell>
          <cell r="D414" t="str">
            <v>膝关节骨性关节炎(膝关节病）</v>
          </cell>
        </row>
        <row r="414">
          <cell r="G414">
            <v>6000</v>
          </cell>
          <cell r="H414">
            <v>6000</v>
          </cell>
        </row>
        <row r="415">
          <cell r="B415" t="str">
            <v>BM81900</v>
          </cell>
          <cell r="C415" t="str">
            <v>OM183</v>
          </cell>
          <cell r="D415" t="str">
            <v>骨质疏松症</v>
          </cell>
        </row>
        <row r="415">
          <cell r="G415">
            <v>4300</v>
          </cell>
          <cell r="H415">
            <v>5800</v>
          </cell>
        </row>
        <row r="416">
          <cell r="B416" t="str">
            <v>BD50900</v>
          </cell>
          <cell r="C416" t="str">
            <v>BZLD00174</v>
          </cell>
          <cell r="D416" t="str">
            <v>缺铁性贫血</v>
          </cell>
        </row>
        <row r="416">
          <cell r="G416">
            <v>4800</v>
          </cell>
          <cell r="H416">
            <v>4800</v>
          </cell>
        </row>
        <row r="417">
          <cell r="B417" t="str">
            <v>BBNG080</v>
          </cell>
          <cell r="C417" t="str">
            <v>BZ0000398</v>
          </cell>
          <cell r="D417" t="str">
            <v>中风病</v>
          </cell>
        </row>
        <row r="417">
          <cell r="G417">
            <v>8500</v>
          </cell>
          <cell r="H417">
            <v>8500</v>
          </cell>
          <cell r="I417" t="str">
            <v>脑梗死恢复期</v>
          </cell>
        </row>
        <row r="418">
          <cell r="B418" t="str">
            <v>BI69101</v>
          </cell>
          <cell r="C418" t="str">
            <v>BZ0000400</v>
          </cell>
          <cell r="D418" t="str">
            <v>中风病</v>
          </cell>
        </row>
        <row r="418">
          <cell r="G418">
            <v>8500</v>
          </cell>
          <cell r="H418">
            <v>8500</v>
          </cell>
          <cell r="I418" t="str">
            <v>脑出血恢复期</v>
          </cell>
        </row>
        <row r="419">
          <cell r="B419" t="str">
            <v>BR62800</v>
          </cell>
          <cell r="C419" t="str">
            <v>BZ0000401</v>
          </cell>
          <cell r="D419" t="str">
            <v>五迟、五软病</v>
          </cell>
        </row>
        <row r="419">
          <cell r="G419">
            <v>3600</v>
          </cell>
          <cell r="H419">
            <v>3600</v>
          </cell>
          <cell r="I419" t="str">
            <v>生长发育迟缓</v>
          </cell>
        </row>
        <row r="420">
          <cell r="B420" t="str">
            <v>BG80904</v>
          </cell>
          <cell r="C420" t="str">
            <v>BZ0000402</v>
          </cell>
          <cell r="D420" t="str">
            <v>五迟、五软病</v>
          </cell>
        </row>
        <row r="420">
          <cell r="G420">
            <v>3100</v>
          </cell>
          <cell r="H420">
            <v>3100</v>
          </cell>
          <cell r="I420" t="str">
            <v>大脑性瘫痪</v>
          </cell>
        </row>
        <row r="421">
          <cell r="B421" t="str">
            <v>BM47214</v>
          </cell>
          <cell r="C421" t="str">
            <v>BZ0000403</v>
          </cell>
          <cell r="D421" t="str">
            <v>项痹病</v>
          </cell>
        </row>
        <row r="421">
          <cell r="G421">
            <v>5100</v>
          </cell>
          <cell r="H421">
            <v>5100</v>
          </cell>
          <cell r="I421" t="str">
            <v>颈椎关节强硬</v>
          </cell>
        </row>
        <row r="422">
          <cell r="B422" t="str">
            <v>BM54500</v>
          </cell>
          <cell r="C422" t="str">
            <v>BZ0000404</v>
          </cell>
          <cell r="D422" t="str">
            <v>腰痛病</v>
          </cell>
        </row>
        <row r="422">
          <cell r="G422">
            <v>5100</v>
          </cell>
          <cell r="H422">
            <v>5100</v>
          </cell>
          <cell r="I422" t="str">
            <v>腰椎间盘突出</v>
          </cell>
        </row>
        <row r="423">
          <cell r="B423" t="str">
            <v>BM17500</v>
          </cell>
          <cell r="C423" t="str">
            <v>BZ0000405</v>
          </cell>
          <cell r="D423" t="str">
            <v>膝痹病</v>
          </cell>
        </row>
        <row r="423">
          <cell r="G423">
            <v>5400</v>
          </cell>
          <cell r="H423">
            <v>5400</v>
          </cell>
          <cell r="I423" t="str">
            <v>膝关节病</v>
          </cell>
        </row>
        <row r="424">
          <cell r="B424" t="str">
            <v>BG51809</v>
          </cell>
          <cell r="C424" t="str">
            <v>BZ0000406</v>
          </cell>
          <cell r="D424" t="str">
            <v>面瘫病</v>
          </cell>
        </row>
        <row r="424">
          <cell r="G424">
            <v>4000</v>
          </cell>
          <cell r="H424">
            <v>4000</v>
          </cell>
          <cell r="I424" t="str">
            <v>周围性面神经麻痹</v>
          </cell>
        </row>
        <row r="425">
          <cell r="B425" t="str">
            <v>BT09300</v>
          </cell>
          <cell r="C425" t="str">
            <v>BZ0000407</v>
          </cell>
          <cell r="D425" t="str">
            <v>痿病</v>
          </cell>
        </row>
        <row r="425">
          <cell r="G425">
            <v>7700</v>
          </cell>
          <cell r="H425">
            <v>7700</v>
          </cell>
          <cell r="I425" t="str">
            <v>脊髓损伤</v>
          </cell>
        </row>
        <row r="426">
          <cell r="B426" t="str">
            <v>BBNG081</v>
          </cell>
          <cell r="C426" t="str">
            <v>BZ0000443</v>
          </cell>
          <cell r="D426" t="str">
            <v>中风病</v>
          </cell>
        </row>
        <row r="426">
          <cell r="G426">
            <v>8500</v>
          </cell>
          <cell r="H426">
            <v>8500</v>
          </cell>
          <cell r="I426" t="str">
            <v>脑出血后遗症</v>
          </cell>
        </row>
        <row r="427">
          <cell r="B427" t="str">
            <v>BK21000</v>
          </cell>
          <cell r="C427" t="str">
            <v>BZ0000169</v>
          </cell>
          <cell r="D427" t="str">
            <v>反流食管炎</v>
          </cell>
        </row>
        <row r="427">
          <cell r="G427">
            <v>4500</v>
          </cell>
          <cell r="H427">
            <v>4500</v>
          </cell>
        </row>
        <row r="428">
          <cell r="B428" t="str">
            <v>BJ21900</v>
          </cell>
          <cell r="C428" t="str">
            <v>FM084</v>
          </cell>
          <cell r="D428" t="str">
            <v>急性喘息性支气管炎</v>
          </cell>
        </row>
        <row r="428">
          <cell r="G428">
            <v>2400</v>
          </cell>
          <cell r="H428">
            <v>2400</v>
          </cell>
          <cell r="I428" t="str">
            <v>限14周岁以下</v>
          </cell>
        </row>
        <row r="429">
          <cell r="B429" t="str">
            <v>BJ03905</v>
          </cell>
          <cell r="C429" t="str">
            <v>BZLD00176</v>
          </cell>
          <cell r="D429" t="str">
            <v>急性扁桃体炎</v>
          </cell>
        </row>
        <row r="429">
          <cell r="G429">
            <v>1600</v>
          </cell>
          <cell r="H429">
            <v>1600</v>
          </cell>
          <cell r="I429" t="str">
            <v>限14周岁以下</v>
          </cell>
        </row>
        <row r="430">
          <cell r="B430" t="str">
            <v>BP07300</v>
          </cell>
          <cell r="C430" t="str">
            <v>BZLD00177</v>
          </cell>
          <cell r="D430" t="str">
            <v>早产儿</v>
          </cell>
        </row>
        <row r="430">
          <cell r="G430">
            <v>9700</v>
          </cell>
          <cell r="H430">
            <v>9700</v>
          </cell>
        </row>
        <row r="431">
          <cell r="B431" t="str">
            <v>BZ33x00</v>
          </cell>
          <cell r="C431" t="str">
            <v>BZLD00178</v>
          </cell>
          <cell r="D431" t="str">
            <v>妊娠状态</v>
          </cell>
        </row>
        <row r="431">
          <cell r="G431">
            <v>1400</v>
          </cell>
          <cell r="H431">
            <v>1400</v>
          </cell>
          <cell r="I431" t="str">
            <v>限孕周37周以上入院待产或保胎的孕妇</v>
          </cell>
        </row>
        <row r="432">
          <cell r="B432" t="str">
            <v>BN19901</v>
          </cell>
          <cell r="C432" t="str">
            <v>BZLD00179</v>
          </cell>
          <cell r="D432" t="str">
            <v>尿毒症</v>
          </cell>
        </row>
        <row r="432">
          <cell r="G432">
            <v>8000</v>
          </cell>
          <cell r="H432">
            <v>8000</v>
          </cell>
        </row>
        <row r="433">
          <cell r="B433" t="str">
            <v>BA41902</v>
          </cell>
          <cell r="C433" t="str">
            <v>BZLD00180</v>
          </cell>
          <cell r="D433" t="str">
            <v>脓毒血症</v>
          </cell>
        </row>
        <row r="433">
          <cell r="G433">
            <v>2000</v>
          </cell>
          <cell r="H433">
            <v>2000</v>
          </cell>
          <cell r="I433" t="str">
            <v>限14周岁以下</v>
          </cell>
        </row>
        <row r="434">
          <cell r="B434" t="str">
            <v>BE87100</v>
          </cell>
          <cell r="C434" t="str">
            <v>BZLD00181</v>
          </cell>
          <cell r="D434" t="str">
            <v>低钠血症</v>
          </cell>
          <cell r="E434" t="str">
            <v>补钠补液、营养神经、改善循环等</v>
          </cell>
        </row>
        <row r="434">
          <cell r="G434">
            <v>4500</v>
          </cell>
          <cell r="H434">
            <v>4500</v>
          </cell>
        </row>
        <row r="435">
          <cell r="B435" t="str">
            <v>BI60900</v>
          </cell>
          <cell r="C435" t="str">
            <v>BZLD00182</v>
          </cell>
          <cell r="D435" t="str">
            <v>蛛网膜下腔出血</v>
          </cell>
          <cell r="E435" t="str">
            <v>预防再出血及血管痉挛等</v>
          </cell>
        </row>
        <row r="435">
          <cell r="G435">
            <v>5500</v>
          </cell>
          <cell r="H435">
            <v>5500</v>
          </cell>
          <cell r="I435" t="str">
            <v>限非创伤性出血</v>
          </cell>
        </row>
        <row r="436">
          <cell r="B436" t="str">
            <v>BP55100</v>
          </cell>
          <cell r="C436" t="str">
            <v>BZLD00183</v>
          </cell>
          <cell r="D436" t="str">
            <v>新生儿ABO溶血性黄疸</v>
          </cell>
        </row>
        <row r="436">
          <cell r="G436">
            <v>7000</v>
          </cell>
          <cell r="H436">
            <v>7000</v>
          </cell>
        </row>
        <row r="437">
          <cell r="B437" t="str">
            <v>BG72301</v>
          </cell>
          <cell r="C437" t="str">
            <v>BZLD00184</v>
          </cell>
          <cell r="D437" t="str">
            <v>低钾型周期性麻痹</v>
          </cell>
        </row>
        <row r="437">
          <cell r="G437">
            <v>4000</v>
          </cell>
          <cell r="H437">
            <v>4000</v>
          </cell>
        </row>
        <row r="438">
          <cell r="B438" t="str">
            <v>BI42200</v>
          </cell>
          <cell r="C438" t="str">
            <v>BZLD00185</v>
          </cell>
          <cell r="D438" t="str">
            <v>肥厚型心肌病</v>
          </cell>
        </row>
        <row r="438">
          <cell r="G438">
            <v>5800</v>
          </cell>
          <cell r="H438">
            <v>5800</v>
          </cell>
        </row>
        <row r="439">
          <cell r="B439" t="str">
            <v>BF45300</v>
          </cell>
          <cell r="C439" t="str">
            <v>BZLD00186</v>
          </cell>
          <cell r="D439" t="str">
            <v>心脏神经官能症</v>
          </cell>
        </row>
        <row r="439">
          <cell r="G439">
            <v>4400</v>
          </cell>
          <cell r="H439">
            <v>4400</v>
          </cell>
        </row>
        <row r="440">
          <cell r="B440" t="str">
            <v>BQ24500</v>
          </cell>
          <cell r="C440" t="str">
            <v>BZLD00187</v>
          </cell>
          <cell r="D440" t="str">
            <v>冠状动脉肌桥</v>
          </cell>
          <cell r="E440" t="str">
            <v>抗血小板、改善循环、扩冠等</v>
          </cell>
        </row>
        <row r="440">
          <cell r="G440">
            <v>6000</v>
          </cell>
          <cell r="H440">
            <v>6000</v>
          </cell>
        </row>
        <row r="441">
          <cell r="B441" t="str">
            <v>BQ24501</v>
          </cell>
          <cell r="C441" t="str">
            <v>BZLD00188</v>
          </cell>
          <cell r="D441" t="str">
            <v>冠状动脉肌桥</v>
          </cell>
          <cell r="E441" t="str">
            <v>冠状动脉造影</v>
          </cell>
        </row>
        <row r="441">
          <cell r="G441">
            <v>9000</v>
          </cell>
          <cell r="H441">
            <v>9000</v>
          </cell>
        </row>
        <row r="442">
          <cell r="B442" t="str">
            <v>BI69300</v>
          </cell>
          <cell r="C442" t="str">
            <v>BZLD00189</v>
          </cell>
          <cell r="D442" t="str">
            <v>脑梗死后遗症</v>
          </cell>
        </row>
        <row r="442">
          <cell r="G442">
            <v>5500</v>
          </cell>
          <cell r="H442">
            <v>5500</v>
          </cell>
        </row>
        <row r="443">
          <cell r="B443" t="str">
            <v>BS36006</v>
          </cell>
          <cell r="C443" t="str">
            <v>BZLD00190</v>
          </cell>
          <cell r="D443" t="str">
            <v>创伤性脾破裂</v>
          </cell>
          <cell r="E443" t="str">
            <v>脾破裂修补术/脾切除术</v>
          </cell>
        </row>
        <row r="443">
          <cell r="G443">
            <v>14000</v>
          </cell>
          <cell r="H443">
            <v>14000</v>
          </cell>
        </row>
        <row r="444">
          <cell r="B444" t="str">
            <v>BH81101</v>
          </cell>
          <cell r="C444" t="str">
            <v>BZLD00192</v>
          </cell>
          <cell r="D444" t="str">
            <v>良性阵发性位置性眩晕</v>
          </cell>
        </row>
        <row r="444">
          <cell r="G444">
            <v>4000</v>
          </cell>
          <cell r="H444">
            <v>4000</v>
          </cell>
        </row>
        <row r="445">
          <cell r="B445" t="str">
            <v>BO04900</v>
          </cell>
          <cell r="C445" t="str">
            <v>BZLD00193</v>
          </cell>
          <cell r="D445" t="str">
            <v>流产</v>
          </cell>
        </row>
        <row r="445">
          <cell r="G445">
            <v>1500</v>
          </cell>
          <cell r="H445">
            <v>1500</v>
          </cell>
          <cell r="I445" t="str">
            <v>未做清宫术</v>
          </cell>
        </row>
        <row r="446">
          <cell r="B446" t="str">
            <v>BO06402</v>
          </cell>
          <cell r="C446" t="str">
            <v>BZLD00194</v>
          </cell>
          <cell r="D446" t="str">
            <v>无痛人流</v>
          </cell>
          <cell r="E446" t="str">
            <v>电吸人流术</v>
          </cell>
        </row>
        <row r="446">
          <cell r="G446">
            <v>1900</v>
          </cell>
          <cell r="H446">
            <v>1900</v>
          </cell>
        </row>
        <row r="447">
          <cell r="B447" t="str">
            <v>BK76804</v>
          </cell>
          <cell r="C447" t="str">
            <v>BZLD00195</v>
          </cell>
          <cell r="D447" t="str">
            <v>肝功能不全</v>
          </cell>
          <cell r="E447" t="str">
            <v>保肝、降酶等</v>
          </cell>
        </row>
        <row r="447">
          <cell r="G447">
            <v>3500</v>
          </cell>
          <cell r="H447">
            <v>3500</v>
          </cell>
        </row>
        <row r="448">
          <cell r="B448" t="str">
            <v>BN75102</v>
          </cell>
          <cell r="C448" t="str">
            <v>BZLD00196</v>
          </cell>
          <cell r="D448" t="str">
            <v>前庭大腺脓肿</v>
          </cell>
          <cell r="E448" t="str">
            <v>前庭大腺脓肿切开引流术</v>
          </cell>
        </row>
        <row r="448">
          <cell r="G448">
            <v>2000</v>
          </cell>
          <cell r="H448">
            <v>2000</v>
          </cell>
        </row>
        <row r="449">
          <cell r="B449" t="str">
            <v>BM67404</v>
          </cell>
          <cell r="C449" t="str">
            <v>BZLD00197</v>
          </cell>
          <cell r="D449" t="str">
            <v>腱鞘囊肿</v>
          </cell>
          <cell r="E449" t="str">
            <v>腱鞘囊肿切除术</v>
          </cell>
        </row>
        <row r="449">
          <cell r="G449">
            <v>4000</v>
          </cell>
          <cell r="H449">
            <v>4000</v>
          </cell>
        </row>
        <row r="450">
          <cell r="B450" t="str">
            <v>BM71201</v>
          </cell>
          <cell r="C450" t="str">
            <v>BZLD00198</v>
          </cell>
          <cell r="D450" t="str">
            <v>腘窝囊肿</v>
          </cell>
          <cell r="E450" t="str">
            <v>腘窝囊肿切除术</v>
          </cell>
        </row>
        <row r="450">
          <cell r="G450">
            <v>5000</v>
          </cell>
          <cell r="H450">
            <v>5000</v>
          </cell>
        </row>
        <row r="451">
          <cell r="B451" t="str">
            <v>BZ48800</v>
          </cell>
          <cell r="C451" t="str">
            <v>BZLD00199</v>
          </cell>
          <cell r="D451" t="str">
            <v>乳腺术后</v>
          </cell>
          <cell r="E451" t="str">
            <v>EC/T/TC方案</v>
          </cell>
        </row>
        <row r="451">
          <cell r="G451">
            <v>2900</v>
          </cell>
          <cell r="H451">
            <v>2900</v>
          </cell>
        </row>
        <row r="452">
          <cell r="B452" t="str">
            <v>BS22300</v>
          </cell>
          <cell r="C452" t="str">
            <v>BZLD00200</v>
          </cell>
          <cell r="D452" t="str">
            <v>肋骨骨折</v>
          </cell>
          <cell r="E452" t="str">
            <v>固定、镇痛、伴肺挫伤者酌情止血等</v>
          </cell>
        </row>
        <row r="452">
          <cell r="G452">
            <v>4000</v>
          </cell>
          <cell r="H452">
            <v>4000</v>
          </cell>
        </row>
        <row r="453">
          <cell r="B453" t="str">
            <v>BS22301</v>
          </cell>
          <cell r="C453" t="str">
            <v>BZLD00201</v>
          </cell>
          <cell r="D453" t="str">
            <v>肋骨骨折</v>
          </cell>
          <cell r="E453" t="str">
            <v>胸腔闭式引流术</v>
          </cell>
        </row>
        <row r="453">
          <cell r="G453">
            <v>10000</v>
          </cell>
          <cell r="H453">
            <v>10000</v>
          </cell>
          <cell r="I453" t="str">
            <v>合并创伤性血气胸</v>
          </cell>
        </row>
        <row r="454">
          <cell r="B454" t="str">
            <v>BS92301</v>
          </cell>
          <cell r="C454" t="str">
            <v>BZLD00202</v>
          </cell>
          <cell r="D454" t="str">
            <v>跖骨骨折</v>
          </cell>
          <cell r="E454" t="str">
            <v>跖骨骨折切开复位内固定术</v>
          </cell>
          <cell r="F454" t="str">
            <v>内外固定材料</v>
          </cell>
          <cell r="G454">
            <v>13000</v>
          </cell>
          <cell r="H454">
            <v>13000</v>
          </cell>
        </row>
        <row r="455">
          <cell r="B455" t="str">
            <v>BS62602</v>
          </cell>
          <cell r="C455" t="str">
            <v>BZLD00203</v>
          </cell>
          <cell r="D455" t="str">
            <v>指骨骨折</v>
          </cell>
          <cell r="E455" t="str">
            <v>指骨骨折切开复位内固定术</v>
          </cell>
          <cell r="F455" t="str">
            <v>内外固定材料</v>
          </cell>
          <cell r="G455">
            <v>8000</v>
          </cell>
          <cell r="H455">
            <v>8000</v>
          </cell>
        </row>
        <row r="456">
          <cell r="B456" t="str">
            <v>BN87901</v>
          </cell>
          <cell r="C456" t="str">
            <v>BZLD00204</v>
          </cell>
          <cell r="D456" t="str">
            <v>子宫颈皮内瘤变</v>
          </cell>
          <cell r="E456" t="str">
            <v>宫颈锥切术</v>
          </cell>
        </row>
        <row r="456">
          <cell r="G456">
            <v>3600</v>
          </cell>
          <cell r="H456">
            <v>3600</v>
          </cell>
        </row>
        <row r="457">
          <cell r="B457" t="str">
            <v>BH91202</v>
          </cell>
          <cell r="C457" t="str">
            <v>BZ0000408</v>
          </cell>
          <cell r="D457" t="str">
            <v>暴聋病</v>
          </cell>
        </row>
        <row r="457">
          <cell r="G457">
            <v>6000</v>
          </cell>
          <cell r="H457">
            <v>6000</v>
          </cell>
          <cell r="I457" t="str">
            <v>特发性突聋</v>
          </cell>
        </row>
        <row r="458">
          <cell r="B458" t="str">
            <v>BA46x00</v>
          </cell>
          <cell r="C458" t="str">
            <v>BZ0000410</v>
          </cell>
          <cell r="D458" t="str">
            <v>丹毒病</v>
          </cell>
        </row>
        <row r="458">
          <cell r="G458">
            <v>4800</v>
          </cell>
          <cell r="H458">
            <v>4800</v>
          </cell>
          <cell r="I458" t="str">
            <v>丹毒</v>
          </cell>
        </row>
        <row r="459">
          <cell r="B459" t="str">
            <v>BT63900</v>
          </cell>
          <cell r="C459" t="str">
            <v>BZ0000411</v>
          </cell>
          <cell r="D459" t="str">
            <v>毒虫咬伤病</v>
          </cell>
        </row>
        <row r="459">
          <cell r="G459">
            <v>3500</v>
          </cell>
          <cell r="H459">
            <v>3500</v>
          </cell>
          <cell r="I459" t="str">
            <v>毒虫咬伤</v>
          </cell>
        </row>
        <row r="460">
          <cell r="B460" t="str">
            <v>BH93100</v>
          </cell>
          <cell r="C460" t="str">
            <v>BZ0000412</v>
          </cell>
          <cell r="D460" t="str">
            <v>耳鸣病</v>
          </cell>
        </row>
        <row r="460">
          <cell r="G460">
            <v>4000</v>
          </cell>
          <cell r="H460">
            <v>4000</v>
          </cell>
          <cell r="I460" t="str">
            <v>神经性耳鸣</v>
          </cell>
        </row>
        <row r="461">
          <cell r="B461" t="str">
            <v>BH35501</v>
          </cell>
          <cell r="C461" t="str">
            <v>BZ0000413</v>
          </cell>
          <cell r="D461" t="str">
            <v>高风雀目病</v>
          </cell>
        </row>
        <row r="461">
          <cell r="G461">
            <v>4500</v>
          </cell>
          <cell r="H461">
            <v>4500</v>
          </cell>
          <cell r="I461" t="str">
            <v>视网膜色素变性</v>
          </cell>
        </row>
        <row r="462">
          <cell r="B462" t="str">
            <v>BS46000</v>
          </cell>
          <cell r="C462" t="str">
            <v>BZ0000416</v>
          </cell>
          <cell r="D462" t="str">
            <v>肩痹病*（肩凝病）</v>
          </cell>
        </row>
        <row r="462">
          <cell r="G462">
            <v>5000</v>
          </cell>
          <cell r="H462">
            <v>5000</v>
          </cell>
          <cell r="I462" t="str">
            <v>肩袖损伤</v>
          </cell>
        </row>
        <row r="463">
          <cell r="B463" t="str">
            <v>BM75005</v>
          </cell>
          <cell r="C463" t="str">
            <v>BZ0000420</v>
          </cell>
          <cell r="D463" t="str">
            <v>漏肩风病</v>
          </cell>
        </row>
        <row r="463">
          <cell r="G463">
            <v>5000</v>
          </cell>
          <cell r="H463">
            <v>5000</v>
          </cell>
          <cell r="I463" t="str">
            <v>肩周炎</v>
          </cell>
        </row>
        <row r="464">
          <cell r="B464" t="str">
            <v>BN03900</v>
          </cell>
          <cell r="C464" t="str">
            <v>BZ0000421</v>
          </cell>
          <cell r="D464" t="str">
            <v>慢肾风</v>
          </cell>
        </row>
        <row r="464">
          <cell r="G464">
            <v>4500</v>
          </cell>
          <cell r="H464">
            <v>4500</v>
          </cell>
          <cell r="I464" t="str">
            <v>慢性肾小球肾炎</v>
          </cell>
        </row>
        <row r="465">
          <cell r="B465" t="str">
            <v>BN18300</v>
          </cell>
          <cell r="C465" t="str">
            <v>BZ0000422</v>
          </cell>
          <cell r="D465" t="str">
            <v>肾衰病</v>
          </cell>
        </row>
        <row r="465">
          <cell r="G465">
            <v>5000</v>
          </cell>
          <cell r="H465">
            <v>5000</v>
          </cell>
          <cell r="I465" t="str">
            <v>慢性肾脏病3期</v>
          </cell>
        </row>
        <row r="466">
          <cell r="B466" t="str">
            <v>BN73000</v>
          </cell>
          <cell r="C466" t="str">
            <v>BZ0000424</v>
          </cell>
          <cell r="D466" t="str">
            <v>盆腔炎</v>
          </cell>
        </row>
        <row r="466">
          <cell r="G466">
            <v>4600</v>
          </cell>
          <cell r="H466">
            <v>4600</v>
          </cell>
          <cell r="I466" t="str">
            <v>急性女性盆腔炎</v>
          </cell>
        </row>
        <row r="467">
          <cell r="B467" t="str">
            <v>BH47201</v>
          </cell>
          <cell r="C467" t="str">
            <v>BZ0000425</v>
          </cell>
          <cell r="D467" t="str">
            <v>青盲病</v>
          </cell>
        </row>
        <row r="467">
          <cell r="G467">
            <v>4000</v>
          </cell>
          <cell r="H467">
            <v>4000</v>
          </cell>
          <cell r="I467" t="str">
            <v>视神经萎缩</v>
          </cell>
        </row>
        <row r="468">
          <cell r="B468" t="str">
            <v>BN20901</v>
          </cell>
          <cell r="C468" t="str">
            <v>BZ0000426</v>
          </cell>
          <cell r="D468" t="str">
            <v>石淋病</v>
          </cell>
        </row>
        <row r="468">
          <cell r="G468">
            <v>4000</v>
          </cell>
          <cell r="H468">
            <v>4000</v>
          </cell>
          <cell r="I468" t="str">
            <v>泌尿系结石</v>
          </cell>
        </row>
        <row r="469">
          <cell r="B469" t="str">
            <v>BK26900</v>
          </cell>
          <cell r="C469" t="str">
            <v>BZ0000429</v>
          </cell>
          <cell r="D469" t="str">
            <v>胃脘痛病</v>
          </cell>
        </row>
        <row r="469">
          <cell r="G469">
            <v>4500</v>
          </cell>
          <cell r="H469">
            <v>4500</v>
          </cell>
          <cell r="I469" t="str">
            <v>十二指肠球部溃疡</v>
          </cell>
        </row>
        <row r="470">
          <cell r="B470" t="str">
            <v>BBNP110</v>
          </cell>
          <cell r="C470" t="str">
            <v>BZ0000436</v>
          </cell>
          <cell r="D470" t="str">
            <v>泄泻病</v>
          </cell>
        </row>
        <row r="470">
          <cell r="G470">
            <v>4000</v>
          </cell>
          <cell r="H470">
            <v>4000</v>
          </cell>
          <cell r="I470" t="str">
            <v>肠功能紊乱</v>
          </cell>
        </row>
        <row r="471">
          <cell r="B471" t="str">
            <v>BM54505</v>
          </cell>
          <cell r="C471" t="str">
            <v>BZ0000441</v>
          </cell>
          <cell r="D471" t="str">
            <v>腰痛病</v>
          </cell>
        </row>
        <row r="471">
          <cell r="G471">
            <v>5000</v>
          </cell>
          <cell r="H471">
            <v>5000</v>
          </cell>
          <cell r="I471" t="str">
            <v>腰椎退行性病变</v>
          </cell>
        </row>
        <row r="472">
          <cell r="B472" t="str">
            <v>BG44200</v>
          </cell>
          <cell r="C472" t="str">
            <v>AM124</v>
          </cell>
          <cell r="D472" t="str">
            <v>紧张型头痛</v>
          </cell>
        </row>
        <row r="472">
          <cell r="G472">
            <v>4500</v>
          </cell>
          <cell r="H472">
            <v>4500</v>
          </cell>
        </row>
        <row r="473">
          <cell r="B473" t="str">
            <v>BE05900</v>
          </cell>
          <cell r="C473" t="str">
            <v>BM024</v>
          </cell>
          <cell r="D473" t="str">
            <v>甲状腺功能亢进症</v>
          </cell>
        </row>
        <row r="473">
          <cell r="G473">
            <v>3400</v>
          </cell>
          <cell r="H473">
            <v>3400</v>
          </cell>
        </row>
        <row r="474">
          <cell r="B474" t="str">
            <v>BE11502</v>
          </cell>
          <cell r="C474" t="str">
            <v>BM059</v>
          </cell>
          <cell r="D474" t="str">
            <v>2型糖尿病足病</v>
          </cell>
        </row>
        <row r="474">
          <cell r="G474">
            <v>6300</v>
          </cell>
          <cell r="H474">
            <v>6300</v>
          </cell>
        </row>
        <row r="475">
          <cell r="B475" t="str">
            <v>BI09900</v>
          </cell>
          <cell r="C475" t="str">
            <v>GM003</v>
          </cell>
          <cell r="D475" t="str">
            <v>风湿性心脏病</v>
          </cell>
        </row>
        <row r="475">
          <cell r="G475">
            <v>5900</v>
          </cell>
          <cell r="H475">
            <v>5900</v>
          </cell>
        </row>
        <row r="476">
          <cell r="B476" t="str">
            <v>BI10x00</v>
          </cell>
          <cell r="C476" t="str">
            <v>GM004</v>
          </cell>
          <cell r="D476" t="str">
            <v>特发性（原发性）高血压</v>
          </cell>
        </row>
        <row r="476">
          <cell r="G476">
            <v>2700</v>
          </cell>
          <cell r="H476">
            <v>2700</v>
          </cell>
        </row>
        <row r="477">
          <cell r="B477" t="str">
            <v>BI50900</v>
          </cell>
          <cell r="C477" t="str">
            <v>GM123</v>
          </cell>
          <cell r="D477" t="str">
            <v>心力衰竭</v>
          </cell>
        </row>
        <row r="477">
          <cell r="G477">
            <v>6400</v>
          </cell>
          <cell r="H477">
            <v>5800</v>
          </cell>
        </row>
        <row r="478">
          <cell r="B478" t="str">
            <v>BK29400</v>
          </cell>
          <cell r="C478" t="str">
            <v>IM169</v>
          </cell>
          <cell r="D478" t="str">
            <v>慢性萎缩性胃炎</v>
          </cell>
        </row>
        <row r="478">
          <cell r="G478">
            <v>5700</v>
          </cell>
          <cell r="H478">
            <v>3300</v>
          </cell>
        </row>
        <row r="479">
          <cell r="B479" t="str">
            <v>BK74615</v>
          </cell>
          <cell r="C479" t="str">
            <v>IM345</v>
          </cell>
          <cell r="D479" t="str">
            <v>乙型肝炎后肝硬化失代偿期</v>
          </cell>
        </row>
        <row r="479">
          <cell r="G479">
            <v>5900</v>
          </cell>
          <cell r="H479">
            <v>5900</v>
          </cell>
        </row>
        <row r="480">
          <cell r="B480" t="str">
            <v>BK74600</v>
          </cell>
          <cell r="C480" t="str">
            <v>IM348</v>
          </cell>
          <cell r="D480" t="str">
            <v>肝硬化失代偿期</v>
          </cell>
        </row>
        <row r="480">
          <cell r="G480">
            <v>7900</v>
          </cell>
          <cell r="H480">
            <v>7900</v>
          </cell>
        </row>
        <row r="481">
          <cell r="B481" t="str">
            <v>BK80100</v>
          </cell>
          <cell r="C481" t="str">
            <v>IM377</v>
          </cell>
          <cell r="D481" t="str">
            <v>胆囊结石伴胆囊炎</v>
          </cell>
        </row>
        <row r="481">
          <cell r="G481">
            <v>3600</v>
          </cell>
          <cell r="H481">
            <v>4000</v>
          </cell>
        </row>
        <row r="482">
          <cell r="B482" t="str">
            <v>BK92200</v>
          </cell>
          <cell r="C482" t="str">
            <v>IM460</v>
          </cell>
          <cell r="D482" t="str">
            <v>消化道出血</v>
          </cell>
        </row>
        <row r="482">
          <cell r="G482">
            <v>8300</v>
          </cell>
          <cell r="H482">
            <v>4000</v>
          </cell>
        </row>
        <row r="483">
          <cell r="B483" t="str">
            <v>BN02800</v>
          </cell>
          <cell r="C483" t="str">
            <v>JM035</v>
          </cell>
          <cell r="D483" t="str">
            <v>IgA肾病</v>
          </cell>
        </row>
        <row r="483">
          <cell r="G483">
            <v>4500</v>
          </cell>
          <cell r="H483">
            <v>4500</v>
          </cell>
        </row>
        <row r="484">
          <cell r="B484" t="str">
            <v>BN03905</v>
          </cell>
          <cell r="C484" t="str">
            <v>JM037</v>
          </cell>
          <cell r="D484" t="str">
            <v>慢性肾炎</v>
          </cell>
        </row>
        <row r="484">
          <cell r="G484">
            <v>6200</v>
          </cell>
          <cell r="H484">
            <v>6200</v>
          </cell>
        </row>
        <row r="485">
          <cell r="B485" t="str">
            <v>BN04900</v>
          </cell>
          <cell r="C485" t="str">
            <v>JM044</v>
          </cell>
          <cell r="D485" t="str">
            <v>肾病综合征</v>
          </cell>
        </row>
        <row r="485">
          <cell r="G485">
            <v>7300</v>
          </cell>
          <cell r="H485">
            <v>7300</v>
          </cell>
        </row>
        <row r="486">
          <cell r="B486" t="str">
            <v>BN18509</v>
          </cell>
          <cell r="C486" t="str">
            <v>JM075</v>
          </cell>
          <cell r="D486" t="str">
            <v>慢性肾脏病5期</v>
          </cell>
        </row>
        <row r="486">
          <cell r="G486">
            <v>8400</v>
          </cell>
          <cell r="H486">
            <v>8400</v>
          </cell>
        </row>
        <row r="487">
          <cell r="B487" t="str">
            <v>BN18900</v>
          </cell>
          <cell r="C487" t="str">
            <v>JM079</v>
          </cell>
          <cell r="D487" t="str">
            <v>慢性肾衰竭</v>
          </cell>
        </row>
        <row r="487">
          <cell r="G487">
            <v>7000</v>
          </cell>
          <cell r="H487">
            <v>7000</v>
          </cell>
        </row>
        <row r="488">
          <cell r="B488" t="str">
            <v>BM10900</v>
          </cell>
          <cell r="C488" t="str">
            <v>OM051</v>
          </cell>
          <cell r="D488" t="str">
            <v>痛风</v>
          </cell>
        </row>
        <row r="488">
          <cell r="G488">
            <v>2900</v>
          </cell>
          <cell r="H488">
            <v>2900</v>
          </cell>
        </row>
        <row r="489">
          <cell r="B489" t="str">
            <v>BM32900</v>
          </cell>
          <cell r="C489" t="str">
            <v>OM092</v>
          </cell>
          <cell r="D489" t="str">
            <v>系统性红斑狼疮</v>
          </cell>
        </row>
        <row r="489">
          <cell r="G489">
            <v>6800</v>
          </cell>
          <cell r="H489">
            <v>6800</v>
          </cell>
        </row>
        <row r="490">
          <cell r="B490" t="str">
            <v>BM45x00</v>
          </cell>
          <cell r="C490" t="str">
            <v>OM117</v>
          </cell>
          <cell r="D490" t="str">
            <v>强直性脊柱炎</v>
          </cell>
        </row>
        <row r="490">
          <cell r="G490">
            <v>8500</v>
          </cell>
          <cell r="H490">
            <v>8500</v>
          </cell>
        </row>
        <row r="491">
          <cell r="B491" t="str">
            <v>BM47806</v>
          </cell>
          <cell r="C491" t="str">
            <v>OM123</v>
          </cell>
          <cell r="D491" t="str">
            <v>颈椎关节强硬</v>
          </cell>
        </row>
        <row r="491">
          <cell r="G491">
            <v>4000</v>
          </cell>
          <cell r="H491">
            <v>4000</v>
          </cell>
        </row>
        <row r="492">
          <cell r="B492" t="str">
            <v>BM48908</v>
          </cell>
          <cell r="C492" t="str">
            <v>OM133</v>
          </cell>
          <cell r="D492" t="str">
            <v>腰椎退行性病变</v>
          </cell>
        </row>
        <row r="492">
          <cell r="G492">
            <v>3500</v>
          </cell>
          <cell r="H492">
            <v>3500</v>
          </cell>
        </row>
        <row r="493">
          <cell r="B493" t="str">
            <v>BM54501</v>
          </cell>
          <cell r="C493" t="str">
            <v>OM151</v>
          </cell>
          <cell r="D493" t="str">
            <v>腰肌劳损</v>
          </cell>
        </row>
        <row r="493">
          <cell r="G493">
            <v>3800</v>
          </cell>
          <cell r="H493">
            <v>3800</v>
          </cell>
        </row>
        <row r="494">
          <cell r="B494" t="str">
            <v>BN84002</v>
          </cell>
          <cell r="C494" t="str">
            <v>BZ0000327</v>
          </cell>
          <cell r="D494" t="str">
            <v>子宫内膜息肉</v>
          </cell>
          <cell r="E494" t="str">
            <v>宫腔镜子宫病损切除术</v>
          </cell>
        </row>
        <row r="494">
          <cell r="G494">
            <v>5500</v>
          </cell>
          <cell r="H494">
            <v>5500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299"/>
  <sheetViews>
    <sheetView tabSelected="1" workbookViewId="0">
      <pane ySplit="4" topLeftCell="A5" activePane="bottomLeft" state="frozen"/>
      <selection/>
      <selection pane="bottomLeft" activeCell="D11" sqref="D11"/>
    </sheetView>
  </sheetViews>
  <sheetFormatPr defaultColWidth="9" defaultRowHeight="13.5"/>
  <cols>
    <col min="1" max="1" width="5.08333333333333" style="4" customWidth="true"/>
    <col min="2" max="2" width="9" style="4"/>
    <col min="3" max="3" width="26.6916666666667" style="4" customWidth="true"/>
    <col min="4" max="4" width="27.1333333333333" style="4" customWidth="true"/>
    <col min="5" max="5" width="20.875" style="4" customWidth="true"/>
    <col min="6" max="7" width="7.5" style="5" customWidth="true"/>
    <col min="8" max="9" width="7.5" style="6" customWidth="true"/>
    <col min="10" max="10" width="24" style="1" customWidth="true"/>
    <col min="11" max="16384" width="9" style="1"/>
  </cols>
  <sheetData>
    <row r="1" ht="18.75" spans="1:2">
      <c r="A1" s="7" t="s">
        <v>0</v>
      </c>
      <c r="B1" s="7"/>
    </row>
    <row r="2" s="1" customFormat="true" ht="56" customHeight="true" spans="1:10">
      <c r="A2" s="8" t="s">
        <v>1</v>
      </c>
      <c r="B2" s="8"/>
      <c r="C2" s="8"/>
      <c r="D2" s="8"/>
      <c r="E2" s="8"/>
      <c r="F2" s="14"/>
      <c r="G2" s="14"/>
      <c r="H2" s="14"/>
      <c r="I2" s="14"/>
      <c r="J2" s="8"/>
    </row>
    <row r="3" s="2" customFormat="true" ht="24" customHeight="true" spans="1:10">
      <c r="A3" s="9" t="s">
        <v>2</v>
      </c>
      <c r="B3" s="10" t="s">
        <v>3</v>
      </c>
      <c r="C3" s="10" t="s">
        <v>4</v>
      </c>
      <c r="D3" s="11" t="s">
        <v>5</v>
      </c>
      <c r="E3" s="11" t="s">
        <v>6</v>
      </c>
      <c r="F3" s="15" t="s">
        <v>7</v>
      </c>
      <c r="G3" s="15"/>
      <c r="H3" s="16" t="s">
        <v>8</v>
      </c>
      <c r="I3" s="16"/>
      <c r="J3" s="11" t="s">
        <v>9</v>
      </c>
    </row>
    <row r="4" s="2" customFormat="true" ht="24" customHeight="true" spans="1:10">
      <c r="A4" s="9"/>
      <c r="B4" s="10"/>
      <c r="C4" s="10"/>
      <c r="D4" s="11"/>
      <c r="E4" s="11"/>
      <c r="F4" s="9" t="s">
        <v>10</v>
      </c>
      <c r="G4" s="9" t="s">
        <v>11</v>
      </c>
      <c r="H4" s="16" t="s">
        <v>10</v>
      </c>
      <c r="I4" s="16" t="s">
        <v>11</v>
      </c>
      <c r="J4" s="11"/>
    </row>
    <row r="5" s="3" customFormat="true" ht="28.5" spans="1:10">
      <c r="A5" s="12">
        <v>1</v>
      </c>
      <c r="B5" s="12" t="s">
        <v>12</v>
      </c>
      <c r="C5" s="12" t="s">
        <v>13</v>
      </c>
      <c r="D5" s="13" t="s">
        <v>14</v>
      </c>
      <c r="E5" s="13" t="str">
        <f>VLOOKUP(B5,'[1]490（最终版） (2)'!$B:$F,5,FALSE)</f>
        <v>产科特需服务/新生儿相关费用</v>
      </c>
      <c r="F5" s="17">
        <v>3100</v>
      </c>
      <c r="G5" s="18"/>
      <c r="H5" s="19">
        <v>3050</v>
      </c>
      <c r="I5" s="22"/>
      <c r="J5" s="23"/>
    </row>
    <row r="6" s="3" customFormat="true" ht="14.25" spans="1:10">
      <c r="A6" s="12">
        <v>2</v>
      </c>
      <c r="B6" s="12" t="s">
        <v>15</v>
      </c>
      <c r="C6" s="12" t="s">
        <v>16</v>
      </c>
      <c r="D6" s="13"/>
      <c r="E6" s="13"/>
      <c r="F6" s="17">
        <v>2800</v>
      </c>
      <c r="G6" s="18"/>
      <c r="H6" s="19">
        <v>2400</v>
      </c>
      <c r="I6" s="22"/>
      <c r="J6" s="23" t="str">
        <f>VLOOKUP(B6,'[1]490（最终版） (2)'!$B:$I,8,FALSE)</f>
        <v>14岁以下</v>
      </c>
    </row>
    <row r="7" s="3" customFormat="true" ht="14.25" spans="1:10">
      <c r="A7" s="12">
        <v>3</v>
      </c>
      <c r="B7" s="12" t="s">
        <v>17</v>
      </c>
      <c r="C7" s="12" t="s">
        <v>18</v>
      </c>
      <c r="D7" s="13" t="s">
        <v>19</v>
      </c>
      <c r="E7" s="13"/>
      <c r="F7" s="17">
        <v>4200</v>
      </c>
      <c r="G7" s="18"/>
      <c r="H7" s="19">
        <v>4000</v>
      </c>
      <c r="I7" s="22"/>
      <c r="J7" s="23"/>
    </row>
    <row r="8" s="3" customFormat="true" ht="14.25" spans="1:10">
      <c r="A8" s="12">
        <v>4</v>
      </c>
      <c r="B8" s="12" t="s">
        <v>20</v>
      </c>
      <c r="C8" s="12" t="s">
        <v>21</v>
      </c>
      <c r="D8" s="13"/>
      <c r="E8" s="13"/>
      <c r="F8" s="20">
        <v>8300</v>
      </c>
      <c r="G8" s="20">
        <v>6000</v>
      </c>
      <c r="H8" s="21">
        <v>7500</v>
      </c>
      <c r="I8" s="21">
        <v>5450</v>
      </c>
      <c r="J8" s="23"/>
    </row>
    <row r="9" s="3" customFormat="true" ht="14.25" spans="1:10">
      <c r="A9" s="12">
        <v>5</v>
      </c>
      <c r="B9" s="12" t="s">
        <v>22</v>
      </c>
      <c r="C9" s="12" t="s">
        <v>23</v>
      </c>
      <c r="D9" s="13"/>
      <c r="E9" s="13"/>
      <c r="F9" s="17">
        <v>5000</v>
      </c>
      <c r="G9" s="18"/>
      <c r="H9" s="19">
        <v>4500</v>
      </c>
      <c r="I9" s="22"/>
      <c r="J9" s="23"/>
    </row>
    <row r="10" s="3" customFormat="true" ht="14.25" spans="1:10">
      <c r="A10" s="12">
        <v>6</v>
      </c>
      <c r="B10" s="12" t="s">
        <v>24</v>
      </c>
      <c r="C10" s="12" t="s">
        <v>25</v>
      </c>
      <c r="D10" s="13" t="s">
        <v>26</v>
      </c>
      <c r="E10" s="13"/>
      <c r="F10" s="17">
        <v>2600</v>
      </c>
      <c r="G10" s="18"/>
      <c r="H10" s="19">
        <v>2400</v>
      </c>
      <c r="I10" s="22"/>
      <c r="J10" s="23" t="str">
        <f>VLOOKUP(B10,'[1]490（最终版） (2)'!$B:$I,8,FALSE)</f>
        <v>14周岁以下患者</v>
      </c>
    </row>
    <row r="11" s="3" customFormat="true" ht="28.5" spans="1:10">
      <c r="A11" s="12">
        <v>7</v>
      </c>
      <c r="B11" s="12" t="s">
        <v>27</v>
      </c>
      <c r="C11" s="12" t="s">
        <v>28</v>
      </c>
      <c r="D11" s="13" t="s">
        <v>29</v>
      </c>
      <c r="E11" s="13" t="str">
        <f>VLOOKUP(B11,'[1]490（最终版） (2)'!$B:$F,5,FALSE)</f>
        <v>产科特需服务/新生儿相关费用</v>
      </c>
      <c r="F11" s="17">
        <v>7500</v>
      </c>
      <c r="G11" s="18"/>
      <c r="H11" s="19">
        <v>7000</v>
      </c>
      <c r="I11" s="22"/>
      <c r="J11" s="23"/>
    </row>
    <row r="12" s="3" customFormat="true" ht="14.25" spans="1:10">
      <c r="A12" s="12">
        <v>8</v>
      </c>
      <c r="B12" s="12" t="s">
        <v>30</v>
      </c>
      <c r="C12" s="12" t="s">
        <v>31</v>
      </c>
      <c r="D12" s="13" t="s">
        <v>32</v>
      </c>
      <c r="E12" s="13"/>
      <c r="F12" s="20">
        <v>5700</v>
      </c>
      <c r="G12" s="20">
        <v>5000</v>
      </c>
      <c r="H12" s="21">
        <v>4800</v>
      </c>
      <c r="I12" s="21">
        <v>4250</v>
      </c>
      <c r="J12" s="23"/>
    </row>
    <row r="13" s="3" customFormat="true" ht="14.25" spans="1:10">
      <c r="A13" s="12">
        <v>9</v>
      </c>
      <c r="B13" s="12" t="s">
        <v>33</v>
      </c>
      <c r="C13" s="12" t="s">
        <v>34</v>
      </c>
      <c r="D13" s="13" t="s">
        <v>35</v>
      </c>
      <c r="E13" s="13"/>
      <c r="F13" s="17">
        <v>5000</v>
      </c>
      <c r="G13" s="18"/>
      <c r="H13" s="19">
        <v>4550</v>
      </c>
      <c r="I13" s="22"/>
      <c r="J13" s="23"/>
    </row>
    <row r="14" s="3" customFormat="true" ht="14.25" spans="1:10">
      <c r="A14" s="12">
        <v>10</v>
      </c>
      <c r="B14" s="12" t="s">
        <v>36</v>
      </c>
      <c r="C14" s="12" t="s">
        <v>37</v>
      </c>
      <c r="D14" s="13" t="s">
        <v>38</v>
      </c>
      <c r="E14" s="13"/>
      <c r="F14" s="17">
        <v>5600</v>
      </c>
      <c r="G14" s="18"/>
      <c r="H14" s="19">
        <v>5150</v>
      </c>
      <c r="I14" s="22"/>
      <c r="J14" s="23"/>
    </row>
    <row r="15" s="3" customFormat="true" ht="14.25" spans="1:10">
      <c r="A15" s="12">
        <v>11</v>
      </c>
      <c r="B15" s="12" t="s">
        <v>39</v>
      </c>
      <c r="C15" s="12" t="s">
        <v>40</v>
      </c>
      <c r="D15" s="13"/>
      <c r="E15" s="13"/>
      <c r="F15" s="17">
        <v>6000</v>
      </c>
      <c r="G15" s="18"/>
      <c r="H15" s="19">
        <v>6200</v>
      </c>
      <c r="I15" s="22"/>
      <c r="J15" s="23"/>
    </row>
    <row r="16" s="3" customFormat="true" ht="28.5" spans="1:10">
      <c r="A16" s="12">
        <v>12</v>
      </c>
      <c r="B16" s="12" t="s">
        <v>41</v>
      </c>
      <c r="C16" s="12" t="s">
        <v>42</v>
      </c>
      <c r="D16" s="13" t="s">
        <v>43</v>
      </c>
      <c r="E16" s="13"/>
      <c r="F16" s="20">
        <v>5800</v>
      </c>
      <c r="G16" s="20">
        <v>5000</v>
      </c>
      <c r="H16" s="21">
        <v>5600</v>
      </c>
      <c r="I16" s="21">
        <v>4850</v>
      </c>
      <c r="J16" s="23"/>
    </row>
    <row r="17" s="3" customFormat="true" ht="14.25" spans="1:10">
      <c r="A17" s="12">
        <v>13</v>
      </c>
      <c r="B17" s="12" t="s">
        <v>44</v>
      </c>
      <c r="C17" s="12" t="s">
        <v>45</v>
      </c>
      <c r="D17" s="13" t="s">
        <v>46</v>
      </c>
      <c r="E17" s="13">
        <f>VLOOKUP(B17,'[1]490（最终版） (2)'!$B:$F,5,FALSE)</f>
        <v>0</v>
      </c>
      <c r="F17" s="17">
        <v>5900</v>
      </c>
      <c r="G17" s="18"/>
      <c r="H17" s="19">
        <v>5650</v>
      </c>
      <c r="I17" s="22"/>
      <c r="J17" s="23">
        <f>VLOOKUP(B17,'[1]490（最终版） (2)'!$B:$I,8,FALSE)</f>
        <v>0</v>
      </c>
    </row>
    <row r="18" s="3" customFormat="true" ht="14.25" spans="1:10">
      <c r="A18" s="12">
        <v>14</v>
      </c>
      <c r="B18" s="12" t="s">
        <v>47</v>
      </c>
      <c r="C18" s="12" t="s">
        <v>48</v>
      </c>
      <c r="D18" s="13"/>
      <c r="E18" s="13"/>
      <c r="F18" s="20">
        <v>8500</v>
      </c>
      <c r="G18" s="20">
        <v>6000</v>
      </c>
      <c r="H18" s="21">
        <v>7000</v>
      </c>
      <c r="I18" s="21">
        <v>4950</v>
      </c>
      <c r="J18" s="23"/>
    </row>
    <row r="19" s="3" customFormat="true" ht="28.5" spans="1:10">
      <c r="A19" s="12">
        <v>15</v>
      </c>
      <c r="B19" s="12" t="s">
        <v>49</v>
      </c>
      <c r="C19" s="12" t="s">
        <v>50</v>
      </c>
      <c r="D19" s="13" t="s">
        <v>51</v>
      </c>
      <c r="E19" s="13"/>
      <c r="F19" s="20">
        <v>10000</v>
      </c>
      <c r="G19" s="20">
        <v>6000</v>
      </c>
      <c r="H19" s="21">
        <v>11000</v>
      </c>
      <c r="I19" s="21">
        <v>6600</v>
      </c>
      <c r="J19" s="23"/>
    </row>
    <row r="20" s="3" customFormat="true" ht="14.25" spans="1:10">
      <c r="A20" s="12">
        <v>16</v>
      </c>
      <c r="B20" s="12" t="s">
        <v>52</v>
      </c>
      <c r="C20" s="12" t="s">
        <v>53</v>
      </c>
      <c r="D20" s="13" t="s">
        <v>54</v>
      </c>
      <c r="E20" s="13"/>
      <c r="F20" s="20">
        <v>9000</v>
      </c>
      <c r="G20" s="20">
        <v>8550</v>
      </c>
      <c r="H20" s="21">
        <v>8000</v>
      </c>
      <c r="I20" s="21">
        <v>7600</v>
      </c>
      <c r="J20" s="23"/>
    </row>
    <row r="21" s="3" customFormat="true" ht="14.25" spans="1:10">
      <c r="A21" s="12">
        <v>17</v>
      </c>
      <c r="B21" s="12" t="s">
        <v>55</v>
      </c>
      <c r="C21" s="12" t="s">
        <v>56</v>
      </c>
      <c r="D21" s="13"/>
      <c r="E21" s="13"/>
      <c r="F21" s="17">
        <v>4800</v>
      </c>
      <c r="G21" s="18"/>
      <c r="H21" s="19">
        <v>3500</v>
      </c>
      <c r="I21" s="22"/>
      <c r="J21" s="23"/>
    </row>
    <row r="22" s="3" customFormat="true" ht="27" spans="1:10">
      <c r="A22" s="12">
        <v>18</v>
      </c>
      <c r="B22" s="12" t="s">
        <v>57</v>
      </c>
      <c r="C22" s="12" t="s">
        <v>58</v>
      </c>
      <c r="D22" s="13"/>
      <c r="E22" s="13"/>
      <c r="F22" s="17">
        <v>1400</v>
      </c>
      <c r="G22" s="18"/>
      <c r="H22" s="19">
        <v>1500</v>
      </c>
      <c r="I22" s="22"/>
      <c r="J22" s="23" t="str">
        <f>VLOOKUP(B22,'[1]490（最终版） (2)'!$B:$I,8,FALSE)</f>
        <v>限孕周37周以上入院待产或保胎的孕妇</v>
      </c>
    </row>
    <row r="23" s="3" customFormat="true" ht="14.25" spans="1:10">
      <c r="A23" s="12">
        <v>19</v>
      </c>
      <c r="B23" s="12" t="s">
        <v>59</v>
      </c>
      <c r="C23" s="12" t="s">
        <v>60</v>
      </c>
      <c r="D23" s="13" t="s">
        <v>19</v>
      </c>
      <c r="E23" s="13"/>
      <c r="F23" s="17">
        <v>5800</v>
      </c>
      <c r="G23" s="18"/>
      <c r="H23" s="19">
        <v>5100</v>
      </c>
      <c r="I23" s="22"/>
      <c r="J23" s="23"/>
    </row>
    <row r="24" s="3" customFormat="true" ht="14.25" spans="1:10">
      <c r="A24" s="12">
        <v>20</v>
      </c>
      <c r="B24" s="12" t="s">
        <v>61</v>
      </c>
      <c r="C24" s="12" t="s">
        <v>62</v>
      </c>
      <c r="D24" s="13"/>
      <c r="E24" s="13"/>
      <c r="F24" s="20">
        <v>11000</v>
      </c>
      <c r="G24" s="20">
        <v>7000</v>
      </c>
      <c r="H24" s="21">
        <v>11300</v>
      </c>
      <c r="I24" s="21">
        <v>7200</v>
      </c>
      <c r="J24" s="23"/>
    </row>
    <row r="25" s="3" customFormat="true" ht="28.5" spans="1:10">
      <c r="A25" s="12">
        <v>21</v>
      </c>
      <c r="B25" s="12" t="s">
        <v>63</v>
      </c>
      <c r="C25" s="12" t="s">
        <v>64</v>
      </c>
      <c r="D25" s="13" t="s">
        <v>65</v>
      </c>
      <c r="E25" s="13"/>
      <c r="F25" s="20">
        <v>7100</v>
      </c>
      <c r="G25" s="20">
        <v>6500</v>
      </c>
      <c r="H25" s="21">
        <v>6600</v>
      </c>
      <c r="I25" s="21">
        <v>6050</v>
      </c>
      <c r="J25" s="23"/>
    </row>
    <row r="26" s="3" customFormat="true" ht="14.25" spans="1:10">
      <c r="A26" s="12">
        <v>22</v>
      </c>
      <c r="B26" s="12" t="s">
        <v>66</v>
      </c>
      <c r="C26" s="12" t="s">
        <v>67</v>
      </c>
      <c r="D26" s="13"/>
      <c r="E26" s="13"/>
      <c r="F26" s="20">
        <v>6400</v>
      </c>
      <c r="G26" s="20">
        <v>5800</v>
      </c>
      <c r="H26" s="21">
        <v>5200</v>
      </c>
      <c r="I26" s="21">
        <v>4700</v>
      </c>
      <c r="J26" s="23"/>
    </row>
    <row r="27" s="3" customFormat="true" ht="14.25" spans="1:10">
      <c r="A27" s="12">
        <v>23</v>
      </c>
      <c r="B27" s="12" t="s">
        <v>68</v>
      </c>
      <c r="C27" s="12" t="s">
        <v>69</v>
      </c>
      <c r="D27" s="13" t="s">
        <v>70</v>
      </c>
      <c r="E27" s="13"/>
      <c r="F27" s="17">
        <v>16000</v>
      </c>
      <c r="G27" s="18"/>
      <c r="H27" s="19">
        <v>15050</v>
      </c>
      <c r="I27" s="22"/>
      <c r="J27" s="23"/>
    </row>
    <row r="28" s="3" customFormat="true" ht="14.25" spans="1:10">
      <c r="A28" s="12">
        <v>24</v>
      </c>
      <c r="B28" s="12" t="s">
        <v>71</v>
      </c>
      <c r="C28" s="12" t="s">
        <v>72</v>
      </c>
      <c r="D28" s="13"/>
      <c r="E28" s="13"/>
      <c r="F28" s="17">
        <v>7500</v>
      </c>
      <c r="G28" s="18"/>
      <c r="H28" s="19">
        <v>5950</v>
      </c>
      <c r="I28" s="22"/>
      <c r="J28" s="23"/>
    </row>
    <row r="29" s="3" customFormat="true" ht="28.5" spans="1:10">
      <c r="A29" s="12">
        <v>25</v>
      </c>
      <c r="B29" s="12" t="s">
        <v>73</v>
      </c>
      <c r="C29" s="12" t="s">
        <v>74</v>
      </c>
      <c r="D29" s="13" t="s">
        <v>75</v>
      </c>
      <c r="E29" s="13" t="str">
        <f>VLOOKUP(B29,'[1]490（最终版） (2)'!$B:$F,5,FALSE)</f>
        <v>人工晶体</v>
      </c>
      <c r="F29" s="17">
        <v>4500</v>
      </c>
      <c r="G29" s="18"/>
      <c r="H29" s="19">
        <v>3950</v>
      </c>
      <c r="I29" s="22"/>
      <c r="J29" s="23"/>
    </row>
    <row r="30" s="3" customFormat="true" ht="14.25" spans="1:10">
      <c r="A30" s="12">
        <v>26</v>
      </c>
      <c r="B30" s="12" t="s">
        <v>76</v>
      </c>
      <c r="C30" s="12" t="s">
        <v>77</v>
      </c>
      <c r="D30" s="13"/>
      <c r="E30" s="13"/>
      <c r="F30" s="17">
        <v>12500</v>
      </c>
      <c r="G30" s="18"/>
      <c r="H30" s="19">
        <v>11700</v>
      </c>
      <c r="I30" s="22"/>
      <c r="J30" s="23"/>
    </row>
    <row r="31" s="3" customFormat="true" ht="14.25" spans="1:10">
      <c r="A31" s="12">
        <v>27</v>
      </c>
      <c r="B31" s="12" t="s">
        <v>78</v>
      </c>
      <c r="C31" s="12" t="s">
        <v>79</v>
      </c>
      <c r="D31" s="13" t="s">
        <v>80</v>
      </c>
      <c r="E31" s="13"/>
      <c r="F31" s="17">
        <v>5500</v>
      </c>
      <c r="G31" s="18"/>
      <c r="H31" s="19">
        <v>5600</v>
      </c>
      <c r="I31" s="22"/>
      <c r="J31" s="23"/>
    </row>
    <row r="32" s="3" customFormat="true" ht="14.25" spans="1:10">
      <c r="A32" s="12">
        <v>28</v>
      </c>
      <c r="B32" s="12" t="s">
        <v>81</v>
      </c>
      <c r="C32" s="12" t="s">
        <v>82</v>
      </c>
      <c r="D32" s="13"/>
      <c r="E32" s="13"/>
      <c r="F32" s="20">
        <v>4300</v>
      </c>
      <c r="G32" s="20">
        <v>5800</v>
      </c>
      <c r="H32" s="21">
        <v>3300</v>
      </c>
      <c r="I32" s="21">
        <v>4450</v>
      </c>
      <c r="J32" s="23"/>
    </row>
    <row r="33" s="3" customFormat="true" ht="14.25" spans="1:10">
      <c r="A33" s="12">
        <v>29</v>
      </c>
      <c r="B33" s="12" t="s">
        <v>83</v>
      </c>
      <c r="C33" s="12" t="s">
        <v>84</v>
      </c>
      <c r="D33" s="13" t="s">
        <v>46</v>
      </c>
      <c r="E33" s="13">
        <f>VLOOKUP(B33,'[1]490（最终版） (2)'!$B:$F,5,FALSE)</f>
        <v>0</v>
      </c>
      <c r="F33" s="17">
        <v>7600</v>
      </c>
      <c r="G33" s="18"/>
      <c r="H33" s="19">
        <v>7500</v>
      </c>
      <c r="I33" s="22"/>
      <c r="J33" s="23">
        <f>VLOOKUP(B33,'[1]490（最终版） (2)'!$B:$I,8,FALSE)</f>
        <v>0</v>
      </c>
    </row>
    <row r="34" s="3" customFormat="true" ht="14.25" spans="1:10">
      <c r="A34" s="12">
        <v>30</v>
      </c>
      <c r="B34" s="12" t="s">
        <v>85</v>
      </c>
      <c r="C34" s="12" t="s">
        <v>86</v>
      </c>
      <c r="D34" s="13"/>
      <c r="E34" s="13"/>
      <c r="F34" s="17">
        <v>4400</v>
      </c>
      <c r="G34" s="18"/>
      <c r="H34" s="19">
        <v>3900</v>
      </c>
      <c r="I34" s="22"/>
      <c r="J34" s="23"/>
    </row>
    <row r="35" s="3" customFormat="true" ht="14.25" spans="1:10">
      <c r="A35" s="12">
        <v>31</v>
      </c>
      <c r="B35" s="12" t="s">
        <v>87</v>
      </c>
      <c r="C35" s="12" t="s">
        <v>88</v>
      </c>
      <c r="D35" s="13" t="s">
        <v>89</v>
      </c>
      <c r="E35" s="13"/>
      <c r="F35" s="17">
        <v>6300</v>
      </c>
      <c r="G35" s="18"/>
      <c r="H35" s="19">
        <v>5450</v>
      </c>
      <c r="I35" s="22"/>
      <c r="J35" s="23"/>
    </row>
    <row r="36" s="3" customFormat="true" ht="28.5" spans="1:10">
      <c r="A36" s="12">
        <v>32</v>
      </c>
      <c r="B36" s="12" t="s">
        <v>90</v>
      </c>
      <c r="C36" s="12" t="s">
        <v>91</v>
      </c>
      <c r="D36" s="13" t="s">
        <v>92</v>
      </c>
      <c r="E36" s="13"/>
      <c r="F36" s="20">
        <v>7000</v>
      </c>
      <c r="G36" s="20">
        <v>4500</v>
      </c>
      <c r="H36" s="21">
        <v>5400</v>
      </c>
      <c r="I36" s="21">
        <v>3500</v>
      </c>
      <c r="J36" s="23"/>
    </row>
    <row r="37" s="3" customFormat="true" ht="14.25" spans="1:10">
      <c r="A37" s="12">
        <v>33</v>
      </c>
      <c r="B37" s="12" t="s">
        <v>93</v>
      </c>
      <c r="C37" s="12" t="s">
        <v>94</v>
      </c>
      <c r="D37" s="13" t="s">
        <v>95</v>
      </c>
      <c r="E37" s="13"/>
      <c r="F37" s="20">
        <v>6500</v>
      </c>
      <c r="G37" s="20">
        <v>5000</v>
      </c>
      <c r="H37" s="21">
        <v>5700</v>
      </c>
      <c r="I37" s="21">
        <v>4400</v>
      </c>
      <c r="J37" s="23"/>
    </row>
    <row r="38" s="3" customFormat="true" ht="14.25" spans="1:10">
      <c r="A38" s="12">
        <v>34</v>
      </c>
      <c r="B38" s="12" t="s">
        <v>96</v>
      </c>
      <c r="C38" s="12" t="s">
        <v>97</v>
      </c>
      <c r="D38" s="13" t="s">
        <v>98</v>
      </c>
      <c r="E38" s="13" t="str">
        <f>VLOOKUP(B38,'[1]490（最终版） (2)'!$B:$F,5,FALSE)</f>
        <v>内外固定材料</v>
      </c>
      <c r="F38" s="17">
        <v>23000</v>
      </c>
      <c r="G38" s="18"/>
      <c r="H38" s="19">
        <v>18200</v>
      </c>
      <c r="I38" s="22"/>
      <c r="J38" s="23"/>
    </row>
    <row r="39" s="3" customFormat="true" ht="14.25" spans="1:10">
      <c r="A39" s="12">
        <v>35</v>
      </c>
      <c r="B39" s="12" t="s">
        <v>99</v>
      </c>
      <c r="C39" s="12" t="s">
        <v>100</v>
      </c>
      <c r="D39" s="13" t="s">
        <v>101</v>
      </c>
      <c r="E39" s="13"/>
      <c r="F39" s="17">
        <v>1800</v>
      </c>
      <c r="G39" s="18"/>
      <c r="H39" s="19">
        <v>1700</v>
      </c>
      <c r="I39" s="22"/>
      <c r="J39" s="23"/>
    </row>
    <row r="40" s="3" customFormat="true" ht="14.25" spans="1:10">
      <c r="A40" s="12">
        <v>36</v>
      </c>
      <c r="B40" s="12" t="s">
        <v>102</v>
      </c>
      <c r="C40" s="12" t="s">
        <v>103</v>
      </c>
      <c r="D40" s="13" t="s">
        <v>19</v>
      </c>
      <c r="E40" s="13"/>
      <c r="F40" s="17">
        <v>1800</v>
      </c>
      <c r="G40" s="18"/>
      <c r="H40" s="19">
        <v>1400</v>
      </c>
      <c r="I40" s="22"/>
      <c r="J40" s="23" t="str">
        <f>VLOOKUP(B40,'[1]490（最终版） (2)'!$B:$I,8,FALSE)</f>
        <v>限14周岁以下</v>
      </c>
    </row>
    <row r="41" s="3" customFormat="true" ht="28.5" spans="1:10">
      <c r="A41" s="12">
        <v>37</v>
      </c>
      <c r="B41" s="12" t="s">
        <v>104</v>
      </c>
      <c r="C41" s="12" t="s">
        <v>105</v>
      </c>
      <c r="D41" s="13" t="s">
        <v>106</v>
      </c>
      <c r="E41" s="13" t="str">
        <f>VLOOKUP(B41,'[1]490（最终版） (2)'!$B:$F,5,FALSE)</f>
        <v>补片</v>
      </c>
      <c r="F41" s="17">
        <v>9000</v>
      </c>
      <c r="G41" s="18"/>
      <c r="H41" s="19">
        <v>7650</v>
      </c>
      <c r="I41" s="22"/>
      <c r="J41" s="23">
        <f>VLOOKUP(B41,'[1]490（最终版） (2)'!$B:$I,8,FALSE)</f>
        <v>0</v>
      </c>
    </row>
    <row r="42" s="3" customFormat="true" ht="14.25" spans="1:10">
      <c r="A42" s="12">
        <v>38</v>
      </c>
      <c r="B42" s="12" t="s">
        <v>107</v>
      </c>
      <c r="C42" s="12" t="s">
        <v>108</v>
      </c>
      <c r="D42" s="13"/>
      <c r="E42" s="13"/>
      <c r="F42" s="17">
        <v>3800</v>
      </c>
      <c r="G42" s="18"/>
      <c r="H42" s="19">
        <v>3900</v>
      </c>
      <c r="I42" s="22"/>
      <c r="J42" s="23"/>
    </row>
    <row r="43" s="3" customFormat="true" ht="14.25" spans="1:10">
      <c r="A43" s="12">
        <v>39</v>
      </c>
      <c r="B43" s="12" t="s">
        <v>109</v>
      </c>
      <c r="C43" s="12" t="s">
        <v>110</v>
      </c>
      <c r="D43" s="13"/>
      <c r="E43" s="13"/>
      <c r="F43" s="17">
        <v>3300</v>
      </c>
      <c r="G43" s="18"/>
      <c r="H43" s="19">
        <v>3850</v>
      </c>
      <c r="I43" s="22"/>
      <c r="J43" s="23"/>
    </row>
    <row r="44" s="3" customFormat="true" ht="28.5" spans="1:10">
      <c r="A44" s="12">
        <v>40</v>
      </c>
      <c r="B44" s="12" t="s">
        <v>111</v>
      </c>
      <c r="C44" s="12" t="s">
        <v>112</v>
      </c>
      <c r="D44" s="13" t="s">
        <v>113</v>
      </c>
      <c r="E44" s="13" t="str">
        <f>VLOOKUP(B44,'[1]490（最终版） (2)'!$B:$F,5,FALSE)</f>
        <v>内外固定材料</v>
      </c>
      <c r="F44" s="17">
        <v>15500</v>
      </c>
      <c r="G44" s="18"/>
      <c r="H44" s="19">
        <v>16000</v>
      </c>
      <c r="I44" s="22"/>
      <c r="J44" s="23"/>
    </row>
    <row r="45" s="3" customFormat="true" ht="14.25" spans="1:10">
      <c r="A45" s="12">
        <v>41</v>
      </c>
      <c r="B45" s="12" t="s">
        <v>114</v>
      </c>
      <c r="C45" s="12" t="s">
        <v>115</v>
      </c>
      <c r="D45" s="13"/>
      <c r="E45" s="13"/>
      <c r="F45" s="17">
        <v>5600</v>
      </c>
      <c r="G45" s="18"/>
      <c r="H45" s="19">
        <v>5500</v>
      </c>
      <c r="I45" s="22"/>
      <c r="J45" s="23"/>
    </row>
    <row r="46" s="3" customFormat="true" ht="14.25" spans="1:10">
      <c r="A46" s="12">
        <v>42</v>
      </c>
      <c r="B46" s="12" t="s">
        <v>116</v>
      </c>
      <c r="C46" s="12" t="s">
        <v>117</v>
      </c>
      <c r="D46" s="13" t="s">
        <v>118</v>
      </c>
      <c r="E46" s="13"/>
      <c r="F46" s="17">
        <v>4900</v>
      </c>
      <c r="G46" s="18"/>
      <c r="H46" s="19">
        <v>4700</v>
      </c>
      <c r="I46" s="22"/>
      <c r="J46" s="23"/>
    </row>
    <row r="47" s="3" customFormat="true" ht="14.25" spans="1:10">
      <c r="A47" s="12">
        <v>43</v>
      </c>
      <c r="B47" s="12" t="s">
        <v>119</v>
      </c>
      <c r="C47" s="12" t="s">
        <v>120</v>
      </c>
      <c r="D47" s="13"/>
      <c r="E47" s="13"/>
      <c r="F47" s="17">
        <v>6000</v>
      </c>
      <c r="G47" s="18"/>
      <c r="H47" s="19">
        <v>5900</v>
      </c>
      <c r="I47" s="22"/>
      <c r="J47" s="23"/>
    </row>
    <row r="48" s="3" customFormat="true" ht="14.25" spans="1:10">
      <c r="A48" s="12">
        <v>44</v>
      </c>
      <c r="B48" s="12" t="s">
        <v>121</v>
      </c>
      <c r="C48" s="12" t="s">
        <v>122</v>
      </c>
      <c r="D48" s="13"/>
      <c r="E48" s="13"/>
      <c r="F48" s="17">
        <v>6200</v>
      </c>
      <c r="G48" s="18"/>
      <c r="H48" s="19">
        <v>5900</v>
      </c>
      <c r="I48" s="22"/>
      <c r="J48" s="23"/>
    </row>
    <row r="49" s="3" customFormat="true" ht="14.25" spans="1:10">
      <c r="A49" s="12">
        <v>45</v>
      </c>
      <c r="B49" s="12" t="s">
        <v>123</v>
      </c>
      <c r="C49" s="12" t="s">
        <v>124</v>
      </c>
      <c r="D49" s="13" t="s">
        <v>125</v>
      </c>
      <c r="E49" s="13"/>
      <c r="F49" s="17">
        <v>2300</v>
      </c>
      <c r="G49" s="18"/>
      <c r="H49" s="19">
        <v>2200</v>
      </c>
      <c r="I49" s="22"/>
      <c r="J49" s="23"/>
    </row>
    <row r="50" s="3" customFormat="true" ht="28.5" spans="1:10">
      <c r="A50" s="12">
        <v>46</v>
      </c>
      <c r="B50" s="12" t="s">
        <v>126</v>
      </c>
      <c r="C50" s="12" t="s">
        <v>127</v>
      </c>
      <c r="D50" s="13" t="s">
        <v>128</v>
      </c>
      <c r="E50" s="13" t="str">
        <f>VLOOKUP(B50,'[1]490（最终版） (2)'!$B:$F,5,FALSE)</f>
        <v>补片</v>
      </c>
      <c r="F50" s="17">
        <v>10000</v>
      </c>
      <c r="G50" s="18"/>
      <c r="H50" s="19">
        <v>9150</v>
      </c>
      <c r="I50" s="22"/>
      <c r="J50" s="23">
        <f>VLOOKUP(B50,'[1]490（最终版） (2)'!$B:$I,8,FALSE)</f>
        <v>0</v>
      </c>
    </row>
    <row r="51" s="3" customFormat="true" ht="14.25" spans="1:10">
      <c r="A51" s="12">
        <v>47</v>
      </c>
      <c r="B51" s="12" t="s">
        <v>129</v>
      </c>
      <c r="C51" s="12" t="s">
        <v>130</v>
      </c>
      <c r="D51" s="13" t="s">
        <v>19</v>
      </c>
      <c r="E51" s="13"/>
      <c r="F51" s="17">
        <v>6600</v>
      </c>
      <c r="G51" s="18"/>
      <c r="H51" s="19">
        <v>5950</v>
      </c>
      <c r="I51" s="22"/>
      <c r="J51" s="23"/>
    </row>
    <row r="52" s="3" customFormat="true" ht="14.25" spans="1:10">
      <c r="A52" s="12">
        <v>48</v>
      </c>
      <c r="B52" s="12" t="s">
        <v>131</v>
      </c>
      <c r="C52" s="12" t="s">
        <v>132</v>
      </c>
      <c r="D52" s="13"/>
      <c r="E52" s="13"/>
      <c r="F52" s="17">
        <v>4400</v>
      </c>
      <c r="G52" s="18"/>
      <c r="H52" s="19">
        <v>4300</v>
      </c>
      <c r="I52" s="22"/>
      <c r="J52" s="23"/>
    </row>
    <row r="53" s="3" customFormat="true" ht="14.25" spans="1:10">
      <c r="A53" s="12">
        <v>49</v>
      </c>
      <c r="B53" s="12" t="s">
        <v>133</v>
      </c>
      <c r="C53" s="12" t="s">
        <v>134</v>
      </c>
      <c r="D53" s="13" t="s">
        <v>135</v>
      </c>
      <c r="E53" s="13"/>
      <c r="F53" s="17">
        <v>13600</v>
      </c>
      <c r="G53" s="18"/>
      <c r="H53" s="19">
        <v>9500</v>
      </c>
      <c r="I53" s="22"/>
      <c r="J53" s="23"/>
    </row>
    <row r="54" s="3" customFormat="true" ht="14.25" spans="1:10">
      <c r="A54" s="12">
        <v>50</v>
      </c>
      <c r="B54" s="12" t="s">
        <v>136</v>
      </c>
      <c r="C54" s="12" t="s">
        <v>137</v>
      </c>
      <c r="D54" s="13"/>
      <c r="E54" s="13"/>
      <c r="F54" s="17">
        <v>7000</v>
      </c>
      <c r="G54" s="18"/>
      <c r="H54" s="19">
        <v>5700</v>
      </c>
      <c r="I54" s="22"/>
      <c r="J54" s="23"/>
    </row>
    <row r="55" s="3" customFormat="true" ht="14.25" spans="1:10">
      <c r="A55" s="12">
        <v>51</v>
      </c>
      <c r="B55" s="12" t="s">
        <v>138</v>
      </c>
      <c r="C55" s="12" t="s">
        <v>139</v>
      </c>
      <c r="D55" s="13" t="s">
        <v>140</v>
      </c>
      <c r="E55" s="13"/>
      <c r="F55" s="17">
        <v>5570</v>
      </c>
      <c r="G55" s="18"/>
      <c r="H55" s="19">
        <v>5600</v>
      </c>
      <c r="I55" s="22"/>
      <c r="J55" s="23"/>
    </row>
    <row r="56" s="3" customFormat="true" ht="14.25" spans="1:10">
      <c r="A56" s="12">
        <v>52</v>
      </c>
      <c r="B56" s="12" t="s">
        <v>141</v>
      </c>
      <c r="C56" s="12" t="s">
        <v>142</v>
      </c>
      <c r="D56" s="13"/>
      <c r="E56" s="13"/>
      <c r="F56" s="17">
        <v>8000</v>
      </c>
      <c r="G56" s="18"/>
      <c r="H56" s="19">
        <v>7550</v>
      </c>
      <c r="I56" s="22"/>
      <c r="J56" s="23"/>
    </row>
    <row r="57" s="3" customFormat="true" ht="14.25" spans="1:10">
      <c r="A57" s="12">
        <v>53</v>
      </c>
      <c r="B57" s="12" t="s">
        <v>143</v>
      </c>
      <c r="C57" s="12" t="s">
        <v>144</v>
      </c>
      <c r="D57" s="13" t="s">
        <v>145</v>
      </c>
      <c r="E57" s="13"/>
      <c r="F57" s="17">
        <v>2200</v>
      </c>
      <c r="G57" s="18"/>
      <c r="H57" s="19">
        <v>1850</v>
      </c>
      <c r="I57" s="22"/>
      <c r="J57" s="23"/>
    </row>
    <row r="58" s="3" customFormat="true" ht="14.25" spans="1:10">
      <c r="A58" s="12">
        <v>54</v>
      </c>
      <c r="B58" s="12" t="s">
        <v>146</v>
      </c>
      <c r="C58" s="12" t="s">
        <v>147</v>
      </c>
      <c r="D58" s="13"/>
      <c r="E58" s="13"/>
      <c r="F58" s="17">
        <v>8000</v>
      </c>
      <c r="G58" s="18"/>
      <c r="H58" s="19">
        <v>7400</v>
      </c>
      <c r="I58" s="22"/>
      <c r="J58" s="23"/>
    </row>
    <row r="59" s="3" customFormat="true" ht="14.25" spans="1:10">
      <c r="A59" s="12">
        <v>55</v>
      </c>
      <c r="B59" s="12" t="s">
        <v>148</v>
      </c>
      <c r="C59" s="12" t="s">
        <v>149</v>
      </c>
      <c r="D59" s="13"/>
      <c r="E59" s="13"/>
      <c r="F59" s="17">
        <v>8400</v>
      </c>
      <c r="G59" s="18"/>
      <c r="H59" s="19">
        <v>8000</v>
      </c>
      <c r="I59" s="22"/>
      <c r="J59" s="23"/>
    </row>
    <row r="60" s="3" customFormat="true" ht="14.25" spans="1:10">
      <c r="A60" s="12">
        <v>56</v>
      </c>
      <c r="B60" s="12" t="s">
        <v>150</v>
      </c>
      <c r="C60" s="12" t="s">
        <v>151</v>
      </c>
      <c r="D60" s="13" t="s">
        <v>152</v>
      </c>
      <c r="E60" s="13"/>
      <c r="F60" s="17">
        <v>1950</v>
      </c>
      <c r="G60" s="18"/>
      <c r="H60" s="19">
        <v>1850</v>
      </c>
      <c r="I60" s="22"/>
      <c r="J60" s="23"/>
    </row>
    <row r="61" s="3" customFormat="true" ht="14.25" spans="1:10">
      <c r="A61" s="12">
        <v>57</v>
      </c>
      <c r="B61" s="12" t="s">
        <v>153</v>
      </c>
      <c r="C61" s="12" t="s">
        <v>154</v>
      </c>
      <c r="D61" s="13"/>
      <c r="E61" s="13"/>
      <c r="F61" s="17">
        <v>8400</v>
      </c>
      <c r="G61" s="18"/>
      <c r="H61" s="19">
        <v>9500</v>
      </c>
      <c r="I61" s="22"/>
      <c r="J61" s="23"/>
    </row>
    <row r="62" s="3" customFormat="true" ht="28.5" spans="1:10">
      <c r="A62" s="12">
        <v>58</v>
      </c>
      <c r="B62" s="12" t="s">
        <v>155</v>
      </c>
      <c r="C62" s="12" t="s">
        <v>156</v>
      </c>
      <c r="D62" s="13" t="s">
        <v>157</v>
      </c>
      <c r="E62" s="13">
        <f>VLOOKUP(B62,'[1]490（最终版） (2)'!$B:$F,5,FALSE)</f>
        <v>0</v>
      </c>
      <c r="F62" s="17">
        <v>10000</v>
      </c>
      <c r="G62" s="18"/>
      <c r="H62" s="19">
        <v>8350</v>
      </c>
      <c r="I62" s="22"/>
      <c r="J62" s="23">
        <f>VLOOKUP(B62,'[1]490（最终版） (2)'!$B:$I,8,FALSE)</f>
        <v>0</v>
      </c>
    </row>
    <row r="63" s="3" customFormat="true" ht="14.25" spans="1:10">
      <c r="A63" s="12">
        <v>59</v>
      </c>
      <c r="B63" s="12" t="s">
        <v>158</v>
      </c>
      <c r="C63" s="12" t="s">
        <v>50</v>
      </c>
      <c r="D63" s="13" t="s">
        <v>159</v>
      </c>
      <c r="E63" s="13"/>
      <c r="F63" s="17">
        <v>14590</v>
      </c>
      <c r="G63" s="18"/>
      <c r="H63" s="19">
        <v>14500</v>
      </c>
      <c r="I63" s="22"/>
      <c r="J63" s="23"/>
    </row>
    <row r="64" s="3" customFormat="true" ht="14.25" spans="1:10">
      <c r="A64" s="12">
        <v>60</v>
      </c>
      <c r="B64" s="12" t="s">
        <v>160</v>
      </c>
      <c r="C64" s="12" t="s">
        <v>161</v>
      </c>
      <c r="D64" s="13"/>
      <c r="E64" s="13"/>
      <c r="F64" s="17">
        <v>4500</v>
      </c>
      <c r="G64" s="18"/>
      <c r="H64" s="19">
        <v>4300</v>
      </c>
      <c r="I64" s="22"/>
      <c r="J64" s="23"/>
    </row>
    <row r="65" s="3" customFormat="true" ht="14.25" spans="1:10">
      <c r="A65" s="12">
        <v>61</v>
      </c>
      <c r="B65" s="12" t="s">
        <v>162</v>
      </c>
      <c r="C65" s="12" t="s">
        <v>163</v>
      </c>
      <c r="D65" s="13" t="s">
        <v>164</v>
      </c>
      <c r="E65" s="13"/>
      <c r="F65" s="17">
        <v>6100</v>
      </c>
      <c r="G65" s="18"/>
      <c r="H65" s="19">
        <v>5200</v>
      </c>
      <c r="I65" s="22"/>
      <c r="J65" s="23"/>
    </row>
    <row r="66" s="3" customFormat="true" ht="14.25" spans="1:10">
      <c r="A66" s="12">
        <v>62</v>
      </c>
      <c r="B66" s="12" t="s">
        <v>165</v>
      </c>
      <c r="C66" s="12" t="s">
        <v>166</v>
      </c>
      <c r="D66" s="13" t="s">
        <v>54</v>
      </c>
      <c r="E66" s="13"/>
      <c r="F66" s="20">
        <v>7800</v>
      </c>
      <c r="G66" s="20">
        <v>7300</v>
      </c>
      <c r="H66" s="21">
        <v>6800</v>
      </c>
      <c r="I66" s="21">
        <v>6400</v>
      </c>
      <c r="J66" s="23"/>
    </row>
    <row r="67" s="3" customFormat="true" ht="14.25" spans="1:10">
      <c r="A67" s="12">
        <v>63</v>
      </c>
      <c r="B67" s="12" t="s">
        <v>167</v>
      </c>
      <c r="C67" s="12" t="s">
        <v>168</v>
      </c>
      <c r="D67" s="13" t="s">
        <v>46</v>
      </c>
      <c r="E67" s="13">
        <f>VLOOKUP(B67,'[1]490（最终版） (2)'!$B:$F,5,FALSE)</f>
        <v>0</v>
      </c>
      <c r="F67" s="17">
        <v>6700</v>
      </c>
      <c r="G67" s="18"/>
      <c r="H67" s="19">
        <v>5400</v>
      </c>
      <c r="I67" s="22"/>
      <c r="J67" s="23">
        <f>VLOOKUP(B67,'[1]490（最终版） (2)'!$B:$I,8,FALSE)</f>
        <v>0</v>
      </c>
    </row>
    <row r="68" s="3" customFormat="true" ht="14.25" spans="1:10">
      <c r="A68" s="12">
        <v>64</v>
      </c>
      <c r="B68" s="12" t="s">
        <v>169</v>
      </c>
      <c r="C68" s="12" t="s">
        <v>170</v>
      </c>
      <c r="D68" s="13" t="s">
        <v>171</v>
      </c>
      <c r="E68" s="13"/>
      <c r="F68" s="17">
        <v>3400</v>
      </c>
      <c r="G68" s="18"/>
      <c r="H68" s="19">
        <v>4100</v>
      </c>
      <c r="I68" s="22"/>
      <c r="J68" s="23"/>
    </row>
    <row r="69" s="3" customFormat="true" ht="14.25" spans="1:10">
      <c r="A69" s="12">
        <v>65</v>
      </c>
      <c r="B69" s="12" t="s">
        <v>172</v>
      </c>
      <c r="C69" s="12" t="s">
        <v>173</v>
      </c>
      <c r="D69" s="13" t="s">
        <v>174</v>
      </c>
      <c r="E69" s="13">
        <f>VLOOKUP(B69,'[1]490（最终版） (2)'!$B:$F,5,FALSE)</f>
        <v>0</v>
      </c>
      <c r="F69" s="17">
        <v>13000</v>
      </c>
      <c r="G69" s="18"/>
      <c r="H69" s="19">
        <v>9650</v>
      </c>
      <c r="I69" s="22"/>
      <c r="J69" s="23">
        <f>VLOOKUP(B69,'[1]490（最终版） (2)'!$B:$I,8,FALSE)</f>
        <v>0</v>
      </c>
    </row>
    <row r="70" s="3" customFormat="true" ht="14.25" spans="1:10">
      <c r="A70" s="12">
        <v>66</v>
      </c>
      <c r="B70" s="12" t="s">
        <v>175</v>
      </c>
      <c r="C70" s="12" t="s">
        <v>176</v>
      </c>
      <c r="D70" s="13" t="s">
        <v>177</v>
      </c>
      <c r="E70" s="13">
        <f>VLOOKUP(B70,'[1]490（最终版） (2)'!$B:$F,5,FALSE)</f>
        <v>0</v>
      </c>
      <c r="F70" s="17">
        <v>5200</v>
      </c>
      <c r="G70" s="18"/>
      <c r="H70" s="19">
        <v>4300</v>
      </c>
      <c r="I70" s="22"/>
      <c r="J70" s="23">
        <f>VLOOKUP(B70,'[1]490（最终版） (2)'!$B:$I,8,FALSE)</f>
        <v>0</v>
      </c>
    </row>
    <row r="71" s="3" customFormat="true" ht="14.25" spans="1:10">
      <c r="A71" s="12">
        <v>67</v>
      </c>
      <c r="B71" s="12" t="s">
        <v>178</v>
      </c>
      <c r="C71" s="12" t="s">
        <v>179</v>
      </c>
      <c r="D71" s="13" t="s">
        <v>180</v>
      </c>
      <c r="E71" s="13"/>
      <c r="F71" s="17">
        <v>3600</v>
      </c>
      <c r="G71" s="18"/>
      <c r="H71" s="19">
        <v>3700</v>
      </c>
      <c r="I71" s="22"/>
      <c r="J71" s="23"/>
    </row>
    <row r="72" s="3" customFormat="true" ht="14.25" spans="1:10">
      <c r="A72" s="12">
        <v>68</v>
      </c>
      <c r="B72" s="12" t="s">
        <v>181</v>
      </c>
      <c r="C72" s="12" t="s">
        <v>182</v>
      </c>
      <c r="D72" s="13" t="s">
        <v>183</v>
      </c>
      <c r="E72" s="13"/>
      <c r="F72" s="17">
        <v>6200</v>
      </c>
      <c r="G72" s="18"/>
      <c r="H72" s="19">
        <v>5800</v>
      </c>
      <c r="I72" s="22"/>
      <c r="J72" s="23" t="str">
        <f>VLOOKUP(B72,'[1]490（最终版） (2)'!$B:$I,8,FALSE)</f>
        <v>限活动期</v>
      </c>
    </row>
    <row r="73" s="3" customFormat="true" ht="14.25" spans="1:10">
      <c r="A73" s="12">
        <v>69</v>
      </c>
      <c r="B73" s="12" t="s">
        <v>184</v>
      </c>
      <c r="C73" s="12" t="s">
        <v>185</v>
      </c>
      <c r="D73" s="13" t="s">
        <v>186</v>
      </c>
      <c r="E73" s="13"/>
      <c r="F73" s="17">
        <v>1700</v>
      </c>
      <c r="G73" s="18"/>
      <c r="H73" s="19">
        <v>1500</v>
      </c>
      <c r="I73" s="22"/>
      <c r="J73" s="23" t="str">
        <f>VLOOKUP(B73,'[1]490（最终版） (2)'!$B:$I,8,FALSE)</f>
        <v>限14周岁以下</v>
      </c>
    </row>
    <row r="74" s="3" customFormat="true" ht="14.25" spans="1:10">
      <c r="A74" s="12">
        <v>70</v>
      </c>
      <c r="B74" s="12" t="s">
        <v>187</v>
      </c>
      <c r="C74" s="12" t="s">
        <v>188</v>
      </c>
      <c r="D74" s="13" t="s">
        <v>189</v>
      </c>
      <c r="E74" s="13"/>
      <c r="F74" s="20">
        <v>6700</v>
      </c>
      <c r="G74" s="20">
        <v>5000</v>
      </c>
      <c r="H74" s="21">
        <v>5400</v>
      </c>
      <c r="I74" s="21">
        <v>4050</v>
      </c>
      <c r="J74" s="23" t="str">
        <f>VLOOKUP(B74,'[1]490（最终版） (2)'!$B:$I,8,FALSE)</f>
        <v>限急性加重期</v>
      </c>
    </row>
    <row r="75" s="3" customFormat="true" ht="14.25" spans="1:10">
      <c r="A75" s="12">
        <v>71</v>
      </c>
      <c r="B75" s="12" t="s">
        <v>190</v>
      </c>
      <c r="C75" s="12" t="s">
        <v>191</v>
      </c>
      <c r="D75" s="13"/>
      <c r="E75" s="13"/>
      <c r="F75" s="20">
        <v>6600</v>
      </c>
      <c r="G75" s="20">
        <v>4300</v>
      </c>
      <c r="H75" s="21">
        <v>5550</v>
      </c>
      <c r="I75" s="21">
        <v>3650</v>
      </c>
      <c r="J75" s="23" t="str">
        <f>VLOOKUP(B75,'[1]490（最终版） (2)'!$B:$I,8,FALSE)</f>
        <v>14周岁以上</v>
      </c>
    </row>
    <row r="76" s="3" customFormat="true" ht="14.25" spans="1:10">
      <c r="A76" s="12">
        <v>72</v>
      </c>
      <c r="B76" s="12" t="s">
        <v>192</v>
      </c>
      <c r="C76" s="12" t="s">
        <v>193</v>
      </c>
      <c r="D76" s="13"/>
      <c r="E76" s="13"/>
      <c r="F76" s="17">
        <v>1500</v>
      </c>
      <c r="G76" s="18"/>
      <c r="H76" s="19">
        <v>1600</v>
      </c>
      <c r="I76" s="22"/>
      <c r="J76" s="23"/>
    </row>
    <row r="77" s="3" customFormat="true" ht="14.25" spans="1:10">
      <c r="A77" s="12">
        <v>73</v>
      </c>
      <c r="B77" s="12" t="s">
        <v>194</v>
      </c>
      <c r="C77" s="12" t="s">
        <v>195</v>
      </c>
      <c r="D77" s="13"/>
      <c r="E77" s="13"/>
      <c r="F77" s="17">
        <v>2400</v>
      </c>
      <c r="G77" s="18"/>
      <c r="H77" s="19">
        <v>2500</v>
      </c>
      <c r="I77" s="22"/>
      <c r="J77" s="23" t="str">
        <f>VLOOKUP(B77,'[1]490（最终版） (2)'!$B:$I,8,FALSE)</f>
        <v>限14周岁以下</v>
      </c>
    </row>
    <row r="78" s="3" customFormat="true" ht="28.5" spans="1:10">
      <c r="A78" s="12">
        <v>74</v>
      </c>
      <c r="B78" s="12" t="s">
        <v>196</v>
      </c>
      <c r="C78" s="12" t="s">
        <v>197</v>
      </c>
      <c r="D78" s="13" t="s">
        <v>198</v>
      </c>
      <c r="E78" s="13">
        <f>VLOOKUP(B78,'[1]490（最终版） (2)'!$B:$F,5,FALSE)</f>
        <v>0</v>
      </c>
      <c r="F78" s="17">
        <v>13500</v>
      </c>
      <c r="G78" s="18"/>
      <c r="H78" s="19">
        <v>12050</v>
      </c>
      <c r="I78" s="22"/>
      <c r="J78" s="23">
        <f>VLOOKUP(B78,'[1]490（最终版） (2)'!$B:$I,8,FALSE)</f>
        <v>0</v>
      </c>
    </row>
    <row r="79" s="3" customFormat="true" ht="28.5" spans="1:10">
      <c r="A79" s="12">
        <v>75</v>
      </c>
      <c r="B79" s="12" t="s">
        <v>199</v>
      </c>
      <c r="C79" s="12" t="s">
        <v>200</v>
      </c>
      <c r="D79" s="13" t="s">
        <v>201</v>
      </c>
      <c r="E79" s="13" t="str">
        <f>VLOOKUP(B79,'[1]490（最终版） (2)'!$B:$F,5,FALSE)</f>
        <v>人工膝关节组件、内外固定材料</v>
      </c>
      <c r="F79" s="17">
        <v>20400</v>
      </c>
      <c r="G79" s="18"/>
      <c r="H79" s="19">
        <v>17700</v>
      </c>
      <c r="I79" s="22"/>
      <c r="J79" s="23"/>
    </row>
    <row r="80" s="3" customFormat="true" ht="14.25" spans="1:10">
      <c r="A80" s="12">
        <v>76</v>
      </c>
      <c r="B80" s="12" t="s">
        <v>202</v>
      </c>
      <c r="C80" s="12" t="s">
        <v>203</v>
      </c>
      <c r="D80" s="13" t="s">
        <v>204</v>
      </c>
      <c r="E80" s="13"/>
      <c r="F80" s="17">
        <v>6500</v>
      </c>
      <c r="G80" s="18"/>
      <c r="H80" s="19">
        <v>5200</v>
      </c>
      <c r="I80" s="22"/>
      <c r="J80" s="23"/>
    </row>
    <row r="81" s="3" customFormat="true" ht="14.25" spans="1:10">
      <c r="A81" s="12">
        <v>77</v>
      </c>
      <c r="B81" s="12" t="s">
        <v>205</v>
      </c>
      <c r="C81" s="12" t="s">
        <v>206</v>
      </c>
      <c r="D81" s="13" t="s">
        <v>207</v>
      </c>
      <c r="E81" s="13" t="str">
        <f>VLOOKUP(B81,'[1]490（最终版） (2)'!$B:$F,5,FALSE)</f>
        <v>内外固定材料</v>
      </c>
      <c r="F81" s="20">
        <v>10000</v>
      </c>
      <c r="G81" s="20">
        <v>8000</v>
      </c>
      <c r="H81" s="21">
        <v>10050</v>
      </c>
      <c r="I81" s="21">
        <v>8040</v>
      </c>
      <c r="J81" s="23"/>
    </row>
    <row r="82" s="3" customFormat="true" ht="14.25" spans="1:10">
      <c r="A82" s="12">
        <v>78</v>
      </c>
      <c r="B82" s="12" t="s">
        <v>208</v>
      </c>
      <c r="C82" s="12" t="s">
        <v>197</v>
      </c>
      <c r="D82" s="13" t="s">
        <v>152</v>
      </c>
      <c r="E82" s="13"/>
      <c r="F82" s="17">
        <v>2400</v>
      </c>
      <c r="G82" s="18"/>
      <c r="H82" s="19">
        <v>2100</v>
      </c>
      <c r="I82" s="22"/>
      <c r="J82" s="23"/>
    </row>
    <row r="83" s="3" customFormat="true" ht="14.25" spans="1:10">
      <c r="A83" s="12">
        <v>79</v>
      </c>
      <c r="B83" s="12" t="s">
        <v>209</v>
      </c>
      <c r="C83" s="12" t="s">
        <v>210</v>
      </c>
      <c r="D83" s="13" t="s">
        <v>211</v>
      </c>
      <c r="E83" s="13"/>
      <c r="F83" s="17">
        <v>54400</v>
      </c>
      <c r="G83" s="18"/>
      <c r="H83" s="19">
        <v>42050</v>
      </c>
      <c r="I83" s="22"/>
      <c r="J83" s="23"/>
    </row>
    <row r="84" s="3" customFormat="true" ht="14.25" spans="1:10">
      <c r="A84" s="12">
        <v>80</v>
      </c>
      <c r="B84" s="12" t="s">
        <v>212</v>
      </c>
      <c r="C84" s="12" t="s">
        <v>213</v>
      </c>
      <c r="D84" s="13" t="s">
        <v>19</v>
      </c>
      <c r="E84" s="13"/>
      <c r="F84" s="20">
        <v>7800</v>
      </c>
      <c r="G84" s="20">
        <v>5000</v>
      </c>
      <c r="H84" s="21">
        <v>7000</v>
      </c>
      <c r="I84" s="21">
        <v>4500</v>
      </c>
      <c r="J84" s="23"/>
    </row>
    <row r="85" s="3" customFormat="true" ht="14.25" spans="1:10">
      <c r="A85" s="12">
        <v>81</v>
      </c>
      <c r="B85" s="12" t="s">
        <v>214</v>
      </c>
      <c r="C85" s="12" t="s">
        <v>215</v>
      </c>
      <c r="D85" s="13" t="s">
        <v>19</v>
      </c>
      <c r="E85" s="13"/>
      <c r="F85" s="17">
        <v>6000</v>
      </c>
      <c r="G85" s="18"/>
      <c r="H85" s="19">
        <v>5500</v>
      </c>
      <c r="I85" s="22"/>
      <c r="J85" s="23"/>
    </row>
    <row r="86" s="3" customFormat="true" ht="14.25" spans="1:10">
      <c r="A86" s="12">
        <v>82</v>
      </c>
      <c r="B86" s="12" t="s">
        <v>216</v>
      </c>
      <c r="C86" s="12" t="s">
        <v>217</v>
      </c>
      <c r="D86" s="13"/>
      <c r="E86" s="13"/>
      <c r="F86" s="17">
        <v>5000</v>
      </c>
      <c r="G86" s="18"/>
      <c r="H86" s="19">
        <v>4650</v>
      </c>
      <c r="I86" s="22"/>
      <c r="J86" s="23"/>
    </row>
    <row r="87" s="3" customFormat="true" ht="14.25" spans="1:10">
      <c r="A87" s="12">
        <v>83</v>
      </c>
      <c r="B87" s="12" t="s">
        <v>218</v>
      </c>
      <c r="C87" s="12" t="s">
        <v>100</v>
      </c>
      <c r="D87" s="13"/>
      <c r="E87" s="13"/>
      <c r="F87" s="17">
        <v>1500</v>
      </c>
      <c r="G87" s="18"/>
      <c r="H87" s="19">
        <v>1300</v>
      </c>
      <c r="I87" s="22"/>
      <c r="J87" s="23" t="str">
        <f>VLOOKUP(B87,'[1]490（最终版） (2)'!$B:$I,8,FALSE)</f>
        <v>未做清宫术</v>
      </c>
    </row>
    <row r="88" s="3" customFormat="true" ht="14.25" spans="1:10">
      <c r="A88" s="12">
        <v>84</v>
      </c>
      <c r="B88" s="12" t="s">
        <v>219</v>
      </c>
      <c r="C88" s="12" t="s">
        <v>220</v>
      </c>
      <c r="D88" s="13"/>
      <c r="E88" s="13"/>
      <c r="F88" s="17">
        <v>6900</v>
      </c>
      <c r="G88" s="18"/>
      <c r="H88" s="19">
        <v>6150</v>
      </c>
      <c r="I88" s="22"/>
      <c r="J88" s="23"/>
    </row>
    <row r="89" s="3" customFormat="true" ht="14.25" spans="1:10">
      <c r="A89" s="12">
        <v>85</v>
      </c>
      <c r="B89" s="12" t="s">
        <v>221</v>
      </c>
      <c r="C89" s="12" t="s">
        <v>222</v>
      </c>
      <c r="D89" s="13"/>
      <c r="E89" s="13"/>
      <c r="F89" s="17">
        <v>4800</v>
      </c>
      <c r="G89" s="18"/>
      <c r="H89" s="19">
        <v>4300</v>
      </c>
      <c r="I89" s="22"/>
      <c r="J89" s="23"/>
    </row>
    <row r="90" s="3" customFormat="true" ht="14.25" spans="1:10">
      <c r="A90" s="12">
        <v>86</v>
      </c>
      <c r="B90" s="12" t="s">
        <v>223</v>
      </c>
      <c r="C90" s="12" t="s">
        <v>224</v>
      </c>
      <c r="D90" s="13" t="s">
        <v>26</v>
      </c>
      <c r="E90" s="13"/>
      <c r="F90" s="20">
        <v>5200</v>
      </c>
      <c r="G90" s="20">
        <v>4500</v>
      </c>
      <c r="H90" s="21">
        <v>5300</v>
      </c>
      <c r="I90" s="21">
        <v>4600</v>
      </c>
      <c r="J90" s="23" t="str">
        <f>VLOOKUP(B90,'[1]490（最终版） (2)'!$B:$I,8,FALSE)</f>
        <v>不含介入治疗患者</v>
      </c>
    </row>
    <row r="91" s="3" customFormat="true" ht="14.25" spans="1:10">
      <c r="A91" s="12">
        <v>87</v>
      </c>
      <c r="B91" s="12" t="s">
        <v>225</v>
      </c>
      <c r="C91" s="12" t="s">
        <v>226</v>
      </c>
      <c r="D91" s="13" t="s">
        <v>46</v>
      </c>
      <c r="E91" s="13">
        <f>VLOOKUP(B91,'[1]490（最终版） (2)'!$B:$F,5,FALSE)</f>
        <v>0</v>
      </c>
      <c r="F91" s="17">
        <v>2000</v>
      </c>
      <c r="G91" s="18"/>
      <c r="H91" s="19">
        <v>1800</v>
      </c>
      <c r="I91" s="22"/>
      <c r="J91" s="23">
        <f>VLOOKUP(B91,'[1]490（最终版） (2)'!$B:$I,8,FALSE)</f>
        <v>0</v>
      </c>
    </row>
    <row r="92" s="3" customFormat="true" ht="14.25" spans="1:10">
      <c r="A92" s="12">
        <v>88</v>
      </c>
      <c r="B92" s="12" t="s">
        <v>227</v>
      </c>
      <c r="C92" s="12" t="s">
        <v>228</v>
      </c>
      <c r="D92" s="13"/>
      <c r="E92" s="13"/>
      <c r="F92" s="17">
        <v>5500</v>
      </c>
      <c r="G92" s="18"/>
      <c r="H92" s="19">
        <v>5100</v>
      </c>
      <c r="I92" s="22"/>
      <c r="J92" s="23"/>
    </row>
    <row r="93" s="3" customFormat="true" ht="14.25" spans="1:10">
      <c r="A93" s="12">
        <v>89</v>
      </c>
      <c r="B93" s="12" t="s">
        <v>229</v>
      </c>
      <c r="C93" s="12" t="s">
        <v>230</v>
      </c>
      <c r="D93" s="13" t="s">
        <v>231</v>
      </c>
      <c r="E93" s="13" t="str">
        <f>VLOOKUP(B93,'[1]490（最终版） (2)'!$B:$F,5,FALSE)</f>
        <v>内外固定材料</v>
      </c>
      <c r="F93" s="20">
        <v>10000</v>
      </c>
      <c r="G93" s="20">
        <v>8800</v>
      </c>
      <c r="H93" s="21">
        <v>10200</v>
      </c>
      <c r="I93" s="21">
        <v>9000</v>
      </c>
      <c r="J93" s="23"/>
    </row>
    <row r="94" s="3" customFormat="true" ht="14.25" spans="1:10">
      <c r="A94" s="12">
        <v>90</v>
      </c>
      <c r="B94" s="12" t="s">
        <v>232</v>
      </c>
      <c r="C94" s="12" t="s">
        <v>233</v>
      </c>
      <c r="D94" s="13"/>
      <c r="E94" s="13"/>
      <c r="F94" s="17">
        <v>8500</v>
      </c>
      <c r="G94" s="18"/>
      <c r="H94" s="19">
        <v>7500</v>
      </c>
      <c r="I94" s="22"/>
      <c r="J94" s="23"/>
    </row>
    <row r="95" s="3" customFormat="true" ht="14.25" spans="1:10">
      <c r="A95" s="12">
        <v>91</v>
      </c>
      <c r="B95" s="12" t="s">
        <v>234</v>
      </c>
      <c r="C95" s="12" t="s">
        <v>197</v>
      </c>
      <c r="D95" s="13" t="s">
        <v>235</v>
      </c>
      <c r="E95" s="13"/>
      <c r="F95" s="17">
        <v>12800</v>
      </c>
      <c r="G95" s="18"/>
      <c r="H95" s="19">
        <v>10500</v>
      </c>
      <c r="I95" s="22"/>
      <c r="J95" s="23"/>
    </row>
    <row r="96" s="3" customFormat="true" ht="14.25" spans="1:10">
      <c r="A96" s="12">
        <v>92</v>
      </c>
      <c r="B96" s="12" t="s">
        <v>236</v>
      </c>
      <c r="C96" s="12" t="s">
        <v>69</v>
      </c>
      <c r="D96" s="13" t="s">
        <v>152</v>
      </c>
      <c r="E96" s="13"/>
      <c r="F96" s="17">
        <v>6800</v>
      </c>
      <c r="G96" s="18"/>
      <c r="H96" s="19">
        <v>4500</v>
      </c>
      <c r="I96" s="22"/>
      <c r="J96" s="23"/>
    </row>
    <row r="97" s="3" customFormat="true" ht="14.25" spans="1:10">
      <c r="A97" s="12">
        <v>93</v>
      </c>
      <c r="B97" s="12" t="s">
        <v>237</v>
      </c>
      <c r="C97" s="12" t="s">
        <v>238</v>
      </c>
      <c r="D97" s="13"/>
      <c r="E97" s="13"/>
      <c r="F97" s="17">
        <v>8000</v>
      </c>
      <c r="G97" s="18"/>
      <c r="H97" s="19">
        <v>7500</v>
      </c>
      <c r="I97" s="22"/>
      <c r="J97" s="23"/>
    </row>
    <row r="98" s="3" customFormat="true" ht="14.25" spans="1:10">
      <c r="A98" s="12">
        <v>94</v>
      </c>
      <c r="B98" s="12" t="s">
        <v>239</v>
      </c>
      <c r="C98" s="12" t="s">
        <v>240</v>
      </c>
      <c r="D98" s="13" t="s">
        <v>152</v>
      </c>
      <c r="E98" s="13"/>
      <c r="F98" s="17">
        <v>1900</v>
      </c>
      <c r="G98" s="18"/>
      <c r="H98" s="19">
        <v>1600</v>
      </c>
      <c r="I98" s="22"/>
      <c r="J98" s="23"/>
    </row>
    <row r="99" s="3" customFormat="true" ht="14.25" spans="1:10">
      <c r="A99" s="12">
        <v>95</v>
      </c>
      <c r="B99" s="12" t="s">
        <v>241</v>
      </c>
      <c r="C99" s="12" t="s">
        <v>242</v>
      </c>
      <c r="D99" s="13"/>
      <c r="E99" s="13"/>
      <c r="F99" s="17">
        <v>4000</v>
      </c>
      <c r="G99" s="18"/>
      <c r="H99" s="19">
        <v>3500</v>
      </c>
      <c r="I99" s="22"/>
      <c r="J99" s="23"/>
    </row>
    <row r="100" s="3" customFormat="true" ht="14.25" spans="1:10">
      <c r="A100" s="12">
        <v>96</v>
      </c>
      <c r="B100" s="12" t="s">
        <v>243</v>
      </c>
      <c r="C100" s="12" t="s">
        <v>244</v>
      </c>
      <c r="D100" s="13" t="s">
        <v>245</v>
      </c>
      <c r="E100" s="13"/>
      <c r="F100" s="17">
        <v>2500</v>
      </c>
      <c r="G100" s="18"/>
      <c r="H100" s="19">
        <v>2900</v>
      </c>
      <c r="I100" s="22"/>
      <c r="J100" s="23"/>
    </row>
    <row r="101" s="3" customFormat="true" ht="28.5" spans="1:10">
      <c r="A101" s="12">
        <v>97</v>
      </c>
      <c r="B101" s="12" t="s">
        <v>246</v>
      </c>
      <c r="C101" s="12" t="s">
        <v>247</v>
      </c>
      <c r="D101" s="13" t="s">
        <v>248</v>
      </c>
      <c r="E101" s="13"/>
      <c r="F101" s="17">
        <v>4000</v>
      </c>
      <c r="G101" s="18"/>
      <c r="H101" s="19">
        <v>4450</v>
      </c>
      <c r="I101" s="22"/>
      <c r="J101" s="23"/>
    </row>
    <row r="102" s="3" customFormat="true" ht="14.25" spans="1:10">
      <c r="A102" s="12">
        <v>98</v>
      </c>
      <c r="B102" s="12" t="s">
        <v>249</v>
      </c>
      <c r="C102" s="12" t="s">
        <v>250</v>
      </c>
      <c r="D102" s="13" t="s">
        <v>251</v>
      </c>
      <c r="E102" s="13"/>
      <c r="F102" s="17">
        <v>1400</v>
      </c>
      <c r="G102" s="18"/>
      <c r="H102" s="19">
        <v>1650</v>
      </c>
      <c r="I102" s="22"/>
      <c r="J102" s="23"/>
    </row>
    <row r="103" s="3" customFormat="true" ht="14.25" spans="1:10">
      <c r="A103" s="12">
        <v>99</v>
      </c>
      <c r="B103" s="12" t="s">
        <v>252</v>
      </c>
      <c r="C103" s="12" t="s">
        <v>253</v>
      </c>
      <c r="D103" s="13"/>
      <c r="E103" s="13"/>
      <c r="F103" s="17">
        <v>7000</v>
      </c>
      <c r="G103" s="18"/>
      <c r="H103" s="19">
        <v>5400</v>
      </c>
      <c r="I103" s="22"/>
      <c r="J103" s="23"/>
    </row>
    <row r="104" s="3" customFormat="true" ht="14.25" spans="1:10">
      <c r="A104" s="12">
        <v>100</v>
      </c>
      <c r="B104" s="12" t="s">
        <v>254</v>
      </c>
      <c r="C104" s="12" t="s">
        <v>255</v>
      </c>
      <c r="D104" s="13"/>
      <c r="E104" s="13"/>
      <c r="F104" s="17">
        <v>4000</v>
      </c>
      <c r="G104" s="18"/>
      <c r="H104" s="19">
        <v>3000</v>
      </c>
      <c r="I104" s="22"/>
      <c r="J104" s="23"/>
    </row>
    <row r="105" s="3" customFormat="true" ht="14.25" spans="1:10">
      <c r="A105" s="12">
        <v>101</v>
      </c>
      <c r="B105" s="12" t="s">
        <v>256</v>
      </c>
      <c r="C105" s="12" t="s">
        <v>91</v>
      </c>
      <c r="D105" s="13" t="s">
        <v>257</v>
      </c>
      <c r="E105" s="13"/>
      <c r="F105" s="17">
        <v>14000</v>
      </c>
      <c r="G105" s="18"/>
      <c r="H105" s="19">
        <v>10300</v>
      </c>
      <c r="I105" s="22"/>
      <c r="J105" s="23"/>
    </row>
    <row r="106" s="3" customFormat="true" ht="14.25" spans="1:10">
      <c r="A106" s="12">
        <v>102</v>
      </c>
      <c r="B106" s="12" t="s">
        <v>258</v>
      </c>
      <c r="C106" s="12" t="s">
        <v>259</v>
      </c>
      <c r="D106" s="13" t="s">
        <v>260</v>
      </c>
      <c r="E106" s="13">
        <f>VLOOKUP(B106,'[1]490（最终版） (2)'!$B:$F,5,FALSE)</f>
        <v>0</v>
      </c>
      <c r="F106" s="17">
        <v>25500</v>
      </c>
      <c r="G106" s="18"/>
      <c r="H106" s="19">
        <v>20800</v>
      </c>
      <c r="I106" s="22"/>
      <c r="J106" s="23">
        <f>VLOOKUP(B106,'[1]490（最终版） (2)'!$B:$I,8,FALSE)</f>
        <v>0</v>
      </c>
    </row>
    <row r="107" s="3" customFormat="true" ht="14.25" spans="1:10">
      <c r="A107" s="12">
        <v>103</v>
      </c>
      <c r="B107" s="12" t="s">
        <v>261</v>
      </c>
      <c r="C107" s="12" t="s">
        <v>262</v>
      </c>
      <c r="D107" s="13"/>
      <c r="E107" s="13"/>
      <c r="F107" s="17">
        <v>6700</v>
      </c>
      <c r="G107" s="18"/>
      <c r="H107" s="19">
        <v>6900</v>
      </c>
      <c r="I107" s="22"/>
      <c r="J107" s="23"/>
    </row>
    <row r="108" s="3" customFormat="true" ht="14.25" spans="1:10">
      <c r="A108" s="12">
        <v>104</v>
      </c>
      <c r="B108" s="12" t="s">
        <v>263</v>
      </c>
      <c r="C108" s="12" t="s">
        <v>264</v>
      </c>
      <c r="D108" s="13"/>
      <c r="E108" s="13"/>
      <c r="F108" s="17">
        <v>9700</v>
      </c>
      <c r="G108" s="18"/>
      <c r="H108" s="19">
        <v>8200</v>
      </c>
      <c r="I108" s="22"/>
      <c r="J108" s="23"/>
    </row>
    <row r="109" s="3" customFormat="true" ht="14.25" spans="1:10">
      <c r="A109" s="12">
        <v>105</v>
      </c>
      <c r="B109" s="12" t="s">
        <v>265</v>
      </c>
      <c r="C109" s="12" t="s">
        <v>266</v>
      </c>
      <c r="D109" s="13" t="s">
        <v>267</v>
      </c>
      <c r="E109" s="13"/>
      <c r="F109" s="17">
        <v>2500</v>
      </c>
      <c r="G109" s="18"/>
      <c r="H109" s="19">
        <v>2600</v>
      </c>
      <c r="I109" s="22"/>
      <c r="J109" s="23" t="str">
        <f>VLOOKUP(B109,'[1]490（最终版） (2)'!$B:$I,8,FALSE)</f>
        <v>限非感染性</v>
      </c>
    </row>
    <row r="110" s="3" customFormat="true" ht="14.25" spans="1:10">
      <c r="A110" s="12">
        <v>106</v>
      </c>
      <c r="B110" s="12" t="s">
        <v>268</v>
      </c>
      <c r="C110" s="12" t="s">
        <v>269</v>
      </c>
      <c r="D110" s="13" t="s">
        <v>270</v>
      </c>
      <c r="E110" s="13"/>
      <c r="F110" s="17">
        <v>5500</v>
      </c>
      <c r="G110" s="18"/>
      <c r="H110" s="19">
        <v>4500</v>
      </c>
      <c r="I110" s="22"/>
      <c r="J110" s="23"/>
    </row>
    <row r="111" s="3" customFormat="true" ht="14.25" spans="1:10">
      <c r="A111" s="12">
        <v>107</v>
      </c>
      <c r="B111" s="12" t="s">
        <v>271</v>
      </c>
      <c r="C111" s="12" t="s">
        <v>272</v>
      </c>
      <c r="D111" s="13" t="s">
        <v>273</v>
      </c>
      <c r="E111" s="13" t="str">
        <f>VLOOKUP(B111,'[1]490（最终版） (2)'!$B:$F,5,FALSE)</f>
        <v>内外固定材料</v>
      </c>
      <c r="F111" s="17">
        <v>12000</v>
      </c>
      <c r="G111" s="18"/>
      <c r="H111" s="19">
        <v>11350</v>
      </c>
      <c r="I111" s="22"/>
      <c r="J111" s="23"/>
    </row>
    <row r="112" s="3" customFormat="true" ht="14.25" spans="1:10">
      <c r="A112" s="12">
        <v>108</v>
      </c>
      <c r="B112" s="12" t="s">
        <v>274</v>
      </c>
      <c r="C112" s="12" t="s">
        <v>275</v>
      </c>
      <c r="D112" s="13" t="s">
        <v>276</v>
      </c>
      <c r="E112" s="13"/>
      <c r="F112" s="17">
        <v>6000</v>
      </c>
      <c r="G112" s="18"/>
      <c r="H112" s="19">
        <v>5400</v>
      </c>
      <c r="I112" s="22"/>
      <c r="J112" s="23"/>
    </row>
    <row r="113" s="3" customFormat="true" ht="14.25" spans="1:10">
      <c r="A113" s="12">
        <v>109</v>
      </c>
      <c r="B113" s="12" t="s">
        <v>277</v>
      </c>
      <c r="C113" s="12" t="s">
        <v>278</v>
      </c>
      <c r="D113" s="13"/>
      <c r="E113" s="13"/>
      <c r="F113" s="20">
        <v>5950</v>
      </c>
      <c r="G113" s="20">
        <v>5000</v>
      </c>
      <c r="H113" s="21">
        <v>5300</v>
      </c>
      <c r="I113" s="21">
        <v>4500</v>
      </c>
      <c r="J113" s="23" t="str">
        <f>VLOOKUP(B113,'[1]490（最终版） (2)'!$B:$I,8,FALSE)</f>
        <v>14周岁以上</v>
      </c>
    </row>
    <row r="114" s="3" customFormat="true" ht="14.25" spans="1:10">
      <c r="A114" s="12">
        <v>110</v>
      </c>
      <c r="B114" s="12" t="s">
        <v>279</v>
      </c>
      <c r="C114" s="12" t="s">
        <v>280</v>
      </c>
      <c r="D114" s="13" t="s">
        <v>281</v>
      </c>
      <c r="E114" s="13"/>
      <c r="F114" s="17">
        <v>15900</v>
      </c>
      <c r="G114" s="18"/>
      <c r="H114" s="19">
        <v>12650</v>
      </c>
      <c r="I114" s="22"/>
      <c r="J114" s="23"/>
    </row>
    <row r="115" s="3" customFormat="true" ht="27" spans="1:10">
      <c r="A115" s="12">
        <v>111</v>
      </c>
      <c r="B115" s="12" t="s">
        <v>282</v>
      </c>
      <c r="C115" s="12" t="s">
        <v>283</v>
      </c>
      <c r="D115" s="13" t="s">
        <v>284</v>
      </c>
      <c r="E115" s="13"/>
      <c r="F115" s="17">
        <v>14500</v>
      </c>
      <c r="G115" s="18"/>
      <c r="H115" s="19">
        <v>11000</v>
      </c>
      <c r="I115" s="22"/>
      <c r="J115" s="23" t="str">
        <f>VLOOKUP(B115,'[1]490（最终版） (2)'!$B:$I,8,FALSE)</f>
        <v>不含颈部淋巴结清扫；不含既往有甲状腺手术史患者</v>
      </c>
    </row>
    <row r="116" s="3" customFormat="true" ht="14.25" spans="1:10">
      <c r="A116" s="12">
        <v>112</v>
      </c>
      <c r="B116" s="12" t="s">
        <v>285</v>
      </c>
      <c r="C116" s="12" t="s">
        <v>286</v>
      </c>
      <c r="D116" s="13" t="s">
        <v>287</v>
      </c>
      <c r="E116" s="13">
        <f>VLOOKUP(B116,'[1]490（最终版） (2)'!$B:$F,5,FALSE)</f>
        <v>0</v>
      </c>
      <c r="F116" s="17">
        <v>15500</v>
      </c>
      <c r="G116" s="18"/>
      <c r="H116" s="19">
        <v>13200</v>
      </c>
      <c r="I116" s="22"/>
      <c r="J116" s="23">
        <f>VLOOKUP(B116,'[1]490（最终版） (2)'!$B:$I,8,FALSE)</f>
        <v>0</v>
      </c>
    </row>
    <row r="117" s="3" customFormat="true" ht="14.25" spans="1:10">
      <c r="A117" s="12">
        <v>113</v>
      </c>
      <c r="B117" s="12" t="s">
        <v>288</v>
      </c>
      <c r="C117" s="12" t="s">
        <v>289</v>
      </c>
      <c r="D117" s="13"/>
      <c r="E117" s="13"/>
      <c r="F117" s="17">
        <v>5700</v>
      </c>
      <c r="G117" s="18"/>
      <c r="H117" s="19">
        <v>4900</v>
      </c>
      <c r="I117" s="22"/>
      <c r="J117" s="23" t="str">
        <f>VLOOKUP(B117,'[1]490（最终版） (2)'!$B:$I,8,FALSE)</f>
        <v>14周岁以上</v>
      </c>
    </row>
    <row r="118" s="3" customFormat="true" ht="14.25" spans="1:10">
      <c r="A118" s="12">
        <v>114</v>
      </c>
      <c r="B118" s="12" t="s">
        <v>290</v>
      </c>
      <c r="C118" s="12" t="s">
        <v>291</v>
      </c>
      <c r="D118" s="13"/>
      <c r="E118" s="13"/>
      <c r="F118" s="17">
        <v>6200</v>
      </c>
      <c r="G118" s="18"/>
      <c r="H118" s="19">
        <v>5200</v>
      </c>
      <c r="I118" s="22"/>
      <c r="J118" s="23"/>
    </row>
    <row r="119" s="3" customFormat="true" ht="14.25" spans="1:10">
      <c r="A119" s="12">
        <v>115</v>
      </c>
      <c r="B119" s="12" t="s">
        <v>292</v>
      </c>
      <c r="C119" s="12" t="s">
        <v>293</v>
      </c>
      <c r="D119" s="13"/>
      <c r="E119" s="13"/>
      <c r="F119" s="17">
        <v>3400</v>
      </c>
      <c r="G119" s="18"/>
      <c r="H119" s="19">
        <v>3000</v>
      </c>
      <c r="I119" s="22"/>
      <c r="J119" s="23"/>
    </row>
    <row r="120" s="3" customFormat="true" ht="14.25" spans="1:10">
      <c r="A120" s="12">
        <v>116</v>
      </c>
      <c r="B120" s="12" t="s">
        <v>294</v>
      </c>
      <c r="C120" s="12" t="s">
        <v>295</v>
      </c>
      <c r="D120" s="13" t="s">
        <v>152</v>
      </c>
      <c r="E120" s="13"/>
      <c r="F120" s="17">
        <v>2800</v>
      </c>
      <c r="G120" s="18"/>
      <c r="H120" s="19">
        <v>2600</v>
      </c>
      <c r="I120" s="22"/>
      <c r="J120" s="23"/>
    </row>
    <row r="121" s="3" customFormat="true" ht="14.25" spans="1:10">
      <c r="A121" s="12">
        <v>117</v>
      </c>
      <c r="B121" s="12" t="s">
        <v>296</v>
      </c>
      <c r="C121" s="12" t="s">
        <v>297</v>
      </c>
      <c r="D121" s="13" t="s">
        <v>298</v>
      </c>
      <c r="E121" s="13"/>
      <c r="F121" s="17">
        <v>5400</v>
      </c>
      <c r="G121" s="18"/>
      <c r="H121" s="19">
        <v>5000</v>
      </c>
      <c r="I121" s="22"/>
      <c r="J121" s="23" t="str">
        <f>VLOOKUP(B121,'[1]490（最终版） (2)'!$B:$I,8,FALSE)</f>
        <v>含乳腺病损切除术</v>
      </c>
    </row>
    <row r="122" s="3" customFormat="true" ht="14.25" spans="1:10">
      <c r="A122" s="12">
        <v>118</v>
      </c>
      <c r="B122" s="12" t="s">
        <v>299</v>
      </c>
      <c r="C122" s="12" t="s">
        <v>300</v>
      </c>
      <c r="D122" s="13" t="s">
        <v>26</v>
      </c>
      <c r="E122" s="13"/>
      <c r="F122" s="17">
        <v>7000</v>
      </c>
      <c r="G122" s="18"/>
      <c r="H122" s="19">
        <v>6000</v>
      </c>
      <c r="I122" s="22"/>
      <c r="J122" s="23"/>
    </row>
    <row r="123" s="3" customFormat="true" ht="28.5" spans="1:10">
      <c r="A123" s="12">
        <v>119</v>
      </c>
      <c r="B123" s="12" t="s">
        <v>301</v>
      </c>
      <c r="C123" s="12" t="s">
        <v>302</v>
      </c>
      <c r="D123" s="13" t="s">
        <v>303</v>
      </c>
      <c r="E123" s="13"/>
      <c r="F123" s="17">
        <v>8300</v>
      </c>
      <c r="G123" s="18"/>
      <c r="H123" s="19">
        <v>6050</v>
      </c>
      <c r="I123" s="22"/>
      <c r="J123" s="23"/>
    </row>
    <row r="124" s="3" customFormat="true" ht="28.5" spans="1:10">
      <c r="A124" s="12">
        <v>120</v>
      </c>
      <c r="B124" s="12" t="s">
        <v>304</v>
      </c>
      <c r="C124" s="12" t="s">
        <v>305</v>
      </c>
      <c r="D124" s="13" t="s">
        <v>198</v>
      </c>
      <c r="E124" s="13">
        <f>VLOOKUP(B124,'[1]490（最终版） (2)'!$B:$F,5,FALSE)</f>
        <v>0</v>
      </c>
      <c r="F124" s="17">
        <v>20000</v>
      </c>
      <c r="G124" s="18"/>
      <c r="H124" s="19">
        <v>15100</v>
      </c>
      <c r="I124" s="22"/>
      <c r="J124" s="23">
        <f>VLOOKUP(B124,'[1]490（最终版） (2)'!$B:$I,8,FALSE)</f>
        <v>0</v>
      </c>
    </row>
    <row r="125" s="3" customFormat="true" ht="14.25" spans="1:10">
      <c r="A125" s="12">
        <v>121</v>
      </c>
      <c r="B125" s="12" t="s">
        <v>306</v>
      </c>
      <c r="C125" s="12" t="s">
        <v>210</v>
      </c>
      <c r="D125" s="13" t="s">
        <v>307</v>
      </c>
      <c r="E125" s="13"/>
      <c r="F125" s="17">
        <v>51000</v>
      </c>
      <c r="G125" s="18"/>
      <c r="H125" s="19">
        <v>37450</v>
      </c>
      <c r="I125" s="22"/>
      <c r="J125" s="23"/>
    </row>
    <row r="126" s="3" customFormat="true" ht="14.25" spans="1:10">
      <c r="A126" s="12">
        <v>122</v>
      </c>
      <c r="B126" s="12" t="s">
        <v>308</v>
      </c>
      <c r="C126" s="12" t="s">
        <v>309</v>
      </c>
      <c r="D126" s="13"/>
      <c r="E126" s="13"/>
      <c r="F126" s="17">
        <v>6000</v>
      </c>
      <c r="G126" s="18"/>
      <c r="H126" s="19">
        <v>5350</v>
      </c>
      <c r="I126" s="22"/>
      <c r="J126" s="23"/>
    </row>
    <row r="127" s="3" customFormat="true" ht="14.25" spans="1:10">
      <c r="A127" s="12">
        <v>123</v>
      </c>
      <c r="B127" s="12" t="s">
        <v>310</v>
      </c>
      <c r="C127" s="12" t="s">
        <v>311</v>
      </c>
      <c r="D127" s="13"/>
      <c r="E127" s="13"/>
      <c r="F127" s="17">
        <v>5500</v>
      </c>
      <c r="G127" s="18"/>
      <c r="H127" s="19">
        <v>4600</v>
      </c>
      <c r="I127" s="22"/>
      <c r="J127" s="23"/>
    </row>
    <row r="128" s="3" customFormat="true" ht="14.25" spans="1:10">
      <c r="A128" s="12">
        <v>124</v>
      </c>
      <c r="B128" s="12" t="s">
        <v>312</v>
      </c>
      <c r="C128" s="12" t="s">
        <v>313</v>
      </c>
      <c r="D128" s="13" t="s">
        <v>314</v>
      </c>
      <c r="E128" s="13"/>
      <c r="F128" s="17">
        <v>8800</v>
      </c>
      <c r="G128" s="18"/>
      <c r="H128" s="19">
        <v>8400</v>
      </c>
      <c r="I128" s="22"/>
      <c r="J128" s="23"/>
    </row>
    <row r="129" s="3" customFormat="true" ht="28.5" spans="1:10">
      <c r="A129" s="12">
        <v>125</v>
      </c>
      <c r="B129" s="12" t="s">
        <v>315</v>
      </c>
      <c r="C129" s="12" t="s">
        <v>105</v>
      </c>
      <c r="D129" s="13" t="s">
        <v>316</v>
      </c>
      <c r="E129" s="13">
        <f>VLOOKUP(B129,'[1]490（最终版） (2)'!$B:$F,5,FALSE)</f>
        <v>0</v>
      </c>
      <c r="F129" s="17">
        <v>6000</v>
      </c>
      <c r="G129" s="18"/>
      <c r="H129" s="19">
        <v>5000</v>
      </c>
      <c r="I129" s="22"/>
      <c r="J129" s="23">
        <f>VLOOKUP(B129,'[1]490（最终版） (2)'!$B:$I,8,FALSE)</f>
        <v>0</v>
      </c>
    </row>
    <row r="130" s="3" customFormat="true" ht="14.25" spans="1:10">
      <c r="A130" s="12">
        <v>126</v>
      </c>
      <c r="B130" s="12" t="s">
        <v>317</v>
      </c>
      <c r="C130" s="12" t="s">
        <v>318</v>
      </c>
      <c r="D130" s="13" t="s">
        <v>152</v>
      </c>
      <c r="E130" s="13"/>
      <c r="F130" s="17">
        <v>5800</v>
      </c>
      <c r="G130" s="18"/>
      <c r="H130" s="19">
        <v>4650</v>
      </c>
      <c r="I130" s="22"/>
      <c r="J130" s="23"/>
    </row>
    <row r="131" s="3" customFormat="true" ht="14.25" spans="1:10">
      <c r="A131" s="12">
        <v>127</v>
      </c>
      <c r="B131" s="12" t="s">
        <v>319</v>
      </c>
      <c r="C131" s="12" t="s">
        <v>320</v>
      </c>
      <c r="D131" s="13" t="s">
        <v>321</v>
      </c>
      <c r="E131" s="13"/>
      <c r="F131" s="17">
        <v>14000</v>
      </c>
      <c r="G131" s="18"/>
      <c r="H131" s="19">
        <v>14250</v>
      </c>
      <c r="I131" s="22"/>
      <c r="J131" s="23"/>
    </row>
    <row r="132" s="3" customFormat="true" ht="14.25" spans="1:10">
      <c r="A132" s="12">
        <v>128</v>
      </c>
      <c r="B132" s="12" t="s">
        <v>322</v>
      </c>
      <c r="C132" s="12" t="s">
        <v>323</v>
      </c>
      <c r="D132" s="13" t="s">
        <v>324</v>
      </c>
      <c r="E132" s="13" t="str">
        <f>VLOOKUP(B132,'[1]490（最终版） (2)'!$B:$F,5,FALSE)</f>
        <v>内外固定材料</v>
      </c>
      <c r="F132" s="20">
        <v>11000</v>
      </c>
      <c r="G132" s="20">
        <v>10000</v>
      </c>
      <c r="H132" s="21">
        <v>11500</v>
      </c>
      <c r="I132" s="21">
        <v>10500</v>
      </c>
      <c r="J132" s="23"/>
    </row>
    <row r="133" s="3" customFormat="true" ht="14.25" spans="1:10">
      <c r="A133" s="12">
        <v>129</v>
      </c>
      <c r="B133" s="12" t="s">
        <v>325</v>
      </c>
      <c r="C133" s="12" t="s">
        <v>275</v>
      </c>
      <c r="D133" s="13" t="s">
        <v>257</v>
      </c>
      <c r="E133" s="13"/>
      <c r="F133" s="17">
        <v>9000</v>
      </c>
      <c r="G133" s="18"/>
      <c r="H133" s="19">
        <v>9100</v>
      </c>
      <c r="I133" s="22"/>
      <c r="J133" s="23"/>
    </row>
    <row r="134" s="3" customFormat="true" ht="28.5" spans="1:10">
      <c r="A134" s="12">
        <v>130</v>
      </c>
      <c r="B134" s="12" t="s">
        <v>326</v>
      </c>
      <c r="C134" s="12" t="s">
        <v>327</v>
      </c>
      <c r="D134" s="13" t="s">
        <v>328</v>
      </c>
      <c r="E134" s="13"/>
      <c r="F134" s="17">
        <v>7400</v>
      </c>
      <c r="G134" s="18"/>
      <c r="H134" s="19">
        <v>6600</v>
      </c>
      <c r="I134" s="22"/>
      <c r="J134" s="23"/>
    </row>
    <row r="135" s="3" customFormat="true" ht="14.25" spans="1:10">
      <c r="A135" s="12">
        <v>131</v>
      </c>
      <c r="B135" s="12" t="s">
        <v>329</v>
      </c>
      <c r="C135" s="12" t="s">
        <v>330</v>
      </c>
      <c r="D135" s="13"/>
      <c r="E135" s="13"/>
      <c r="F135" s="17">
        <v>6200</v>
      </c>
      <c r="G135" s="18"/>
      <c r="H135" s="19">
        <v>5600</v>
      </c>
      <c r="I135" s="22"/>
      <c r="J135" s="23"/>
    </row>
    <row r="136" s="3" customFormat="true" ht="14.25" spans="1:10">
      <c r="A136" s="12">
        <v>132</v>
      </c>
      <c r="B136" s="12" t="s">
        <v>331</v>
      </c>
      <c r="C136" s="12" t="s">
        <v>332</v>
      </c>
      <c r="D136" s="13" t="s">
        <v>245</v>
      </c>
      <c r="E136" s="13"/>
      <c r="F136" s="17">
        <v>2500</v>
      </c>
      <c r="G136" s="18"/>
      <c r="H136" s="19">
        <v>3300</v>
      </c>
      <c r="I136" s="22"/>
      <c r="J136" s="23" t="str">
        <f>VLOOKUP(B136,'[1]490（最终版） (2)'!$B:$I,8,FALSE)</f>
        <v>限体表脂肪瘤</v>
      </c>
    </row>
    <row r="137" s="3" customFormat="true" ht="14.25" spans="1:10">
      <c r="A137" s="12">
        <v>133</v>
      </c>
      <c r="B137" s="12" t="s">
        <v>333</v>
      </c>
      <c r="C137" s="12" t="s">
        <v>334</v>
      </c>
      <c r="D137" s="13"/>
      <c r="E137" s="13"/>
      <c r="F137" s="17">
        <v>7200</v>
      </c>
      <c r="G137" s="18"/>
      <c r="H137" s="19">
        <v>7300</v>
      </c>
      <c r="I137" s="22"/>
      <c r="J137" s="23"/>
    </row>
    <row r="138" s="3" customFormat="true" ht="14.25" spans="1:10">
      <c r="A138" s="12">
        <v>134</v>
      </c>
      <c r="B138" s="12" t="s">
        <v>335</v>
      </c>
      <c r="C138" s="12" t="s">
        <v>336</v>
      </c>
      <c r="D138" s="13"/>
      <c r="E138" s="13"/>
      <c r="F138" s="17">
        <v>5800</v>
      </c>
      <c r="G138" s="18"/>
      <c r="H138" s="19">
        <v>4100</v>
      </c>
      <c r="I138" s="22"/>
      <c r="J138" s="23"/>
    </row>
    <row r="139" s="3" customFormat="true" ht="14.25" spans="1:10">
      <c r="A139" s="12">
        <v>135</v>
      </c>
      <c r="B139" s="12" t="s">
        <v>337</v>
      </c>
      <c r="C139" s="12" t="s">
        <v>338</v>
      </c>
      <c r="D139" s="13" t="s">
        <v>231</v>
      </c>
      <c r="E139" s="13" t="str">
        <f>VLOOKUP(B139,'[1]490（最终版） (2)'!$B:$F,5,FALSE)</f>
        <v>内外固定材料</v>
      </c>
      <c r="F139" s="17">
        <v>11000</v>
      </c>
      <c r="G139" s="18"/>
      <c r="H139" s="19">
        <v>11250</v>
      </c>
      <c r="I139" s="22"/>
      <c r="J139" s="23"/>
    </row>
    <row r="140" s="3" customFormat="true" ht="28.5" spans="1:10">
      <c r="A140" s="12">
        <v>136</v>
      </c>
      <c r="B140" s="12" t="s">
        <v>339</v>
      </c>
      <c r="C140" s="12" t="s">
        <v>340</v>
      </c>
      <c r="D140" s="13" t="s">
        <v>341</v>
      </c>
      <c r="E140" s="13"/>
      <c r="F140" s="17">
        <v>9360</v>
      </c>
      <c r="G140" s="18"/>
      <c r="H140" s="19">
        <v>9000</v>
      </c>
      <c r="I140" s="22"/>
      <c r="J140" s="23"/>
    </row>
    <row r="141" s="3" customFormat="true" ht="14.25" spans="1:10">
      <c r="A141" s="12">
        <v>137</v>
      </c>
      <c r="B141" s="12" t="s">
        <v>342</v>
      </c>
      <c r="C141" s="12" t="s">
        <v>343</v>
      </c>
      <c r="D141" s="13" t="s">
        <v>344</v>
      </c>
      <c r="E141" s="13"/>
      <c r="F141" s="17">
        <v>3700</v>
      </c>
      <c r="G141" s="18"/>
      <c r="H141" s="19">
        <v>2950</v>
      </c>
      <c r="I141" s="22"/>
      <c r="J141" s="23"/>
    </row>
    <row r="142" s="3" customFormat="true" ht="14.25" spans="1:10">
      <c r="A142" s="12">
        <v>138</v>
      </c>
      <c r="B142" s="12" t="s">
        <v>345</v>
      </c>
      <c r="C142" s="12" t="s">
        <v>346</v>
      </c>
      <c r="D142" s="13"/>
      <c r="E142" s="13"/>
      <c r="F142" s="17">
        <v>2900</v>
      </c>
      <c r="G142" s="18"/>
      <c r="H142" s="19">
        <v>3200</v>
      </c>
      <c r="I142" s="22"/>
      <c r="J142" s="23"/>
    </row>
    <row r="143" s="3" customFormat="true" ht="28.5" spans="1:10">
      <c r="A143" s="12">
        <v>139</v>
      </c>
      <c r="B143" s="12" t="s">
        <v>347</v>
      </c>
      <c r="C143" s="12" t="s">
        <v>348</v>
      </c>
      <c r="D143" s="13" t="s">
        <v>349</v>
      </c>
      <c r="E143" s="13"/>
      <c r="F143" s="17">
        <v>7800</v>
      </c>
      <c r="G143" s="18"/>
      <c r="H143" s="19">
        <v>7900</v>
      </c>
      <c r="I143" s="22"/>
      <c r="J143" s="23"/>
    </row>
    <row r="144" s="3" customFormat="true" ht="28.5" spans="1:10">
      <c r="A144" s="12">
        <v>140</v>
      </c>
      <c r="B144" s="12" t="s">
        <v>350</v>
      </c>
      <c r="C144" s="12" t="s">
        <v>351</v>
      </c>
      <c r="D144" s="13" t="s">
        <v>352</v>
      </c>
      <c r="E144" s="13" t="str">
        <f>VLOOKUP(B144,'[1]490（最终版） (2)'!$B:$F,5,FALSE)</f>
        <v>内外固定材料</v>
      </c>
      <c r="F144" s="17">
        <v>8200</v>
      </c>
      <c r="G144" s="18"/>
      <c r="H144" s="19">
        <v>9000</v>
      </c>
      <c r="I144" s="22"/>
      <c r="J144" s="23"/>
    </row>
    <row r="145" s="3" customFormat="true" ht="14.25" spans="1:10">
      <c r="A145" s="12">
        <v>141</v>
      </c>
      <c r="B145" s="12" t="s">
        <v>353</v>
      </c>
      <c r="C145" s="12" t="s">
        <v>354</v>
      </c>
      <c r="D145" s="13"/>
      <c r="E145" s="13"/>
      <c r="F145" s="17">
        <v>5100</v>
      </c>
      <c r="G145" s="18"/>
      <c r="H145" s="19">
        <v>4800</v>
      </c>
      <c r="I145" s="22"/>
      <c r="J145" s="23" t="str">
        <f>VLOOKUP(B145,'[1]490（最终版） (2)'!$B:$I,8,FALSE)</f>
        <v>腰椎间盘突出</v>
      </c>
    </row>
    <row r="146" s="3" customFormat="true" ht="14.25" spans="1:10">
      <c r="A146" s="12">
        <v>142</v>
      </c>
      <c r="B146" s="12" t="s">
        <v>355</v>
      </c>
      <c r="C146" s="12" t="s">
        <v>124</v>
      </c>
      <c r="D146" s="13" t="s">
        <v>356</v>
      </c>
      <c r="E146" s="13"/>
      <c r="F146" s="17">
        <v>3500</v>
      </c>
      <c r="G146" s="18"/>
      <c r="H146" s="19">
        <v>3200</v>
      </c>
      <c r="I146" s="22"/>
      <c r="J146" s="23"/>
    </row>
    <row r="147" s="3" customFormat="true" ht="28.5" spans="1:10">
      <c r="A147" s="12">
        <v>143</v>
      </c>
      <c r="B147" s="12" t="s">
        <v>357</v>
      </c>
      <c r="C147" s="12" t="s">
        <v>358</v>
      </c>
      <c r="D147" s="13" t="s">
        <v>359</v>
      </c>
      <c r="E147" s="13">
        <f>VLOOKUP(B147,'[1]490（最终版） (2)'!$B:$F,5,FALSE)</f>
        <v>0</v>
      </c>
      <c r="F147" s="17">
        <v>15000</v>
      </c>
      <c r="G147" s="18"/>
      <c r="H147" s="19">
        <v>10900</v>
      </c>
      <c r="I147" s="22"/>
      <c r="J147" s="23">
        <f>VLOOKUP(B147,'[1]490（最终版） (2)'!$B:$I,8,FALSE)</f>
        <v>0</v>
      </c>
    </row>
    <row r="148" s="3" customFormat="true" ht="14.25" spans="1:10">
      <c r="A148" s="12">
        <v>144</v>
      </c>
      <c r="B148" s="12" t="s">
        <v>360</v>
      </c>
      <c r="C148" s="12" t="s">
        <v>361</v>
      </c>
      <c r="D148" s="13" t="s">
        <v>362</v>
      </c>
      <c r="E148" s="13"/>
      <c r="F148" s="17">
        <v>4700</v>
      </c>
      <c r="G148" s="18"/>
      <c r="H148" s="19">
        <v>4200</v>
      </c>
      <c r="I148" s="22"/>
      <c r="J148" s="23"/>
    </row>
    <row r="149" s="3" customFormat="true" ht="14.25" spans="1:10">
      <c r="A149" s="12">
        <v>145</v>
      </c>
      <c r="B149" s="12" t="s">
        <v>363</v>
      </c>
      <c r="C149" s="12" t="s">
        <v>364</v>
      </c>
      <c r="D149" s="13" t="s">
        <v>365</v>
      </c>
      <c r="E149" s="13">
        <f>VLOOKUP(B149,'[1]490（最终版） (2)'!$B:$F,5,FALSE)</f>
        <v>0</v>
      </c>
      <c r="F149" s="17">
        <v>12000</v>
      </c>
      <c r="G149" s="18"/>
      <c r="H149" s="19">
        <v>10400</v>
      </c>
      <c r="I149" s="22"/>
      <c r="J149" s="23">
        <f>VLOOKUP(B149,'[1]490（最终版） (2)'!$B:$I,8,FALSE)</f>
        <v>0</v>
      </c>
    </row>
    <row r="150" s="3" customFormat="true" ht="14.25" spans="1:10">
      <c r="A150" s="12">
        <v>146</v>
      </c>
      <c r="B150" s="12" t="s">
        <v>366</v>
      </c>
      <c r="C150" s="12" t="s">
        <v>367</v>
      </c>
      <c r="D150" s="13"/>
      <c r="E150" s="13"/>
      <c r="F150" s="17">
        <v>6100</v>
      </c>
      <c r="G150" s="18"/>
      <c r="H150" s="19">
        <v>6150</v>
      </c>
      <c r="I150" s="22"/>
      <c r="J150" s="23"/>
    </row>
    <row r="151" s="3" customFormat="true" ht="14.25" spans="1:10">
      <c r="A151" s="12">
        <v>147</v>
      </c>
      <c r="B151" s="12" t="s">
        <v>368</v>
      </c>
      <c r="C151" s="12" t="s">
        <v>369</v>
      </c>
      <c r="D151" s="13"/>
      <c r="E151" s="13"/>
      <c r="F151" s="17">
        <v>5500</v>
      </c>
      <c r="G151" s="18"/>
      <c r="H151" s="19">
        <v>5300</v>
      </c>
      <c r="I151" s="22"/>
      <c r="J151" s="23"/>
    </row>
    <row r="152" s="3" customFormat="true" ht="28.5" spans="1:10">
      <c r="A152" s="12">
        <v>148</v>
      </c>
      <c r="B152" s="12" t="s">
        <v>370</v>
      </c>
      <c r="C152" s="12" t="s">
        <v>371</v>
      </c>
      <c r="D152" s="13" t="s">
        <v>372</v>
      </c>
      <c r="E152" s="13">
        <f>VLOOKUP(B152,'[1]490（最终版） (2)'!$B:$F,5,FALSE)</f>
        <v>0</v>
      </c>
      <c r="F152" s="17">
        <v>10000</v>
      </c>
      <c r="G152" s="18"/>
      <c r="H152" s="19">
        <v>8500</v>
      </c>
      <c r="I152" s="22"/>
      <c r="J152" s="23"/>
    </row>
    <row r="153" s="3" customFormat="true" ht="28.5" spans="1:10">
      <c r="A153" s="12">
        <v>149</v>
      </c>
      <c r="B153" s="12" t="s">
        <v>373</v>
      </c>
      <c r="C153" s="12" t="s">
        <v>374</v>
      </c>
      <c r="D153" s="13" t="s">
        <v>375</v>
      </c>
      <c r="E153" s="13">
        <f>VLOOKUP(B153,'[1]490（最终版） (2)'!$B:$F,5,FALSE)</f>
        <v>0</v>
      </c>
      <c r="F153" s="17">
        <v>4100</v>
      </c>
      <c r="G153" s="18"/>
      <c r="H153" s="19">
        <v>4550</v>
      </c>
      <c r="I153" s="22"/>
      <c r="J153" s="23">
        <f>VLOOKUP(B153,'[1]490（最终版） (2)'!$B:$I,8,FALSE)</f>
        <v>0</v>
      </c>
    </row>
    <row r="154" s="3" customFormat="true" ht="28.5" spans="1:10">
      <c r="A154" s="12">
        <v>150</v>
      </c>
      <c r="B154" s="12" t="s">
        <v>376</v>
      </c>
      <c r="C154" s="12" t="s">
        <v>377</v>
      </c>
      <c r="D154" s="13" t="s">
        <v>378</v>
      </c>
      <c r="E154" s="13"/>
      <c r="F154" s="17">
        <v>4800</v>
      </c>
      <c r="G154" s="18"/>
      <c r="H154" s="19">
        <v>3750</v>
      </c>
      <c r="I154" s="22"/>
      <c r="J154" s="23"/>
    </row>
    <row r="155" s="3" customFormat="true" ht="27" spans="1:10">
      <c r="A155" s="12">
        <v>151</v>
      </c>
      <c r="B155" s="12" t="s">
        <v>379</v>
      </c>
      <c r="C155" s="12" t="s">
        <v>380</v>
      </c>
      <c r="D155" s="13" t="s">
        <v>381</v>
      </c>
      <c r="E155" s="13"/>
      <c r="F155" s="17">
        <v>11900</v>
      </c>
      <c r="G155" s="18"/>
      <c r="H155" s="19">
        <v>9850</v>
      </c>
      <c r="I155" s="22"/>
      <c r="J155" s="23" t="str">
        <f>VLOOKUP(B155,'[1]490（最终版） (2)'!$B:$I,8,FALSE)</f>
        <v>含腹腔镜单侧卵巢病损切除术</v>
      </c>
    </row>
    <row r="156" s="3" customFormat="true" ht="28.5" spans="1:10">
      <c r="A156" s="12">
        <v>152</v>
      </c>
      <c r="B156" s="12" t="s">
        <v>382</v>
      </c>
      <c r="C156" s="12" t="s">
        <v>383</v>
      </c>
      <c r="D156" s="13" t="s">
        <v>384</v>
      </c>
      <c r="E156" s="13" t="str">
        <f>VLOOKUP(B156,'[1]490（最终版） (2)'!$B:$F,5,FALSE)</f>
        <v>内外固定材料</v>
      </c>
      <c r="F156" s="17">
        <v>16200</v>
      </c>
      <c r="G156" s="18"/>
      <c r="H156" s="19">
        <v>14460</v>
      </c>
      <c r="I156" s="22"/>
      <c r="J156" s="23"/>
    </row>
    <row r="157" s="3" customFormat="true" ht="14.25" spans="1:10">
      <c r="A157" s="12">
        <v>153</v>
      </c>
      <c r="B157" s="12" t="s">
        <v>385</v>
      </c>
      <c r="C157" s="12" t="s">
        <v>386</v>
      </c>
      <c r="D157" s="13" t="s">
        <v>387</v>
      </c>
      <c r="E157" s="13" t="str">
        <f>VLOOKUP(B157,'[1]490（最终版） (2)'!$B:$F,5,FALSE)</f>
        <v>内外固定材料</v>
      </c>
      <c r="F157" s="17">
        <v>13000</v>
      </c>
      <c r="G157" s="18"/>
      <c r="H157" s="19">
        <v>11400</v>
      </c>
      <c r="I157" s="22"/>
      <c r="J157" s="23"/>
    </row>
    <row r="158" s="3" customFormat="true" ht="28.5" spans="1:10">
      <c r="A158" s="12">
        <v>154</v>
      </c>
      <c r="B158" s="12" t="s">
        <v>388</v>
      </c>
      <c r="C158" s="12" t="s">
        <v>389</v>
      </c>
      <c r="D158" s="13" t="s">
        <v>198</v>
      </c>
      <c r="E158" s="13">
        <f>VLOOKUP(B158,'[1]490（最终版） (2)'!$B:$F,5,FALSE)</f>
        <v>0</v>
      </c>
      <c r="F158" s="17">
        <v>13500</v>
      </c>
      <c r="G158" s="18"/>
      <c r="H158" s="19">
        <v>10650</v>
      </c>
      <c r="I158" s="22"/>
      <c r="J158" s="23">
        <f>VLOOKUP(B158,'[1]490（最终版） (2)'!$B:$I,8,FALSE)</f>
        <v>0</v>
      </c>
    </row>
    <row r="159" s="3" customFormat="true" ht="14.25" spans="1:10">
      <c r="A159" s="12">
        <v>155</v>
      </c>
      <c r="B159" s="12" t="s">
        <v>390</v>
      </c>
      <c r="C159" s="12" t="s">
        <v>320</v>
      </c>
      <c r="D159" s="13" t="s">
        <v>19</v>
      </c>
      <c r="E159" s="13"/>
      <c r="F159" s="17">
        <v>6000</v>
      </c>
      <c r="G159" s="18"/>
      <c r="H159" s="19">
        <v>5200</v>
      </c>
      <c r="I159" s="22"/>
      <c r="J159" s="23"/>
    </row>
    <row r="160" s="3" customFormat="true" ht="14.25" spans="1:10">
      <c r="A160" s="12">
        <v>156</v>
      </c>
      <c r="B160" s="12" t="s">
        <v>391</v>
      </c>
      <c r="C160" s="12" t="s">
        <v>392</v>
      </c>
      <c r="D160" s="13"/>
      <c r="E160" s="13"/>
      <c r="F160" s="17">
        <v>5200</v>
      </c>
      <c r="G160" s="18"/>
      <c r="H160" s="19">
        <v>4200</v>
      </c>
      <c r="I160" s="22"/>
      <c r="J160" s="23"/>
    </row>
    <row r="161" s="3" customFormat="true" ht="28.5" spans="1:10">
      <c r="A161" s="12">
        <v>157</v>
      </c>
      <c r="B161" s="12" t="s">
        <v>393</v>
      </c>
      <c r="C161" s="12" t="s">
        <v>394</v>
      </c>
      <c r="D161" s="13" t="s">
        <v>395</v>
      </c>
      <c r="E161" s="13"/>
      <c r="F161" s="17">
        <v>8200</v>
      </c>
      <c r="G161" s="18"/>
      <c r="H161" s="19">
        <v>8000</v>
      </c>
      <c r="I161" s="22"/>
      <c r="J161" s="23"/>
    </row>
    <row r="162" s="3" customFormat="true" ht="14.25" spans="1:10">
      <c r="A162" s="12">
        <v>158</v>
      </c>
      <c r="B162" s="12" t="s">
        <v>396</v>
      </c>
      <c r="C162" s="12" t="s">
        <v>397</v>
      </c>
      <c r="D162" s="13"/>
      <c r="E162" s="13"/>
      <c r="F162" s="20">
        <v>3600</v>
      </c>
      <c r="G162" s="20">
        <v>4000</v>
      </c>
      <c r="H162" s="21">
        <v>3200</v>
      </c>
      <c r="I162" s="21">
        <v>3600</v>
      </c>
      <c r="J162" s="23"/>
    </row>
    <row r="163" s="3" customFormat="true" ht="28.5" spans="1:10">
      <c r="A163" s="12">
        <v>159</v>
      </c>
      <c r="B163" s="12" t="s">
        <v>398</v>
      </c>
      <c r="C163" s="12" t="s">
        <v>399</v>
      </c>
      <c r="D163" s="13" t="s">
        <v>400</v>
      </c>
      <c r="E163" s="13"/>
      <c r="F163" s="17">
        <v>1400</v>
      </c>
      <c r="G163" s="18"/>
      <c r="H163" s="19">
        <v>1850</v>
      </c>
      <c r="I163" s="22"/>
      <c r="J163" s="23" t="str">
        <f>VLOOKUP(B163,'[1]490（最终版） (2)'!$B:$I,8,FALSE)</f>
        <v>限14周岁以下</v>
      </c>
    </row>
    <row r="164" s="3" customFormat="true" ht="14.25" spans="1:10">
      <c r="A164" s="12">
        <v>160</v>
      </c>
      <c r="B164" s="12" t="s">
        <v>401</v>
      </c>
      <c r="C164" s="12" t="s">
        <v>402</v>
      </c>
      <c r="D164" s="13" t="s">
        <v>26</v>
      </c>
      <c r="E164" s="13"/>
      <c r="F164" s="17">
        <v>4000</v>
      </c>
      <c r="G164" s="18"/>
      <c r="H164" s="19">
        <v>2650</v>
      </c>
      <c r="I164" s="22"/>
      <c r="J164" s="23" t="str">
        <f>VLOOKUP(B164,'[1]490（最终版） (2)'!$B:$I,8,FALSE)</f>
        <v>14周岁以下患者</v>
      </c>
    </row>
    <row r="165" s="3" customFormat="true" ht="14.25" spans="1:10">
      <c r="A165" s="12">
        <v>161</v>
      </c>
      <c r="B165" s="12" t="s">
        <v>403</v>
      </c>
      <c r="C165" s="12" t="s">
        <v>358</v>
      </c>
      <c r="D165" s="13" t="s">
        <v>404</v>
      </c>
      <c r="E165" s="13">
        <f>VLOOKUP(B165,'[1]490（最终版） (2)'!$B:$F,5,FALSE)</f>
        <v>0</v>
      </c>
      <c r="F165" s="17">
        <v>15500</v>
      </c>
      <c r="G165" s="18"/>
      <c r="H165" s="19">
        <v>12100</v>
      </c>
      <c r="I165" s="22"/>
      <c r="J165" s="23">
        <f>VLOOKUP(B165,'[1]490（最终版） (2)'!$B:$I,8,FALSE)</f>
        <v>0</v>
      </c>
    </row>
    <row r="166" s="3" customFormat="true" ht="14.25" spans="1:10">
      <c r="A166" s="12">
        <v>162</v>
      </c>
      <c r="B166" s="12" t="s">
        <v>405</v>
      </c>
      <c r="C166" s="12" t="s">
        <v>406</v>
      </c>
      <c r="D166" s="13" t="s">
        <v>407</v>
      </c>
      <c r="E166" s="13"/>
      <c r="F166" s="17">
        <v>4000</v>
      </c>
      <c r="G166" s="18"/>
      <c r="H166" s="19">
        <v>3325</v>
      </c>
      <c r="I166" s="22"/>
      <c r="J166" s="23"/>
    </row>
    <row r="167" s="3" customFormat="true" ht="28.5" spans="1:10">
      <c r="A167" s="12">
        <v>163</v>
      </c>
      <c r="B167" s="12" t="s">
        <v>408</v>
      </c>
      <c r="C167" s="12" t="s">
        <v>358</v>
      </c>
      <c r="D167" s="13" t="s">
        <v>409</v>
      </c>
      <c r="E167" s="13">
        <f>VLOOKUP(B167,'[1]490（最终版） (2)'!$B:$F,5,FALSE)</f>
        <v>0</v>
      </c>
      <c r="F167" s="17">
        <v>12000</v>
      </c>
      <c r="G167" s="18"/>
      <c r="H167" s="19">
        <v>11200</v>
      </c>
      <c r="I167" s="22"/>
      <c r="J167" s="23">
        <f>VLOOKUP(B167,'[1]490（最终版） (2)'!$B:$I,8,FALSE)</f>
        <v>0</v>
      </c>
    </row>
    <row r="168" s="3" customFormat="true" ht="14.25" spans="1:10">
      <c r="A168" s="12">
        <v>164</v>
      </c>
      <c r="B168" s="12" t="s">
        <v>410</v>
      </c>
      <c r="C168" s="12" t="s">
        <v>69</v>
      </c>
      <c r="D168" s="13" t="s">
        <v>411</v>
      </c>
      <c r="E168" s="13"/>
      <c r="F168" s="17">
        <v>15000</v>
      </c>
      <c r="G168" s="18"/>
      <c r="H168" s="19">
        <v>14900</v>
      </c>
      <c r="I168" s="22"/>
      <c r="J168" s="23"/>
    </row>
    <row r="169" s="3" customFormat="true" ht="28.5" spans="1:10">
      <c r="A169" s="12">
        <v>165</v>
      </c>
      <c r="B169" s="12" t="s">
        <v>412</v>
      </c>
      <c r="C169" s="12" t="s">
        <v>413</v>
      </c>
      <c r="D169" s="13" t="s">
        <v>414</v>
      </c>
      <c r="E169" s="13"/>
      <c r="F169" s="17">
        <v>23800</v>
      </c>
      <c r="G169" s="18"/>
      <c r="H169" s="19">
        <v>26500</v>
      </c>
      <c r="I169" s="22"/>
      <c r="J169" s="23"/>
    </row>
    <row r="170" s="3" customFormat="true" ht="14.25" spans="1:10">
      <c r="A170" s="12">
        <v>166</v>
      </c>
      <c r="B170" s="12" t="s">
        <v>415</v>
      </c>
      <c r="C170" s="12" t="s">
        <v>364</v>
      </c>
      <c r="D170" s="13" t="s">
        <v>416</v>
      </c>
      <c r="E170" s="13"/>
      <c r="F170" s="17">
        <v>11500</v>
      </c>
      <c r="G170" s="18"/>
      <c r="H170" s="19">
        <v>13000</v>
      </c>
      <c r="I170" s="22"/>
      <c r="J170" s="23"/>
    </row>
    <row r="171" s="3" customFormat="true" ht="14.25" spans="1:10">
      <c r="A171" s="12">
        <v>167</v>
      </c>
      <c r="B171" s="12" t="s">
        <v>417</v>
      </c>
      <c r="C171" s="12" t="s">
        <v>313</v>
      </c>
      <c r="D171" s="13" t="s">
        <v>418</v>
      </c>
      <c r="E171" s="13"/>
      <c r="F171" s="17">
        <v>8000</v>
      </c>
      <c r="G171" s="18"/>
      <c r="H171" s="19">
        <v>7050</v>
      </c>
      <c r="I171" s="22"/>
      <c r="J171" s="23"/>
    </row>
    <row r="172" s="3" customFormat="true" ht="14.25" spans="1:10">
      <c r="A172" s="12">
        <v>168</v>
      </c>
      <c r="B172" s="12" t="s">
        <v>419</v>
      </c>
      <c r="C172" s="12" t="s">
        <v>420</v>
      </c>
      <c r="D172" s="13"/>
      <c r="E172" s="13"/>
      <c r="F172" s="17">
        <v>2900</v>
      </c>
      <c r="G172" s="18"/>
      <c r="H172" s="19">
        <v>1950</v>
      </c>
      <c r="I172" s="22"/>
      <c r="J172" s="23"/>
    </row>
    <row r="173" s="3" customFormat="true" ht="28.5" spans="1:10">
      <c r="A173" s="12">
        <v>169</v>
      </c>
      <c r="B173" s="12" t="s">
        <v>421</v>
      </c>
      <c r="C173" s="12" t="s">
        <v>422</v>
      </c>
      <c r="D173" s="13" t="s">
        <v>423</v>
      </c>
      <c r="E173" s="13"/>
      <c r="F173" s="17">
        <v>7700</v>
      </c>
      <c r="G173" s="18"/>
      <c r="H173" s="19">
        <v>6620</v>
      </c>
      <c r="I173" s="22"/>
      <c r="J173" s="23"/>
    </row>
    <row r="174" s="3" customFormat="true" ht="14.25" spans="1:10">
      <c r="A174" s="12">
        <v>170</v>
      </c>
      <c r="B174" s="12" t="s">
        <v>424</v>
      </c>
      <c r="C174" s="12" t="s">
        <v>425</v>
      </c>
      <c r="D174" s="13" t="s">
        <v>426</v>
      </c>
      <c r="E174" s="13" t="str">
        <f>VLOOKUP(B174,'[1]490（最终版） (2)'!$B:$F,5,FALSE)</f>
        <v>内外固定材料</v>
      </c>
      <c r="F174" s="17">
        <v>21300</v>
      </c>
      <c r="G174" s="18"/>
      <c r="H174" s="19">
        <v>21700</v>
      </c>
      <c r="I174" s="22"/>
      <c r="J174" s="23"/>
    </row>
    <row r="175" s="3" customFormat="true" ht="14.25" spans="1:10">
      <c r="A175" s="12">
        <v>171</v>
      </c>
      <c r="B175" s="12" t="s">
        <v>427</v>
      </c>
      <c r="C175" s="12" t="s">
        <v>428</v>
      </c>
      <c r="D175" s="13" t="s">
        <v>135</v>
      </c>
      <c r="E175" s="13"/>
      <c r="F175" s="17">
        <v>13600</v>
      </c>
      <c r="G175" s="18"/>
      <c r="H175" s="19">
        <v>9250</v>
      </c>
      <c r="I175" s="22"/>
      <c r="J175" s="23"/>
    </row>
    <row r="176" s="3" customFormat="true" ht="28.5" spans="1:10">
      <c r="A176" s="12">
        <v>172</v>
      </c>
      <c r="B176" s="12" t="s">
        <v>429</v>
      </c>
      <c r="C176" s="12" t="s">
        <v>430</v>
      </c>
      <c r="D176" s="13" t="s">
        <v>431</v>
      </c>
      <c r="E176" s="13" t="str">
        <f>VLOOKUP(B176,'[1]490（最终版） (2)'!$B:$F,5,FALSE)</f>
        <v>内外固定材料</v>
      </c>
      <c r="F176" s="17">
        <v>9400</v>
      </c>
      <c r="G176" s="18"/>
      <c r="H176" s="19">
        <v>9200</v>
      </c>
      <c r="I176" s="22"/>
      <c r="J176" s="23"/>
    </row>
    <row r="177" s="3" customFormat="true" ht="28.5" spans="1:10">
      <c r="A177" s="12">
        <v>173</v>
      </c>
      <c r="B177" s="12" t="s">
        <v>432</v>
      </c>
      <c r="C177" s="12" t="s">
        <v>433</v>
      </c>
      <c r="D177" s="13" t="s">
        <v>434</v>
      </c>
      <c r="E177" s="13"/>
      <c r="F177" s="17">
        <v>5000</v>
      </c>
      <c r="G177" s="18"/>
      <c r="H177" s="19">
        <v>4800</v>
      </c>
      <c r="I177" s="22"/>
      <c r="J177" s="23"/>
    </row>
    <row r="178" s="3" customFormat="true" ht="14.25" spans="1:10">
      <c r="A178" s="12">
        <v>174</v>
      </c>
      <c r="B178" s="12" t="s">
        <v>435</v>
      </c>
      <c r="C178" s="12" t="s">
        <v>436</v>
      </c>
      <c r="D178" s="13"/>
      <c r="E178" s="13"/>
      <c r="F178" s="17">
        <v>2000</v>
      </c>
      <c r="G178" s="18"/>
      <c r="H178" s="19">
        <v>2200</v>
      </c>
      <c r="I178" s="22"/>
      <c r="J178" s="23" t="str">
        <f>VLOOKUP(B178,'[1]490（最终版） (2)'!$B:$I,8,FALSE)</f>
        <v>限14周岁以下</v>
      </c>
    </row>
    <row r="179" s="3" customFormat="true" ht="14.25" spans="1:10">
      <c r="A179" s="12">
        <v>175</v>
      </c>
      <c r="B179" s="12" t="s">
        <v>437</v>
      </c>
      <c r="C179" s="12" t="s">
        <v>438</v>
      </c>
      <c r="D179" s="13" t="s">
        <v>439</v>
      </c>
      <c r="E179" s="13"/>
      <c r="F179" s="17">
        <v>5500</v>
      </c>
      <c r="G179" s="18"/>
      <c r="H179" s="19">
        <v>5450</v>
      </c>
      <c r="I179" s="22"/>
      <c r="J179" s="23" t="str">
        <f>VLOOKUP(B179,'[1]490（最终版） (2)'!$B:$I,8,FALSE)</f>
        <v>限非创伤性出血</v>
      </c>
    </row>
    <row r="180" s="3" customFormat="true" ht="28.5" spans="1:10">
      <c r="A180" s="12">
        <v>176</v>
      </c>
      <c r="B180" s="12" t="s">
        <v>440</v>
      </c>
      <c r="C180" s="12" t="s">
        <v>441</v>
      </c>
      <c r="D180" s="13" t="s">
        <v>442</v>
      </c>
      <c r="E180" s="13"/>
      <c r="F180" s="17">
        <v>5500</v>
      </c>
      <c r="G180" s="18"/>
      <c r="H180" s="19">
        <v>4300</v>
      </c>
      <c r="I180" s="22"/>
      <c r="J180" s="23"/>
    </row>
    <row r="181" s="3" customFormat="true" ht="28.5" spans="1:10">
      <c r="A181" s="12">
        <v>177</v>
      </c>
      <c r="B181" s="12" t="s">
        <v>443</v>
      </c>
      <c r="C181" s="12" t="s">
        <v>425</v>
      </c>
      <c r="D181" s="13" t="s">
        <v>444</v>
      </c>
      <c r="E181" s="13" t="str">
        <f>VLOOKUP(B181,'[1]490（最终版） (2)'!$B:$F,5,FALSE)</f>
        <v>内外固定材料</v>
      </c>
      <c r="F181" s="17">
        <v>18000</v>
      </c>
      <c r="G181" s="18"/>
      <c r="H181" s="19">
        <v>17600</v>
      </c>
      <c r="I181" s="22"/>
      <c r="J181" s="23"/>
    </row>
    <row r="182" s="3" customFormat="true" ht="14.25" spans="1:10">
      <c r="A182" s="12">
        <v>178</v>
      </c>
      <c r="B182" s="12" t="s">
        <v>445</v>
      </c>
      <c r="C182" s="12" t="s">
        <v>446</v>
      </c>
      <c r="D182" s="13" t="s">
        <v>447</v>
      </c>
      <c r="E182" s="13">
        <f>VLOOKUP(B182,'[1]490（最终版） (2)'!$B:$F,5,FALSE)</f>
        <v>0</v>
      </c>
      <c r="F182" s="17">
        <v>16000</v>
      </c>
      <c r="G182" s="18"/>
      <c r="H182" s="19">
        <v>11250</v>
      </c>
      <c r="I182" s="22"/>
      <c r="J182" s="23">
        <f>VLOOKUP(B182,'[1]490（最终版） (2)'!$B:$I,8,FALSE)</f>
        <v>0</v>
      </c>
    </row>
    <row r="183" s="3" customFormat="true" ht="28.5" spans="1:10">
      <c r="A183" s="12">
        <v>179</v>
      </c>
      <c r="B183" s="12" t="s">
        <v>448</v>
      </c>
      <c r="C183" s="12" t="s">
        <v>97</v>
      </c>
      <c r="D183" s="13" t="s">
        <v>449</v>
      </c>
      <c r="E183" s="13" t="str">
        <f>VLOOKUP(B183,'[1]490（最终版） (2)'!$B:$F,5,FALSE)</f>
        <v>人工髋关节组件、内外固定材料</v>
      </c>
      <c r="F183" s="17">
        <v>22100</v>
      </c>
      <c r="G183" s="18"/>
      <c r="H183" s="19">
        <v>15900</v>
      </c>
      <c r="I183" s="22"/>
      <c r="J183" s="23"/>
    </row>
    <row r="184" s="3" customFormat="true" ht="14.25" spans="1:10">
      <c r="A184" s="12">
        <v>180</v>
      </c>
      <c r="B184" s="12" t="s">
        <v>450</v>
      </c>
      <c r="C184" s="12" t="s">
        <v>451</v>
      </c>
      <c r="D184" s="13" t="s">
        <v>452</v>
      </c>
      <c r="E184" s="13" t="str">
        <f>VLOOKUP(B184,'[1]490（最终版） (2)'!$B:$F,5,FALSE)</f>
        <v>内外固定材料</v>
      </c>
      <c r="F184" s="20">
        <v>10000</v>
      </c>
      <c r="G184" s="20">
        <v>9000</v>
      </c>
      <c r="H184" s="21">
        <v>11250</v>
      </c>
      <c r="I184" s="21">
        <v>10125</v>
      </c>
      <c r="J184" s="23"/>
    </row>
    <row r="185" s="3" customFormat="true" ht="14.25" spans="1:10">
      <c r="A185" s="12">
        <v>181</v>
      </c>
      <c r="B185" s="12" t="s">
        <v>453</v>
      </c>
      <c r="C185" s="12" t="s">
        <v>454</v>
      </c>
      <c r="D185" s="13" t="s">
        <v>455</v>
      </c>
      <c r="E185" s="13">
        <f>VLOOKUP(B185,'[1]490（最终版） (2)'!$B:$F,5,FALSE)</f>
        <v>0</v>
      </c>
      <c r="F185" s="17">
        <v>6700</v>
      </c>
      <c r="G185" s="18"/>
      <c r="H185" s="19">
        <v>5350</v>
      </c>
      <c r="I185" s="22"/>
      <c r="J185" s="23">
        <f>VLOOKUP(B185,'[1]490（最终版） (2)'!$B:$I,8,FALSE)</f>
        <v>0</v>
      </c>
    </row>
    <row r="186" s="3" customFormat="true" ht="14.25" spans="1:10">
      <c r="A186" s="12">
        <v>182</v>
      </c>
      <c r="B186" s="12" t="s">
        <v>456</v>
      </c>
      <c r="C186" s="12" t="s">
        <v>457</v>
      </c>
      <c r="D186" s="13" t="s">
        <v>458</v>
      </c>
      <c r="E186" s="13" t="str">
        <f>VLOOKUP(B186,'[1]490（最终版） (2)'!$B:$F,5,FALSE)</f>
        <v>内外固定材料</v>
      </c>
      <c r="F186" s="17">
        <v>9000</v>
      </c>
      <c r="G186" s="18"/>
      <c r="H186" s="19">
        <v>6825</v>
      </c>
      <c r="I186" s="22"/>
      <c r="J186" s="23"/>
    </row>
    <row r="187" s="3" customFormat="true" ht="14.25" spans="1:10">
      <c r="A187" s="12">
        <v>183</v>
      </c>
      <c r="B187" s="12" t="s">
        <v>459</v>
      </c>
      <c r="C187" s="12" t="s">
        <v>460</v>
      </c>
      <c r="D187" s="13"/>
      <c r="E187" s="13"/>
      <c r="F187" s="17">
        <v>4500</v>
      </c>
      <c r="G187" s="18"/>
      <c r="H187" s="19">
        <v>4050</v>
      </c>
      <c r="I187" s="22"/>
      <c r="J187" s="23"/>
    </row>
    <row r="188" s="3" customFormat="true" ht="14.25" spans="1:10">
      <c r="A188" s="12">
        <v>184</v>
      </c>
      <c r="B188" s="12" t="s">
        <v>461</v>
      </c>
      <c r="C188" s="12" t="s">
        <v>462</v>
      </c>
      <c r="D188" s="13" t="s">
        <v>463</v>
      </c>
      <c r="E188" s="13">
        <f>VLOOKUP(B188,'[1]490（最终版） (2)'!$B:$F,5,FALSE)</f>
        <v>0</v>
      </c>
      <c r="F188" s="17">
        <v>10000</v>
      </c>
      <c r="G188" s="18"/>
      <c r="H188" s="19">
        <v>9650</v>
      </c>
      <c r="I188" s="22"/>
      <c r="J188" s="23"/>
    </row>
    <row r="189" s="3" customFormat="true" ht="14.25" spans="1:10">
      <c r="A189" s="12">
        <v>185</v>
      </c>
      <c r="B189" s="12" t="s">
        <v>464</v>
      </c>
      <c r="C189" s="12" t="s">
        <v>465</v>
      </c>
      <c r="D189" s="13" t="s">
        <v>466</v>
      </c>
      <c r="E189" s="13">
        <f>VLOOKUP(B189,'[1]490（最终版） (2)'!$B:$F,5,FALSE)</f>
        <v>0</v>
      </c>
      <c r="F189" s="17">
        <v>12000</v>
      </c>
      <c r="G189" s="18"/>
      <c r="H189" s="19">
        <v>9300</v>
      </c>
      <c r="I189" s="22"/>
      <c r="J189" s="23">
        <f>VLOOKUP(B189,'[1]490（最终版） (2)'!$B:$I,8,FALSE)</f>
        <v>0</v>
      </c>
    </row>
    <row r="190" s="3" customFormat="true" ht="14.25" spans="1:10">
      <c r="A190" s="12">
        <v>186</v>
      </c>
      <c r="B190" s="12" t="s">
        <v>467</v>
      </c>
      <c r="C190" s="12" t="s">
        <v>380</v>
      </c>
      <c r="D190" s="13" t="s">
        <v>468</v>
      </c>
      <c r="E190" s="13"/>
      <c r="F190" s="17">
        <v>11100</v>
      </c>
      <c r="G190" s="18"/>
      <c r="H190" s="19">
        <v>9300</v>
      </c>
      <c r="I190" s="22"/>
      <c r="J190" s="23" t="str">
        <f>VLOOKUP(B190,'[1]490（最终版） (2)'!$B:$I,8,FALSE)</f>
        <v>含单侧卵巢病损切除术</v>
      </c>
    </row>
    <row r="191" s="3" customFormat="true" ht="14.25" spans="1:10">
      <c r="A191" s="12">
        <v>187</v>
      </c>
      <c r="B191" s="12" t="s">
        <v>469</v>
      </c>
      <c r="C191" s="12" t="s">
        <v>358</v>
      </c>
      <c r="D191" s="13" t="s">
        <v>466</v>
      </c>
      <c r="E191" s="13">
        <f>VLOOKUP(B191,'[1]490（最终版） (2)'!$B:$F,5,FALSE)</f>
        <v>0</v>
      </c>
      <c r="F191" s="17">
        <v>14000</v>
      </c>
      <c r="G191" s="18"/>
      <c r="H191" s="19">
        <v>10750</v>
      </c>
      <c r="I191" s="22"/>
      <c r="J191" s="23">
        <f>VLOOKUP(B191,'[1]490（最终版） (2)'!$B:$I,8,FALSE)</f>
        <v>0</v>
      </c>
    </row>
    <row r="192" s="3" customFormat="true" ht="14.25" spans="1:10">
      <c r="A192" s="12">
        <v>188</v>
      </c>
      <c r="B192" s="12" t="s">
        <v>470</v>
      </c>
      <c r="C192" s="12" t="s">
        <v>471</v>
      </c>
      <c r="D192" s="13"/>
      <c r="E192" s="13"/>
      <c r="F192" s="17">
        <v>7900</v>
      </c>
      <c r="G192" s="18"/>
      <c r="H192" s="19">
        <v>6750</v>
      </c>
      <c r="I192" s="22"/>
      <c r="J192" s="23"/>
    </row>
    <row r="193" s="3" customFormat="true" ht="14.25" spans="1:10">
      <c r="A193" s="12">
        <v>189</v>
      </c>
      <c r="B193" s="12" t="s">
        <v>472</v>
      </c>
      <c r="C193" s="12" t="s">
        <v>473</v>
      </c>
      <c r="D193" s="13" t="s">
        <v>474</v>
      </c>
      <c r="E193" s="13"/>
      <c r="F193" s="17">
        <v>6400</v>
      </c>
      <c r="G193" s="18"/>
      <c r="H193" s="19">
        <v>6150</v>
      </c>
      <c r="I193" s="22"/>
      <c r="J193" s="23"/>
    </row>
    <row r="194" s="3" customFormat="true" ht="14.25" spans="1:10">
      <c r="A194" s="12">
        <v>190</v>
      </c>
      <c r="B194" s="12" t="s">
        <v>475</v>
      </c>
      <c r="C194" s="12" t="s">
        <v>476</v>
      </c>
      <c r="D194" s="13"/>
      <c r="E194" s="13"/>
      <c r="F194" s="17">
        <v>5200</v>
      </c>
      <c r="G194" s="18"/>
      <c r="H194" s="19">
        <v>4250</v>
      </c>
      <c r="I194" s="22"/>
      <c r="J194" s="23"/>
    </row>
    <row r="195" s="3" customFormat="true" ht="14.25" spans="1:10">
      <c r="A195" s="12">
        <v>191</v>
      </c>
      <c r="B195" s="12" t="s">
        <v>477</v>
      </c>
      <c r="C195" s="12" t="s">
        <v>478</v>
      </c>
      <c r="D195" s="13" t="s">
        <v>479</v>
      </c>
      <c r="E195" s="13" t="str">
        <f>VLOOKUP(B195,'[1]490（最终版） (2)'!$B:$F,5,FALSE)</f>
        <v>支架</v>
      </c>
      <c r="F195" s="17">
        <v>25000</v>
      </c>
      <c r="G195" s="18"/>
      <c r="H195" s="19">
        <v>16600</v>
      </c>
      <c r="I195" s="22"/>
      <c r="J195" s="23">
        <f>VLOOKUP(B195,'[1]490（最终版） (2)'!$B:$I,8,FALSE)</f>
        <v>0</v>
      </c>
    </row>
    <row r="196" s="3" customFormat="true" ht="14.25" spans="1:10">
      <c r="A196" s="12">
        <v>192</v>
      </c>
      <c r="B196" s="12" t="s">
        <v>480</v>
      </c>
      <c r="C196" s="12" t="s">
        <v>481</v>
      </c>
      <c r="D196" s="13" t="s">
        <v>482</v>
      </c>
      <c r="E196" s="13">
        <f>VLOOKUP(B196,'[1]490（最终版） (2)'!$B:$F,5,FALSE)</f>
        <v>0</v>
      </c>
      <c r="F196" s="17">
        <v>5600</v>
      </c>
      <c r="G196" s="18"/>
      <c r="H196" s="19">
        <v>5250</v>
      </c>
      <c r="I196" s="22"/>
      <c r="J196" s="23" t="str">
        <f>VLOOKUP(B196,'[1]490（最终版） (2)'!$B:$I,8,FALSE)</f>
        <v>单侧</v>
      </c>
    </row>
    <row r="197" s="3" customFormat="true" ht="14.25" spans="1:10">
      <c r="A197" s="12">
        <v>193</v>
      </c>
      <c r="B197" s="12" t="s">
        <v>483</v>
      </c>
      <c r="C197" s="12" t="s">
        <v>484</v>
      </c>
      <c r="D197" s="13" t="s">
        <v>485</v>
      </c>
      <c r="E197" s="13">
        <f>VLOOKUP(B197,'[1]490（最终版） (2)'!$B:$F,5,FALSE)</f>
        <v>0</v>
      </c>
      <c r="F197" s="17">
        <v>7000</v>
      </c>
      <c r="G197" s="18"/>
      <c r="H197" s="19">
        <v>5650</v>
      </c>
      <c r="I197" s="22"/>
      <c r="J197" s="23">
        <f>VLOOKUP(B197,'[1]490（最终版） (2)'!$B:$I,8,FALSE)</f>
        <v>0</v>
      </c>
    </row>
    <row r="198" s="3" customFormat="true" ht="14.25" spans="1:10">
      <c r="A198" s="12">
        <v>194</v>
      </c>
      <c r="B198" s="12" t="s">
        <v>486</v>
      </c>
      <c r="C198" s="12" t="s">
        <v>364</v>
      </c>
      <c r="D198" s="13" t="s">
        <v>487</v>
      </c>
      <c r="E198" s="13"/>
      <c r="F198" s="17">
        <v>6200</v>
      </c>
      <c r="G198" s="18"/>
      <c r="H198" s="19">
        <v>6900</v>
      </c>
      <c r="I198" s="22"/>
      <c r="J198" s="23"/>
    </row>
    <row r="199" s="3" customFormat="true" ht="14.25" spans="1:10">
      <c r="A199" s="12">
        <v>195</v>
      </c>
      <c r="B199" s="12" t="s">
        <v>488</v>
      </c>
      <c r="C199" s="12" t="s">
        <v>305</v>
      </c>
      <c r="D199" s="13" t="s">
        <v>489</v>
      </c>
      <c r="E199" s="13"/>
      <c r="F199" s="17">
        <v>25800</v>
      </c>
      <c r="G199" s="18"/>
      <c r="H199" s="19">
        <v>20500</v>
      </c>
      <c r="I199" s="22"/>
      <c r="J199" s="23"/>
    </row>
    <row r="200" s="3" customFormat="true" ht="14.25" spans="1:10">
      <c r="A200" s="12">
        <v>196</v>
      </c>
      <c r="B200" s="12" t="s">
        <v>490</v>
      </c>
      <c r="C200" s="12" t="s">
        <v>491</v>
      </c>
      <c r="D200" s="13" t="s">
        <v>492</v>
      </c>
      <c r="E200" s="13"/>
      <c r="F200" s="17">
        <v>3000</v>
      </c>
      <c r="G200" s="18"/>
      <c r="H200" s="19">
        <v>2900</v>
      </c>
      <c r="I200" s="22"/>
      <c r="J200" s="23"/>
    </row>
    <row r="201" s="3" customFormat="true" ht="14.25" spans="1:10">
      <c r="A201" s="12">
        <v>197</v>
      </c>
      <c r="B201" s="12" t="s">
        <v>493</v>
      </c>
      <c r="C201" s="12" t="s">
        <v>494</v>
      </c>
      <c r="D201" s="13" t="s">
        <v>495</v>
      </c>
      <c r="E201" s="13">
        <f>VLOOKUP(B201,'[1]490（最终版） (2)'!$B:$F,5,FALSE)</f>
        <v>0</v>
      </c>
      <c r="F201" s="17">
        <v>7800</v>
      </c>
      <c r="G201" s="18"/>
      <c r="H201" s="19">
        <v>4500</v>
      </c>
      <c r="I201" s="22"/>
      <c r="J201" s="23" t="str">
        <f>VLOOKUP(B201,'[1]490（最终版） (2)'!$B:$I,8,FALSE)</f>
        <v>单侧</v>
      </c>
    </row>
    <row r="202" s="3" customFormat="true" ht="14.25" spans="1:10">
      <c r="A202" s="12">
        <v>198</v>
      </c>
      <c r="B202" s="12" t="s">
        <v>496</v>
      </c>
      <c r="C202" s="12" t="s">
        <v>497</v>
      </c>
      <c r="D202" s="13" t="s">
        <v>152</v>
      </c>
      <c r="E202" s="13"/>
      <c r="F202" s="17">
        <v>5200</v>
      </c>
      <c r="G202" s="18"/>
      <c r="H202" s="19">
        <v>4400</v>
      </c>
      <c r="I202" s="22"/>
      <c r="J202" s="23"/>
    </row>
    <row r="203" s="3" customFormat="true" ht="28.5" spans="1:10">
      <c r="A203" s="12">
        <v>199</v>
      </c>
      <c r="B203" s="12" t="s">
        <v>498</v>
      </c>
      <c r="C203" s="12" t="s">
        <v>499</v>
      </c>
      <c r="D203" s="13" t="s">
        <v>500</v>
      </c>
      <c r="E203" s="13"/>
      <c r="F203" s="17">
        <v>61200</v>
      </c>
      <c r="G203" s="18"/>
      <c r="H203" s="19">
        <v>47200</v>
      </c>
      <c r="I203" s="22"/>
      <c r="J203" s="23"/>
    </row>
    <row r="204" s="3" customFormat="true" ht="14.25" spans="1:10">
      <c r="A204" s="12">
        <v>200</v>
      </c>
      <c r="B204" s="12" t="s">
        <v>501</v>
      </c>
      <c r="C204" s="12" t="s">
        <v>502</v>
      </c>
      <c r="D204" s="13"/>
      <c r="E204" s="13"/>
      <c r="F204" s="17">
        <v>7300</v>
      </c>
      <c r="G204" s="18"/>
      <c r="H204" s="19">
        <v>5700</v>
      </c>
      <c r="I204" s="22"/>
      <c r="J204" s="23"/>
    </row>
    <row r="205" s="3" customFormat="true" ht="14.25" spans="1:10">
      <c r="A205" s="12">
        <v>201</v>
      </c>
      <c r="B205" s="12" t="s">
        <v>503</v>
      </c>
      <c r="C205" s="12" t="s">
        <v>504</v>
      </c>
      <c r="D205" s="13" t="s">
        <v>26</v>
      </c>
      <c r="E205" s="13"/>
      <c r="F205" s="17">
        <v>4300</v>
      </c>
      <c r="G205" s="18"/>
      <c r="H205" s="19">
        <v>3900</v>
      </c>
      <c r="I205" s="22"/>
      <c r="J205" s="23"/>
    </row>
    <row r="206" s="3" customFormat="true" ht="14.25" spans="1:10">
      <c r="A206" s="12">
        <v>202</v>
      </c>
      <c r="B206" s="12" t="s">
        <v>505</v>
      </c>
      <c r="C206" s="12" t="s">
        <v>506</v>
      </c>
      <c r="D206" s="13" t="s">
        <v>507</v>
      </c>
      <c r="E206" s="13"/>
      <c r="F206" s="17">
        <v>10000</v>
      </c>
      <c r="G206" s="18"/>
      <c r="H206" s="19">
        <v>9000</v>
      </c>
      <c r="I206" s="22"/>
      <c r="J206" s="23"/>
    </row>
    <row r="207" s="3" customFormat="true" ht="14.25" spans="1:10">
      <c r="A207" s="12">
        <v>203</v>
      </c>
      <c r="B207" s="12" t="s">
        <v>508</v>
      </c>
      <c r="C207" s="12" t="s">
        <v>509</v>
      </c>
      <c r="D207" s="13" t="s">
        <v>510</v>
      </c>
      <c r="E207" s="13"/>
      <c r="F207" s="17">
        <v>7200</v>
      </c>
      <c r="G207" s="18"/>
      <c r="H207" s="19">
        <v>5700</v>
      </c>
      <c r="I207" s="22"/>
      <c r="J207" s="23"/>
    </row>
    <row r="208" s="3" customFormat="true" ht="14.25" spans="1:10">
      <c r="A208" s="12">
        <v>204</v>
      </c>
      <c r="B208" s="12" t="s">
        <v>511</v>
      </c>
      <c r="C208" s="12" t="s">
        <v>512</v>
      </c>
      <c r="D208" s="13"/>
      <c r="E208" s="13"/>
      <c r="F208" s="17">
        <v>4000</v>
      </c>
      <c r="G208" s="18"/>
      <c r="H208" s="19">
        <v>3700</v>
      </c>
      <c r="I208" s="22"/>
      <c r="J208" s="23"/>
    </row>
    <row r="209" s="3" customFormat="true" ht="14.25" spans="1:10">
      <c r="A209" s="12">
        <v>205</v>
      </c>
      <c r="B209" s="12" t="s">
        <v>513</v>
      </c>
      <c r="C209" s="12" t="s">
        <v>514</v>
      </c>
      <c r="D209" s="13" t="s">
        <v>515</v>
      </c>
      <c r="E209" s="13" t="str">
        <f>VLOOKUP(B209,'[1]490（最终版） (2)'!$B:$F,5,FALSE)</f>
        <v>支架</v>
      </c>
      <c r="F209" s="17">
        <v>27000</v>
      </c>
      <c r="G209" s="18"/>
      <c r="H209" s="19">
        <v>19000</v>
      </c>
      <c r="I209" s="22"/>
      <c r="J209" s="23"/>
    </row>
    <row r="210" s="3" customFormat="true" ht="42.75" spans="1:10">
      <c r="A210" s="12">
        <v>206</v>
      </c>
      <c r="B210" s="12" t="s">
        <v>516</v>
      </c>
      <c r="C210" s="12" t="s">
        <v>462</v>
      </c>
      <c r="D210" s="13" t="s">
        <v>517</v>
      </c>
      <c r="E210" s="13"/>
      <c r="F210" s="17">
        <v>15300</v>
      </c>
      <c r="G210" s="18"/>
      <c r="H210" s="19">
        <v>9900</v>
      </c>
      <c r="I210" s="22"/>
      <c r="J210" s="23"/>
    </row>
    <row r="211" s="3" customFormat="true" ht="14.25" spans="1:10">
      <c r="A211" s="12">
        <v>207</v>
      </c>
      <c r="B211" s="12" t="s">
        <v>518</v>
      </c>
      <c r="C211" s="12" t="s">
        <v>519</v>
      </c>
      <c r="D211" s="13" t="s">
        <v>520</v>
      </c>
      <c r="E211" s="13" t="str">
        <f>VLOOKUP(B211,'[1]490（最终版） (2)'!$B:$F,5,FALSE)</f>
        <v>内外固定材料</v>
      </c>
      <c r="F211" s="17">
        <v>8000</v>
      </c>
      <c r="G211" s="18"/>
      <c r="H211" s="19">
        <v>5750</v>
      </c>
      <c r="I211" s="22"/>
      <c r="J211" s="23"/>
    </row>
    <row r="212" s="3" customFormat="true" ht="14.25" spans="1:10">
      <c r="A212" s="12">
        <v>208</v>
      </c>
      <c r="B212" s="12" t="s">
        <v>521</v>
      </c>
      <c r="C212" s="12" t="s">
        <v>522</v>
      </c>
      <c r="D212" s="13" t="s">
        <v>523</v>
      </c>
      <c r="E212" s="13"/>
      <c r="F212" s="17">
        <v>11250</v>
      </c>
      <c r="G212" s="18"/>
      <c r="H212" s="19">
        <v>8550</v>
      </c>
      <c r="I212" s="22"/>
      <c r="J212" s="23"/>
    </row>
    <row r="213" s="3" customFormat="true" ht="14.25" spans="1:10">
      <c r="A213" s="12">
        <v>209</v>
      </c>
      <c r="B213" s="12" t="s">
        <v>524</v>
      </c>
      <c r="C213" s="12" t="s">
        <v>525</v>
      </c>
      <c r="D213" s="13" t="s">
        <v>526</v>
      </c>
      <c r="E213" s="13">
        <f>VLOOKUP(B213,'[1]490（最终版） (2)'!$B:$F,5,FALSE)</f>
        <v>0</v>
      </c>
      <c r="F213" s="17">
        <v>27000</v>
      </c>
      <c r="G213" s="18"/>
      <c r="H213" s="19">
        <v>15500</v>
      </c>
      <c r="I213" s="22"/>
      <c r="J213" s="23">
        <f>VLOOKUP(B213,'[1]490（最终版） (2)'!$B:$I,8,FALSE)</f>
        <v>0</v>
      </c>
    </row>
    <row r="214" s="3" customFormat="true" ht="14.25" spans="1:10">
      <c r="A214" s="12">
        <v>210</v>
      </c>
      <c r="B214" s="12" t="s">
        <v>527</v>
      </c>
      <c r="C214" s="12" t="s">
        <v>481</v>
      </c>
      <c r="D214" s="13" t="s">
        <v>528</v>
      </c>
      <c r="E214" s="13">
        <f>VLOOKUP(B214,'[1]490（最终版） (2)'!$B:$F,5,FALSE)</f>
        <v>0</v>
      </c>
      <c r="F214" s="17">
        <v>4900</v>
      </c>
      <c r="G214" s="18"/>
      <c r="H214" s="19">
        <v>4000</v>
      </c>
      <c r="I214" s="22"/>
      <c r="J214" s="23" t="str">
        <f>VLOOKUP(B214,'[1]490（最终版） (2)'!$B:$I,8,FALSE)</f>
        <v>单侧</v>
      </c>
    </row>
    <row r="215" s="3" customFormat="true" ht="14.25" spans="1:10">
      <c r="A215" s="12">
        <v>211</v>
      </c>
      <c r="B215" s="12" t="s">
        <v>529</v>
      </c>
      <c r="C215" s="12" t="s">
        <v>530</v>
      </c>
      <c r="D215" s="13" t="s">
        <v>46</v>
      </c>
      <c r="E215" s="13">
        <f>VLOOKUP(B215,'[1]490（最终版） (2)'!$B:$F,5,FALSE)</f>
        <v>0</v>
      </c>
      <c r="F215" s="17">
        <v>6200</v>
      </c>
      <c r="G215" s="18"/>
      <c r="H215" s="19">
        <v>4400</v>
      </c>
      <c r="I215" s="22"/>
      <c r="J215" s="23">
        <f>VLOOKUP(B215,'[1]490（最终版） (2)'!$B:$I,8,FALSE)</f>
        <v>0</v>
      </c>
    </row>
    <row r="216" s="3" customFormat="true" ht="14.25" spans="1:10">
      <c r="A216" s="12">
        <v>212</v>
      </c>
      <c r="B216" s="12" t="s">
        <v>531</v>
      </c>
      <c r="C216" s="12" t="s">
        <v>509</v>
      </c>
      <c r="D216" s="13" t="s">
        <v>532</v>
      </c>
      <c r="E216" s="13"/>
      <c r="F216" s="17">
        <v>5400</v>
      </c>
      <c r="G216" s="18"/>
      <c r="H216" s="19">
        <v>4150</v>
      </c>
      <c r="I216" s="22"/>
      <c r="J216" s="23"/>
    </row>
    <row r="217" s="3" customFormat="true" ht="27" spans="1:10">
      <c r="A217" s="12">
        <v>213</v>
      </c>
      <c r="B217" s="12" t="s">
        <v>533</v>
      </c>
      <c r="C217" s="12" t="s">
        <v>534</v>
      </c>
      <c r="D217" s="13" t="s">
        <v>535</v>
      </c>
      <c r="E217" s="13"/>
      <c r="F217" s="17">
        <v>5500</v>
      </c>
      <c r="G217" s="18"/>
      <c r="H217" s="19">
        <v>3175</v>
      </c>
      <c r="I217" s="22"/>
      <c r="J217" s="23"/>
    </row>
    <row r="218" s="3" customFormat="true" ht="28.5" spans="1:10">
      <c r="A218" s="12">
        <v>214</v>
      </c>
      <c r="B218" s="12" t="s">
        <v>536</v>
      </c>
      <c r="C218" s="12" t="s">
        <v>537</v>
      </c>
      <c r="D218" s="13" t="s">
        <v>538</v>
      </c>
      <c r="E218" s="13" t="str">
        <f>VLOOKUP(B218,'[1]490（最终版） (2)'!$B:$F,5,FALSE)</f>
        <v>内外固定材料</v>
      </c>
      <c r="F218" s="17">
        <v>15000</v>
      </c>
      <c r="G218" s="18"/>
      <c r="H218" s="19">
        <v>11300</v>
      </c>
      <c r="I218" s="22"/>
      <c r="J218" s="23"/>
    </row>
    <row r="219" s="3" customFormat="true" ht="28.5" spans="1:10">
      <c r="A219" s="12">
        <v>215</v>
      </c>
      <c r="B219" s="12" t="s">
        <v>539</v>
      </c>
      <c r="C219" s="12" t="s">
        <v>540</v>
      </c>
      <c r="D219" s="13" t="s">
        <v>541</v>
      </c>
      <c r="E219" s="13" t="str">
        <f>VLOOKUP(B219,'[1]490（最终版） (2)'!$B:$F,5,FALSE)</f>
        <v>内外固定材料</v>
      </c>
      <c r="F219" s="17">
        <v>14812</v>
      </c>
      <c r="G219" s="18"/>
      <c r="H219" s="19">
        <v>14350</v>
      </c>
      <c r="I219" s="22"/>
      <c r="J219" s="23"/>
    </row>
    <row r="220" s="3" customFormat="true" ht="14.25" spans="1:10">
      <c r="A220" s="12">
        <v>216</v>
      </c>
      <c r="B220" s="12" t="s">
        <v>542</v>
      </c>
      <c r="C220" s="12" t="s">
        <v>481</v>
      </c>
      <c r="D220" s="13" t="s">
        <v>528</v>
      </c>
      <c r="E220" s="13">
        <f>VLOOKUP(B220,'[1]490（最终版） (2)'!$B:$F,5,FALSE)</f>
        <v>0</v>
      </c>
      <c r="F220" s="17">
        <v>7000</v>
      </c>
      <c r="G220" s="18"/>
      <c r="H220" s="19">
        <v>5950</v>
      </c>
      <c r="I220" s="22"/>
      <c r="J220" s="23" t="str">
        <f>VLOOKUP(B220,'[1]490（最终版） (2)'!$B:$I,8,FALSE)</f>
        <v>双侧</v>
      </c>
    </row>
    <row r="221" s="3" customFormat="true" ht="14.25" spans="1:10">
      <c r="A221" s="12">
        <v>217</v>
      </c>
      <c r="B221" s="12" t="s">
        <v>543</v>
      </c>
      <c r="C221" s="12" t="s">
        <v>544</v>
      </c>
      <c r="D221" s="13"/>
      <c r="E221" s="13"/>
      <c r="F221" s="17">
        <v>8000</v>
      </c>
      <c r="G221" s="18"/>
      <c r="H221" s="19">
        <v>7750</v>
      </c>
      <c r="I221" s="22"/>
      <c r="J221" s="23"/>
    </row>
    <row r="222" s="3" customFormat="true" ht="14.25" spans="1:10">
      <c r="A222" s="12">
        <v>218</v>
      </c>
      <c r="B222" s="12" t="s">
        <v>545</v>
      </c>
      <c r="C222" s="12" t="s">
        <v>546</v>
      </c>
      <c r="D222" s="13"/>
      <c r="E222" s="13"/>
      <c r="F222" s="17">
        <v>7850</v>
      </c>
      <c r="G222" s="18"/>
      <c r="H222" s="19">
        <v>7700</v>
      </c>
      <c r="I222" s="22"/>
      <c r="J222" s="23"/>
    </row>
    <row r="223" s="3" customFormat="true" ht="14.25" spans="1:10">
      <c r="A223" s="12">
        <v>219</v>
      </c>
      <c r="B223" s="12" t="s">
        <v>547</v>
      </c>
      <c r="C223" s="12" t="s">
        <v>548</v>
      </c>
      <c r="D223" s="13" t="s">
        <v>19</v>
      </c>
      <c r="E223" s="13"/>
      <c r="F223" s="17">
        <v>3300</v>
      </c>
      <c r="G223" s="18"/>
      <c r="H223" s="19">
        <v>2700</v>
      </c>
      <c r="I223" s="22"/>
      <c r="J223" s="23"/>
    </row>
    <row r="224" s="3" customFormat="true" ht="28.5" spans="1:10">
      <c r="A224" s="12">
        <v>220</v>
      </c>
      <c r="B224" s="12" t="s">
        <v>549</v>
      </c>
      <c r="C224" s="12" t="s">
        <v>550</v>
      </c>
      <c r="D224" s="13" t="s">
        <v>551</v>
      </c>
      <c r="E224" s="13" t="str">
        <f>VLOOKUP(B224,'[1]490（最终版） (2)'!$B:$F,5,FALSE)</f>
        <v>内外固定材料（人工间盘、人工椎体）</v>
      </c>
      <c r="F224" s="17">
        <v>25000</v>
      </c>
      <c r="G224" s="18"/>
      <c r="H224" s="19">
        <v>19100</v>
      </c>
      <c r="I224" s="22"/>
      <c r="J224" s="23"/>
    </row>
    <row r="225" s="3" customFormat="true" ht="14.25" spans="1:10">
      <c r="A225" s="12">
        <v>221</v>
      </c>
      <c r="B225" s="12" t="s">
        <v>552</v>
      </c>
      <c r="C225" s="12" t="s">
        <v>553</v>
      </c>
      <c r="D225" s="13" t="s">
        <v>554</v>
      </c>
      <c r="E225" s="13"/>
      <c r="F225" s="17">
        <v>4500</v>
      </c>
      <c r="G225" s="18"/>
      <c r="H225" s="19">
        <v>7450</v>
      </c>
      <c r="I225" s="22"/>
      <c r="J225" s="23"/>
    </row>
    <row r="226" s="3" customFormat="true" ht="14.25" spans="1:10">
      <c r="A226" s="12">
        <v>222</v>
      </c>
      <c r="B226" s="12" t="s">
        <v>555</v>
      </c>
      <c r="C226" s="12" t="s">
        <v>556</v>
      </c>
      <c r="D226" s="13"/>
      <c r="E226" s="13"/>
      <c r="F226" s="17">
        <v>5000</v>
      </c>
      <c r="G226" s="18"/>
      <c r="H226" s="19">
        <v>4200</v>
      </c>
      <c r="I226" s="22"/>
      <c r="J226" s="23" t="str">
        <f>VLOOKUP(B226,'[1]490（最终版） (2)'!$B:$I,8,FALSE)</f>
        <v>肩周炎</v>
      </c>
    </row>
    <row r="227" s="3" customFormat="true" ht="14.25" spans="1:10">
      <c r="A227" s="12">
        <v>223</v>
      </c>
      <c r="B227" s="12" t="s">
        <v>557</v>
      </c>
      <c r="C227" s="12" t="s">
        <v>465</v>
      </c>
      <c r="D227" s="13" t="s">
        <v>558</v>
      </c>
      <c r="E227" s="13"/>
      <c r="F227" s="17">
        <v>10200</v>
      </c>
      <c r="G227" s="18"/>
      <c r="H227" s="19">
        <v>8700</v>
      </c>
      <c r="I227" s="22"/>
      <c r="J227" s="23"/>
    </row>
    <row r="228" s="3" customFormat="true" ht="14.25" spans="1:10">
      <c r="A228" s="12">
        <v>224</v>
      </c>
      <c r="B228" s="12" t="s">
        <v>559</v>
      </c>
      <c r="C228" s="12" t="s">
        <v>560</v>
      </c>
      <c r="D228" s="13"/>
      <c r="E228" s="13"/>
      <c r="F228" s="17">
        <v>3500</v>
      </c>
      <c r="G228" s="18"/>
      <c r="H228" s="19">
        <v>3125</v>
      </c>
      <c r="I228" s="22"/>
      <c r="J228" s="23"/>
    </row>
    <row r="229" s="3" customFormat="true" ht="14.25" spans="1:10">
      <c r="A229" s="12">
        <v>225</v>
      </c>
      <c r="B229" s="12" t="s">
        <v>561</v>
      </c>
      <c r="C229" s="12" t="s">
        <v>562</v>
      </c>
      <c r="D229" s="13" t="s">
        <v>563</v>
      </c>
      <c r="E229" s="13"/>
      <c r="F229" s="17">
        <v>5000</v>
      </c>
      <c r="G229" s="18"/>
      <c r="H229" s="19">
        <v>3000</v>
      </c>
      <c r="I229" s="22"/>
      <c r="J229" s="23"/>
    </row>
    <row r="230" s="3" customFormat="true" ht="14.25" spans="1:10">
      <c r="A230" s="12">
        <v>226</v>
      </c>
      <c r="B230" s="12" t="s">
        <v>564</v>
      </c>
      <c r="C230" s="12" t="s">
        <v>565</v>
      </c>
      <c r="D230" s="13" t="s">
        <v>479</v>
      </c>
      <c r="E230" s="13" t="str">
        <f>VLOOKUP(B230,'[1]490（最终版） (2)'!$B:$F,5,FALSE)</f>
        <v>支架</v>
      </c>
      <c r="F230" s="17">
        <v>25000</v>
      </c>
      <c r="G230" s="18"/>
      <c r="H230" s="19">
        <v>19500</v>
      </c>
      <c r="I230" s="22"/>
      <c r="J230" s="23">
        <f>VLOOKUP(B230,'[1]490（最终版） (2)'!$B:$I,8,FALSE)</f>
        <v>0</v>
      </c>
    </row>
    <row r="231" s="3" customFormat="true" ht="14.25" spans="1:10">
      <c r="A231" s="12">
        <v>227</v>
      </c>
      <c r="B231" s="12" t="s">
        <v>566</v>
      </c>
      <c r="C231" s="12" t="s">
        <v>567</v>
      </c>
      <c r="D231" s="13" t="s">
        <v>365</v>
      </c>
      <c r="E231" s="13">
        <f>VLOOKUP(B231,'[1]490（最终版） (2)'!$B:$F,5,FALSE)</f>
        <v>0</v>
      </c>
      <c r="F231" s="17">
        <v>10000</v>
      </c>
      <c r="G231" s="18"/>
      <c r="H231" s="19">
        <v>8350</v>
      </c>
      <c r="I231" s="22"/>
      <c r="J231" s="23">
        <f>VLOOKUP(B231,'[1]490（最终版） (2)'!$B:$I,8,FALSE)</f>
        <v>0</v>
      </c>
    </row>
    <row r="232" s="3" customFormat="true" ht="14.25" spans="1:10">
      <c r="A232" s="12">
        <v>228</v>
      </c>
      <c r="B232" s="12" t="s">
        <v>568</v>
      </c>
      <c r="C232" s="12" t="s">
        <v>569</v>
      </c>
      <c r="D232" s="13" t="s">
        <v>570</v>
      </c>
      <c r="E232" s="13" t="str">
        <f>VLOOKUP(B232,'[1]490（最终版） (2)'!$B:$F,5,FALSE)</f>
        <v>人工晶体</v>
      </c>
      <c r="F232" s="17">
        <v>4200</v>
      </c>
      <c r="G232" s="18"/>
      <c r="H232" s="19">
        <v>3750</v>
      </c>
      <c r="I232" s="22"/>
      <c r="J232" s="23"/>
    </row>
    <row r="233" s="3" customFormat="true" ht="14.25" spans="1:10">
      <c r="A233" s="12">
        <v>229</v>
      </c>
      <c r="B233" s="12" t="s">
        <v>571</v>
      </c>
      <c r="C233" s="12" t="s">
        <v>572</v>
      </c>
      <c r="D233" s="13"/>
      <c r="E233" s="13"/>
      <c r="F233" s="17">
        <v>1600</v>
      </c>
      <c r="G233" s="18"/>
      <c r="H233" s="19">
        <v>1750</v>
      </c>
      <c r="I233" s="22"/>
      <c r="J233" s="23" t="str">
        <f>VLOOKUP(B233,'[1]490（最终版） (2)'!$B:$I,8,FALSE)</f>
        <v>限14周岁以下</v>
      </c>
    </row>
    <row r="234" s="3" customFormat="true" ht="14.25" spans="1:10">
      <c r="A234" s="12">
        <v>230</v>
      </c>
      <c r="B234" s="12" t="s">
        <v>573</v>
      </c>
      <c r="C234" s="12" t="s">
        <v>574</v>
      </c>
      <c r="D234" s="13" t="s">
        <v>575</v>
      </c>
      <c r="E234" s="13">
        <f>VLOOKUP(B234,'[1]490（最终版） (2)'!$B:$F,5,FALSE)</f>
        <v>0</v>
      </c>
      <c r="F234" s="17">
        <v>7300</v>
      </c>
      <c r="G234" s="18"/>
      <c r="H234" s="19">
        <v>5800</v>
      </c>
      <c r="I234" s="22"/>
      <c r="J234" s="23">
        <f>VLOOKUP(B234,'[1]490（最终版） (2)'!$B:$I,8,FALSE)</f>
        <v>0</v>
      </c>
    </row>
    <row r="235" s="3" customFormat="true" ht="14.25" spans="1:10">
      <c r="A235" s="12">
        <v>231</v>
      </c>
      <c r="B235" s="12" t="s">
        <v>576</v>
      </c>
      <c r="C235" s="12" t="s">
        <v>577</v>
      </c>
      <c r="D235" s="13" t="s">
        <v>46</v>
      </c>
      <c r="E235" s="13">
        <f>VLOOKUP(B235,'[1]490（最终版） (2)'!$B:$F,5,FALSE)</f>
        <v>0</v>
      </c>
      <c r="F235" s="17">
        <v>2700</v>
      </c>
      <c r="G235" s="18"/>
      <c r="H235" s="19">
        <v>2150</v>
      </c>
      <c r="I235" s="22"/>
      <c r="J235" s="23">
        <f>VLOOKUP(B235,'[1]490（最终版） (2)'!$B:$I,8,FALSE)</f>
        <v>0</v>
      </c>
    </row>
    <row r="236" s="3" customFormat="true" ht="14.25" spans="1:10">
      <c r="A236" s="12">
        <v>232</v>
      </c>
      <c r="B236" s="12" t="s">
        <v>578</v>
      </c>
      <c r="C236" s="12" t="s">
        <v>579</v>
      </c>
      <c r="D236" s="13" t="s">
        <v>580</v>
      </c>
      <c r="E236" s="13">
        <f>VLOOKUP(B236,'[1]490（最终版） (2)'!$B:$F,5,FALSE)</f>
        <v>0</v>
      </c>
      <c r="F236" s="17">
        <v>5000</v>
      </c>
      <c r="G236" s="18"/>
      <c r="H236" s="19">
        <v>4600</v>
      </c>
      <c r="I236" s="22"/>
      <c r="J236" s="23">
        <f>VLOOKUP(B236,'[1]490（最终版） (2)'!$B:$I,8,FALSE)</f>
        <v>0</v>
      </c>
    </row>
    <row r="237" s="3" customFormat="true" ht="14.25" spans="1:10">
      <c r="A237" s="12">
        <v>233</v>
      </c>
      <c r="B237" s="12" t="s">
        <v>581</v>
      </c>
      <c r="C237" s="12" t="s">
        <v>269</v>
      </c>
      <c r="D237" s="13" t="s">
        <v>582</v>
      </c>
      <c r="E237" s="13" t="str">
        <f>VLOOKUP(B237,'[1]490（最终版） (2)'!$B:$F,5,FALSE)</f>
        <v>内外固定材料</v>
      </c>
      <c r="F237" s="20">
        <v>15000</v>
      </c>
      <c r="G237" s="20">
        <v>8300</v>
      </c>
      <c r="H237" s="21">
        <v>17000</v>
      </c>
      <c r="I237" s="21">
        <v>9400</v>
      </c>
      <c r="J237" s="23"/>
    </row>
    <row r="238" s="3" customFormat="true" ht="28.5" spans="1:10">
      <c r="A238" s="12">
        <v>234</v>
      </c>
      <c r="B238" s="12" t="s">
        <v>583</v>
      </c>
      <c r="C238" s="12" t="s">
        <v>584</v>
      </c>
      <c r="D238" s="13" t="s">
        <v>585</v>
      </c>
      <c r="E238" s="13" t="str">
        <f>VLOOKUP(B238,'[1]490（最终版） (2)'!$B:$F,5,FALSE)</f>
        <v>人工髋关节组件、内外固定材料</v>
      </c>
      <c r="F238" s="17">
        <v>21100</v>
      </c>
      <c r="G238" s="18"/>
      <c r="H238" s="19">
        <v>19550</v>
      </c>
      <c r="I238" s="22"/>
      <c r="J238" s="23"/>
    </row>
    <row r="239" s="3" customFormat="true" ht="14.25" spans="1:10">
      <c r="A239" s="12">
        <v>235</v>
      </c>
      <c r="B239" s="12" t="s">
        <v>586</v>
      </c>
      <c r="C239" s="12" t="s">
        <v>587</v>
      </c>
      <c r="D239" s="13" t="s">
        <v>588</v>
      </c>
      <c r="E239" s="13" t="str">
        <f>VLOOKUP(B239,'[1]490（最终版） (2)'!$B:$F,5,FALSE)</f>
        <v>内外固定材料</v>
      </c>
      <c r="F239" s="17">
        <v>10200</v>
      </c>
      <c r="G239" s="18"/>
      <c r="H239" s="19">
        <v>7550</v>
      </c>
      <c r="I239" s="22"/>
      <c r="J239" s="23"/>
    </row>
    <row r="240" s="3" customFormat="true" ht="14.25" spans="1:10">
      <c r="A240" s="12">
        <v>236</v>
      </c>
      <c r="B240" s="12" t="s">
        <v>589</v>
      </c>
      <c r="C240" s="12" t="s">
        <v>422</v>
      </c>
      <c r="D240" s="13" t="s">
        <v>152</v>
      </c>
      <c r="E240" s="13"/>
      <c r="F240" s="17">
        <v>5000</v>
      </c>
      <c r="G240" s="18"/>
      <c r="H240" s="19">
        <v>2700</v>
      </c>
      <c r="I240" s="22"/>
      <c r="J240" s="23"/>
    </row>
    <row r="241" s="3" customFormat="true" ht="14.25" spans="1:10">
      <c r="A241" s="12">
        <v>237</v>
      </c>
      <c r="B241" s="12" t="s">
        <v>590</v>
      </c>
      <c r="C241" s="12" t="s">
        <v>522</v>
      </c>
      <c r="D241" s="13" t="s">
        <v>591</v>
      </c>
      <c r="E241" s="13"/>
      <c r="F241" s="17">
        <v>12060</v>
      </c>
      <c r="G241" s="18"/>
      <c r="H241" s="19">
        <v>9100</v>
      </c>
      <c r="I241" s="22"/>
      <c r="J241" s="23"/>
    </row>
    <row r="242" s="3" customFormat="true" ht="14.25" spans="1:10">
      <c r="A242" s="12">
        <v>238</v>
      </c>
      <c r="B242" s="12" t="s">
        <v>592</v>
      </c>
      <c r="C242" s="12" t="s">
        <v>593</v>
      </c>
      <c r="D242" s="13" t="s">
        <v>19</v>
      </c>
      <c r="E242" s="13"/>
      <c r="F242" s="17">
        <v>3000</v>
      </c>
      <c r="G242" s="18"/>
      <c r="H242" s="19">
        <v>2300</v>
      </c>
      <c r="I242" s="22"/>
      <c r="J242" s="23"/>
    </row>
    <row r="243" s="3" customFormat="true" ht="14.25" spans="1:10">
      <c r="A243" s="12">
        <v>239</v>
      </c>
      <c r="B243" s="12" t="s">
        <v>594</v>
      </c>
      <c r="C243" s="12" t="s">
        <v>210</v>
      </c>
      <c r="D243" s="13" t="s">
        <v>595</v>
      </c>
      <c r="E243" s="13"/>
      <c r="F243" s="17">
        <v>51000</v>
      </c>
      <c r="G243" s="18"/>
      <c r="H243" s="19">
        <v>41850</v>
      </c>
      <c r="I243" s="22"/>
      <c r="J243" s="23"/>
    </row>
    <row r="244" s="3" customFormat="true" ht="28.5" spans="1:10">
      <c r="A244" s="12">
        <v>240</v>
      </c>
      <c r="B244" s="12" t="s">
        <v>596</v>
      </c>
      <c r="C244" s="12" t="s">
        <v>597</v>
      </c>
      <c r="D244" s="13" t="s">
        <v>598</v>
      </c>
      <c r="E244" s="13"/>
      <c r="F244" s="17">
        <v>10000</v>
      </c>
      <c r="G244" s="18"/>
      <c r="H244" s="19">
        <v>9450</v>
      </c>
      <c r="I244" s="22"/>
      <c r="J244" s="23"/>
    </row>
    <row r="245" s="3" customFormat="true" ht="14.25" spans="1:10">
      <c r="A245" s="12">
        <v>241</v>
      </c>
      <c r="B245" s="12" t="s">
        <v>599</v>
      </c>
      <c r="C245" s="12" t="s">
        <v>600</v>
      </c>
      <c r="D245" s="13"/>
      <c r="E245" s="13"/>
      <c r="F245" s="20">
        <v>5700</v>
      </c>
      <c r="G245" s="20">
        <v>3300</v>
      </c>
      <c r="H245" s="21">
        <v>3850</v>
      </c>
      <c r="I245" s="21">
        <v>2250</v>
      </c>
      <c r="J245" s="23"/>
    </row>
    <row r="246" s="3" customFormat="true" ht="14.25" spans="1:10">
      <c r="A246" s="12">
        <v>242</v>
      </c>
      <c r="B246" s="12" t="s">
        <v>601</v>
      </c>
      <c r="C246" s="12" t="s">
        <v>602</v>
      </c>
      <c r="D246" s="13" t="s">
        <v>515</v>
      </c>
      <c r="E246" s="13" t="str">
        <f>VLOOKUP(B246,'[1]490（最终版） (2)'!$B:$F,5,FALSE)</f>
        <v>支架</v>
      </c>
      <c r="F246" s="17">
        <v>27000</v>
      </c>
      <c r="G246" s="18"/>
      <c r="H246" s="19">
        <v>22900</v>
      </c>
      <c r="I246" s="22"/>
      <c r="J246" s="23"/>
    </row>
    <row r="247" s="3" customFormat="true" ht="14.25" spans="1:10">
      <c r="A247" s="12">
        <v>243</v>
      </c>
      <c r="B247" s="12" t="s">
        <v>603</v>
      </c>
      <c r="C247" s="12" t="s">
        <v>371</v>
      </c>
      <c r="D247" s="13" t="s">
        <v>604</v>
      </c>
      <c r="E247" s="13"/>
      <c r="F247" s="17">
        <v>8500</v>
      </c>
      <c r="G247" s="18"/>
      <c r="H247" s="19">
        <v>6300</v>
      </c>
      <c r="I247" s="22"/>
      <c r="J247" s="23"/>
    </row>
    <row r="248" s="3" customFormat="true" ht="14.25" spans="1:10">
      <c r="A248" s="12">
        <v>244</v>
      </c>
      <c r="B248" s="12" t="s">
        <v>605</v>
      </c>
      <c r="C248" s="12" t="s">
        <v>374</v>
      </c>
      <c r="D248" s="13"/>
      <c r="E248" s="13">
        <f>VLOOKUP(B248,'[1]490（最终版） (2)'!$B:$F,5,FALSE)</f>
        <v>0</v>
      </c>
      <c r="F248" s="17">
        <v>3000</v>
      </c>
      <c r="G248" s="18"/>
      <c r="H248" s="19">
        <v>2450</v>
      </c>
      <c r="I248" s="22"/>
      <c r="J248" s="23">
        <f>VLOOKUP(B248,'[1]490（最终版） (2)'!$B:$I,8,FALSE)</f>
        <v>0</v>
      </c>
    </row>
    <row r="249" s="3" customFormat="true" ht="14.25" spans="1:10">
      <c r="A249" s="12">
        <v>245</v>
      </c>
      <c r="B249" s="12" t="s">
        <v>606</v>
      </c>
      <c r="C249" s="12" t="s">
        <v>607</v>
      </c>
      <c r="D249" s="13"/>
      <c r="E249" s="13"/>
      <c r="F249" s="17">
        <v>4800</v>
      </c>
      <c r="G249" s="18"/>
      <c r="H249" s="19">
        <v>3250</v>
      </c>
      <c r="I249" s="22"/>
      <c r="J249" s="23" t="str">
        <f>VLOOKUP(B249,'[1]490（最终版） (2)'!$B:$I,8,FALSE)</f>
        <v>丹毒</v>
      </c>
    </row>
    <row r="250" s="3" customFormat="true" ht="28.5" spans="1:10">
      <c r="A250" s="12">
        <v>246</v>
      </c>
      <c r="B250" s="12" t="s">
        <v>608</v>
      </c>
      <c r="C250" s="12" t="s">
        <v>609</v>
      </c>
      <c r="D250" s="13" t="s">
        <v>610</v>
      </c>
      <c r="E250" s="13"/>
      <c r="F250" s="17">
        <v>4500</v>
      </c>
      <c r="G250" s="18"/>
      <c r="H250" s="19">
        <v>2750</v>
      </c>
      <c r="I250" s="22"/>
      <c r="J250" s="23"/>
    </row>
    <row r="251" s="3" customFormat="true" ht="14.25" spans="1:10">
      <c r="A251" s="12">
        <v>247</v>
      </c>
      <c r="B251" s="12" t="s">
        <v>611</v>
      </c>
      <c r="C251" s="12" t="s">
        <v>612</v>
      </c>
      <c r="D251" s="13" t="s">
        <v>613</v>
      </c>
      <c r="E251" s="13"/>
      <c r="F251" s="17">
        <v>5700</v>
      </c>
      <c r="G251" s="18"/>
      <c r="H251" s="19">
        <v>6100</v>
      </c>
      <c r="I251" s="22"/>
      <c r="J251" s="23"/>
    </row>
    <row r="252" s="3" customFormat="true" ht="14.25" spans="1:10">
      <c r="A252" s="12">
        <v>248</v>
      </c>
      <c r="B252" s="12" t="s">
        <v>614</v>
      </c>
      <c r="C252" s="12" t="s">
        <v>413</v>
      </c>
      <c r="D252" s="13" t="s">
        <v>615</v>
      </c>
      <c r="E252" s="13"/>
      <c r="F252" s="17">
        <v>23000</v>
      </c>
      <c r="G252" s="18"/>
      <c r="H252" s="19">
        <v>13600</v>
      </c>
      <c r="I252" s="22"/>
      <c r="J252" s="23"/>
    </row>
    <row r="253" s="3" customFormat="true" ht="14.25" spans="1:10">
      <c r="A253" s="12">
        <v>249</v>
      </c>
      <c r="B253" s="12" t="s">
        <v>616</v>
      </c>
      <c r="C253" s="12" t="s">
        <v>617</v>
      </c>
      <c r="D253" s="13" t="s">
        <v>580</v>
      </c>
      <c r="E253" s="13">
        <f>VLOOKUP(B253,'[1]490（最终版） (2)'!$B:$F,5,FALSE)</f>
        <v>0</v>
      </c>
      <c r="F253" s="17">
        <v>5500</v>
      </c>
      <c r="G253" s="18"/>
      <c r="H253" s="19">
        <v>4650</v>
      </c>
      <c r="I253" s="22"/>
      <c r="J253" s="23">
        <f>VLOOKUP(B253,'[1]490（最终版） (2)'!$B:$I,8,FALSE)</f>
        <v>0</v>
      </c>
    </row>
    <row r="254" s="3" customFormat="true" ht="28.5" spans="1:10">
      <c r="A254" s="12">
        <v>250</v>
      </c>
      <c r="B254" s="12" t="s">
        <v>618</v>
      </c>
      <c r="C254" s="12" t="s">
        <v>619</v>
      </c>
      <c r="D254" s="13" t="s">
        <v>198</v>
      </c>
      <c r="E254" s="13">
        <f>VLOOKUP(B254,'[1]490（最终版） (2)'!$B:$F,5,FALSE)</f>
        <v>0</v>
      </c>
      <c r="F254" s="17">
        <v>20000</v>
      </c>
      <c r="G254" s="18"/>
      <c r="H254" s="19">
        <v>15150</v>
      </c>
      <c r="I254" s="22"/>
      <c r="J254" s="23">
        <f>VLOOKUP(B254,'[1]490（最终版） (2)'!$B:$I,8,FALSE)</f>
        <v>0</v>
      </c>
    </row>
    <row r="255" s="3" customFormat="true" ht="14.25" spans="1:10">
      <c r="A255" s="12">
        <v>251</v>
      </c>
      <c r="B255" s="12" t="s">
        <v>620</v>
      </c>
      <c r="C255" s="12" t="s">
        <v>621</v>
      </c>
      <c r="D255" s="13"/>
      <c r="E255" s="13"/>
      <c r="F255" s="17">
        <v>3800</v>
      </c>
      <c r="G255" s="18"/>
      <c r="H255" s="19">
        <v>3400</v>
      </c>
      <c r="I255" s="22"/>
      <c r="J255" s="23"/>
    </row>
    <row r="256" s="3" customFormat="true" ht="14.25" spans="1:10">
      <c r="A256" s="12">
        <v>252</v>
      </c>
      <c r="B256" s="12" t="s">
        <v>622</v>
      </c>
      <c r="C256" s="12" t="s">
        <v>623</v>
      </c>
      <c r="D256" s="13" t="s">
        <v>624</v>
      </c>
      <c r="E256" s="13">
        <f>VLOOKUP(B256,'[1]490（最终版） (2)'!$B:$F,5,FALSE)</f>
        <v>0</v>
      </c>
      <c r="F256" s="17">
        <v>6000</v>
      </c>
      <c r="G256" s="18"/>
      <c r="H256" s="19">
        <v>5500</v>
      </c>
      <c r="I256" s="22"/>
      <c r="J256" s="23">
        <f>VLOOKUP(B256,'[1]490（最终版） (2)'!$B:$I,8,FALSE)</f>
        <v>0</v>
      </c>
    </row>
    <row r="257" s="3" customFormat="true" ht="14.25" spans="1:10">
      <c r="A257" s="12">
        <v>253</v>
      </c>
      <c r="B257" s="12" t="s">
        <v>625</v>
      </c>
      <c r="C257" s="12" t="s">
        <v>364</v>
      </c>
      <c r="D257" s="13" t="s">
        <v>626</v>
      </c>
      <c r="E257" s="13">
        <f>VLOOKUP(B257,'[1]490（最终版） (2)'!$B:$F,5,FALSE)</f>
        <v>0</v>
      </c>
      <c r="F257" s="17">
        <v>14000</v>
      </c>
      <c r="G257" s="18"/>
      <c r="H257" s="19">
        <v>12300</v>
      </c>
      <c r="I257" s="22"/>
      <c r="J257" s="23">
        <f>VLOOKUP(B257,'[1]490（最终版） (2)'!$B:$I,8,FALSE)</f>
        <v>0</v>
      </c>
    </row>
    <row r="258" s="3" customFormat="true" ht="14.25" spans="1:10">
      <c r="A258" s="12">
        <v>254</v>
      </c>
      <c r="B258" s="12" t="s">
        <v>627</v>
      </c>
      <c r="C258" s="12" t="s">
        <v>628</v>
      </c>
      <c r="D258" s="13"/>
      <c r="E258" s="13"/>
      <c r="F258" s="17">
        <v>8500</v>
      </c>
      <c r="G258" s="18"/>
      <c r="H258" s="19">
        <v>7000</v>
      </c>
      <c r="I258" s="22"/>
      <c r="J258" s="23" t="str">
        <f>VLOOKUP(B258,'[1]490（最终版） (2)'!$B:$I,8,FALSE)</f>
        <v>脑出血恢复期</v>
      </c>
    </row>
    <row r="259" s="3" customFormat="true" ht="28.5" spans="1:10">
      <c r="A259" s="12">
        <v>255</v>
      </c>
      <c r="B259" s="12" t="s">
        <v>629</v>
      </c>
      <c r="C259" s="12" t="s">
        <v>630</v>
      </c>
      <c r="D259" s="13" t="s">
        <v>631</v>
      </c>
      <c r="E259" s="13">
        <f>VLOOKUP(B259,'[1]490（最终版） (2)'!$B:$F,5,FALSE)</f>
        <v>0</v>
      </c>
      <c r="F259" s="17">
        <v>18000</v>
      </c>
      <c r="G259" s="18"/>
      <c r="H259" s="19">
        <v>20000</v>
      </c>
      <c r="I259" s="22"/>
      <c r="J259" s="23">
        <f>VLOOKUP(B259,'[1]490（最终版） (2)'!$B:$I,8,FALSE)</f>
        <v>0</v>
      </c>
    </row>
    <row r="260" s="3" customFormat="true" ht="14.25" spans="1:10">
      <c r="A260" s="12">
        <v>256</v>
      </c>
      <c r="B260" s="12" t="s">
        <v>632</v>
      </c>
      <c r="C260" s="12" t="s">
        <v>633</v>
      </c>
      <c r="D260" s="13" t="s">
        <v>634</v>
      </c>
      <c r="E260" s="13"/>
      <c r="F260" s="17">
        <v>6800</v>
      </c>
      <c r="G260" s="18"/>
      <c r="H260" s="19">
        <v>6100</v>
      </c>
      <c r="I260" s="22"/>
      <c r="J260" s="23"/>
    </row>
    <row r="261" s="3" customFormat="true" ht="14.25" spans="1:10">
      <c r="A261" s="12">
        <v>257</v>
      </c>
      <c r="B261" s="12" t="s">
        <v>635</v>
      </c>
      <c r="C261" s="12" t="s">
        <v>636</v>
      </c>
      <c r="D261" s="13"/>
      <c r="E261" s="13"/>
      <c r="F261" s="20">
        <v>9000</v>
      </c>
      <c r="G261" s="20">
        <v>6000</v>
      </c>
      <c r="H261" s="21">
        <v>8600</v>
      </c>
      <c r="I261" s="21">
        <v>5750</v>
      </c>
      <c r="J261" s="23"/>
    </row>
    <row r="262" s="3" customFormat="true" ht="28.5" spans="1:10">
      <c r="A262" s="12">
        <v>258</v>
      </c>
      <c r="B262" s="12" t="s">
        <v>637</v>
      </c>
      <c r="C262" s="12" t="s">
        <v>509</v>
      </c>
      <c r="D262" s="13" t="s">
        <v>638</v>
      </c>
      <c r="E262" s="13"/>
      <c r="F262" s="17">
        <v>7100</v>
      </c>
      <c r="G262" s="18"/>
      <c r="H262" s="19">
        <v>6300</v>
      </c>
      <c r="I262" s="22"/>
      <c r="J262" s="23"/>
    </row>
    <row r="263" s="3" customFormat="true" ht="14.25" spans="1:10">
      <c r="A263" s="12">
        <v>259</v>
      </c>
      <c r="B263" s="12" t="s">
        <v>639</v>
      </c>
      <c r="C263" s="12" t="s">
        <v>478</v>
      </c>
      <c r="D263" s="13" t="s">
        <v>46</v>
      </c>
      <c r="E263" s="13">
        <f>VLOOKUP(B263,'[1]490（最终版） (2)'!$B:$F,5,FALSE)</f>
        <v>0</v>
      </c>
      <c r="F263" s="17">
        <v>6900</v>
      </c>
      <c r="G263" s="18"/>
      <c r="H263" s="19">
        <v>6650</v>
      </c>
      <c r="I263" s="22"/>
      <c r="J263" s="23">
        <f>VLOOKUP(B263,'[1]490（最终版） (2)'!$B:$I,8,FALSE)</f>
        <v>0</v>
      </c>
    </row>
    <row r="264" s="3" customFormat="true" ht="14.25" spans="1:10">
      <c r="A264" s="12">
        <v>260</v>
      </c>
      <c r="B264" s="12" t="s">
        <v>640</v>
      </c>
      <c r="C264" s="12" t="s">
        <v>641</v>
      </c>
      <c r="D264" s="13" t="s">
        <v>152</v>
      </c>
      <c r="E264" s="13"/>
      <c r="F264" s="17">
        <v>7400</v>
      </c>
      <c r="G264" s="18"/>
      <c r="H264" s="19">
        <v>7300</v>
      </c>
      <c r="I264" s="22"/>
      <c r="J264" s="23"/>
    </row>
    <row r="265" s="3" customFormat="true" ht="28.5" spans="1:10">
      <c r="A265" s="12">
        <v>261</v>
      </c>
      <c r="B265" s="12" t="s">
        <v>642</v>
      </c>
      <c r="C265" s="12" t="s">
        <v>643</v>
      </c>
      <c r="D265" s="13" t="s">
        <v>378</v>
      </c>
      <c r="E265" s="13"/>
      <c r="F265" s="17">
        <v>5500</v>
      </c>
      <c r="G265" s="18"/>
      <c r="H265" s="19">
        <v>4300</v>
      </c>
      <c r="I265" s="22"/>
      <c r="J265" s="23"/>
    </row>
    <row r="266" s="3" customFormat="true" ht="14.25" spans="1:10">
      <c r="A266" s="12">
        <v>262</v>
      </c>
      <c r="B266" s="12" t="s">
        <v>644</v>
      </c>
      <c r="C266" s="12" t="s">
        <v>645</v>
      </c>
      <c r="D266" s="13"/>
      <c r="E266" s="13"/>
      <c r="F266" s="17">
        <v>6000</v>
      </c>
      <c r="G266" s="18"/>
      <c r="H266" s="19">
        <v>4800</v>
      </c>
      <c r="I266" s="22"/>
      <c r="J266" s="23"/>
    </row>
    <row r="267" s="3" customFormat="true" ht="14.25" spans="1:10">
      <c r="A267" s="12">
        <v>263</v>
      </c>
      <c r="B267" s="12" t="s">
        <v>646</v>
      </c>
      <c r="C267" s="12" t="s">
        <v>647</v>
      </c>
      <c r="D267" s="13"/>
      <c r="E267" s="13"/>
      <c r="F267" s="17">
        <v>4000</v>
      </c>
      <c r="G267" s="18"/>
      <c r="H267" s="19">
        <v>3050</v>
      </c>
      <c r="I267" s="22"/>
      <c r="J267" s="23" t="str">
        <f>VLOOKUP(B267,'[1]490（最终版） (2)'!$B:$I,8,FALSE)</f>
        <v>肠功能紊乱</v>
      </c>
    </row>
    <row r="268" s="3" customFormat="true" ht="14.25" spans="1:10">
      <c r="A268" s="12">
        <v>264</v>
      </c>
      <c r="B268" s="12" t="s">
        <v>648</v>
      </c>
      <c r="C268" s="12" t="s">
        <v>628</v>
      </c>
      <c r="D268" s="13"/>
      <c r="E268" s="13"/>
      <c r="F268" s="17">
        <v>8500</v>
      </c>
      <c r="G268" s="18"/>
      <c r="H268" s="19">
        <v>8200</v>
      </c>
      <c r="I268" s="22"/>
      <c r="J268" s="23" t="str">
        <f>VLOOKUP(B268,'[1]490（最终版） (2)'!$B:$I,8,FALSE)</f>
        <v>脑梗死恢复期</v>
      </c>
    </row>
    <row r="269" s="3" customFormat="true" ht="28.5" spans="1:10">
      <c r="A269" s="12">
        <v>265</v>
      </c>
      <c r="B269" s="12" t="s">
        <v>649</v>
      </c>
      <c r="C269" s="12" t="s">
        <v>105</v>
      </c>
      <c r="D269" s="13" t="s">
        <v>650</v>
      </c>
      <c r="E269" s="13"/>
      <c r="F269" s="17">
        <v>6100</v>
      </c>
      <c r="G269" s="18"/>
      <c r="H269" s="19">
        <v>5600</v>
      </c>
      <c r="I269" s="22"/>
      <c r="J269" s="23"/>
    </row>
    <row r="270" s="3" customFormat="true" ht="14.25" spans="1:10">
      <c r="A270" s="12">
        <v>266</v>
      </c>
      <c r="B270" s="12" t="s">
        <v>651</v>
      </c>
      <c r="C270" s="12" t="s">
        <v>652</v>
      </c>
      <c r="D270" s="13" t="s">
        <v>26</v>
      </c>
      <c r="E270" s="13"/>
      <c r="F270" s="17">
        <v>5000</v>
      </c>
      <c r="G270" s="18"/>
      <c r="H270" s="19">
        <v>4800</v>
      </c>
      <c r="I270" s="22"/>
      <c r="J270" s="23"/>
    </row>
    <row r="271" s="3" customFormat="true" ht="14.25" spans="1:10">
      <c r="A271" s="12">
        <v>267</v>
      </c>
      <c r="B271" s="12" t="s">
        <v>653</v>
      </c>
      <c r="C271" s="12" t="s">
        <v>654</v>
      </c>
      <c r="D271" s="13"/>
      <c r="E271" s="13"/>
      <c r="F271" s="17">
        <v>4000</v>
      </c>
      <c r="G271" s="18"/>
      <c r="H271" s="19">
        <v>3900</v>
      </c>
      <c r="I271" s="22"/>
      <c r="J271" s="23" t="str">
        <f>VLOOKUP(B271,'[1]490（最终版） (2)'!$B:$I,8,FALSE)</f>
        <v>周围性面神经麻痹</v>
      </c>
    </row>
    <row r="272" s="3" customFormat="true" ht="14.25" spans="1:10">
      <c r="A272" s="12">
        <v>268</v>
      </c>
      <c r="B272" s="12" t="s">
        <v>655</v>
      </c>
      <c r="C272" s="12" t="s">
        <v>354</v>
      </c>
      <c r="D272" s="13"/>
      <c r="E272" s="13"/>
      <c r="F272" s="17">
        <v>5000</v>
      </c>
      <c r="G272" s="18"/>
      <c r="H272" s="19">
        <v>4800</v>
      </c>
      <c r="I272" s="22"/>
      <c r="J272" s="23" t="str">
        <f>VLOOKUP(B272,'[1]490（最终版） (2)'!$B:$I,8,FALSE)</f>
        <v>腰椎退行性病变</v>
      </c>
    </row>
    <row r="273" s="3" customFormat="true" ht="28.5" spans="1:10">
      <c r="A273" s="12">
        <v>269</v>
      </c>
      <c r="B273" s="12" t="s">
        <v>656</v>
      </c>
      <c r="C273" s="12" t="s">
        <v>657</v>
      </c>
      <c r="D273" s="13" t="s">
        <v>658</v>
      </c>
      <c r="E273" s="13" t="str">
        <f>VLOOKUP(B273,'[1]490（最终版） (2)'!$B:$F,5,FALSE)</f>
        <v>内外固定材料</v>
      </c>
      <c r="F273" s="17">
        <v>13000</v>
      </c>
      <c r="G273" s="18"/>
      <c r="H273" s="19">
        <v>11500</v>
      </c>
      <c r="I273" s="22"/>
      <c r="J273" s="23"/>
    </row>
    <row r="274" s="3" customFormat="true" ht="14.25" spans="1:10">
      <c r="A274" s="12">
        <v>270</v>
      </c>
      <c r="B274" s="12" t="s">
        <v>659</v>
      </c>
      <c r="C274" s="12" t="s">
        <v>660</v>
      </c>
      <c r="D274" s="13" t="s">
        <v>661</v>
      </c>
      <c r="E274" s="13">
        <f>VLOOKUP(B274,'[1]490（最终版） (2)'!$B:$F,5,FALSE)</f>
        <v>0</v>
      </c>
      <c r="F274" s="17">
        <v>2300</v>
      </c>
      <c r="G274" s="18"/>
      <c r="H274" s="19">
        <v>1800</v>
      </c>
      <c r="I274" s="22"/>
      <c r="J274" s="23">
        <f>VLOOKUP(B274,'[1]490（最终版） (2)'!$B:$I,8,FALSE)</f>
        <v>0</v>
      </c>
    </row>
    <row r="275" s="3" customFormat="true" ht="14.25" spans="1:10">
      <c r="A275" s="12">
        <v>271</v>
      </c>
      <c r="B275" s="12" t="s">
        <v>662</v>
      </c>
      <c r="C275" s="12" t="s">
        <v>108</v>
      </c>
      <c r="D275" s="13" t="s">
        <v>663</v>
      </c>
      <c r="E275" s="13" t="str">
        <f>VLOOKUP(B275,'[1]490（最终版） (2)'!$B:$F,5,FALSE)</f>
        <v>内外固定材料</v>
      </c>
      <c r="F275" s="17">
        <v>17000</v>
      </c>
      <c r="G275" s="18"/>
      <c r="H275" s="19">
        <v>22000</v>
      </c>
      <c r="I275" s="22"/>
      <c r="J275" s="23"/>
    </row>
    <row r="276" s="3" customFormat="true" ht="14.25" spans="1:10">
      <c r="A276" s="12">
        <v>272</v>
      </c>
      <c r="B276" s="12" t="s">
        <v>664</v>
      </c>
      <c r="C276" s="12" t="s">
        <v>451</v>
      </c>
      <c r="D276" s="13" t="s">
        <v>665</v>
      </c>
      <c r="E276" s="13" t="str">
        <f>VLOOKUP(B276,'[1]490（最终版） (2)'!$B:$F,5,FALSE)</f>
        <v>内外固定材料</v>
      </c>
      <c r="F276" s="17">
        <v>5000</v>
      </c>
      <c r="G276" s="18"/>
      <c r="H276" s="19">
        <v>3300</v>
      </c>
      <c r="I276" s="22"/>
      <c r="J276" s="23"/>
    </row>
    <row r="277" s="3" customFormat="true" ht="14.25" spans="1:10">
      <c r="A277" s="12">
        <v>273</v>
      </c>
      <c r="B277" s="12" t="s">
        <v>666</v>
      </c>
      <c r="C277" s="12" t="s">
        <v>380</v>
      </c>
      <c r="D277" s="13" t="s">
        <v>667</v>
      </c>
      <c r="E277" s="13"/>
      <c r="F277" s="17">
        <v>14000</v>
      </c>
      <c r="G277" s="18"/>
      <c r="H277" s="19">
        <v>7750</v>
      </c>
      <c r="I277" s="22"/>
      <c r="J277" s="23"/>
    </row>
    <row r="278" s="3" customFormat="true" ht="14.25" spans="1:10">
      <c r="A278" s="12">
        <v>274</v>
      </c>
      <c r="B278" s="12" t="s">
        <v>668</v>
      </c>
      <c r="C278" s="12" t="s">
        <v>628</v>
      </c>
      <c r="D278" s="13"/>
      <c r="E278" s="13"/>
      <c r="F278" s="17">
        <v>8500</v>
      </c>
      <c r="G278" s="18"/>
      <c r="H278" s="19">
        <v>4700</v>
      </c>
      <c r="I278" s="22"/>
      <c r="J278" s="23" t="str">
        <f>VLOOKUP(B278,'[1]490（最终版） (2)'!$B:$I,8,FALSE)</f>
        <v>脑出血后遗症</v>
      </c>
    </row>
    <row r="279" s="3" customFormat="true" ht="28.5" spans="1:10">
      <c r="A279" s="12">
        <v>275</v>
      </c>
      <c r="B279" s="12" t="s">
        <v>669</v>
      </c>
      <c r="C279" s="12" t="s">
        <v>670</v>
      </c>
      <c r="D279" s="13" t="s">
        <v>671</v>
      </c>
      <c r="E279" s="13" t="str">
        <f>VLOOKUP(B279,'[1]490（最终版） (2)'!$B:$F,5,FALSE)</f>
        <v>内外固定材料</v>
      </c>
      <c r="F279" s="17">
        <v>18000</v>
      </c>
      <c r="G279" s="18"/>
      <c r="H279" s="19">
        <v>19000</v>
      </c>
      <c r="I279" s="22"/>
      <c r="J279" s="23"/>
    </row>
    <row r="280" s="3" customFormat="true" ht="28.5" spans="1:10">
      <c r="A280" s="12">
        <v>276</v>
      </c>
      <c r="B280" s="12" t="s">
        <v>672</v>
      </c>
      <c r="C280" s="12" t="s">
        <v>499</v>
      </c>
      <c r="D280" s="13" t="s">
        <v>673</v>
      </c>
      <c r="E280" s="13"/>
      <c r="F280" s="17">
        <v>43000</v>
      </c>
      <c r="G280" s="18"/>
      <c r="H280" s="19">
        <v>42200</v>
      </c>
      <c r="I280" s="22"/>
      <c r="J280" s="23"/>
    </row>
    <row r="281" s="3" customFormat="true" ht="14.25" spans="1:10">
      <c r="A281" s="12">
        <v>277</v>
      </c>
      <c r="B281" s="12" t="s">
        <v>674</v>
      </c>
      <c r="C281" s="12" t="s">
        <v>675</v>
      </c>
      <c r="D281" s="13"/>
      <c r="E281" s="13"/>
      <c r="F281" s="17">
        <v>4500</v>
      </c>
      <c r="G281" s="18"/>
      <c r="H281" s="19">
        <v>3600</v>
      </c>
      <c r="I281" s="22"/>
      <c r="J281" s="23"/>
    </row>
    <row r="282" s="3" customFormat="true" ht="28.5" spans="1:10">
      <c r="A282" s="12">
        <v>278</v>
      </c>
      <c r="B282" s="12" t="s">
        <v>676</v>
      </c>
      <c r="C282" s="12" t="s">
        <v>677</v>
      </c>
      <c r="D282" s="13" t="s">
        <v>678</v>
      </c>
      <c r="E282" s="13"/>
      <c r="F282" s="17">
        <v>5500</v>
      </c>
      <c r="G282" s="18"/>
      <c r="H282" s="19">
        <v>5100</v>
      </c>
      <c r="I282" s="22"/>
      <c r="J282" s="23" t="str">
        <f>VLOOKUP(B282,'[1]490（最终版） (2)'!$B:$I,8,FALSE)</f>
        <v>不含溶栓治疗和介入治疗患者</v>
      </c>
    </row>
    <row r="283" s="3" customFormat="true" ht="28.5" spans="1:10">
      <c r="A283" s="12">
        <v>279</v>
      </c>
      <c r="B283" s="12" t="s">
        <v>679</v>
      </c>
      <c r="C283" s="12" t="s">
        <v>509</v>
      </c>
      <c r="D283" s="13" t="s">
        <v>680</v>
      </c>
      <c r="E283" s="13"/>
      <c r="F283" s="17">
        <v>7900</v>
      </c>
      <c r="G283" s="18"/>
      <c r="H283" s="19">
        <v>6350</v>
      </c>
      <c r="I283" s="22"/>
      <c r="J283" s="23"/>
    </row>
    <row r="284" s="3" customFormat="true" ht="28.5" spans="1:10">
      <c r="A284" s="12">
        <v>280</v>
      </c>
      <c r="B284" s="12" t="s">
        <v>681</v>
      </c>
      <c r="C284" s="12" t="s">
        <v>499</v>
      </c>
      <c r="D284" s="13" t="s">
        <v>682</v>
      </c>
      <c r="E284" s="13"/>
      <c r="F284" s="17">
        <v>52700</v>
      </c>
      <c r="G284" s="18"/>
      <c r="H284" s="19">
        <v>44000</v>
      </c>
      <c r="I284" s="22"/>
      <c r="J284" s="23"/>
    </row>
    <row r="285" s="3" customFormat="true" ht="14.25" spans="1:10">
      <c r="A285" s="12">
        <v>281</v>
      </c>
      <c r="B285" s="12" t="s">
        <v>683</v>
      </c>
      <c r="C285" s="12" t="s">
        <v>374</v>
      </c>
      <c r="D285" s="13" t="s">
        <v>684</v>
      </c>
      <c r="E285" s="13">
        <f>VLOOKUP(B285,'[1]490（最终版） (2)'!$B:$F,5,FALSE)</f>
        <v>0</v>
      </c>
      <c r="F285" s="17">
        <v>3500</v>
      </c>
      <c r="G285" s="18"/>
      <c r="H285" s="19">
        <v>3350</v>
      </c>
      <c r="I285" s="22"/>
      <c r="J285" s="23">
        <f>VLOOKUP(B285,'[1]490（最终版） (2)'!$B:$I,8,FALSE)</f>
        <v>0</v>
      </c>
    </row>
    <row r="286" s="3" customFormat="true" ht="28.5" spans="1:10">
      <c r="A286" s="12">
        <v>282</v>
      </c>
      <c r="B286" s="12" t="s">
        <v>685</v>
      </c>
      <c r="C286" s="12" t="s">
        <v>540</v>
      </c>
      <c r="D286" s="13" t="s">
        <v>541</v>
      </c>
      <c r="E286" s="13" t="str">
        <f>VLOOKUP(B286,'[1]490（最终版） (2)'!$B:$F,5,FALSE)</f>
        <v>内外固定材料</v>
      </c>
      <c r="F286" s="17">
        <v>13442</v>
      </c>
      <c r="G286" s="18"/>
      <c r="H286" s="19">
        <v>11500</v>
      </c>
      <c r="I286" s="22"/>
      <c r="J286" s="23"/>
    </row>
    <row r="287" s="3" customFormat="true" ht="14.25" spans="1:10">
      <c r="A287" s="12">
        <v>283</v>
      </c>
      <c r="B287" s="12" t="s">
        <v>686</v>
      </c>
      <c r="C287" s="12" t="s">
        <v>428</v>
      </c>
      <c r="D287" s="13" t="s">
        <v>687</v>
      </c>
      <c r="E287" s="13"/>
      <c r="F287" s="17">
        <v>13600</v>
      </c>
      <c r="G287" s="18"/>
      <c r="H287" s="19">
        <v>8800</v>
      </c>
      <c r="I287" s="22"/>
      <c r="J287" s="23"/>
    </row>
    <row r="288" s="3" customFormat="true" ht="28.5" spans="1:10">
      <c r="A288" s="12">
        <v>284</v>
      </c>
      <c r="B288" s="12" t="s">
        <v>688</v>
      </c>
      <c r="C288" s="12" t="s">
        <v>689</v>
      </c>
      <c r="D288" s="13" t="s">
        <v>690</v>
      </c>
      <c r="E288" s="13"/>
      <c r="F288" s="20">
        <v>4000</v>
      </c>
      <c r="G288" s="20">
        <v>2100</v>
      </c>
      <c r="H288" s="21">
        <v>3400</v>
      </c>
      <c r="I288" s="21">
        <v>1800</v>
      </c>
      <c r="J288" s="23"/>
    </row>
    <row r="289" s="3" customFormat="true" ht="14.25" spans="1:10">
      <c r="A289" s="12">
        <v>285</v>
      </c>
      <c r="B289" s="12" t="s">
        <v>691</v>
      </c>
      <c r="C289" s="12" t="s">
        <v>692</v>
      </c>
      <c r="D289" s="13" t="s">
        <v>693</v>
      </c>
      <c r="E289" s="13"/>
      <c r="F289" s="17">
        <v>6000</v>
      </c>
      <c r="G289" s="18"/>
      <c r="H289" s="19">
        <v>5000</v>
      </c>
      <c r="I289" s="22"/>
      <c r="J289" s="23"/>
    </row>
    <row r="290" s="3" customFormat="true" ht="14.25" spans="1:10">
      <c r="A290" s="12">
        <v>286</v>
      </c>
      <c r="B290" s="12" t="s">
        <v>694</v>
      </c>
      <c r="C290" s="12" t="s">
        <v>695</v>
      </c>
      <c r="D290" s="13"/>
      <c r="E290" s="13"/>
      <c r="F290" s="17">
        <v>3800</v>
      </c>
      <c r="G290" s="18"/>
      <c r="H290" s="19">
        <v>3450</v>
      </c>
      <c r="I290" s="22"/>
      <c r="J290" s="23"/>
    </row>
    <row r="291" s="3" customFormat="true" ht="14.25" spans="1:10">
      <c r="A291" s="12">
        <v>287</v>
      </c>
      <c r="B291" s="12" t="s">
        <v>696</v>
      </c>
      <c r="C291" s="12" t="s">
        <v>697</v>
      </c>
      <c r="D291" s="13" t="s">
        <v>698</v>
      </c>
      <c r="E291" s="13"/>
      <c r="F291" s="17">
        <v>4000</v>
      </c>
      <c r="G291" s="18"/>
      <c r="H291" s="19">
        <v>3650</v>
      </c>
      <c r="I291" s="22"/>
      <c r="J291" s="23"/>
    </row>
    <row r="292" s="3" customFormat="true" ht="14.25" spans="1:10">
      <c r="A292" s="12">
        <v>288</v>
      </c>
      <c r="B292" s="12" t="s">
        <v>699</v>
      </c>
      <c r="C292" s="12" t="s">
        <v>380</v>
      </c>
      <c r="D292" s="13" t="s">
        <v>700</v>
      </c>
      <c r="E292" s="13"/>
      <c r="F292" s="17">
        <v>15500</v>
      </c>
      <c r="G292" s="18"/>
      <c r="H292" s="19">
        <v>11000</v>
      </c>
      <c r="I292" s="22"/>
      <c r="J292" s="23"/>
    </row>
    <row r="293" s="3" customFormat="true" ht="14.25" spans="1:10">
      <c r="A293" s="12">
        <v>289</v>
      </c>
      <c r="B293" s="12" t="s">
        <v>701</v>
      </c>
      <c r="C293" s="12" t="s">
        <v>702</v>
      </c>
      <c r="D293" s="13" t="s">
        <v>703</v>
      </c>
      <c r="E293" s="13"/>
      <c r="F293" s="17">
        <v>3300</v>
      </c>
      <c r="G293" s="18"/>
      <c r="H293" s="19">
        <v>2000</v>
      </c>
      <c r="I293" s="22"/>
      <c r="J293" s="23"/>
    </row>
    <row r="294" s="3" customFormat="true" ht="14.25" spans="1:10">
      <c r="A294" s="12">
        <v>290</v>
      </c>
      <c r="B294" s="12" t="s">
        <v>704</v>
      </c>
      <c r="C294" s="12" t="s">
        <v>705</v>
      </c>
      <c r="D294" s="13" t="s">
        <v>46</v>
      </c>
      <c r="E294" s="13">
        <f>VLOOKUP(B294,'[1]490（最终版） (2)'!$B:$F,5,FALSE)</f>
        <v>0</v>
      </c>
      <c r="F294" s="17">
        <v>4000</v>
      </c>
      <c r="G294" s="18"/>
      <c r="H294" s="19">
        <v>3550</v>
      </c>
      <c r="I294" s="22"/>
      <c r="J294" s="23">
        <f>VLOOKUP(B294,'[1]490（最终版） (2)'!$B:$I,8,FALSE)</f>
        <v>0</v>
      </c>
    </row>
    <row r="295" s="3" customFormat="true" ht="28.5" spans="1:10">
      <c r="A295" s="12">
        <v>291</v>
      </c>
      <c r="B295" s="12" t="s">
        <v>706</v>
      </c>
      <c r="C295" s="12" t="s">
        <v>553</v>
      </c>
      <c r="D295" s="13" t="s">
        <v>707</v>
      </c>
      <c r="E295" s="13" t="str">
        <f>VLOOKUP(B295,'[1]490（最终版） (2)'!$B:$F,5,FALSE)</f>
        <v>补片</v>
      </c>
      <c r="F295" s="17">
        <v>8500</v>
      </c>
      <c r="G295" s="18"/>
      <c r="H295" s="19">
        <v>7400</v>
      </c>
      <c r="I295" s="22"/>
      <c r="J295" s="23"/>
    </row>
    <row r="296" s="3" customFormat="true" ht="14.25" spans="1:10">
      <c r="A296" s="12">
        <v>292</v>
      </c>
      <c r="B296" s="12" t="s">
        <v>708</v>
      </c>
      <c r="C296" s="12" t="s">
        <v>709</v>
      </c>
      <c r="D296" s="13" t="s">
        <v>665</v>
      </c>
      <c r="E296" s="13" t="str">
        <f>VLOOKUP(B296,'[1]490（最终版） (2)'!$B:$F,5,FALSE)</f>
        <v>内外固定材料</v>
      </c>
      <c r="F296" s="17">
        <v>6800</v>
      </c>
      <c r="G296" s="18"/>
      <c r="H296" s="19">
        <v>5000</v>
      </c>
      <c r="I296" s="22"/>
      <c r="J296" s="23"/>
    </row>
    <row r="297" s="3" customFormat="true" ht="42.75" spans="1:10">
      <c r="A297" s="12">
        <v>293</v>
      </c>
      <c r="B297" s="12" t="s">
        <v>710</v>
      </c>
      <c r="C297" s="12" t="s">
        <v>711</v>
      </c>
      <c r="D297" s="13" t="s">
        <v>712</v>
      </c>
      <c r="E297" s="13" t="str">
        <f>VLOOKUP(B297,'[1]490（最终版） (2)'!$B:$F,5,FALSE)</f>
        <v>人工晶体</v>
      </c>
      <c r="F297" s="17">
        <v>4200</v>
      </c>
      <c r="G297" s="18"/>
      <c r="H297" s="19">
        <v>3750</v>
      </c>
      <c r="I297" s="22"/>
      <c r="J297" s="23"/>
    </row>
    <row r="298" s="3" customFormat="true" ht="14.25" spans="1:10">
      <c r="A298" s="12">
        <v>294</v>
      </c>
      <c r="B298" s="12" t="s">
        <v>713</v>
      </c>
      <c r="C298" s="12" t="s">
        <v>714</v>
      </c>
      <c r="D298" s="13" t="s">
        <v>715</v>
      </c>
      <c r="E298" s="13"/>
      <c r="F298" s="17">
        <v>17000</v>
      </c>
      <c r="G298" s="18"/>
      <c r="H298" s="19">
        <v>12300</v>
      </c>
      <c r="I298" s="22"/>
      <c r="J298" s="23" t="str">
        <f>VLOOKUP(B298,'[1]490（最终版） (2)'!$B:$I,8,FALSE)</f>
        <v>含乳癌改良根治术</v>
      </c>
    </row>
    <row r="299" spans="1:4">
      <c r="A299" s="5"/>
      <c r="B299" s="5"/>
      <c r="C299" s="5"/>
      <c r="D299" s="5"/>
    </row>
  </sheetData>
  <autoFilter ref="A4:J298">
    <extLst/>
  </autoFilter>
  <mergeCells count="544">
    <mergeCell ref="A1:B1"/>
    <mergeCell ref="A2:J2"/>
    <mergeCell ref="F3:G3"/>
    <mergeCell ref="H3:I3"/>
    <mergeCell ref="F5:G5"/>
    <mergeCell ref="H5:I5"/>
    <mergeCell ref="F6:G6"/>
    <mergeCell ref="H6:I6"/>
    <mergeCell ref="F7:G7"/>
    <mergeCell ref="H7:I7"/>
    <mergeCell ref="F9:G9"/>
    <mergeCell ref="H9:I9"/>
    <mergeCell ref="F10:G10"/>
    <mergeCell ref="H10:I10"/>
    <mergeCell ref="F11:G11"/>
    <mergeCell ref="H11:I11"/>
    <mergeCell ref="F13:G13"/>
    <mergeCell ref="H13:I13"/>
    <mergeCell ref="F14:G14"/>
    <mergeCell ref="H14:I14"/>
    <mergeCell ref="F15:G15"/>
    <mergeCell ref="H15:I15"/>
    <mergeCell ref="F17:G17"/>
    <mergeCell ref="H17:I17"/>
    <mergeCell ref="F21:G21"/>
    <mergeCell ref="H21:I21"/>
    <mergeCell ref="F22:G22"/>
    <mergeCell ref="H22:I22"/>
    <mergeCell ref="F23:G23"/>
    <mergeCell ref="H23:I23"/>
    <mergeCell ref="F27:G27"/>
    <mergeCell ref="H27:I27"/>
    <mergeCell ref="F28:G28"/>
    <mergeCell ref="H28:I28"/>
    <mergeCell ref="F29:G29"/>
    <mergeCell ref="H29:I29"/>
    <mergeCell ref="F30:G30"/>
    <mergeCell ref="H30:I30"/>
    <mergeCell ref="F31:G31"/>
    <mergeCell ref="H31:I31"/>
    <mergeCell ref="F33:G33"/>
    <mergeCell ref="H33:I33"/>
    <mergeCell ref="F34:G34"/>
    <mergeCell ref="H34:I34"/>
    <mergeCell ref="F35:G35"/>
    <mergeCell ref="H35:I35"/>
    <mergeCell ref="F38:G38"/>
    <mergeCell ref="H38:I38"/>
    <mergeCell ref="F39:G39"/>
    <mergeCell ref="H39:I39"/>
    <mergeCell ref="F40:G40"/>
    <mergeCell ref="H40:I40"/>
    <mergeCell ref="F41:G41"/>
    <mergeCell ref="H41:I41"/>
    <mergeCell ref="F42:G42"/>
    <mergeCell ref="H42:I42"/>
    <mergeCell ref="F43:G43"/>
    <mergeCell ref="H43:I43"/>
    <mergeCell ref="F44:G44"/>
    <mergeCell ref="H44:I44"/>
    <mergeCell ref="F45:G45"/>
    <mergeCell ref="H45:I45"/>
    <mergeCell ref="F46:G46"/>
    <mergeCell ref="H46:I46"/>
    <mergeCell ref="F47:G47"/>
    <mergeCell ref="H47:I47"/>
    <mergeCell ref="F48:G48"/>
    <mergeCell ref="H48:I48"/>
    <mergeCell ref="F49:G49"/>
    <mergeCell ref="H49:I49"/>
    <mergeCell ref="F50:G50"/>
    <mergeCell ref="H50:I50"/>
    <mergeCell ref="F51:G51"/>
    <mergeCell ref="H51:I51"/>
    <mergeCell ref="F52:G52"/>
    <mergeCell ref="H52:I52"/>
    <mergeCell ref="F53:G53"/>
    <mergeCell ref="H53:I53"/>
    <mergeCell ref="F54:G54"/>
    <mergeCell ref="H54:I54"/>
    <mergeCell ref="F55:G55"/>
    <mergeCell ref="H55:I55"/>
    <mergeCell ref="F56:G56"/>
    <mergeCell ref="H56:I56"/>
    <mergeCell ref="F57:G57"/>
    <mergeCell ref="H57:I57"/>
    <mergeCell ref="F58:G58"/>
    <mergeCell ref="H58:I58"/>
    <mergeCell ref="F59:G59"/>
    <mergeCell ref="H59:I59"/>
    <mergeCell ref="F60:G60"/>
    <mergeCell ref="H60:I60"/>
    <mergeCell ref="F61:G61"/>
    <mergeCell ref="H61:I61"/>
    <mergeCell ref="F62:G62"/>
    <mergeCell ref="H62:I62"/>
    <mergeCell ref="F63:G63"/>
    <mergeCell ref="H63:I63"/>
    <mergeCell ref="F64:G64"/>
    <mergeCell ref="H64:I64"/>
    <mergeCell ref="F65:G65"/>
    <mergeCell ref="H65:I65"/>
    <mergeCell ref="F67:G67"/>
    <mergeCell ref="H67:I67"/>
    <mergeCell ref="F68:G68"/>
    <mergeCell ref="H68:I68"/>
    <mergeCell ref="F69:G69"/>
    <mergeCell ref="H69:I69"/>
    <mergeCell ref="F70:G70"/>
    <mergeCell ref="H70:I70"/>
    <mergeCell ref="F71:G71"/>
    <mergeCell ref="H71:I71"/>
    <mergeCell ref="F72:G72"/>
    <mergeCell ref="H72:I72"/>
    <mergeCell ref="F73:G73"/>
    <mergeCell ref="H73:I73"/>
    <mergeCell ref="F76:G76"/>
    <mergeCell ref="H76:I76"/>
    <mergeCell ref="F77:G77"/>
    <mergeCell ref="H77:I77"/>
    <mergeCell ref="F78:G78"/>
    <mergeCell ref="H78:I78"/>
    <mergeCell ref="F79:G79"/>
    <mergeCell ref="H79:I79"/>
    <mergeCell ref="F80:G80"/>
    <mergeCell ref="H80:I80"/>
    <mergeCell ref="F82:G82"/>
    <mergeCell ref="H82:I82"/>
    <mergeCell ref="F83:G83"/>
    <mergeCell ref="H83:I83"/>
    <mergeCell ref="F85:G85"/>
    <mergeCell ref="H85:I85"/>
    <mergeCell ref="F86:G86"/>
    <mergeCell ref="H86:I86"/>
    <mergeCell ref="F87:G87"/>
    <mergeCell ref="H87:I87"/>
    <mergeCell ref="F88:G88"/>
    <mergeCell ref="H88:I88"/>
    <mergeCell ref="F89:G89"/>
    <mergeCell ref="H89:I89"/>
    <mergeCell ref="F91:G91"/>
    <mergeCell ref="H91:I91"/>
    <mergeCell ref="F92:G92"/>
    <mergeCell ref="H92:I92"/>
    <mergeCell ref="F94:G94"/>
    <mergeCell ref="H94:I94"/>
    <mergeCell ref="F95:G95"/>
    <mergeCell ref="H95:I95"/>
    <mergeCell ref="F96:G96"/>
    <mergeCell ref="H96:I96"/>
    <mergeCell ref="F97:G97"/>
    <mergeCell ref="H97:I97"/>
    <mergeCell ref="F98:G98"/>
    <mergeCell ref="H98:I98"/>
    <mergeCell ref="F99:G99"/>
    <mergeCell ref="H99:I99"/>
    <mergeCell ref="F100:G100"/>
    <mergeCell ref="H100:I100"/>
    <mergeCell ref="F101:G101"/>
    <mergeCell ref="H101:I101"/>
    <mergeCell ref="F102:G102"/>
    <mergeCell ref="H102:I102"/>
    <mergeCell ref="F103:G103"/>
    <mergeCell ref="H103:I103"/>
    <mergeCell ref="F104:G104"/>
    <mergeCell ref="H104:I104"/>
    <mergeCell ref="F105:G105"/>
    <mergeCell ref="H105:I105"/>
    <mergeCell ref="F106:G106"/>
    <mergeCell ref="H106:I106"/>
    <mergeCell ref="F107:G107"/>
    <mergeCell ref="H107:I107"/>
    <mergeCell ref="F108:G108"/>
    <mergeCell ref="H108:I108"/>
    <mergeCell ref="F109:G109"/>
    <mergeCell ref="H109:I109"/>
    <mergeCell ref="F110:G110"/>
    <mergeCell ref="H110:I110"/>
    <mergeCell ref="F111:G111"/>
    <mergeCell ref="H111:I111"/>
    <mergeCell ref="F112:G112"/>
    <mergeCell ref="H112:I112"/>
    <mergeCell ref="F114:G114"/>
    <mergeCell ref="H114:I114"/>
    <mergeCell ref="F115:G115"/>
    <mergeCell ref="H115:I115"/>
    <mergeCell ref="F116:G116"/>
    <mergeCell ref="H116:I116"/>
    <mergeCell ref="F117:G117"/>
    <mergeCell ref="H117:I117"/>
    <mergeCell ref="F118:G118"/>
    <mergeCell ref="H118:I118"/>
    <mergeCell ref="F119:G119"/>
    <mergeCell ref="H119:I119"/>
    <mergeCell ref="F120:G120"/>
    <mergeCell ref="H120:I120"/>
    <mergeCell ref="F121:G121"/>
    <mergeCell ref="H121:I121"/>
    <mergeCell ref="F122:G122"/>
    <mergeCell ref="H122:I122"/>
    <mergeCell ref="F123:G123"/>
    <mergeCell ref="H123:I123"/>
    <mergeCell ref="F124:G124"/>
    <mergeCell ref="H124:I124"/>
    <mergeCell ref="F125:G125"/>
    <mergeCell ref="H125:I125"/>
    <mergeCell ref="F126:G126"/>
    <mergeCell ref="H126:I126"/>
    <mergeCell ref="F127:G127"/>
    <mergeCell ref="H127:I127"/>
    <mergeCell ref="F128:G128"/>
    <mergeCell ref="H128:I128"/>
    <mergeCell ref="F129:G129"/>
    <mergeCell ref="H129:I129"/>
    <mergeCell ref="F130:G130"/>
    <mergeCell ref="H130:I130"/>
    <mergeCell ref="F131:G131"/>
    <mergeCell ref="H131:I131"/>
    <mergeCell ref="F133:G133"/>
    <mergeCell ref="H133:I133"/>
    <mergeCell ref="F134:G134"/>
    <mergeCell ref="H134:I134"/>
    <mergeCell ref="F135:G135"/>
    <mergeCell ref="H135:I135"/>
    <mergeCell ref="F136:G136"/>
    <mergeCell ref="H136:I136"/>
    <mergeCell ref="F137:G137"/>
    <mergeCell ref="H137:I137"/>
    <mergeCell ref="F138:G138"/>
    <mergeCell ref="H138:I138"/>
    <mergeCell ref="F139:G139"/>
    <mergeCell ref="H139:I139"/>
    <mergeCell ref="F140:G140"/>
    <mergeCell ref="H140:I140"/>
    <mergeCell ref="F141:G141"/>
    <mergeCell ref="H141:I141"/>
    <mergeCell ref="F142:G142"/>
    <mergeCell ref="H142:I142"/>
    <mergeCell ref="F143:G143"/>
    <mergeCell ref="H143:I143"/>
    <mergeCell ref="F144:G144"/>
    <mergeCell ref="H144:I144"/>
    <mergeCell ref="F145:G145"/>
    <mergeCell ref="H145:I145"/>
    <mergeCell ref="F146:G146"/>
    <mergeCell ref="H146:I146"/>
    <mergeCell ref="F147:G147"/>
    <mergeCell ref="H147:I147"/>
    <mergeCell ref="F148:G148"/>
    <mergeCell ref="H148:I148"/>
    <mergeCell ref="F149:G149"/>
    <mergeCell ref="H149:I149"/>
    <mergeCell ref="F150:G150"/>
    <mergeCell ref="H150:I150"/>
    <mergeCell ref="F151:G151"/>
    <mergeCell ref="H151:I151"/>
    <mergeCell ref="F152:G152"/>
    <mergeCell ref="H152:I152"/>
    <mergeCell ref="F153:G153"/>
    <mergeCell ref="H153:I153"/>
    <mergeCell ref="F154:G154"/>
    <mergeCell ref="H154:I154"/>
    <mergeCell ref="F155:G155"/>
    <mergeCell ref="H155:I155"/>
    <mergeCell ref="F156:G156"/>
    <mergeCell ref="H156:I156"/>
    <mergeCell ref="F157:G157"/>
    <mergeCell ref="H157:I157"/>
    <mergeCell ref="F158:G158"/>
    <mergeCell ref="H158:I158"/>
    <mergeCell ref="F159:G159"/>
    <mergeCell ref="H159:I159"/>
    <mergeCell ref="F160:G160"/>
    <mergeCell ref="H160:I160"/>
    <mergeCell ref="F161:G161"/>
    <mergeCell ref="H161:I161"/>
    <mergeCell ref="F163:G163"/>
    <mergeCell ref="H163:I163"/>
    <mergeCell ref="F164:G164"/>
    <mergeCell ref="H164:I164"/>
    <mergeCell ref="F165:G165"/>
    <mergeCell ref="H165:I165"/>
    <mergeCell ref="F166:G166"/>
    <mergeCell ref="H166:I166"/>
    <mergeCell ref="F167:G167"/>
    <mergeCell ref="H167:I167"/>
    <mergeCell ref="F168:G168"/>
    <mergeCell ref="H168:I168"/>
    <mergeCell ref="F169:G169"/>
    <mergeCell ref="H169:I169"/>
    <mergeCell ref="F170:G170"/>
    <mergeCell ref="H170:I170"/>
    <mergeCell ref="F171:G171"/>
    <mergeCell ref="H171:I171"/>
    <mergeCell ref="F172:G172"/>
    <mergeCell ref="H172:I172"/>
    <mergeCell ref="F173:G173"/>
    <mergeCell ref="H173:I173"/>
    <mergeCell ref="F174:G174"/>
    <mergeCell ref="H174:I174"/>
    <mergeCell ref="F175:G175"/>
    <mergeCell ref="H175:I175"/>
    <mergeCell ref="F176:G176"/>
    <mergeCell ref="H176:I176"/>
    <mergeCell ref="F177:G177"/>
    <mergeCell ref="H177:I177"/>
    <mergeCell ref="F178:G178"/>
    <mergeCell ref="H178:I178"/>
    <mergeCell ref="F179:G179"/>
    <mergeCell ref="H179:I179"/>
    <mergeCell ref="F180:G180"/>
    <mergeCell ref="H180:I180"/>
    <mergeCell ref="F181:G181"/>
    <mergeCell ref="H181:I181"/>
    <mergeCell ref="F182:G182"/>
    <mergeCell ref="H182:I182"/>
    <mergeCell ref="F183:G183"/>
    <mergeCell ref="H183:I183"/>
    <mergeCell ref="F185:G185"/>
    <mergeCell ref="H185:I185"/>
    <mergeCell ref="F186:G186"/>
    <mergeCell ref="H186:I186"/>
    <mergeCell ref="F187:G187"/>
    <mergeCell ref="H187:I187"/>
    <mergeCell ref="F188:G188"/>
    <mergeCell ref="H188:I188"/>
    <mergeCell ref="F189:G189"/>
    <mergeCell ref="H189:I189"/>
    <mergeCell ref="F190:G190"/>
    <mergeCell ref="H190:I190"/>
    <mergeCell ref="F191:G191"/>
    <mergeCell ref="H191:I191"/>
    <mergeCell ref="F192:G192"/>
    <mergeCell ref="H192:I192"/>
    <mergeCell ref="F193:G193"/>
    <mergeCell ref="H193:I193"/>
    <mergeCell ref="F194:G194"/>
    <mergeCell ref="H194:I194"/>
    <mergeCell ref="F195:G195"/>
    <mergeCell ref="H195:I195"/>
    <mergeCell ref="F196:G196"/>
    <mergeCell ref="H196:I196"/>
    <mergeCell ref="F197:G197"/>
    <mergeCell ref="H197:I197"/>
    <mergeCell ref="F198:G198"/>
    <mergeCell ref="H198:I198"/>
    <mergeCell ref="F199:G199"/>
    <mergeCell ref="H199:I199"/>
    <mergeCell ref="F200:G200"/>
    <mergeCell ref="H200:I200"/>
    <mergeCell ref="F201:G201"/>
    <mergeCell ref="H201:I201"/>
    <mergeCell ref="F202:G202"/>
    <mergeCell ref="H202:I202"/>
    <mergeCell ref="F203:G203"/>
    <mergeCell ref="H203:I203"/>
    <mergeCell ref="F204:G204"/>
    <mergeCell ref="H204:I204"/>
    <mergeCell ref="F205:G205"/>
    <mergeCell ref="H205:I205"/>
    <mergeCell ref="F206:G206"/>
    <mergeCell ref="H206:I206"/>
    <mergeCell ref="F207:G207"/>
    <mergeCell ref="H207:I207"/>
    <mergeCell ref="F208:G208"/>
    <mergeCell ref="H208:I208"/>
    <mergeCell ref="F209:G209"/>
    <mergeCell ref="H209:I209"/>
    <mergeCell ref="F210:G210"/>
    <mergeCell ref="H210:I210"/>
    <mergeCell ref="F211:G211"/>
    <mergeCell ref="H211:I211"/>
    <mergeCell ref="F212:G212"/>
    <mergeCell ref="H212:I212"/>
    <mergeCell ref="F213:G213"/>
    <mergeCell ref="H213:I213"/>
    <mergeCell ref="F214:G214"/>
    <mergeCell ref="H214:I214"/>
    <mergeCell ref="F215:G215"/>
    <mergeCell ref="H215:I215"/>
    <mergeCell ref="F216:G216"/>
    <mergeCell ref="H216:I216"/>
    <mergeCell ref="F217:G217"/>
    <mergeCell ref="H217:I217"/>
    <mergeCell ref="F218:G218"/>
    <mergeCell ref="H218:I218"/>
    <mergeCell ref="F219:G219"/>
    <mergeCell ref="H219:I219"/>
    <mergeCell ref="F220:G220"/>
    <mergeCell ref="H220:I220"/>
    <mergeCell ref="F221:G221"/>
    <mergeCell ref="H221:I221"/>
    <mergeCell ref="F222:G222"/>
    <mergeCell ref="H222:I222"/>
    <mergeCell ref="F223:G223"/>
    <mergeCell ref="H223:I223"/>
    <mergeCell ref="F224:G224"/>
    <mergeCell ref="H224:I224"/>
    <mergeCell ref="F225:G225"/>
    <mergeCell ref="H225:I225"/>
    <mergeCell ref="F226:G226"/>
    <mergeCell ref="H226:I226"/>
    <mergeCell ref="F227:G227"/>
    <mergeCell ref="H227:I227"/>
    <mergeCell ref="F228:G228"/>
    <mergeCell ref="H228:I228"/>
    <mergeCell ref="F229:G229"/>
    <mergeCell ref="H229:I229"/>
    <mergeCell ref="F230:G230"/>
    <mergeCell ref="H230:I230"/>
    <mergeCell ref="F231:G231"/>
    <mergeCell ref="H231:I231"/>
    <mergeCell ref="F232:G232"/>
    <mergeCell ref="H232:I232"/>
    <mergeCell ref="F233:G233"/>
    <mergeCell ref="H233:I233"/>
    <mergeCell ref="F234:G234"/>
    <mergeCell ref="H234:I234"/>
    <mergeCell ref="F235:G235"/>
    <mergeCell ref="H235:I235"/>
    <mergeCell ref="F236:G236"/>
    <mergeCell ref="H236:I236"/>
    <mergeCell ref="F238:G238"/>
    <mergeCell ref="H238:I238"/>
    <mergeCell ref="F239:G239"/>
    <mergeCell ref="H239:I239"/>
    <mergeCell ref="F240:G240"/>
    <mergeCell ref="H240:I240"/>
    <mergeCell ref="F241:G241"/>
    <mergeCell ref="H241:I241"/>
    <mergeCell ref="F242:G242"/>
    <mergeCell ref="H242:I242"/>
    <mergeCell ref="F243:G243"/>
    <mergeCell ref="H243:I243"/>
    <mergeCell ref="F244:G244"/>
    <mergeCell ref="H244:I244"/>
    <mergeCell ref="F246:G246"/>
    <mergeCell ref="H246:I246"/>
    <mergeCell ref="F247:G247"/>
    <mergeCell ref="H247:I247"/>
    <mergeCell ref="F248:G248"/>
    <mergeCell ref="H248:I248"/>
    <mergeCell ref="F249:G249"/>
    <mergeCell ref="H249:I249"/>
    <mergeCell ref="F250:G250"/>
    <mergeCell ref="H250:I250"/>
    <mergeCell ref="F251:G251"/>
    <mergeCell ref="H251:I251"/>
    <mergeCell ref="F252:G252"/>
    <mergeCell ref="H252:I252"/>
    <mergeCell ref="F253:G253"/>
    <mergeCell ref="H253:I253"/>
    <mergeCell ref="F254:G254"/>
    <mergeCell ref="H254:I254"/>
    <mergeCell ref="F255:G255"/>
    <mergeCell ref="H255:I255"/>
    <mergeCell ref="F256:G256"/>
    <mergeCell ref="H256:I256"/>
    <mergeCell ref="F257:G257"/>
    <mergeCell ref="H257:I257"/>
    <mergeCell ref="F258:G258"/>
    <mergeCell ref="H258:I258"/>
    <mergeCell ref="F259:G259"/>
    <mergeCell ref="H259:I259"/>
    <mergeCell ref="F260:G260"/>
    <mergeCell ref="H260:I260"/>
    <mergeCell ref="F262:G262"/>
    <mergeCell ref="H262:I262"/>
    <mergeCell ref="F263:G263"/>
    <mergeCell ref="H263:I263"/>
    <mergeCell ref="F264:G264"/>
    <mergeCell ref="H264:I264"/>
    <mergeCell ref="F265:G265"/>
    <mergeCell ref="H265:I265"/>
    <mergeCell ref="F266:G266"/>
    <mergeCell ref="H266:I266"/>
    <mergeCell ref="F267:G267"/>
    <mergeCell ref="H267:I267"/>
    <mergeCell ref="F268:G268"/>
    <mergeCell ref="H268:I268"/>
    <mergeCell ref="F269:G269"/>
    <mergeCell ref="H269:I269"/>
    <mergeCell ref="F270:G270"/>
    <mergeCell ref="H270:I270"/>
    <mergeCell ref="F271:G271"/>
    <mergeCell ref="H271:I271"/>
    <mergeCell ref="F272:G272"/>
    <mergeCell ref="H272:I272"/>
    <mergeCell ref="F273:G273"/>
    <mergeCell ref="H273:I273"/>
    <mergeCell ref="F274:G274"/>
    <mergeCell ref="H274:I274"/>
    <mergeCell ref="F275:G275"/>
    <mergeCell ref="H275:I275"/>
    <mergeCell ref="F276:G276"/>
    <mergeCell ref="H276:I276"/>
    <mergeCell ref="F277:G277"/>
    <mergeCell ref="H277:I277"/>
    <mergeCell ref="F278:G278"/>
    <mergeCell ref="H278:I278"/>
    <mergeCell ref="F279:G279"/>
    <mergeCell ref="H279:I279"/>
    <mergeCell ref="F280:G280"/>
    <mergeCell ref="H280:I280"/>
    <mergeCell ref="F281:G281"/>
    <mergeCell ref="H281:I281"/>
    <mergeCell ref="F282:G282"/>
    <mergeCell ref="H282:I282"/>
    <mergeCell ref="F283:G283"/>
    <mergeCell ref="H283:I283"/>
    <mergeCell ref="F284:G284"/>
    <mergeCell ref="H284:I284"/>
    <mergeCell ref="F285:G285"/>
    <mergeCell ref="H285:I285"/>
    <mergeCell ref="F286:G286"/>
    <mergeCell ref="H286:I286"/>
    <mergeCell ref="F287:G287"/>
    <mergeCell ref="H287:I287"/>
    <mergeCell ref="F289:G289"/>
    <mergeCell ref="H289:I289"/>
    <mergeCell ref="F290:G290"/>
    <mergeCell ref="H290:I290"/>
    <mergeCell ref="F291:G291"/>
    <mergeCell ref="H291:I291"/>
    <mergeCell ref="F292:G292"/>
    <mergeCell ref="H292:I292"/>
    <mergeCell ref="F293:G293"/>
    <mergeCell ref="H293:I293"/>
    <mergeCell ref="F294:G294"/>
    <mergeCell ref="H294:I294"/>
    <mergeCell ref="F295:G295"/>
    <mergeCell ref="H295:I295"/>
    <mergeCell ref="F296:G296"/>
    <mergeCell ref="H296:I296"/>
    <mergeCell ref="F297:G297"/>
    <mergeCell ref="H297:I297"/>
    <mergeCell ref="F298:G298"/>
    <mergeCell ref="H298:I298"/>
    <mergeCell ref="A3:A4"/>
    <mergeCell ref="B3:B4"/>
    <mergeCell ref="C3:C4"/>
    <mergeCell ref="D3:D4"/>
    <mergeCell ref="E3:E4"/>
    <mergeCell ref="J3:J4"/>
  </mergeCells>
  <pageMargins left="0.354166666666667" right="0.354166666666667" top="0.472222222222222" bottom="0.393055555555556" header="0.196527777777778" footer="0.354166666666667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发文附件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pingtan</dc:creator>
  <cp:lastModifiedBy>pingtan</cp:lastModifiedBy>
  <dcterms:created xsi:type="dcterms:W3CDTF">2023-09-22T11:32:19Z</dcterms:created>
  <dcterms:modified xsi:type="dcterms:W3CDTF">2023-09-22T11:32:47Z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