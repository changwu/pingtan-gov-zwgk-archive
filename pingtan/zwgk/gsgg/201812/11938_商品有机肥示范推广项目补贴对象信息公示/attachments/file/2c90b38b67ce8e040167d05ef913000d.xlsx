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1295" yWindow="0" windowWidth="9210" windowHeight="6555"/>
  </bookViews>
  <sheets>
    <sheet name="Sheet9" sheetId="9" r:id="rId1"/>
  </sheets>
  <calcPr calcId="124519"/>
</workbook>
</file>

<file path=xl/calcChain.xml><?xml version="1.0" encoding="utf-8"?>
<calcChain xmlns="http://schemas.openxmlformats.org/spreadsheetml/2006/main">
  <c r="G16" i="9"/>
  <c r="F16"/>
  <c r="E16"/>
  <c r="D16"/>
  <c r="H15"/>
  <c r="H14"/>
  <c r="H13"/>
  <c r="H12"/>
  <c r="H11"/>
  <c r="H10"/>
  <c r="H9"/>
  <c r="H8"/>
  <c r="H7"/>
  <c r="H6"/>
  <c r="H16" s="1"/>
</calcChain>
</file>

<file path=xl/sharedStrings.xml><?xml version="1.0" encoding="utf-8"?>
<sst xmlns="http://schemas.openxmlformats.org/spreadsheetml/2006/main" count="34" uniqueCount="34">
  <si>
    <t>平潭县金辉农业专业合作社</t>
  </si>
  <si>
    <t>平潭县绿绿鑫蔬菜农民专业合作社</t>
  </si>
  <si>
    <t>2018商品有机肥示范推广项目补贴对象信息一览表</t>
    <phoneticPr fontId="3" type="noConversion"/>
  </si>
  <si>
    <t>单位：平潭综合实验区农业技术服务中心</t>
    <phoneticPr fontId="3" type="noConversion"/>
  </si>
  <si>
    <t>申报编号</t>
    <phoneticPr fontId="3" type="noConversion"/>
  </si>
  <si>
    <t>申报对象</t>
    <phoneticPr fontId="3" type="noConversion"/>
  </si>
  <si>
    <t>法人代表</t>
    <phoneticPr fontId="3" type="noConversion"/>
  </si>
  <si>
    <t xml:space="preserve">   有合同               地块面积（亩）</t>
    <phoneticPr fontId="3" type="noConversion"/>
  </si>
  <si>
    <t>有工作人员证明              购买数量（吨）</t>
    <phoneticPr fontId="3" type="noConversion"/>
  </si>
  <si>
    <t>核定补贴亩数（亩）</t>
    <phoneticPr fontId="3" type="noConversion"/>
  </si>
  <si>
    <t>核定补贴吨数（吨）</t>
    <phoneticPr fontId="3" type="noConversion"/>
  </si>
  <si>
    <t>核定补贴金额（元）</t>
    <phoneticPr fontId="3" type="noConversion"/>
  </si>
  <si>
    <t>平潭县坪峰农业种植有限公司</t>
    <phoneticPr fontId="3" type="noConversion"/>
  </si>
  <si>
    <t>李元钊</t>
    <phoneticPr fontId="3" type="noConversion"/>
  </si>
  <si>
    <t>平潭县好收成农民专业合作社</t>
    <phoneticPr fontId="3" type="noConversion"/>
  </si>
  <si>
    <t>游天金</t>
    <phoneticPr fontId="3" type="noConversion"/>
  </si>
  <si>
    <t>林辉</t>
    <phoneticPr fontId="3" type="noConversion"/>
  </si>
  <si>
    <t>陈和好</t>
    <phoneticPr fontId="3" type="noConversion"/>
  </si>
  <si>
    <t>平潭县绿嘉农业专业合作社</t>
    <phoneticPr fontId="3" type="noConversion"/>
  </si>
  <si>
    <t>俞兆翊</t>
    <phoneticPr fontId="3" type="noConversion"/>
  </si>
  <si>
    <t>平潭综合实验区佳家乐农民专业合作社</t>
    <phoneticPr fontId="3" type="noConversion"/>
  </si>
  <si>
    <t>陈彪</t>
    <phoneticPr fontId="3" type="noConversion"/>
  </si>
  <si>
    <t>福建省平潭县绿升综合农业有限公司</t>
    <phoneticPr fontId="3" type="noConversion"/>
  </si>
  <si>
    <t>施庆</t>
    <phoneticPr fontId="3" type="noConversion"/>
  </si>
  <si>
    <t>平潭综合实验区润兰福州有限公司</t>
    <phoneticPr fontId="3" type="noConversion"/>
  </si>
  <si>
    <t>施庆兰</t>
    <phoneticPr fontId="3" type="noConversion"/>
  </si>
  <si>
    <t>福建省富达生态农业发展有限公司</t>
    <phoneticPr fontId="3" type="noConversion"/>
  </si>
  <si>
    <t>林孙雄</t>
    <phoneticPr fontId="3" type="noConversion"/>
  </si>
  <si>
    <t>福州宏盈农业发展有限公司</t>
    <phoneticPr fontId="3" type="noConversion"/>
  </si>
  <si>
    <t>施恭义</t>
    <phoneticPr fontId="3" type="noConversion"/>
  </si>
  <si>
    <t>合计</t>
    <phoneticPr fontId="3" type="noConversion"/>
  </si>
  <si>
    <t>说明：补贴标准按施用商品有机肥量达到250公斤/亩以上，每亩给予补贴100元。</t>
    <phoneticPr fontId="3" type="noConversion"/>
  </si>
  <si>
    <t>附件</t>
    <phoneticPr fontId="2" type="noConversion"/>
  </si>
  <si>
    <t xml:space="preserve">  初审人：李基标                                                复核人：游雪芸                                      单位负责人：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</si>
</sst>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6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selection activeCell="A18" sqref="A18:H18"/>
    </sheetView>
  </sheetViews>
  <sheetFormatPr defaultRowHeight="18" customHeight="1"/>
  <cols>
    <col min="1" max="1" width="8.375" style="2" customWidth="1"/>
    <col min="2" max="2" width="30.625" style="2" customWidth="1"/>
    <col min="3" max="3" width="13" style="2" customWidth="1"/>
    <col min="4" max="4" width="16.25" style="2" customWidth="1"/>
    <col min="5" max="5" width="16.125" style="2" customWidth="1"/>
    <col min="6" max="6" width="16" style="2" customWidth="1"/>
    <col min="7" max="7" width="14.875" style="2" customWidth="1"/>
    <col min="8" max="8" width="17" style="2" customWidth="1"/>
    <col min="9" max="16384" width="9" style="2"/>
  </cols>
  <sheetData>
    <row r="1" spans="1:8" ht="18" customHeight="1">
      <c r="A1" s="8" t="s">
        <v>32</v>
      </c>
      <c r="B1" s="8"/>
      <c r="C1" s="8"/>
      <c r="D1" s="8"/>
      <c r="E1" s="8"/>
      <c r="F1" s="8"/>
      <c r="G1" s="8"/>
      <c r="H1" s="8"/>
    </row>
    <row r="2" spans="1:8" s="1" customFormat="1" ht="27" customHeight="1">
      <c r="A2" s="9" t="s">
        <v>2</v>
      </c>
      <c r="B2" s="9"/>
      <c r="C2" s="9"/>
      <c r="D2" s="9"/>
      <c r="E2" s="9"/>
      <c r="F2" s="9"/>
      <c r="G2" s="9"/>
      <c r="H2" s="9"/>
    </row>
    <row r="3" spans="1:8" ht="5.25" hidden="1" customHeight="1">
      <c r="A3" s="9"/>
      <c r="B3" s="9"/>
      <c r="C3" s="9"/>
      <c r="D3" s="9"/>
      <c r="E3" s="9"/>
      <c r="F3" s="9"/>
      <c r="G3" s="9"/>
      <c r="H3" s="9"/>
    </row>
    <row r="4" spans="1:8" s="3" customFormat="1" ht="30" customHeight="1">
      <c r="A4" s="10" t="s">
        <v>3</v>
      </c>
      <c r="B4" s="10"/>
      <c r="C4" s="10"/>
      <c r="D4" s="10"/>
      <c r="E4" s="10"/>
      <c r="F4" s="10"/>
      <c r="G4" s="10"/>
      <c r="H4" s="10"/>
    </row>
    <row r="5" spans="1:8" ht="30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 ht="30" customHeight="1">
      <c r="A6" s="4">
        <v>1</v>
      </c>
      <c r="B6" s="5" t="s">
        <v>12</v>
      </c>
      <c r="C6" s="4" t="s">
        <v>13</v>
      </c>
      <c r="D6" s="4">
        <v>445</v>
      </c>
      <c r="E6" s="4">
        <v>105</v>
      </c>
      <c r="F6" s="4">
        <v>324</v>
      </c>
      <c r="G6" s="4">
        <v>81</v>
      </c>
      <c r="H6" s="4">
        <f>G6*400</f>
        <v>32400</v>
      </c>
    </row>
    <row r="7" spans="1:8" ht="30" customHeight="1">
      <c r="A7" s="4">
        <v>2</v>
      </c>
      <c r="B7" s="6" t="s">
        <v>14</v>
      </c>
      <c r="C7" s="7" t="s">
        <v>15</v>
      </c>
      <c r="D7" s="7">
        <v>838</v>
      </c>
      <c r="E7" s="7">
        <v>70</v>
      </c>
      <c r="F7" s="7">
        <v>209</v>
      </c>
      <c r="G7" s="4">
        <v>52.25</v>
      </c>
      <c r="H7" s="4">
        <f t="shared" ref="H7:H15" si="0">G7*400</f>
        <v>20900</v>
      </c>
    </row>
    <row r="8" spans="1:8" ht="30" customHeight="1">
      <c r="A8" s="4">
        <v>3</v>
      </c>
      <c r="B8" s="5" t="s">
        <v>0</v>
      </c>
      <c r="C8" s="4" t="s">
        <v>16</v>
      </c>
      <c r="D8" s="4">
        <v>1050</v>
      </c>
      <c r="E8" s="4">
        <v>338</v>
      </c>
      <c r="F8" s="4">
        <v>892</v>
      </c>
      <c r="G8" s="4">
        <v>223</v>
      </c>
      <c r="H8" s="4">
        <f t="shared" si="0"/>
        <v>89200</v>
      </c>
    </row>
    <row r="9" spans="1:8" ht="30" customHeight="1">
      <c r="A9" s="4">
        <v>4</v>
      </c>
      <c r="B9" s="6" t="s">
        <v>1</v>
      </c>
      <c r="C9" s="7" t="s">
        <v>17</v>
      </c>
      <c r="D9" s="7">
        <v>1358</v>
      </c>
      <c r="E9" s="7">
        <v>225</v>
      </c>
      <c r="F9" s="7">
        <v>675</v>
      </c>
      <c r="G9" s="4">
        <v>168.75</v>
      </c>
      <c r="H9" s="4">
        <f t="shared" si="0"/>
        <v>67500</v>
      </c>
    </row>
    <row r="10" spans="1:8" ht="30" customHeight="1">
      <c r="A10" s="4">
        <v>5</v>
      </c>
      <c r="B10" s="5" t="s">
        <v>18</v>
      </c>
      <c r="C10" s="4" t="s">
        <v>19</v>
      </c>
      <c r="D10" s="4">
        <v>1823</v>
      </c>
      <c r="E10" s="4">
        <v>20</v>
      </c>
      <c r="F10" s="4">
        <v>60</v>
      </c>
      <c r="G10" s="4">
        <v>15</v>
      </c>
      <c r="H10" s="4">
        <f t="shared" si="0"/>
        <v>6000</v>
      </c>
    </row>
    <row r="11" spans="1:8" ht="30" customHeight="1">
      <c r="A11" s="4">
        <v>6</v>
      </c>
      <c r="B11" s="6" t="s">
        <v>20</v>
      </c>
      <c r="C11" s="7" t="s">
        <v>21</v>
      </c>
      <c r="D11" s="7">
        <v>722</v>
      </c>
      <c r="E11" s="4">
        <v>211</v>
      </c>
      <c r="F11" s="4">
        <v>612</v>
      </c>
      <c r="G11" s="4">
        <v>153</v>
      </c>
      <c r="H11" s="4">
        <f t="shared" si="0"/>
        <v>61200</v>
      </c>
    </row>
    <row r="12" spans="1:8" ht="30" customHeight="1">
      <c r="A12" s="4">
        <v>7</v>
      </c>
      <c r="B12" s="6" t="s">
        <v>22</v>
      </c>
      <c r="C12" s="7" t="s">
        <v>23</v>
      </c>
      <c r="D12" s="7">
        <v>1504</v>
      </c>
      <c r="E12" s="4">
        <v>270</v>
      </c>
      <c r="F12" s="4">
        <v>811</v>
      </c>
      <c r="G12" s="4">
        <v>202.75</v>
      </c>
      <c r="H12" s="4">
        <f t="shared" si="0"/>
        <v>81100</v>
      </c>
    </row>
    <row r="13" spans="1:8" ht="30" customHeight="1">
      <c r="A13" s="4">
        <v>8</v>
      </c>
      <c r="B13" s="6" t="s">
        <v>24</v>
      </c>
      <c r="C13" s="7" t="s">
        <v>25</v>
      </c>
      <c r="D13" s="7">
        <v>135</v>
      </c>
      <c r="E13" s="4">
        <v>34</v>
      </c>
      <c r="F13" s="4">
        <v>102</v>
      </c>
      <c r="G13" s="4">
        <v>25.5</v>
      </c>
      <c r="H13" s="4">
        <f t="shared" si="0"/>
        <v>10200</v>
      </c>
    </row>
    <row r="14" spans="1:8" ht="30" customHeight="1">
      <c r="A14" s="4">
        <v>9</v>
      </c>
      <c r="B14" s="6" t="s">
        <v>26</v>
      </c>
      <c r="C14" s="7" t="s">
        <v>27</v>
      </c>
      <c r="D14" s="7">
        <v>456</v>
      </c>
      <c r="E14" s="4">
        <v>90</v>
      </c>
      <c r="F14" s="4">
        <v>270</v>
      </c>
      <c r="G14" s="4">
        <v>67.5</v>
      </c>
      <c r="H14" s="4">
        <f t="shared" si="0"/>
        <v>27000</v>
      </c>
    </row>
    <row r="15" spans="1:8" ht="30" customHeight="1">
      <c r="A15" s="4">
        <v>10</v>
      </c>
      <c r="B15" s="6" t="s">
        <v>28</v>
      </c>
      <c r="C15" s="7" t="s">
        <v>29</v>
      </c>
      <c r="D15" s="7">
        <v>610</v>
      </c>
      <c r="E15" s="4">
        <v>15</v>
      </c>
      <c r="F15" s="4">
        <v>45</v>
      </c>
      <c r="G15" s="4">
        <v>11.25</v>
      </c>
      <c r="H15" s="4">
        <f t="shared" si="0"/>
        <v>4500</v>
      </c>
    </row>
    <row r="16" spans="1:8" ht="30" customHeight="1">
      <c r="A16" s="11" t="s">
        <v>30</v>
      </c>
      <c r="B16" s="11"/>
      <c r="C16" s="4"/>
      <c r="D16" s="4">
        <f>SUM(D6:D15)</f>
        <v>8941</v>
      </c>
      <c r="E16" s="4">
        <f>SUM(E6:E15)</f>
        <v>1378</v>
      </c>
      <c r="F16" s="4">
        <f>SUM(F6:F15)</f>
        <v>4000</v>
      </c>
      <c r="G16" s="4">
        <f>SUM(G6:G15)</f>
        <v>1000</v>
      </c>
      <c r="H16" s="4">
        <f>SUM(H6:H15)</f>
        <v>400000</v>
      </c>
    </row>
    <row r="17" spans="1:8" ht="27.75" customHeight="1">
      <c r="A17" s="12" t="s">
        <v>31</v>
      </c>
      <c r="B17" s="12"/>
      <c r="C17" s="12"/>
      <c r="D17" s="12"/>
      <c r="E17" s="12"/>
      <c r="F17" s="12"/>
      <c r="G17" s="12"/>
      <c r="H17" s="12"/>
    </row>
    <row r="18" spans="1:8" s="3" customFormat="1" ht="28.5" customHeight="1">
      <c r="A18" s="13" t="s">
        <v>33</v>
      </c>
      <c r="B18" s="13"/>
      <c r="C18" s="13"/>
      <c r="D18" s="13"/>
      <c r="E18" s="13"/>
      <c r="F18" s="13"/>
      <c r="G18" s="13"/>
      <c r="H18" s="13"/>
    </row>
  </sheetData>
  <mergeCells count="6">
    <mergeCell ref="A18:H18"/>
    <mergeCell ref="A1:H1"/>
    <mergeCell ref="A2:H3"/>
    <mergeCell ref="A4:H4"/>
    <mergeCell ref="A16:B16"/>
    <mergeCell ref="A17:H1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2018-12-17T02:20:07Z</cp:lastPrinted>
  <dcterms:created xsi:type="dcterms:W3CDTF">2006-09-13T11:21:00Z</dcterms:created>
  <dcterms:modified xsi:type="dcterms:W3CDTF">2018-12-17T02:20:11Z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