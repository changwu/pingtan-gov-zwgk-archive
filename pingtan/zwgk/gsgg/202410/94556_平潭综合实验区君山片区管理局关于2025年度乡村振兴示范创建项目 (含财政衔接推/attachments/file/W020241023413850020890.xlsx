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765"/>
  </bookViews>
  <sheets>
    <sheet name="Sheet0" sheetId="1" r:id="rId1"/>
  </sheets>
  <definedNames>
    <definedName name="_xlnm._FilterDatabase" localSheetId="0" hidden="1">Sheet0!$A$3:$O$16</definedName>
  </definedNames>
  <calcPr calcId="144525"/>
</workbook>
</file>

<file path=xl/sharedStrings.xml><?xml version="1.0" encoding="utf-8"?>
<sst xmlns="http://schemas.openxmlformats.org/spreadsheetml/2006/main" count="71" uniqueCount="47">
  <si>
    <t>君山片区2025年度乡村振兴示范创建项目(含财政衔接推进乡村振兴补助资金申报项目)汇总表</t>
  </si>
  <si>
    <t>序号</t>
  </si>
  <si>
    <t>示范村</t>
  </si>
  <si>
    <t>项目名称</t>
  </si>
  <si>
    <t>建设内容</t>
  </si>
  <si>
    <t>起止建设年度</t>
  </si>
  <si>
    <t>是否涉及用海用地用林（如涉及，需填写涉及的用海用地用林属于什么性质）</t>
  </si>
  <si>
    <t>项目资金信息</t>
  </si>
  <si>
    <t>备注</t>
  </si>
  <si>
    <t>投资总额/万</t>
  </si>
  <si>
    <t>年度计划投资/万</t>
  </si>
  <si>
    <t>完成投资/万</t>
  </si>
  <si>
    <t>投资来源/万</t>
  </si>
  <si>
    <t>业主单位</t>
  </si>
  <si>
    <t>财政专项资金投入</t>
  </si>
  <si>
    <t>财政非专项资金投入</t>
  </si>
  <si>
    <t>社会资本投入</t>
  </si>
  <si>
    <t>社会捐赠</t>
  </si>
  <si>
    <t>村自筹</t>
  </si>
  <si>
    <t>裕藩村</t>
  </si>
  <si>
    <t>村主干道提升工程</t>
  </si>
  <si>
    <t>拓宽建设柏油路，村主干道两边揽线整治落地、路灯夜景提升等。</t>
  </si>
  <si>
    <t>否</t>
  </si>
  <si>
    <t>君山镇裕藩村村民委员会</t>
  </si>
  <si>
    <t>村庄人居环境整治工程</t>
  </si>
  <si>
    <t>加强村庄人居环境整治，实施所有垃圾（含生活和建筑垃圾、海蛎鲍鱼壳、路边杂草等）清理和转运，做好拆清楚（鸡鸭舍和坏旧旱厕等），扫清楚，进行美丽乡村建设。</t>
  </si>
  <si>
    <t>村内基础设施完善和景观改造提升及绿化美化工程</t>
  </si>
  <si>
    <t>实施村内（含村主干道两侧）基础设施完善和景观改造提升及绿化美化工程，进行村内公共空间和村间巷道景观改造提升、院落空间整治等；建设7个口袋公园，拓宽西边进村道路200多米，新建连接村道50多米等。</t>
  </si>
  <si>
    <t>全村乡村治理数字化体系建设</t>
  </si>
  <si>
    <t>全村乡村治理数字化体系建设工程。</t>
  </si>
  <si>
    <t>周裕藩纪念馆周边道路工程</t>
  </si>
  <si>
    <t>建设周裕藩革命红色文化纪念馆周边道路工程。</t>
  </si>
  <si>
    <t>周裕藩纪念馆展览提升项目</t>
  </si>
  <si>
    <t>建设提升纪念馆内部装修、布展等相关配套工程，采购展览产品，建设集纪念和教育功能、传播功能为一体的爱国主义红色文化展览基地，带动旅游业发展。</t>
  </si>
  <si>
    <t>裕藩湾沙滩集市和旅游产业发展场地建设项目</t>
  </si>
  <si>
    <t>采购沙滩集市所需产品，建设旅游各种配套设施，建成可移动季节性沙滩集市；在流水路南至海边沙滩区域，进行林下沙滩场地平整、生态修复和环境提升及景观改造、游客通道和停车场地修建、旅游产业场地建设等。建成后用于村集体旅游和休闲运动产业发展集市和场地的经营或出租。</t>
  </si>
  <si>
    <t>衔接资金项目</t>
  </si>
  <si>
    <t>裕藩湾文旅商贸产业园</t>
  </si>
  <si>
    <t>在村内建设一栋大楼，建筑占地300平方左右，建筑面积1200平方左右，发展旅游文化和商贸产业，用于现代办公和住宿餐饮</t>
  </si>
  <si>
    <t>是</t>
  </si>
  <si>
    <t>旅游文化和休闲运动产业发展项目</t>
  </si>
  <si>
    <t>依托裕藩湾海岸资源与自然条件优势，大力发展游船游艇海上运动等，购买海上游艇、浮桥等产品，吸引游客入村，促进旅游文化和休闲运动发展。建成后用于村集体经营或出租。</t>
  </si>
  <si>
    <t>大坪村</t>
  </si>
  <si>
    <t>大坪村现代农业产业园项目</t>
  </si>
  <si>
    <t>现代农业基础设施和服务配套设施建设等</t>
  </si>
  <si>
    <t>君山镇大坪村村民委员会</t>
  </si>
  <si>
    <t>合计</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</si>
</sst>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32">
    <font>
      <sz val="11"/>
      <color indexed="8"/>
      <name val="宋体"/>
      <charset val="134"/>
      <scheme val="minor"/>
    </font>
    <font>
      <sz val="12"/>
      <color indexed="8"/>
      <name val="宋体"/>
      <charset val="134"/>
      <scheme val="minor"/>
    </font>
    <font>
      <sz val="20"/>
      <color rgb="FF000000"/>
      <name val="方正小标宋简体"/>
      <charset val="134"/>
    </font>
    <font>
      <b/>
      <sz val="20"/>
      <color rgb="FF000000"/>
      <name val="仿宋_GB2312"/>
      <charset val="134"/>
    </font>
    <font>
      <b/>
      <sz val="12"/>
      <name val="仿宋_GB2312"/>
      <charset val="134"/>
    </font>
    <font>
      <b/>
      <sz val="12"/>
      <color indexed="8"/>
      <name val="仿宋_GB2312"/>
      <charset val="134"/>
    </font>
    <font>
      <sz val="12"/>
      <name val="仿宋_GB2312"/>
      <charset val="134"/>
    </font>
    <font>
      <sz val="12"/>
      <name val="宋体"/>
      <charset val="134"/>
    </font>
    <font>
      <sz val="12"/>
      <name val="宋体"/>
      <charset val="134"/>
      <scheme val="major"/>
    </font>
    <font>
      <sz val="12"/>
      <color theme="1"/>
      <name val="仿宋_GB2312"/>
      <charset val="134"/>
    </font>
    <font>
      <sz val="11"/>
      <color theme="1"/>
      <name val="宋体"/>
      <charset val="0"/>
      <scheme val="minor"/>
    </font>
    <font>
      <sz val="11"/>
      <color rgb="FF9C0006"/>
      <name val="宋体"/>
      <charset val="0"/>
      <scheme val="minor"/>
    </font>
    <font>
      <sz val="11"/>
      <color theme="1"/>
      <name val="宋体"/>
      <charset val="134"/>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theme="0"/>
      <name val="宋体"/>
      <charset val="0"/>
      <scheme val="minor"/>
    </font>
    <font>
      <sz val="11"/>
      <color indexed="8"/>
      <name val="宋体"/>
      <charset val="134"/>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sz val="11"/>
      <color rgb="FFFF0000"/>
      <name val="宋体"/>
      <charset val="0"/>
      <scheme val="minor"/>
    </font>
    <font>
      <b/>
      <sz val="11"/>
      <color rgb="FFFFFFFF"/>
      <name val="宋体"/>
      <charset val="0"/>
      <scheme val="minor"/>
    </font>
    <font>
      <b/>
      <sz val="13"/>
      <color theme="3"/>
      <name val="宋体"/>
      <charset val="134"/>
      <scheme val="minor"/>
    </font>
    <font>
      <sz val="11"/>
      <name val="宋体"/>
      <charset val="134"/>
    </font>
    <font>
      <sz val="11"/>
      <color rgb="FFFA7D00"/>
      <name val="宋体"/>
      <charset val="0"/>
      <scheme val="minor"/>
    </font>
    <font>
      <b/>
      <sz val="11"/>
      <color rgb="FFFA7D00"/>
      <name val="宋体"/>
      <charset val="0"/>
      <scheme val="minor"/>
    </font>
  </fonts>
  <fills count="33">
    <fill>
      <patternFill patternType="none"/>
    </fill>
    <fill>
      <patternFill patternType="gray125"/>
    </fill>
    <fill>
      <patternFill patternType="solid">
        <fgColor theme="6" tint="0.599993896298105"/>
        <bgColor indexed="64"/>
      </patternFill>
    </fill>
    <fill>
      <patternFill patternType="solid">
        <fgColor rgb="FFFFC7CE"/>
        <bgColor indexed="64"/>
      </patternFill>
    </fill>
    <fill>
      <patternFill patternType="solid">
        <fgColor theme="9" tint="0.599993896298105"/>
        <bgColor indexed="64"/>
      </patternFill>
    </fill>
    <fill>
      <patternFill patternType="solid">
        <fgColor theme="4"/>
        <bgColor indexed="64"/>
      </patternFill>
    </fill>
    <fill>
      <patternFill patternType="solid">
        <fgColor theme="7"/>
        <bgColor indexed="64"/>
      </patternFill>
    </fill>
    <fill>
      <patternFill patternType="solid">
        <fgColor rgb="FFF2F2F2"/>
        <bgColor indexed="64"/>
      </patternFill>
    </fill>
    <fill>
      <patternFill patternType="solid">
        <fgColor theme="5"/>
        <bgColor indexed="64"/>
      </patternFill>
    </fill>
    <fill>
      <patternFill patternType="solid">
        <fgColor theme="8"/>
        <bgColor indexed="64"/>
      </patternFill>
    </fill>
    <fill>
      <patternFill patternType="solid">
        <fgColor rgb="FFFFFFCC"/>
        <bgColor indexed="64"/>
      </patternFill>
    </fill>
    <fill>
      <patternFill patternType="solid">
        <fgColor theme="6"/>
        <bgColor indexed="64"/>
      </patternFill>
    </fill>
    <fill>
      <patternFill patternType="solid">
        <fgColor theme="9"/>
        <bgColor indexed="64"/>
      </patternFill>
    </fill>
    <fill>
      <patternFill patternType="solid">
        <fgColor theme="6" tint="0.399975585192419"/>
        <bgColor indexed="64"/>
      </patternFill>
    </fill>
    <fill>
      <patternFill patternType="solid">
        <fgColor rgb="FFFFEB9C"/>
        <bgColor indexed="64"/>
      </patternFill>
    </fill>
    <fill>
      <patternFill patternType="solid">
        <fgColor theme="9"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rgb="FFC6EFCE"/>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rgb="FFA5A5A5"/>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5" tint="0.799981688894314"/>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76">
    <xf numFmtId="0" fontId="0" fillId="0" borderId="0">
      <alignment vertical="center"/>
    </xf>
    <xf numFmtId="0" fontId="29" fillId="0" borderId="0">
      <alignment vertical="center"/>
    </xf>
    <xf numFmtId="42" fontId="12" fillId="0" borderId="0" applyFont="0" applyFill="0" applyBorder="0" applyAlignment="0" applyProtection="0">
      <alignment vertical="center"/>
    </xf>
    <xf numFmtId="0" fontId="10" fillId="19" borderId="0" applyNumberFormat="0" applyBorder="0" applyAlignment="0" applyProtection="0">
      <alignment vertical="center"/>
    </xf>
    <xf numFmtId="0" fontId="24" fillId="16" borderId="13" applyNumberFormat="0" applyAlignment="0" applyProtection="0">
      <alignment vertical="center"/>
    </xf>
    <xf numFmtId="0" fontId="12" fillId="0" borderId="0">
      <alignment vertical="center"/>
    </xf>
    <xf numFmtId="44"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43" fontId="12" fillId="0" borderId="0" applyFont="0" applyFill="0" applyBorder="0" applyAlignment="0" applyProtection="0">
      <alignment vertical="center"/>
    </xf>
    <xf numFmtId="0" fontId="16" fillId="13" borderId="0" applyNumberFormat="0" applyBorder="0" applyAlignment="0" applyProtection="0">
      <alignment vertical="center"/>
    </xf>
    <xf numFmtId="0" fontId="22" fillId="0" borderId="0" applyNumberFormat="0" applyFill="0" applyBorder="0" applyAlignment="0" applyProtection="0">
      <alignment vertical="center"/>
    </xf>
    <xf numFmtId="9" fontId="12" fillId="0" borderId="0" applyFont="0" applyFill="0" applyBorder="0" applyAlignment="0" applyProtection="0">
      <alignment vertical="center"/>
    </xf>
    <xf numFmtId="0" fontId="15" fillId="0" borderId="0" applyNumberFormat="0" applyFill="0" applyBorder="0" applyAlignment="0" applyProtection="0">
      <alignment vertical="center"/>
    </xf>
    <xf numFmtId="0" fontId="12" fillId="10" borderId="10" applyNumberFormat="0" applyFont="0" applyAlignment="0" applyProtection="0">
      <alignment vertical="center"/>
    </xf>
    <xf numFmtId="0" fontId="16" fillId="27"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9" fillId="0" borderId="9" applyNumberFormat="0" applyFill="0" applyAlignment="0" applyProtection="0">
      <alignment vertical="center"/>
    </xf>
    <xf numFmtId="0" fontId="28" fillId="0" borderId="9" applyNumberFormat="0" applyFill="0" applyAlignment="0" applyProtection="0">
      <alignment vertical="center"/>
    </xf>
    <xf numFmtId="0" fontId="16" fillId="17" borderId="0" applyNumberFormat="0" applyBorder="0" applyAlignment="0" applyProtection="0">
      <alignment vertical="center"/>
    </xf>
    <xf numFmtId="0" fontId="14" fillId="0" borderId="12" applyNumberFormat="0" applyFill="0" applyAlignment="0" applyProtection="0">
      <alignment vertical="center"/>
    </xf>
    <xf numFmtId="0" fontId="16" fillId="18" borderId="0" applyNumberFormat="0" applyBorder="0" applyAlignment="0" applyProtection="0">
      <alignment vertical="center"/>
    </xf>
    <xf numFmtId="0" fontId="18" fillId="7" borderId="8" applyNumberFormat="0" applyAlignment="0" applyProtection="0">
      <alignment vertical="center"/>
    </xf>
    <xf numFmtId="0" fontId="31" fillId="7" borderId="13" applyNumberFormat="0" applyAlignment="0" applyProtection="0">
      <alignment vertical="center"/>
    </xf>
    <xf numFmtId="0" fontId="27" fillId="24" borderId="14" applyNumberFormat="0" applyAlignment="0" applyProtection="0">
      <alignment vertical="center"/>
    </xf>
    <xf numFmtId="0" fontId="10" fillId="20" borderId="0" applyNumberFormat="0" applyBorder="0" applyAlignment="0" applyProtection="0">
      <alignment vertical="center"/>
    </xf>
    <xf numFmtId="0" fontId="16" fillId="8" borderId="0" applyNumberFormat="0" applyBorder="0" applyAlignment="0" applyProtection="0">
      <alignment vertical="center"/>
    </xf>
    <xf numFmtId="0" fontId="30" fillId="0" borderId="15" applyNumberFormat="0" applyFill="0" applyAlignment="0" applyProtection="0">
      <alignment vertical="center"/>
    </xf>
    <xf numFmtId="0" fontId="20" fillId="0" borderId="11" applyNumberFormat="0" applyFill="0" applyAlignment="0" applyProtection="0">
      <alignment vertical="center"/>
    </xf>
    <xf numFmtId="0" fontId="25" fillId="21" borderId="0" applyNumberFormat="0" applyBorder="0" applyAlignment="0" applyProtection="0">
      <alignment vertical="center"/>
    </xf>
    <xf numFmtId="0" fontId="29" fillId="0" borderId="0">
      <alignment vertical="center"/>
    </xf>
    <xf numFmtId="0" fontId="29" fillId="0" borderId="0">
      <alignment vertical="center"/>
    </xf>
    <xf numFmtId="0" fontId="23" fillId="14" borderId="0" applyNumberFormat="0" applyBorder="0" applyAlignment="0" applyProtection="0">
      <alignment vertical="center"/>
    </xf>
    <xf numFmtId="0" fontId="10" fillId="31" borderId="0" applyNumberFormat="0" applyBorder="0" applyAlignment="0" applyProtection="0">
      <alignment vertical="center"/>
    </xf>
    <xf numFmtId="0" fontId="16" fillId="5" borderId="0" applyNumberFormat="0" applyBorder="0" applyAlignment="0" applyProtection="0">
      <alignment vertical="center"/>
    </xf>
    <xf numFmtId="0" fontId="10" fillId="29" borderId="0" applyNumberFormat="0" applyBorder="0" applyAlignment="0" applyProtection="0">
      <alignment vertical="center"/>
    </xf>
    <xf numFmtId="0" fontId="10" fillId="22" borderId="0" applyNumberFormat="0" applyBorder="0" applyAlignment="0" applyProtection="0">
      <alignment vertical="center"/>
    </xf>
    <xf numFmtId="0" fontId="10" fillId="32" borderId="0" applyNumberFormat="0" applyBorder="0" applyAlignment="0" applyProtection="0">
      <alignment vertical="center"/>
    </xf>
    <xf numFmtId="0" fontId="10" fillId="25" borderId="0" applyNumberFormat="0" applyBorder="0" applyAlignment="0" applyProtection="0">
      <alignment vertical="center"/>
    </xf>
    <xf numFmtId="0" fontId="16" fillId="11" borderId="0" applyNumberFormat="0" applyBorder="0" applyAlignment="0" applyProtection="0">
      <alignment vertical="center"/>
    </xf>
    <xf numFmtId="0" fontId="16" fillId="6" borderId="0" applyNumberFormat="0" applyBorder="0" applyAlignment="0" applyProtection="0">
      <alignment vertical="center"/>
    </xf>
    <xf numFmtId="0" fontId="10" fillId="30" borderId="0" applyNumberFormat="0" applyBorder="0" applyAlignment="0" applyProtection="0">
      <alignment vertical="center"/>
    </xf>
    <xf numFmtId="0" fontId="10" fillId="23" borderId="0" applyNumberFormat="0" applyBorder="0" applyAlignment="0" applyProtection="0">
      <alignment vertical="center"/>
    </xf>
    <xf numFmtId="0" fontId="29" fillId="0" borderId="0">
      <alignment vertical="center"/>
    </xf>
    <xf numFmtId="0" fontId="16" fillId="9" borderId="0" applyNumberFormat="0" applyBorder="0" applyAlignment="0" applyProtection="0">
      <alignment vertical="center"/>
    </xf>
    <xf numFmtId="0" fontId="10" fillId="26" borderId="0" applyNumberFormat="0" applyBorder="0" applyAlignment="0" applyProtection="0">
      <alignment vertical="center"/>
    </xf>
    <xf numFmtId="0" fontId="16" fillId="28" borderId="0" applyNumberFormat="0" applyBorder="0" applyAlignment="0" applyProtection="0">
      <alignment vertical="center"/>
    </xf>
    <xf numFmtId="0" fontId="29" fillId="0" borderId="0">
      <alignment vertical="center"/>
    </xf>
    <xf numFmtId="0" fontId="16" fillId="12" borderId="0" applyNumberFormat="0" applyBorder="0" applyAlignment="0" applyProtection="0">
      <alignment vertical="center"/>
    </xf>
    <xf numFmtId="0" fontId="29" fillId="0" borderId="0">
      <alignment vertical="center"/>
    </xf>
    <xf numFmtId="0" fontId="29" fillId="0" borderId="0">
      <alignment vertical="center"/>
    </xf>
    <xf numFmtId="0" fontId="10" fillId="4" borderId="0" applyNumberFormat="0" applyBorder="0" applyAlignment="0" applyProtection="0">
      <alignment vertical="center"/>
    </xf>
    <xf numFmtId="0" fontId="16" fillId="15" borderId="0" applyNumberFormat="0" applyBorder="0" applyAlignment="0" applyProtection="0">
      <alignment vertical="center"/>
    </xf>
    <xf numFmtId="0" fontId="17" fillId="0" borderId="0" applyProtection="0">
      <alignment vertical="center"/>
    </xf>
    <xf numFmtId="0" fontId="17" fillId="0" borderId="0" applyProtection="0">
      <alignment vertical="center"/>
    </xf>
    <xf numFmtId="0" fontId="0"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12" fillId="0" borderId="0">
      <alignment vertical="center"/>
    </xf>
    <xf numFmtId="0" fontId="12"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12" fillId="0" borderId="0">
      <alignment vertical="center"/>
    </xf>
    <xf numFmtId="0" fontId="17" fillId="0" borderId="0" applyProtection="0">
      <alignment vertical="center"/>
    </xf>
    <xf numFmtId="0" fontId="12" fillId="0" borderId="0">
      <alignment vertical="center"/>
    </xf>
    <xf numFmtId="0" fontId="29" fillId="0" borderId="0">
      <alignment vertical="center"/>
    </xf>
  </cellStyleXfs>
  <cellXfs count="31">
    <xf numFmtId="0" fontId="0" fillId="0" borderId="0" xfId="0">
      <alignment vertical="center"/>
    </xf>
    <xf numFmtId="0" fontId="1" fillId="0" borderId="0" xfId="0" applyFont="1" applyAlignment="1">
      <alignment horizontal="center" vertical="center"/>
    </xf>
    <xf numFmtId="0" fontId="0" fillId="0" borderId="0" xfId="0"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Border="1" applyAlignment="1">
      <alignment horizontal="center" vertical="center" wrapText="1"/>
    </xf>
    <xf numFmtId="0" fontId="3" fillId="0" borderId="0" xfId="0" applyFont="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6" xfId="0" applyFont="1" applyBorder="1" applyAlignment="1">
      <alignment horizontal="center" vertical="center" wrapText="1"/>
    </xf>
    <xf numFmtId="0" fontId="6" fillId="0" borderId="1"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9" fillId="0"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0" fontId="7" fillId="0" borderId="0" xfId="0" applyFont="1" applyFill="1" applyAlignment="1" applyProtection="1">
      <alignment horizontal="center" vertical="center" wrapText="1"/>
      <protection locked="0"/>
    </xf>
    <xf numFmtId="0" fontId="4" fillId="0" borderId="7" xfId="0" applyFont="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xf>
    <xf numFmtId="0" fontId="0" fillId="0" borderId="1" xfId="0" applyBorder="1" applyAlignment="1">
      <alignment horizontal="center" vertical="center"/>
    </xf>
  </cellXfs>
  <cellStyles count="76">
    <cellStyle name="常规" xfId="0" builtinId="0"/>
    <cellStyle name="常规 18 3" xfId="1"/>
    <cellStyle name="货币[0]" xfId="2" builtinId="7"/>
    <cellStyle name="20% - 强调文字颜色 3" xfId="3" builtinId="38"/>
    <cellStyle name="输入" xfId="4" builtinId="20"/>
    <cellStyle name="常规 2 2 4" xfId="5"/>
    <cellStyle name="货币" xfId="6" builtinId="4"/>
    <cellStyle name="千位分隔[0]" xfId="7" builtinId="6"/>
    <cellStyle name="40% - 强调文字颜色 3" xfId="8" builtinId="39"/>
    <cellStyle name="差" xfId="9" builtinId="27"/>
    <cellStyle name="千位分隔" xfId="10" builtinId="3"/>
    <cellStyle name="60% - 强调文字颜色 3" xfId="11" builtinId="40"/>
    <cellStyle name="超链接" xfId="12" builtinId="8"/>
    <cellStyle name="百分比" xfId="13" builtinId="5"/>
    <cellStyle name="已访问的超链接" xfId="14" builtinId="9"/>
    <cellStyle name="注释" xfId="15" builtinId="10"/>
    <cellStyle name="60% - 强调文字颜色 2" xfId="16" builtinId="36"/>
    <cellStyle name="标题 4" xfId="17" builtinId="19"/>
    <cellStyle name="警告文本" xfId="18" builtinId="11"/>
    <cellStyle name="标题" xfId="19" builtinId="15"/>
    <cellStyle name="解释性文本" xfId="20" builtinId="53"/>
    <cellStyle name="标题 1" xfId="21" builtinId="16"/>
    <cellStyle name="标题 2" xfId="22" builtinId="17"/>
    <cellStyle name="60% - 强调文字颜色 1" xfId="23" builtinId="32"/>
    <cellStyle name="标题 3" xfId="24" builtinId="18"/>
    <cellStyle name="60% - 强调文字颜色 4" xfId="25" builtinId="44"/>
    <cellStyle name="输出" xfId="26" builtinId="21"/>
    <cellStyle name="计算" xfId="27" builtinId="22"/>
    <cellStyle name="检查单元格" xfId="28" builtinId="23"/>
    <cellStyle name="20% - 强调文字颜色 6" xfId="29" builtinId="50"/>
    <cellStyle name="强调文字颜色 2" xfId="30" builtinId="33"/>
    <cellStyle name="链接单元格" xfId="31" builtinId="24"/>
    <cellStyle name="汇总" xfId="32" builtinId="25"/>
    <cellStyle name="好" xfId="33" builtinId="26"/>
    <cellStyle name="常规 16" xfId="34"/>
    <cellStyle name="常规 21" xfId="35"/>
    <cellStyle name="适中" xfId="36" builtinId="28"/>
    <cellStyle name="20% - 强调文字颜色 5" xfId="37" builtinId="46"/>
    <cellStyle name="强调文字颜色 1" xfId="38" builtinId="29"/>
    <cellStyle name="20% - 强调文字颜色 1" xfId="39" builtinId="30"/>
    <cellStyle name="40% - 强调文字颜色 1" xfId="40" builtinId="31"/>
    <cellStyle name="20% - 强调文字颜色 2" xfId="41" builtinId="34"/>
    <cellStyle name="40% - 强调文字颜色 2" xfId="42" builtinId="35"/>
    <cellStyle name="强调文字颜色 3" xfId="43" builtinId="37"/>
    <cellStyle name="强调文字颜色 4" xfId="44" builtinId="41"/>
    <cellStyle name="20% - 强调文字颜色 4" xfId="45" builtinId="42"/>
    <cellStyle name="40% - 强调文字颜色 4" xfId="46" builtinId="43"/>
    <cellStyle name="常规 17 2" xfId="47"/>
    <cellStyle name="强调文字颜色 5" xfId="48" builtinId="45"/>
    <cellStyle name="40% - 强调文字颜色 5" xfId="49" builtinId="47"/>
    <cellStyle name="60% - 强调文字颜色 5" xfId="50" builtinId="48"/>
    <cellStyle name="常规 17 3" xfId="51"/>
    <cellStyle name="强调文字颜色 6" xfId="52" builtinId="49"/>
    <cellStyle name="常规 16 2" xfId="53"/>
    <cellStyle name="常规 21 2" xfId="54"/>
    <cellStyle name="40% - 强调文字颜色 6" xfId="55" builtinId="51"/>
    <cellStyle name="60% - 强调文字颜色 6" xfId="56" builtinId="52"/>
    <cellStyle name="常规 34 3" xfId="57"/>
    <cellStyle name="常规 34" xfId="58"/>
    <cellStyle name="常规 2" xfId="59"/>
    <cellStyle name="常规 18 2" xfId="60"/>
    <cellStyle name="常规 17" xfId="61"/>
    <cellStyle name="常规 21 3" xfId="62"/>
    <cellStyle name="常规 16 3" xfId="63"/>
    <cellStyle name="常规 20" xfId="64"/>
    <cellStyle name="常规 15" xfId="65"/>
    <cellStyle name="常规 2 2 2" xfId="66"/>
    <cellStyle name="常规 2 2 5" xfId="67"/>
    <cellStyle name="常规 20 3" xfId="68"/>
    <cellStyle name="常规 15 3" xfId="69"/>
    <cellStyle name="常规 20 2" xfId="70"/>
    <cellStyle name="常规 15 2" xfId="71"/>
    <cellStyle name="常规 2 2" xfId="72"/>
    <cellStyle name="常规 34 2" xfId="73"/>
    <cellStyle name="常规 2 2 3" xfId="74"/>
    <cellStyle name="常规 18" xfId="75"/>
  </cellStyles>
  <tableStyles count="0" defaultTableStyle="TableStyleMedium9" defaultPivotStyle="PivotStyleLight16"/>
  <colors>
    <mruColors>
      <color rgb="0066FF99"/>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16"/>
  <sheetViews>
    <sheetView tabSelected="1" workbookViewId="0">
      <pane ySplit="5" topLeftCell="A6" activePane="bottomLeft" state="frozen"/>
      <selection/>
      <selection pane="bottomLeft" activeCell="R10" sqref="R10"/>
    </sheetView>
  </sheetViews>
  <sheetFormatPr defaultColWidth="9" defaultRowHeight="13.5"/>
  <cols>
    <col min="1" max="1" width="6.59166666666667" style="3" customWidth="1"/>
    <col min="2" max="2" width="9.775" style="3" customWidth="1"/>
    <col min="3" max="3" width="21.375" style="4" customWidth="1"/>
    <col min="4" max="4" width="49.25" style="4" customWidth="1"/>
    <col min="5" max="5" width="6.625" style="4" customWidth="1"/>
    <col min="6" max="6" width="6.95833333333333" style="4" customWidth="1"/>
    <col min="7" max="7" width="8" style="4" customWidth="1"/>
    <col min="8" max="8" width="7" style="4" customWidth="1"/>
    <col min="9" max="9" width="6.875" style="4" customWidth="1"/>
    <col min="10" max="10" width="6.75" style="4" customWidth="1"/>
    <col min="11" max="11" width="6.59166666666667" style="4" customWidth="1"/>
    <col min="12" max="12" width="5.75" style="4" customWidth="1"/>
    <col min="13" max="13" width="5.125" style="4" customWidth="1"/>
    <col min="14" max="14" width="5.625" style="4" customWidth="1"/>
    <col min="15" max="15" width="13.625" style="4" customWidth="1"/>
    <col min="16" max="16384" width="9" style="3"/>
  </cols>
  <sheetData>
    <row r="1" ht="32" customHeight="1" spans="1:15">
      <c r="A1" s="5" t="s">
        <v>0</v>
      </c>
      <c r="B1" s="6"/>
      <c r="C1" s="6"/>
      <c r="D1" s="6"/>
      <c r="E1" s="6"/>
      <c r="F1" s="6"/>
      <c r="G1" s="6"/>
      <c r="H1" s="6"/>
      <c r="I1" s="6"/>
      <c r="J1" s="6"/>
      <c r="K1" s="6"/>
      <c r="L1" s="6"/>
      <c r="M1" s="6"/>
      <c r="N1" s="6"/>
      <c r="O1" s="6"/>
    </row>
    <row r="2" ht="24" customHeight="1" spans="1:15">
      <c r="A2" s="7"/>
      <c r="B2" s="7"/>
      <c r="C2" s="7"/>
      <c r="D2" s="7"/>
      <c r="E2" s="8"/>
      <c r="F2" s="8"/>
      <c r="G2" s="8"/>
      <c r="H2" s="8"/>
      <c r="I2" s="8"/>
      <c r="J2" s="8"/>
      <c r="K2" s="8"/>
      <c r="L2" s="8"/>
      <c r="M2" s="8"/>
      <c r="N2" s="8"/>
      <c r="O2" s="26"/>
    </row>
    <row r="3" s="1" customFormat="1" ht="21" customHeight="1" spans="1:16">
      <c r="A3" s="9" t="s">
        <v>1</v>
      </c>
      <c r="B3" s="9" t="s">
        <v>2</v>
      </c>
      <c r="C3" s="10" t="s">
        <v>3</v>
      </c>
      <c r="D3" s="10" t="s">
        <v>4</v>
      </c>
      <c r="E3" s="10" t="s">
        <v>5</v>
      </c>
      <c r="F3" s="11" t="s">
        <v>6</v>
      </c>
      <c r="G3" s="12" t="s">
        <v>7</v>
      </c>
      <c r="H3" s="13"/>
      <c r="I3" s="13"/>
      <c r="J3" s="13"/>
      <c r="K3" s="13"/>
      <c r="L3" s="13"/>
      <c r="M3" s="13"/>
      <c r="N3" s="27"/>
      <c r="O3" s="10"/>
      <c r="P3" s="10" t="s">
        <v>8</v>
      </c>
    </row>
    <row r="4" s="1" customFormat="1" ht="24" customHeight="1" spans="1:16">
      <c r="A4" s="9"/>
      <c r="B4" s="9"/>
      <c r="C4" s="10"/>
      <c r="D4" s="10"/>
      <c r="E4" s="10"/>
      <c r="F4" s="14"/>
      <c r="G4" s="10" t="s">
        <v>9</v>
      </c>
      <c r="H4" s="10" t="s">
        <v>10</v>
      </c>
      <c r="I4" s="10" t="s">
        <v>11</v>
      </c>
      <c r="J4" s="12" t="s">
        <v>12</v>
      </c>
      <c r="K4" s="13"/>
      <c r="L4" s="13"/>
      <c r="M4" s="13"/>
      <c r="N4" s="27"/>
      <c r="O4" s="10" t="s">
        <v>13</v>
      </c>
      <c r="P4" s="10"/>
    </row>
    <row r="5" s="1" customFormat="1" ht="54" customHeight="1" spans="1:16">
      <c r="A5" s="15"/>
      <c r="B5" s="9"/>
      <c r="C5" s="16"/>
      <c r="D5" s="16"/>
      <c r="E5" s="10"/>
      <c r="F5" s="17"/>
      <c r="G5" s="10"/>
      <c r="H5" s="10"/>
      <c r="I5" s="10"/>
      <c r="J5" s="10" t="s">
        <v>14</v>
      </c>
      <c r="K5" s="10" t="s">
        <v>15</v>
      </c>
      <c r="L5" s="10" t="s">
        <v>16</v>
      </c>
      <c r="M5" s="10" t="s">
        <v>17</v>
      </c>
      <c r="N5" s="10" t="s">
        <v>18</v>
      </c>
      <c r="O5" s="10"/>
      <c r="P5" s="16"/>
    </row>
    <row r="6" s="2" customFormat="1" ht="43" customHeight="1" spans="1:16">
      <c r="A6" s="18">
        <v>1</v>
      </c>
      <c r="B6" s="18" t="s">
        <v>19</v>
      </c>
      <c r="C6" s="19" t="s">
        <v>20</v>
      </c>
      <c r="D6" s="20" t="s">
        <v>21</v>
      </c>
      <c r="E6" s="21">
        <v>2025</v>
      </c>
      <c r="F6" s="21" t="s">
        <v>22</v>
      </c>
      <c r="G6" s="21">
        <v>300</v>
      </c>
      <c r="H6" s="21">
        <v>300</v>
      </c>
      <c r="I6" s="21"/>
      <c r="J6" s="21">
        <v>300</v>
      </c>
      <c r="K6" s="21"/>
      <c r="L6" s="21"/>
      <c r="M6" s="21"/>
      <c r="N6" s="21"/>
      <c r="O6" s="18" t="s">
        <v>23</v>
      </c>
      <c r="P6" s="28"/>
    </row>
    <row r="7" s="2" customFormat="1" ht="60" customHeight="1" spans="1:16">
      <c r="A7" s="18">
        <v>2</v>
      </c>
      <c r="B7" s="18" t="s">
        <v>19</v>
      </c>
      <c r="C7" s="22" t="s">
        <v>24</v>
      </c>
      <c r="D7" s="18" t="s">
        <v>25</v>
      </c>
      <c r="E7" s="21">
        <v>2025</v>
      </c>
      <c r="F7" s="21" t="s">
        <v>22</v>
      </c>
      <c r="G7" s="21">
        <v>40</v>
      </c>
      <c r="H7" s="21">
        <v>40</v>
      </c>
      <c r="I7" s="21"/>
      <c r="J7" s="21">
        <v>40</v>
      </c>
      <c r="K7" s="21"/>
      <c r="L7" s="21"/>
      <c r="M7" s="21"/>
      <c r="N7" s="21"/>
      <c r="O7" s="18" t="s">
        <v>23</v>
      </c>
      <c r="P7" s="29"/>
    </row>
    <row r="8" s="2" customFormat="1" ht="68" customHeight="1" spans="1:16">
      <c r="A8" s="18">
        <v>3</v>
      </c>
      <c r="B8" s="18" t="s">
        <v>19</v>
      </c>
      <c r="C8" s="18" t="s">
        <v>26</v>
      </c>
      <c r="D8" s="18" t="s">
        <v>27</v>
      </c>
      <c r="E8" s="21">
        <v>2025</v>
      </c>
      <c r="F8" s="21" t="s">
        <v>22</v>
      </c>
      <c r="G8" s="21">
        <v>270</v>
      </c>
      <c r="H8" s="21">
        <v>270</v>
      </c>
      <c r="I8" s="21"/>
      <c r="J8" s="21">
        <v>270</v>
      </c>
      <c r="K8" s="21"/>
      <c r="L8" s="21"/>
      <c r="M8" s="21"/>
      <c r="N8" s="21"/>
      <c r="O8" s="18" t="s">
        <v>23</v>
      </c>
      <c r="P8" s="29"/>
    </row>
    <row r="9" s="2" customFormat="1" ht="35" customHeight="1" spans="1:16">
      <c r="A9" s="18">
        <v>4</v>
      </c>
      <c r="B9" s="18" t="s">
        <v>19</v>
      </c>
      <c r="C9" s="18" t="s">
        <v>28</v>
      </c>
      <c r="D9" s="18" t="s">
        <v>29</v>
      </c>
      <c r="E9" s="21">
        <v>2025</v>
      </c>
      <c r="F9" s="21" t="s">
        <v>22</v>
      </c>
      <c r="G9" s="21">
        <v>30</v>
      </c>
      <c r="H9" s="21">
        <v>30</v>
      </c>
      <c r="I9" s="21"/>
      <c r="J9" s="21">
        <v>30</v>
      </c>
      <c r="K9" s="21"/>
      <c r="L9" s="21"/>
      <c r="M9" s="21"/>
      <c r="N9" s="21"/>
      <c r="O9" s="18" t="s">
        <v>23</v>
      </c>
      <c r="P9" s="29"/>
    </row>
    <row r="10" s="2" customFormat="1" ht="41" customHeight="1" spans="1:16">
      <c r="A10" s="18">
        <v>5</v>
      </c>
      <c r="B10" s="18" t="s">
        <v>19</v>
      </c>
      <c r="C10" s="18" t="s">
        <v>30</v>
      </c>
      <c r="D10" s="18" t="s">
        <v>31</v>
      </c>
      <c r="E10" s="21">
        <v>2025</v>
      </c>
      <c r="F10" s="21" t="s">
        <v>22</v>
      </c>
      <c r="G10" s="21">
        <v>50</v>
      </c>
      <c r="H10" s="21">
        <v>50</v>
      </c>
      <c r="I10" s="21"/>
      <c r="J10" s="21">
        <v>50</v>
      </c>
      <c r="K10" s="21"/>
      <c r="L10" s="21"/>
      <c r="M10" s="21"/>
      <c r="N10" s="21"/>
      <c r="O10" s="18" t="s">
        <v>23</v>
      </c>
      <c r="P10" s="29"/>
    </row>
    <row r="11" s="2" customFormat="1" ht="54" customHeight="1" spans="1:16">
      <c r="A11" s="18">
        <v>6</v>
      </c>
      <c r="B11" s="18" t="s">
        <v>19</v>
      </c>
      <c r="C11" s="23" t="s">
        <v>32</v>
      </c>
      <c r="D11" s="18" t="s">
        <v>33</v>
      </c>
      <c r="E11" s="21">
        <v>2025</v>
      </c>
      <c r="F11" s="21" t="s">
        <v>22</v>
      </c>
      <c r="G11" s="21">
        <v>30</v>
      </c>
      <c r="H11" s="21">
        <v>30</v>
      </c>
      <c r="I11" s="21"/>
      <c r="J11" s="21">
        <v>30</v>
      </c>
      <c r="K11" s="25"/>
      <c r="L11" s="25"/>
      <c r="M11" s="25"/>
      <c r="N11" s="25"/>
      <c r="O11" s="18" t="s">
        <v>23</v>
      </c>
      <c r="P11" s="29"/>
    </row>
    <row r="12" s="2" customFormat="1" ht="93" customHeight="1" spans="1:16">
      <c r="A12" s="18">
        <v>7</v>
      </c>
      <c r="B12" s="18" t="s">
        <v>19</v>
      </c>
      <c r="C12" s="18" t="s">
        <v>34</v>
      </c>
      <c r="D12" s="18" t="s">
        <v>35</v>
      </c>
      <c r="E12" s="21">
        <v>2025</v>
      </c>
      <c r="F12" s="21" t="s">
        <v>22</v>
      </c>
      <c r="G12" s="21">
        <v>200</v>
      </c>
      <c r="H12" s="21">
        <v>200</v>
      </c>
      <c r="I12" s="21"/>
      <c r="J12" s="21">
        <v>200</v>
      </c>
      <c r="K12" s="21"/>
      <c r="L12" s="21"/>
      <c r="M12" s="21"/>
      <c r="N12" s="21"/>
      <c r="O12" s="18" t="s">
        <v>23</v>
      </c>
      <c r="P12" s="28" t="s">
        <v>36</v>
      </c>
    </row>
    <row r="13" ht="50" customHeight="1" spans="1:16">
      <c r="A13" s="18">
        <v>8</v>
      </c>
      <c r="B13" s="18" t="s">
        <v>19</v>
      </c>
      <c r="C13" s="22" t="s">
        <v>37</v>
      </c>
      <c r="D13" s="18" t="s">
        <v>38</v>
      </c>
      <c r="E13" s="21">
        <v>2025</v>
      </c>
      <c r="F13" s="21" t="s">
        <v>39</v>
      </c>
      <c r="G13" s="21">
        <v>300</v>
      </c>
      <c r="H13" s="21">
        <v>300</v>
      </c>
      <c r="I13" s="21"/>
      <c r="J13" s="21">
        <v>200</v>
      </c>
      <c r="K13" s="21"/>
      <c r="L13" s="21"/>
      <c r="M13" s="21"/>
      <c r="N13" s="21">
        <v>100</v>
      </c>
      <c r="O13" s="18" t="s">
        <v>23</v>
      </c>
      <c r="P13" s="30"/>
    </row>
    <row r="14" ht="67" customHeight="1" spans="1:16">
      <c r="A14" s="18">
        <v>9</v>
      </c>
      <c r="B14" s="18" t="s">
        <v>19</v>
      </c>
      <c r="C14" s="23" t="s">
        <v>40</v>
      </c>
      <c r="D14" s="18" t="s">
        <v>41</v>
      </c>
      <c r="E14" s="21">
        <v>2025</v>
      </c>
      <c r="F14" s="21" t="s">
        <v>22</v>
      </c>
      <c r="G14" s="21">
        <v>80</v>
      </c>
      <c r="H14" s="21">
        <v>80</v>
      </c>
      <c r="I14" s="21"/>
      <c r="J14" s="21">
        <v>80</v>
      </c>
      <c r="K14" s="25"/>
      <c r="L14" s="25"/>
      <c r="M14" s="25"/>
      <c r="N14" s="21"/>
      <c r="O14" s="18" t="s">
        <v>23</v>
      </c>
      <c r="P14" s="30"/>
    </row>
    <row r="15" ht="67" customHeight="1" spans="1:16">
      <c r="A15" s="18">
        <v>10</v>
      </c>
      <c r="B15" s="18" t="s">
        <v>42</v>
      </c>
      <c r="C15" s="18" t="s">
        <v>43</v>
      </c>
      <c r="D15" s="18" t="s">
        <v>44</v>
      </c>
      <c r="E15" s="18">
        <v>2025</v>
      </c>
      <c r="F15" s="18" t="s">
        <v>39</v>
      </c>
      <c r="G15" s="18">
        <v>200</v>
      </c>
      <c r="H15" s="18">
        <v>200</v>
      </c>
      <c r="I15" s="18"/>
      <c r="J15" s="18">
        <v>200</v>
      </c>
      <c r="K15" s="18"/>
      <c r="L15" s="18"/>
      <c r="M15" s="18"/>
      <c r="N15" s="18"/>
      <c r="O15" s="18" t="s">
        <v>45</v>
      </c>
      <c r="P15" s="30"/>
    </row>
    <row r="16" ht="34" customHeight="1" spans="1:16">
      <c r="A16" s="24" t="s">
        <v>46</v>
      </c>
      <c r="B16" s="25"/>
      <c r="C16" s="25"/>
      <c r="D16" s="25"/>
      <c r="E16" s="25"/>
      <c r="F16" s="21"/>
      <c r="G16" s="21">
        <f>SUM(G6:G15)</f>
        <v>1500</v>
      </c>
      <c r="H16" s="21">
        <f>SUM(H6:H15)</f>
        <v>1500</v>
      </c>
      <c r="I16" s="21"/>
      <c r="J16" s="21">
        <f>SUM(J6:J15)</f>
        <v>1400</v>
      </c>
      <c r="K16" s="25"/>
      <c r="L16" s="25"/>
      <c r="M16" s="25"/>
      <c r="N16" s="21">
        <f>SUM(N6:N14)</f>
        <v>100</v>
      </c>
      <c r="O16" s="25"/>
      <c r="P16" s="30"/>
    </row>
  </sheetData>
  <mergeCells count="15">
    <mergeCell ref="A1:O1"/>
    <mergeCell ref="A2:D2"/>
    <mergeCell ref="G3:N3"/>
    <mergeCell ref="J4:N4"/>
    <mergeCell ref="A3:A5"/>
    <mergeCell ref="B3:B5"/>
    <mergeCell ref="C3:C5"/>
    <mergeCell ref="D3:D5"/>
    <mergeCell ref="E3:E5"/>
    <mergeCell ref="F3:F5"/>
    <mergeCell ref="G4:G5"/>
    <mergeCell ref="H4:H5"/>
    <mergeCell ref="I4:I5"/>
    <mergeCell ref="O4:O5"/>
    <mergeCell ref="P3:P5"/>
  </mergeCells>
  <pageMargins left="0.511805555555556" right="0.511805555555556" top="0.550694444444444" bottom="0.354166666666667" header="0.314583333333333" footer="0.118055555555556"/>
  <pageSetup paperSize="9" scale="73"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琪琪</cp:lastModifiedBy>
  <dcterms:created xsi:type="dcterms:W3CDTF">2021-02-02T09:38:00Z</dcterms:created>
  <cp:lastPrinted>2022-05-28T02:56:00Z</cp:lastPrinted>
  <dcterms:modified xsi:type="dcterms:W3CDTF">2024-10-21T03:32:29Z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2052-11.8.2.8959</vt:lpwstr>
  </property>
  <property fmtid="{D5CDD505-2E9C-101B-9397-08002B2CF9AE}" pid="3" name="ICV">
    <vt:lpwstr>018429EE09B242178B27974F2D8EB288_13</vt:lpwstr>
  </property>
</Properties>
</file>