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-120" yWindow="-120" windowWidth="20730" windowHeight="11160"/>
  </bookViews>
  <sheets>
    <sheet name="餐饮环节" sheetId="1" r:id="rId1"/>
    <sheet name="食品销售" sheetId="2" r:id="rId2"/>
    <sheet name="食品生产" sheetId="11" r:id="rId3"/>
    <sheet name="重点批发市场" sheetId="13" r:id="rId4"/>
  </sheets>
  <externalReferences>
    <externalReference r:id="rId5"/>
  </externalReferences>
  <definedNames>
    <definedName name="_xlnm._FilterDatabase" localSheetId="0" hidden="1">餐饮环节!$A$2:$G$28</definedName>
  </definedNames>
  <calcPr calcId="18102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2"/>
  <c r="J6"/>
  <c r="J7"/>
  <c r="J12"/>
  <c r="J14"/>
  <c r="J18"/>
  <c r="J17"/>
  <c r="J19"/>
  <c r="J20"/>
  <c r="J21"/>
  <c r="J10"/>
  <c r="J25"/>
  <c r="J15"/>
  <c r="J16"/>
  <c r="J4"/>
  <c r="J22"/>
  <c r="J8"/>
  <c r="J11"/>
  <c r="J24"/>
  <c r="J26"/>
  <c r="J9"/>
  <c r="J13"/>
  <c r="J23"/>
  <c r="J3"/>
  <c r="I5"/>
  <c r="K5" s="1"/>
  <c r="I6"/>
  <c r="K6" s="1"/>
  <c r="I7"/>
  <c r="K7" s="1"/>
  <c r="I12"/>
  <c r="I14"/>
  <c r="K14" s="1"/>
  <c r="I18"/>
  <c r="K18" s="1"/>
  <c r="I17"/>
  <c r="K17" s="1"/>
  <c r="I19"/>
  <c r="I20"/>
  <c r="K20" s="1"/>
  <c r="I21"/>
  <c r="K21" s="1"/>
  <c r="I10"/>
  <c r="K10" s="1"/>
  <c r="I25"/>
  <c r="I15"/>
  <c r="K15" s="1"/>
  <c r="I16"/>
  <c r="K16" s="1"/>
  <c r="I4"/>
  <c r="I22"/>
  <c r="K22" s="1"/>
  <c r="I8"/>
  <c r="K8" s="1"/>
  <c r="I11"/>
  <c r="K11" s="1"/>
  <c r="I24"/>
  <c r="I26"/>
  <c r="K26" s="1"/>
  <c r="I9"/>
  <c r="K9" s="1"/>
  <c r="I13"/>
  <c r="K13" s="1"/>
  <c r="I23"/>
  <c r="I3"/>
  <c r="K3" s="1"/>
  <c r="L4" i="1"/>
  <c r="L6"/>
  <c r="L15"/>
  <c r="L13"/>
  <c r="L3"/>
  <c r="L12"/>
  <c r="L8"/>
  <c r="L7"/>
  <c r="L10"/>
  <c r="L18"/>
  <c r="L19"/>
  <c r="L9"/>
  <c r="L11"/>
  <c r="L5"/>
  <c r="L14"/>
  <c r="L20"/>
  <c r="L17"/>
  <c r="L25"/>
  <c r="L22"/>
  <c r="L24"/>
  <c r="L21"/>
  <c r="L26"/>
  <c r="L27"/>
  <c r="L23"/>
  <c r="L28"/>
  <c r="L16"/>
  <c r="K23" i="2" l="1"/>
  <c r="K24"/>
  <c r="K4"/>
  <c r="K25"/>
  <c r="K19"/>
  <c r="K12"/>
</calcChain>
</file>

<file path=xl/sharedStrings.xml><?xml version="1.0" encoding="utf-8"?>
<sst xmlns="http://schemas.openxmlformats.org/spreadsheetml/2006/main" count="182" uniqueCount="117">
  <si>
    <t>序号</t>
  </si>
  <si>
    <t>主体名称</t>
  </si>
  <si>
    <t>监管机构</t>
  </si>
  <si>
    <r>
      <t>5</t>
    </r>
    <r>
      <rPr>
        <b/>
        <sz val="10.5"/>
        <color theme="1"/>
        <rFont val="宋体"/>
        <family val="3"/>
        <charset val="134"/>
      </rPr>
      <t>月台账数</t>
    </r>
  </si>
  <si>
    <r>
      <t>6</t>
    </r>
    <r>
      <rPr>
        <b/>
        <sz val="10.5"/>
        <color theme="1"/>
        <rFont val="宋体"/>
        <family val="3"/>
        <charset val="134"/>
      </rPr>
      <t>月台账数</t>
    </r>
  </si>
  <si>
    <r>
      <t>7</t>
    </r>
    <r>
      <rPr>
        <b/>
        <sz val="10.5"/>
        <color theme="1"/>
        <rFont val="宋体"/>
        <family val="3"/>
        <charset val="134"/>
      </rPr>
      <t>月台账数</t>
    </r>
  </si>
  <si>
    <t>食品处</t>
  </si>
  <si>
    <t>金井分局</t>
  </si>
  <si>
    <t>平潭麒麟荣誉国际酒店有限公司</t>
  </si>
  <si>
    <t>坛西分局</t>
  </si>
  <si>
    <t>坛东分局</t>
  </si>
  <si>
    <t>福建平潭金永雅阁酒店有限公司</t>
  </si>
  <si>
    <t>平潭县新宝德福酒楼</t>
  </si>
  <si>
    <r>
      <rPr>
        <b/>
        <sz val="10.5"/>
        <color theme="1"/>
        <rFont val="Arial"/>
        <family val="2"/>
      </rPr>
      <t>8</t>
    </r>
    <r>
      <rPr>
        <b/>
        <sz val="10.5"/>
        <color theme="1"/>
        <rFont val="宋体"/>
        <family val="3"/>
        <charset val="134"/>
      </rPr>
      <t>月台账数</t>
    </r>
    <phoneticPr fontId="3" type="noConversion"/>
  </si>
  <si>
    <t>爱在山水间(平潭）酒店管理有限公司</t>
  </si>
  <si>
    <t>已停业</t>
    <phoneticPr fontId="3" type="noConversion"/>
  </si>
  <si>
    <t>福建万得福酒店有限公司</t>
    <phoneticPr fontId="3" type="noConversion"/>
  </si>
  <si>
    <r>
      <t>6</t>
    </r>
    <r>
      <rPr>
        <b/>
        <sz val="10"/>
        <rFont val="等线"/>
        <family val="2"/>
      </rPr>
      <t>月台账数</t>
    </r>
    <phoneticPr fontId="3" type="noConversion"/>
  </si>
  <si>
    <t>7月台账数</t>
    <phoneticPr fontId="3" type="noConversion"/>
  </si>
  <si>
    <t>8月台账数</t>
    <phoneticPr fontId="3" type="noConversion"/>
  </si>
  <si>
    <t>坛东分局</t>
    <phoneticPr fontId="3" type="noConversion"/>
  </si>
  <si>
    <t>福建省平潭县新兴贸易有限公司</t>
    <phoneticPr fontId="3" type="noConversion"/>
  </si>
  <si>
    <t>平潭综合实验区飞腾贸易有限公司</t>
    <phoneticPr fontId="3" type="noConversion"/>
  </si>
  <si>
    <t>福建涵程创辉贸易有限公司</t>
    <phoneticPr fontId="3" type="noConversion"/>
  </si>
  <si>
    <t>坛东分局</t>
    <phoneticPr fontId="3" type="noConversion"/>
  </si>
  <si>
    <t>平潭综合实验区远琪贸易有限公司</t>
    <phoneticPr fontId="3" type="noConversion"/>
  </si>
  <si>
    <t>平潭英德鑫贸易有限公司</t>
    <phoneticPr fontId="3" type="noConversion"/>
  </si>
  <si>
    <t>平潭综合实验区中轩贸易有限公司</t>
    <phoneticPr fontId="3" type="noConversion"/>
  </si>
  <si>
    <t>平潭综合实验区佰利多贸易有限公司</t>
    <phoneticPr fontId="3" type="noConversion"/>
  </si>
  <si>
    <t>平潭鼎金贸易有限公司</t>
    <phoneticPr fontId="3" type="noConversion"/>
  </si>
  <si>
    <t>福建中潭国际贸易有限公司</t>
    <phoneticPr fontId="3" type="noConversion"/>
  </si>
  <si>
    <t>平潭宸昊贸易有限公司</t>
    <phoneticPr fontId="3" type="noConversion"/>
  </si>
  <si>
    <t>福建省平潭县鲜有味食品有限公司</t>
    <phoneticPr fontId="3" type="noConversion"/>
  </si>
  <si>
    <t>平潭县城关超福便利店</t>
    <phoneticPr fontId="3" type="noConversion"/>
  </si>
  <si>
    <t>平潭综合实验区榜样贸易有限公司</t>
    <phoneticPr fontId="3" type="noConversion"/>
  </si>
  <si>
    <t>福建冠业投资发展有限公司平潭泰元店</t>
  </si>
  <si>
    <t>坛西分局</t>
    <phoneticPr fontId="3" type="noConversion"/>
  </si>
  <si>
    <t>平潭县城关周义凯辉牛奶店</t>
  </si>
  <si>
    <t>坛西分局</t>
    <phoneticPr fontId="3" type="noConversion"/>
  </si>
  <si>
    <t>福建冠业投资发展有限公司平潭福胜店</t>
  </si>
  <si>
    <t>—</t>
    <phoneticPr fontId="3" type="noConversion"/>
  </si>
  <si>
    <t>福建冠业投资发展有限公司</t>
    <phoneticPr fontId="3" type="noConversion"/>
  </si>
  <si>
    <t>金井分局</t>
    <phoneticPr fontId="3" type="noConversion"/>
  </si>
  <si>
    <t>福建省佰花汇食品有限公司</t>
    <phoneticPr fontId="3" type="noConversion"/>
  </si>
  <si>
    <t>福建自贸试验区平潭片区鑫海通达供应链管理有限公司</t>
    <phoneticPr fontId="3" type="noConversion"/>
  </si>
  <si>
    <t>君山分局</t>
    <phoneticPr fontId="3" type="noConversion"/>
  </si>
  <si>
    <t>平潭综合实验区圣达农业科技有限公司</t>
  </si>
  <si>
    <t>福建省平潭龙凤豪香国际酒店有限公司</t>
    <phoneticPr fontId="3" type="noConversion"/>
  </si>
  <si>
    <t>福建省龙凤山庄荣誉酒店有限责任公司</t>
    <phoneticPr fontId="3" type="noConversion"/>
  </si>
  <si>
    <t>福建冠强贸易有限公司</t>
    <phoneticPr fontId="3" type="noConversion"/>
  </si>
  <si>
    <t>福建省平潭金宏贸易有限公司</t>
    <phoneticPr fontId="3" type="noConversion"/>
  </si>
  <si>
    <r>
      <t>9</t>
    </r>
    <r>
      <rPr>
        <b/>
        <sz val="10.5"/>
        <color theme="1"/>
        <rFont val="宋体"/>
        <family val="3"/>
        <charset val="134"/>
      </rPr>
      <t>月台账数</t>
    </r>
    <phoneticPr fontId="3" type="noConversion"/>
  </si>
  <si>
    <r>
      <t>10</t>
    </r>
    <r>
      <rPr>
        <b/>
        <sz val="10.5"/>
        <rFont val="宋体"/>
        <family val="3"/>
        <charset val="134"/>
      </rPr>
      <t>月台账数</t>
    </r>
    <phoneticPr fontId="3" type="noConversion"/>
  </si>
  <si>
    <t>9月台账数</t>
    <phoneticPr fontId="3" type="noConversion"/>
  </si>
  <si>
    <t>福建顺康贸易有限公司</t>
  </si>
  <si>
    <t>福建冠业投资发展有限公司平潭流水店</t>
    <phoneticPr fontId="3" type="noConversion"/>
  </si>
  <si>
    <r>
      <t>11</t>
    </r>
    <r>
      <rPr>
        <b/>
        <sz val="10"/>
        <rFont val="等线"/>
        <family val="2"/>
      </rPr>
      <t>月台账数</t>
    </r>
    <phoneticPr fontId="3" type="noConversion"/>
  </si>
  <si>
    <r>
      <t>12</t>
    </r>
    <r>
      <rPr>
        <b/>
        <sz val="10"/>
        <rFont val="等线"/>
        <family val="2"/>
      </rPr>
      <t>月台账数</t>
    </r>
    <phoneticPr fontId="3" type="noConversion"/>
  </si>
  <si>
    <t>-</t>
  </si>
  <si>
    <t>总计</t>
    <phoneticPr fontId="3" type="noConversion"/>
  </si>
  <si>
    <r>
      <rPr>
        <b/>
        <sz val="10"/>
        <rFont val="等线"/>
        <family val="2"/>
      </rPr>
      <t>总计</t>
    </r>
    <phoneticPr fontId="3" type="noConversion"/>
  </si>
  <si>
    <t>平潭新红星海鲜餐厅</t>
    <phoneticPr fontId="3" type="noConversion"/>
  </si>
  <si>
    <t>平潭综合实验区嗨火锅店</t>
    <phoneticPr fontId="3" type="noConversion"/>
  </si>
  <si>
    <t>平潭安泰海鲜楼</t>
    <phoneticPr fontId="3" type="noConversion"/>
  </si>
  <si>
    <t>花开富贵（平潭）海鲜楼</t>
    <phoneticPr fontId="3" type="noConversion"/>
  </si>
  <si>
    <t>平潭海坛渡假娱乐有限公司</t>
    <phoneticPr fontId="3" type="noConversion"/>
  </si>
  <si>
    <t>平潭综合实验区嗯多自助餐厅</t>
    <phoneticPr fontId="3" type="noConversion"/>
  </si>
  <si>
    <t>平潭悦四海餐饮有限公司</t>
    <phoneticPr fontId="3" type="noConversion"/>
  </si>
  <si>
    <t>福建省平潭县海坛假日大酒店有限公司</t>
    <phoneticPr fontId="3" type="noConversion"/>
  </si>
  <si>
    <t>平潭岚廷酒店有限公司</t>
    <phoneticPr fontId="3" type="noConversion"/>
  </si>
  <si>
    <t>平潭县阿瓦山寨主题餐厅</t>
    <phoneticPr fontId="3" type="noConversion"/>
  </si>
  <si>
    <t>平潭县城关金海韵海鲜楼</t>
    <phoneticPr fontId="3" type="noConversion"/>
  </si>
  <si>
    <t>福建宇诚酒店管理有限公司</t>
    <phoneticPr fontId="3" type="noConversion"/>
  </si>
  <si>
    <t>平潭县新君悦酒楼</t>
    <phoneticPr fontId="3" type="noConversion"/>
  </si>
  <si>
    <t>平潭渔人码头豪香餐饮有限公司</t>
    <phoneticPr fontId="3" type="noConversion"/>
  </si>
  <si>
    <t>平潭县永盛海鲜楼</t>
    <phoneticPr fontId="3" type="noConversion"/>
  </si>
  <si>
    <t>平潭鑫隆鑫酒楼</t>
    <phoneticPr fontId="3" type="noConversion"/>
  </si>
  <si>
    <t>平潭综合实验区瀚麒酒楼</t>
    <phoneticPr fontId="3" type="noConversion"/>
  </si>
  <si>
    <t>平潭县万顺海鲜楼</t>
    <phoneticPr fontId="3" type="noConversion"/>
  </si>
  <si>
    <t>平潭县添福海鲜楼</t>
    <phoneticPr fontId="3" type="noConversion"/>
  </si>
  <si>
    <t>11月台账数</t>
    <phoneticPr fontId="3" type="noConversion"/>
  </si>
  <si>
    <t>12月台账数</t>
    <phoneticPr fontId="3" type="noConversion"/>
  </si>
  <si>
    <t>10月台账数</t>
    <phoneticPr fontId="3" type="noConversion"/>
  </si>
  <si>
    <t>福建省平潭县承天粮油加工厂</t>
  </si>
  <si>
    <t>平潭上楼香榭利舍面包厂</t>
  </si>
  <si>
    <t>福建海坛酒业有限公司</t>
  </si>
  <si>
    <t>福岚林（平潭）实业有限公司</t>
  </si>
  <si>
    <t>博德波特国际酒庄有限公司</t>
  </si>
  <si>
    <t>平潭综合实验区坛南湾水产食品有限公司</t>
  </si>
  <si>
    <t>平潭顶鲜食品有限公司</t>
  </si>
  <si>
    <t>平潭县城关海山水产精制厂</t>
  </si>
  <si>
    <t>福建省恒祥渔业有限公司</t>
  </si>
  <si>
    <t>福建沐春食品贸易有限公司</t>
  </si>
  <si>
    <t>总计台账数  2020年4-12月</t>
    <phoneticPr fontId="3" type="noConversion"/>
  </si>
  <si>
    <t>一品一码工作推进情况统计表
（食品生产环节）</t>
    <phoneticPr fontId="3" type="noConversion"/>
  </si>
  <si>
    <t>一品一码工作推进情况统计表
（食品销售环节）</t>
    <phoneticPr fontId="3" type="noConversion"/>
  </si>
  <si>
    <t>一品一码工作推进情况统计表
（社会餐饮）</t>
    <phoneticPr fontId="3" type="noConversion"/>
  </si>
  <si>
    <t>平潭</t>
    <phoneticPr fontId="3" type="noConversion"/>
  </si>
  <si>
    <t>福建省佳兴农业有限公司</t>
    <phoneticPr fontId="3" type="noConversion"/>
  </si>
  <si>
    <t>12月</t>
    <phoneticPr fontId="3" type="noConversion"/>
  </si>
  <si>
    <t>11月</t>
    <phoneticPr fontId="3" type="noConversion"/>
  </si>
  <si>
    <t>10月</t>
    <phoneticPr fontId="3" type="noConversion"/>
  </si>
  <si>
    <t>9月</t>
    <phoneticPr fontId="3" type="noConversion"/>
  </si>
  <si>
    <t>8月</t>
    <phoneticPr fontId="3" type="noConversion"/>
  </si>
  <si>
    <t>7月</t>
    <phoneticPr fontId="3" type="noConversion"/>
  </si>
  <si>
    <t>6月</t>
    <phoneticPr fontId="3" type="noConversion"/>
  </si>
  <si>
    <t>5月</t>
    <phoneticPr fontId="3" type="noConversion"/>
  </si>
  <si>
    <t>全省排名情况</t>
    <phoneticPr fontId="3" type="noConversion"/>
  </si>
  <si>
    <t>综合得分</t>
    <phoneticPr fontId="3" type="noConversion"/>
  </si>
  <si>
    <t>累计录入数据总量（万条）</t>
    <phoneticPr fontId="3" type="noConversion"/>
  </si>
  <si>
    <t>录入数据量
（万条）</t>
    <phoneticPr fontId="3" type="noConversion"/>
  </si>
  <si>
    <t>录入率</t>
    <phoneticPr fontId="3" type="noConversion"/>
  </si>
  <si>
    <t>注册率</t>
    <phoneticPr fontId="3" type="noConversion"/>
  </si>
  <si>
    <t>地区</t>
    <phoneticPr fontId="3" type="noConversion"/>
  </si>
  <si>
    <t>市场名称</t>
    <phoneticPr fontId="3" type="noConversion"/>
  </si>
  <si>
    <t>月份</t>
    <phoneticPr fontId="3" type="noConversion"/>
  </si>
  <si>
    <t>全省系统一品一码工作推进情况统计表
（重点批发市场）</t>
    <phoneticPr fontId="3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</si>
</sst>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等线"/>
      <family val="2"/>
      <scheme val="minor"/>
    </font>
    <font>
      <b/>
      <sz val="10.5"/>
      <color theme="1"/>
      <name val="宋体"/>
      <family val="3"/>
      <charset val="134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b/>
      <sz val="10.5"/>
      <color theme="1"/>
      <name val="Arial"/>
      <family val="2"/>
    </font>
    <font>
      <b/>
      <sz val="10"/>
      <name val="Arial"/>
      <family val="2"/>
    </font>
    <font>
      <b/>
      <sz val="10"/>
      <name val="等线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b/>
      <sz val="10.5"/>
      <name val="宋体"/>
      <family val="3"/>
      <charset val="134"/>
    </font>
    <font>
      <sz val="10"/>
      <color rgb="FFFF0000"/>
      <name val="Arial"/>
      <family val="2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0" borderId="0" xfId="0" applyFont="1"/>
    <xf numFmtId="0" fontId="0" fillId="0" borderId="1" xfId="0" applyNumberForma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5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5" fillId="0" borderId="0" xfId="0" applyFont="1" applyBorder="1" applyAlignment="1"/>
    <xf numFmtId="0" fontId="0" fillId="0" borderId="0" xfId="0" applyAlignment="1">
      <alignment wrapText="1"/>
    </xf>
    <xf numFmtId="0" fontId="16" fillId="0" borderId="1" xfId="0" applyFont="1" applyBorder="1" applyAlignment="1">
      <alignment horizontal="center" vertical="center"/>
    </xf>
    <xf numFmtId="9" fontId="16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29</xdr:row>
      <xdr:rowOff>28576</xdr:rowOff>
    </xdr:from>
    <xdr:to>
      <xdr:col>8</xdr:col>
      <xdr:colOff>390525</xdr:colOff>
      <xdr:row>47</xdr:row>
      <xdr:rowOff>105696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9CACB2E2-40E2-4708-BE82-B845641E3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6038851"/>
          <a:ext cx="7858125" cy="3849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12</xdr:col>
      <xdr:colOff>617784</xdr:colOff>
      <xdr:row>50</xdr:row>
      <xdr:rowOff>104132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1840B5C9-9F3B-4C72-B556-3322945A4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000750"/>
          <a:ext cx="10723809" cy="51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310577</xdr:colOff>
      <xdr:row>0</xdr:row>
      <xdr:rowOff>9525</xdr:rowOff>
    </xdr:from>
    <xdr:to>
      <xdr:col>14</xdr:col>
      <xdr:colOff>409679</xdr:colOff>
      <xdr:row>12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BA1B0678-9E3D-41A0-A7C1-97B860004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06352" y="9525"/>
          <a:ext cx="7366677" cy="3543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581026</xdr:colOff>
      <xdr:row>10</xdr:row>
      <xdr:rowOff>242535</xdr:rowOff>
    </xdr:from>
    <xdr:ext cx="6419850" cy="3185835"/>
    <xdr:pic>
      <xdr:nvPicPr>
        <xdr:cNvPr id="2" name="图片 1">
          <a:extLst>
            <a:ext uri="{FF2B5EF4-FFF2-40B4-BE49-F238E27FC236}">
              <a16:creationId xmlns:a16="http://schemas.microsoft.com/office/drawing/2014/main" xmlns="" id="{90731B23-0145-4371-A87C-0A0C7DAD8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6" y="1995135"/>
          <a:ext cx="6419850" cy="318583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-12&#26376;&#36890;&#25253;/&#39135;&#21697;&#27969;&#36890;&#20225;&#19994;&#27880;&#20876;&#30331;&#35760;&#24773;&#20917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食品流通企业注册登记情况"/>
      <sheetName val="Sheet1"/>
    </sheetNames>
    <sheetDataSet>
      <sheetData sheetId="0" refreshError="1"/>
      <sheetData sheetId="1">
        <row r="1">
          <cell r="A1" t="str">
            <v>主体名称</v>
          </cell>
          <cell r="B1" t="str">
            <v>11月台账数</v>
          </cell>
          <cell r="C1" t="str">
            <v>12月台账数</v>
          </cell>
        </row>
        <row r="2">
          <cell r="A2" t="str">
            <v>平潭县城关超福便利店</v>
          </cell>
          <cell r="B2">
            <v>490</v>
          </cell>
          <cell r="C2">
            <v>508</v>
          </cell>
        </row>
        <row r="3">
          <cell r="A3" t="str">
            <v>平潭综合实验区飞腾贸易有限公司</v>
          </cell>
          <cell r="B3">
            <v>4385</v>
          </cell>
          <cell r="C3">
            <v>5430</v>
          </cell>
        </row>
        <row r="4">
          <cell r="A4" t="str">
            <v>福建涵程创辉贸易有限公司</v>
          </cell>
          <cell r="B4">
            <v>5297</v>
          </cell>
          <cell r="C4">
            <v>6687</v>
          </cell>
        </row>
        <row r="5">
          <cell r="A5" t="str">
            <v>平潭宸昊贸易有限公司</v>
          </cell>
          <cell r="B5">
            <v>3102</v>
          </cell>
          <cell r="C5">
            <v>2858</v>
          </cell>
        </row>
        <row r="6">
          <cell r="A6" t="str">
            <v>平潭综合实验区远琪贸易有限公司</v>
          </cell>
          <cell r="B6">
            <v>789</v>
          </cell>
          <cell r="C6">
            <v>998</v>
          </cell>
        </row>
        <row r="7">
          <cell r="A7" t="str">
            <v>平潭英德鑫贸易有限公司</v>
          </cell>
          <cell r="B7">
            <v>452</v>
          </cell>
          <cell r="C7">
            <v>806</v>
          </cell>
        </row>
        <row r="8">
          <cell r="A8" t="str">
            <v>福建冠业投资发展有限公司平潭流水店</v>
          </cell>
          <cell r="B8">
            <v>3078</v>
          </cell>
          <cell r="C8">
            <v>3553</v>
          </cell>
        </row>
        <row r="9">
          <cell r="A9" t="str">
            <v>福建冠业投资发展有限公司平潭泰元店</v>
          </cell>
          <cell r="B9">
            <v>7866</v>
          </cell>
          <cell r="C9">
            <v>8377</v>
          </cell>
        </row>
        <row r="10">
          <cell r="A10" t="str">
            <v>福建冠业投资发展有限公司</v>
          </cell>
          <cell r="B10">
            <v>1340</v>
          </cell>
          <cell r="C10">
            <v>1316</v>
          </cell>
        </row>
        <row r="11">
          <cell r="A11" t="str">
            <v>福建省平潭县新兴贸易有限公司</v>
          </cell>
          <cell r="B11">
            <v>5542</v>
          </cell>
          <cell r="C11">
            <v>5731</v>
          </cell>
        </row>
        <row r="12">
          <cell r="A12" t="str">
            <v>平潭综合实验区圣达农业科技有限公司</v>
          </cell>
          <cell r="B12">
            <v>1396</v>
          </cell>
          <cell r="C12">
            <v>1521</v>
          </cell>
        </row>
        <row r="13">
          <cell r="A13" t="str">
            <v>福建冠强贸易有限公司</v>
          </cell>
          <cell r="B13">
            <v>44366</v>
          </cell>
          <cell r="C13">
            <v>53539</v>
          </cell>
        </row>
        <row r="14">
          <cell r="A14" t="str">
            <v>福建顺康贸易有限公司</v>
          </cell>
          <cell r="B14">
            <v>93</v>
          </cell>
          <cell r="C14">
            <v>49</v>
          </cell>
        </row>
        <row r="15">
          <cell r="A15" t="str">
            <v>平潭综合实验区榜样贸易有限公司</v>
          </cell>
          <cell r="B15">
            <v>521</v>
          </cell>
          <cell r="C15">
            <v>516</v>
          </cell>
        </row>
        <row r="16">
          <cell r="A16" t="str">
            <v>福建冠业投资发展有限公司平潭福胜店</v>
          </cell>
          <cell r="B16">
            <v>4122</v>
          </cell>
          <cell r="C16">
            <v>4689</v>
          </cell>
        </row>
        <row r="17">
          <cell r="A17" t="str">
            <v>平潭综合实验区中轩贸易有限公司</v>
          </cell>
          <cell r="B17">
            <v>449</v>
          </cell>
          <cell r="C17">
            <v>393</v>
          </cell>
        </row>
        <row r="18">
          <cell r="A18" t="str">
            <v>福建省佰花汇食品有限公司</v>
          </cell>
          <cell r="B18">
            <v>0</v>
          </cell>
          <cell r="C18">
            <v>0</v>
          </cell>
        </row>
        <row r="19">
          <cell r="A19" t="str">
            <v>福建省平潭金宏贸易有限公司</v>
          </cell>
          <cell r="B19">
            <v>239</v>
          </cell>
          <cell r="C19">
            <v>41</v>
          </cell>
        </row>
        <row r="20">
          <cell r="A20" t="str">
            <v>福建省平潭县鲜有味食品有限公司</v>
          </cell>
          <cell r="B20">
            <v>0</v>
          </cell>
          <cell r="C20">
            <v>0</v>
          </cell>
        </row>
        <row r="21">
          <cell r="A21" t="str">
            <v>平潭天福茶业有限公司</v>
          </cell>
          <cell r="B21">
            <v>0</v>
          </cell>
          <cell r="C21">
            <v>0</v>
          </cell>
        </row>
        <row r="22">
          <cell r="A22" t="str">
            <v>环球深海鱼（平潭）实业有限公司</v>
          </cell>
          <cell r="B22">
            <v>0</v>
          </cell>
          <cell r="C22">
            <v>0</v>
          </cell>
        </row>
        <row r="23">
          <cell r="A23" t="str">
            <v>福建省佳兴农业有限公司</v>
          </cell>
          <cell r="B23">
            <v>65821</v>
          </cell>
          <cell r="C23">
            <v>69996</v>
          </cell>
        </row>
        <row r="24">
          <cell r="A24" t="str">
            <v>福建昕宸达国际贸易有限公司</v>
          </cell>
          <cell r="B24">
            <v>0</v>
          </cell>
          <cell r="C24">
            <v>0</v>
          </cell>
        </row>
        <row r="25">
          <cell r="A25" t="str">
            <v>平潭鼎金贸易有限公司</v>
          </cell>
          <cell r="B25">
            <v>65</v>
          </cell>
          <cell r="C25">
            <v>78</v>
          </cell>
        </row>
        <row r="26">
          <cell r="A26" t="str">
            <v>福建中潭国际贸易有限公司</v>
          </cell>
          <cell r="B26">
            <v>148</v>
          </cell>
          <cell r="C26">
            <v>93</v>
          </cell>
        </row>
        <row r="27">
          <cell r="A27" t="str">
            <v>平潭综合实验区佰利多贸易有限公司</v>
          </cell>
          <cell r="B27">
            <v>290</v>
          </cell>
          <cell r="C27">
            <v>242</v>
          </cell>
        </row>
        <row r="28">
          <cell r="A28" t="str">
            <v>平潭县城关周义凯辉牛奶店</v>
          </cell>
          <cell r="B28">
            <v>71</v>
          </cell>
          <cell r="C28">
            <v>58</v>
          </cell>
        </row>
        <row r="29">
          <cell r="A29" t="str">
            <v>福建自贸试验区平潭片区鑫海通达供应链管理有限公司</v>
          </cell>
          <cell r="B29">
            <v>0</v>
          </cell>
          <cell r="C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>
      <selection activeCell="B2" sqref="B2"/>
    </sheetView>
  </sheetViews>
  <sheetFormatPr defaultRowHeight="16.5" customHeight="1"/>
  <cols>
    <col min="1" max="1" width="7.375" customWidth="1"/>
    <col min="2" max="2" width="28" customWidth="1"/>
    <col min="3" max="3" width="11.75" customWidth="1"/>
    <col min="4" max="4" width="10.25" customWidth="1"/>
    <col min="5" max="5" width="10" customWidth="1"/>
    <col min="6" max="6" width="11" customWidth="1"/>
    <col min="7" max="7" width="11.375" customWidth="1"/>
    <col min="9" max="9" width="10.125" customWidth="1"/>
    <col min="10" max="10" width="8.875" customWidth="1"/>
    <col min="12" max="12" width="7.125" customWidth="1"/>
  </cols>
  <sheetData>
    <row r="1" spans="1:12" ht="32.25" customHeight="1">
      <c r="A1" s="25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2.5" customHeight="1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13</v>
      </c>
      <c r="H2" s="16" t="s">
        <v>51</v>
      </c>
      <c r="I2" s="15" t="s">
        <v>52</v>
      </c>
      <c r="J2" s="7" t="s">
        <v>56</v>
      </c>
      <c r="K2" s="7" t="s">
        <v>57</v>
      </c>
      <c r="L2" s="7" t="s">
        <v>60</v>
      </c>
    </row>
    <row r="3" spans="1:12" s="8" customFormat="1" ht="21.75" customHeight="1">
      <c r="A3" s="6">
        <v>1</v>
      </c>
      <c r="B3" s="6" t="s">
        <v>11</v>
      </c>
      <c r="C3" s="6" t="s">
        <v>10</v>
      </c>
      <c r="D3" s="6">
        <v>1284</v>
      </c>
      <c r="E3" s="6">
        <v>1303</v>
      </c>
      <c r="F3" s="6">
        <v>1395</v>
      </c>
      <c r="G3" s="6">
        <v>1569</v>
      </c>
      <c r="H3" s="6">
        <v>1598</v>
      </c>
      <c r="I3" s="6">
        <v>1000</v>
      </c>
      <c r="J3" s="6">
        <v>1575</v>
      </c>
      <c r="K3" s="6">
        <v>1651</v>
      </c>
      <c r="L3" s="6">
        <f t="shared" ref="L3:L28" si="0">SUM(D3:K3)</f>
        <v>11375</v>
      </c>
    </row>
    <row r="4" spans="1:12" ht="16.5" customHeight="1">
      <c r="A4" s="1">
        <v>2</v>
      </c>
      <c r="B4" s="1" t="s">
        <v>8</v>
      </c>
      <c r="C4" s="1" t="s">
        <v>7</v>
      </c>
      <c r="D4" s="1">
        <v>567</v>
      </c>
      <c r="E4" s="1">
        <v>886</v>
      </c>
      <c r="F4" s="1">
        <v>1203</v>
      </c>
      <c r="G4" s="1">
        <v>1475</v>
      </c>
      <c r="H4" s="1">
        <v>1711</v>
      </c>
      <c r="I4" s="1">
        <v>1225</v>
      </c>
      <c r="J4" s="1">
        <v>1868</v>
      </c>
      <c r="K4" s="1">
        <v>1847</v>
      </c>
      <c r="L4" s="1">
        <f t="shared" si="0"/>
        <v>10782</v>
      </c>
    </row>
    <row r="5" spans="1:12" ht="16.5" customHeight="1">
      <c r="A5" s="1">
        <v>3</v>
      </c>
      <c r="B5" s="1" t="s">
        <v>47</v>
      </c>
      <c r="C5" s="1" t="s">
        <v>10</v>
      </c>
      <c r="D5" s="1">
        <v>916</v>
      </c>
      <c r="E5" s="1">
        <v>737</v>
      </c>
      <c r="F5" s="1">
        <v>1188</v>
      </c>
      <c r="G5" s="1">
        <v>1717</v>
      </c>
      <c r="H5" s="1">
        <v>1035</v>
      </c>
      <c r="I5" s="1">
        <v>390</v>
      </c>
      <c r="J5" s="1">
        <v>694</v>
      </c>
      <c r="K5" s="1">
        <v>691</v>
      </c>
      <c r="L5" s="1">
        <f t="shared" si="0"/>
        <v>7368</v>
      </c>
    </row>
    <row r="6" spans="1:12" ht="16.5" customHeight="1">
      <c r="A6" s="1">
        <v>4</v>
      </c>
      <c r="B6" s="1" t="s">
        <v>14</v>
      </c>
      <c r="C6" s="1" t="s">
        <v>7</v>
      </c>
      <c r="D6" s="1">
        <v>769</v>
      </c>
      <c r="E6" s="1">
        <v>767</v>
      </c>
      <c r="F6" s="1">
        <v>1580</v>
      </c>
      <c r="G6" s="1">
        <v>1075</v>
      </c>
      <c r="H6" s="1">
        <v>685</v>
      </c>
      <c r="I6" s="1">
        <v>536</v>
      </c>
      <c r="J6" s="1">
        <v>831</v>
      </c>
      <c r="K6" s="1">
        <v>833</v>
      </c>
      <c r="L6" s="1">
        <f t="shared" si="0"/>
        <v>7076</v>
      </c>
    </row>
    <row r="7" spans="1:12" ht="16.5" customHeight="1">
      <c r="A7" s="1">
        <v>5</v>
      </c>
      <c r="B7" s="1" t="s">
        <v>61</v>
      </c>
      <c r="C7" s="1" t="s">
        <v>10</v>
      </c>
      <c r="D7" s="1">
        <v>734</v>
      </c>
      <c r="E7" s="1">
        <v>911</v>
      </c>
      <c r="F7" s="1">
        <v>841</v>
      </c>
      <c r="G7" s="1">
        <v>859</v>
      </c>
      <c r="H7" s="1">
        <v>997</v>
      </c>
      <c r="I7" s="1">
        <v>683</v>
      </c>
      <c r="J7" s="1">
        <v>1048</v>
      </c>
      <c r="K7" s="1">
        <v>972</v>
      </c>
      <c r="L7" s="1">
        <f t="shared" si="0"/>
        <v>7045</v>
      </c>
    </row>
    <row r="8" spans="1:12" ht="16.5" customHeight="1">
      <c r="A8" s="1">
        <v>6</v>
      </c>
      <c r="B8" s="1" t="s">
        <v>48</v>
      </c>
      <c r="C8" s="1" t="s">
        <v>10</v>
      </c>
      <c r="D8" s="1">
        <v>680</v>
      </c>
      <c r="E8" s="1">
        <v>1077</v>
      </c>
      <c r="F8" s="1">
        <v>901</v>
      </c>
      <c r="G8" s="1">
        <v>1049</v>
      </c>
      <c r="H8" s="1">
        <v>932</v>
      </c>
      <c r="I8" s="1">
        <v>700</v>
      </c>
      <c r="J8" s="1">
        <v>718</v>
      </c>
      <c r="K8" s="1">
        <v>842</v>
      </c>
      <c r="L8" s="1">
        <f t="shared" si="0"/>
        <v>6899</v>
      </c>
    </row>
    <row r="9" spans="1:12" ht="16.5" customHeight="1">
      <c r="A9" s="1">
        <v>7</v>
      </c>
      <c r="B9" s="1" t="s">
        <v>62</v>
      </c>
      <c r="C9" s="1" t="s">
        <v>10</v>
      </c>
      <c r="D9" s="1">
        <v>766</v>
      </c>
      <c r="E9" s="1">
        <v>662</v>
      </c>
      <c r="F9" s="1">
        <v>749</v>
      </c>
      <c r="G9" s="1">
        <v>906</v>
      </c>
      <c r="H9" s="1">
        <v>782</v>
      </c>
      <c r="I9" s="1">
        <v>505</v>
      </c>
      <c r="J9" s="1">
        <v>804</v>
      </c>
      <c r="K9" s="1">
        <v>929</v>
      </c>
      <c r="L9" s="1">
        <f t="shared" si="0"/>
        <v>6103</v>
      </c>
    </row>
    <row r="10" spans="1:12" ht="16.5" customHeight="1">
      <c r="A10" s="1">
        <v>8</v>
      </c>
      <c r="B10" s="24" t="s">
        <v>63</v>
      </c>
      <c r="C10" s="1" t="s">
        <v>10</v>
      </c>
      <c r="D10" s="1">
        <v>341</v>
      </c>
      <c r="E10" s="1">
        <v>370</v>
      </c>
      <c r="F10" s="1">
        <v>701</v>
      </c>
      <c r="G10" s="1">
        <v>1058</v>
      </c>
      <c r="H10" s="1">
        <v>921</v>
      </c>
      <c r="I10" s="1">
        <v>658</v>
      </c>
      <c r="J10" s="1">
        <v>984</v>
      </c>
      <c r="K10" s="1">
        <v>1068</v>
      </c>
      <c r="L10" s="1">
        <f t="shared" si="0"/>
        <v>6101</v>
      </c>
    </row>
    <row r="11" spans="1:12" ht="16.5" customHeight="1">
      <c r="A11" s="1">
        <v>9</v>
      </c>
      <c r="B11" s="1" t="s">
        <v>64</v>
      </c>
      <c r="C11" s="1" t="s">
        <v>10</v>
      </c>
      <c r="D11" s="1">
        <v>992</v>
      </c>
      <c r="E11" s="1">
        <v>817</v>
      </c>
      <c r="F11" s="1">
        <v>877</v>
      </c>
      <c r="G11" s="1">
        <v>986</v>
      </c>
      <c r="H11" s="1">
        <v>658</v>
      </c>
      <c r="I11" s="1">
        <v>400</v>
      </c>
      <c r="J11" s="1">
        <v>536</v>
      </c>
      <c r="K11" s="1">
        <v>627</v>
      </c>
      <c r="L11" s="1">
        <f t="shared" si="0"/>
        <v>5893</v>
      </c>
    </row>
    <row r="12" spans="1:12" ht="16.5" customHeight="1">
      <c r="A12" s="1">
        <v>10</v>
      </c>
      <c r="B12" s="1" t="s">
        <v>65</v>
      </c>
      <c r="C12" s="1" t="s">
        <v>10</v>
      </c>
      <c r="D12" s="1">
        <v>233</v>
      </c>
      <c r="E12" s="1">
        <v>170</v>
      </c>
      <c r="F12" s="1">
        <v>863</v>
      </c>
      <c r="G12" s="1">
        <v>1603</v>
      </c>
      <c r="H12" s="1">
        <v>1189</v>
      </c>
      <c r="I12" s="1">
        <v>874</v>
      </c>
      <c r="J12" s="1">
        <v>545</v>
      </c>
      <c r="K12" s="1">
        <v>196</v>
      </c>
      <c r="L12" s="1">
        <f t="shared" si="0"/>
        <v>5673</v>
      </c>
    </row>
    <row r="13" spans="1:12" ht="16.5" customHeight="1">
      <c r="A13" s="1">
        <v>11</v>
      </c>
      <c r="B13" s="1" t="s">
        <v>66</v>
      </c>
      <c r="C13" s="1" t="s">
        <v>9</v>
      </c>
      <c r="D13" s="1">
        <v>523</v>
      </c>
      <c r="E13" s="1">
        <v>62</v>
      </c>
      <c r="F13" s="1">
        <v>367</v>
      </c>
      <c r="G13" s="1">
        <v>929</v>
      </c>
      <c r="H13" s="1">
        <v>1347</v>
      </c>
      <c r="I13" s="1">
        <v>0</v>
      </c>
      <c r="J13" s="1">
        <v>1326</v>
      </c>
      <c r="K13" s="1">
        <v>186</v>
      </c>
      <c r="L13" s="1">
        <f t="shared" si="0"/>
        <v>4740</v>
      </c>
    </row>
    <row r="14" spans="1:12" ht="16.5" customHeight="1">
      <c r="A14" s="1">
        <v>12</v>
      </c>
      <c r="B14" s="1" t="s">
        <v>67</v>
      </c>
      <c r="C14" s="1" t="s">
        <v>10</v>
      </c>
      <c r="D14" s="1">
        <v>544</v>
      </c>
      <c r="E14" s="1">
        <v>432</v>
      </c>
      <c r="F14" s="1">
        <v>518</v>
      </c>
      <c r="G14" s="1">
        <v>801</v>
      </c>
      <c r="H14" s="1">
        <v>833</v>
      </c>
      <c r="I14" s="1">
        <v>360</v>
      </c>
      <c r="J14" s="1">
        <v>387</v>
      </c>
      <c r="K14" s="1">
        <v>520</v>
      </c>
      <c r="L14" s="1">
        <f t="shared" si="0"/>
        <v>4395</v>
      </c>
    </row>
    <row r="15" spans="1:12" ht="16.5" customHeight="1">
      <c r="A15" s="1">
        <v>13</v>
      </c>
      <c r="B15" s="1" t="s">
        <v>68</v>
      </c>
      <c r="C15" s="1" t="s">
        <v>9</v>
      </c>
      <c r="D15" s="1">
        <v>378</v>
      </c>
      <c r="E15" s="1">
        <v>418</v>
      </c>
      <c r="F15" s="1">
        <v>713</v>
      </c>
      <c r="G15" s="1">
        <v>742</v>
      </c>
      <c r="H15" s="1">
        <v>574</v>
      </c>
      <c r="I15" s="1">
        <v>241</v>
      </c>
      <c r="J15" s="1">
        <v>617</v>
      </c>
      <c r="K15" s="1">
        <v>606</v>
      </c>
      <c r="L15" s="1">
        <f t="shared" si="0"/>
        <v>4289</v>
      </c>
    </row>
    <row r="16" spans="1:12" ht="16.5" customHeight="1">
      <c r="A16" s="1">
        <v>14</v>
      </c>
      <c r="B16" s="1" t="s">
        <v>69</v>
      </c>
      <c r="C16" s="1" t="s">
        <v>6</v>
      </c>
      <c r="D16" s="1">
        <v>769</v>
      </c>
      <c r="E16" s="1">
        <v>1025</v>
      </c>
      <c r="F16" s="1">
        <v>758</v>
      </c>
      <c r="G16" s="1">
        <v>663</v>
      </c>
      <c r="H16" s="1">
        <v>526</v>
      </c>
      <c r="I16" s="1">
        <v>205</v>
      </c>
      <c r="J16" s="1">
        <v>119</v>
      </c>
      <c r="K16" s="1">
        <v>88</v>
      </c>
      <c r="L16" s="1">
        <f t="shared" si="0"/>
        <v>4153</v>
      </c>
    </row>
    <row r="17" spans="1:12" ht="16.5" customHeight="1">
      <c r="A17" s="1">
        <v>15</v>
      </c>
      <c r="B17" s="1" t="s">
        <v>70</v>
      </c>
      <c r="C17" s="1" t="s">
        <v>10</v>
      </c>
      <c r="D17" s="1">
        <v>430</v>
      </c>
      <c r="E17" s="1">
        <v>418</v>
      </c>
      <c r="F17" s="1">
        <v>487</v>
      </c>
      <c r="G17" s="1">
        <v>644</v>
      </c>
      <c r="H17" s="1">
        <v>589</v>
      </c>
      <c r="I17" s="1">
        <v>302</v>
      </c>
      <c r="J17" s="1">
        <v>611</v>
      </c>
      <c r="K17" s="1">
        <v>514</v>
      </c>
      <c r="L17" s="1">
        <f t="shared" si="0"/>
        <v>3995</v>
      </c>
    </row>
    <row r="18" spans="1:12" ht="16.5" customHeight="1">
      <c r="A18" s="1">
        <v>16</v>
      </c>
      <c r="B18" s="1" t="s">
        <v>16</v>
      </c>
      <c r="C18" s="1" t="s">
        <v>10</v>
      </c>
      <c r="D18" s="1" t="s">
        <v>15</v>
      </c>
      <c r="E18" s="1" t="s">
        <v>15</v>
      </c>
      <c r="F18" s="1" t="s">
        <v>15</v>
      </c>
      <c r="G18" s="1">
        <v>637</v>
      </c>
      <c r="H18" s="1">
        <v>749</v>
      </c>
      <c r="I18" s="1">
        <v>605</v>
      </c>
      <c r="J18" s="1">
        <v>781</v>
      </c>
      <c r="K18" s="1">
        <v>642</v>
      </c>
      <c r="L18" s="1">
        <f t="shared" si="0"/>
        <v>3414</v>
      </c>
    </row>
    <row r="19" spans="1:12" ht="16.5" customHeight="1">
      <c r="A19" s="1">
        <v>17</v>
      </c>
      <c r="B19" s="1" t="s">
        <v>71</v>
      </c>
      <c r="C19" s="1" t="s">
        <v>10</v>
      </c>
      <c r="D19" s="1">
        <v>129</v>
      </c>
      <c r="E19" s="1">
        <v>157</v>
      </c>
      <c r="F19" s="1">
        <v>365</v>
      </c>
      <c r="G19" s="1">
        <v>619</v>
      </c>
      <c r="H19" s="1">
        <v>646</v>
      </c>
      <c r="I19" s="1">
        <v>593</v>
      </c>
      <c r="J19" s="1">
        <v>593</v>
      </c>
      <c r="K19" s="1">
        <v>278</v>
      </c>
      <c r="L19" s="1">
        <f t="shared" si="0"/>
        <v>3380</v>
      </c>
    </row>
    <row r="20" spans="1:12" ht="16.5" customHeight="1">
      <c r="A20" s="1">
        <v>18</v>
      </c>
      <c r="B20" s="1" t="s">
        <v>12</v>
      </c>
      <c r="C20" s="1" t="s">
        <v>10</v>
      </c>
      <c r="D20" s="1">
        <v>344</v>
      </c>
      <c r="E20" s="1">
        <v>364</v>
      </c>
      <c r="F20" s="1">
        <v>443</v>
      </c>
      <c r="G20" s="1">
        <v>386</v>
      </c>
      <c r="H20" s="1">
        <v>532</v>
      </c>
      <c r="I20" s="1">
        <v>347</v>
      </c>
      <c r="J20" s="1">
        <v>455</v>
      </c>
      <c r="K20" s="1">
        <v>449</v>
      </c>
      <c r="L20" s="1">
        <f t="shared" si="0"/>
        <v>3320</v>
      </c>
    </row>
    <row r="21" spans="1:12" ht="16.5" customHeight="1">
      <c r="A21" s="1">
        <v>19</v>
      </c>
      <c r="B21" s="1" t="s">
        <v>72</v>
      </c>
      <c r="C21" s="1" t="s">
        <v>10</v>
      </c>
      <c r="D21" s="1">
        <v>297</v>
      </c>
      <c r="E21" s="1">
        <v>257</v>
      </c>
      <c r="F21" s="1">
        <v>370</v>
      </c>
      <c r="G21" s="1">
        <v>565</v>
      </c>
      <c r="H21" s="1">
        <v>389</v>
      </c>
      <c r="I21" s="1">
        <v>85</v>
      </c>
      <c r="J21" s="1">
        <v>393</v>
      </c>
      <c r="K21" s="1">
        <v>611</v>
      </c>
      <c r="L21" s="1">
        <f t="shared" si="0"/>
        <v>2967</v>
      </c>
    </row>
    <row r="22" spans="1:12" ht="16.5" customHeight="1">
      <c r="A22" s="1">
        <v>20</v>
      </c>
      <c r="B22" s="1" t="s">
        <v>73</v>
      </c>
      <c r="C22" s="1" t="s">
        <v>10</v>
      </c>
      <c r="D22" s="1">
        <v>324</v>
      </c>
      <c r="E22" s="1">
        <v>252</v>
      </c>
      <c r="F22" s="1">
        <v>358</v>
      </c>
      <c r="G22" s="1">
        <v>524</v>
      </c>
      <c r="H22" s="1">
        <v>415</v>
      </c>
      <c r="I22" s="1">
        <v>178</v>
      </c>
      <c r="J22" s="1">
        <v>404</v>
      </c>
      <c r="K22" s="1">
        <v>452</v>
      </c>
      <c r="L22" s="1">
        <f t="shared" si="0"/>
        <v>2907</v>
      </c>
    </row>
    <row r="23" spans="1:12" ht="16.5" customHeight="1">
      <c r="A23" s="1">
        <v>21</v>
      </c>
      <c r="B23" s="1" t="s">
        <v>74</v>
      </c>
      <c r="C23" s="1" t="s">
        <v>10</v>
      </c>
      <c r="D23" s="1">
        <v>277</v>
      </c>
      <c r="E23" s="1">
        <v>279</v>
      </c>
      <c r="F23" s="1">
        <v>407</v>
      </c>
      <c r="G23" s="1">
        <v>449</v>
      </c>
      <c r="H23" s="1">
        <v>428</v>
      </c>
      <c r="I23" s="1">
        <v>0</v>
      </c>
      <c r="J23" s="1">
        <v>557</v>
      </c>
      <c r="K23" s="1">
        <v>443</v>
      </c>
      <c r="L23" s="1">
        <f t="shared" si="0"/>
        <v>2840</v>
      </c>
    </row>
    <row r="24" spans="1:12" ht="16.5" customHeight="1">
      <c r="A24" s="1">
        <v>22</v>
      </c>
      <c r="B24" s="1" t="s">
        <v>75</v>
      </c>
      <c r="C24" s="1" t="s">
        <v>10</v>
      </c>
      <c r="D24" s="1">
        <v>84</v>
      </c>
      <c r="E24" s="1">
        <v>351</v>
      </c>
      <c r="F24" s="1">
        <v>336</v>
      </c>
      <c r="G24" s="1">
        <v>330</v>
      </c>
      <c r="H24" s="1">
        <v>191</v>
      </c>
      <c r="I24" s="1">
        <v>108</v>
      </c>
      <c r="J24" s="1">
        <v>143</v>
      </c>
      <c r="K24" s="1">
        <v>217</v>
      </c>
      <c r="L24" s="1">
        <f t="shared" si="0"/>
        <v>1760</v>
      </c>
    </row>
    <row r="25" spans="1:12" ht="16.5" customHeight="1">
      <c r="A25" s="1">
        <v>23</v>
      </c>
      <c r="B25" s="1" t="s">
        <v>76</v>
      </c>
      <c r="C25" s="1" t="s">
        <v>10</v>
      </c>
      <c r="D25" s="1">
        <v>20</v>
      </c>
      <c r="E25" s="1">
        <v>146</v>
      </c>
      <c r="F25" s="1">
        <v>202</v>
      </c>
      <c r="G25" s="1">
        <v>247</v>
      </c>
      <c r="H25" s="1">
        <v>232</v>
      </c>
      <c r="I25" s="1">
        <v>205</v>
      </c>
      <c r="J25" s="1">
        <v>275</v>
      </c>
      <c r="K25" s="1">
        <v>227</v>
      </c>
      <c r="L25" s="1">
        <f t="shared" si="0"/>
        <v>1554</v>
      </c>
    </row>
    <row r="26" spans="1:12" ht="16.5" customHeight="1">
      <c r="A26" s="1">
        <v>24</v>
      </c>
      <c r="B26" s="1" t="s">
        <v>77</v>
      </c>
      <c r="C26" s="1" t="s">
        <v>10</v>
      </c>
      <c r="D26" s="1">
        <v>116</v>
      </c>
      <c r="E26" s="1">
        <v>69</v>
      </c>
      <c r="F26" s="1">
        <v>190</v>
      </c>
      <c r="G26" s="1">
        <v>319</v>
      </c>
      <c r="H26" s="1">
        <v>236</v>
      </c>
      <c r="I26" s="1">
        <v>81</v>
      </c>
      <c r="J26" s="1">
        <v>170</v>
      </c>
      <c r="K26" s="1">
        <v>102</v>
      </c>
      <c r="L26" s="1">
        <f t="shared" si="0"/>
        <v>1283</v>
      </c>
    </row>
    <row r="27" spans="1:12" ht="16.5" customHeight="1">
      <c r="A27" s="1">
        <v>25</v>
      </c>
      <c r="B27" s="1" t="s">
        <v>78</v>
      </c>
      <c r="C27" s="1" t="s">
        <v>10</v>
      </c>
      <c r="D27" s="1">
        <v>44</v>
      </c>
      <c r="E27" s="1">
        <v>55</v>
      </c>
      <c r="F27" s="1">
        <v>216</v>
      </c>
      <c r="G27" s="1">
        <v>430</v>
      </c>
      <c r="H27" s="1">
        <v>112</v>
      </c>
      <c r="I27" s="1">
        <v>56</v>
      </c>
      <c r="J27" s="1" t="s">
        <v>58</v>
      </c>
      <c r="K27" s="1" t="s">
        <v>58</v>
      </c>
      <c r="L27" s="1">
        <f t="shared" si="0"/>
        <v>913</v>
      </c>
    </row>
    <row r="28" spans="1:12" ht="16.5" customHeight="1">
      <c r="A28" s="1">
        <v>26</v>
      </c>
      <c r="B28" s="1" t="s">
        <v>79</v>
      </c>
      <c r="C28" s="1" t="s">
        <v>10</v>
      </c>
      <c r="D28" s="1">
        <v>33</v>
      </c>
      <c r="E28" s="1">
        <v>29</v>
      </c>
      <c r="F28" s="1">
        <v>96</v>
      </c>
      <c r="G28" s="1">
        <v>179</v>
      </c>
      <c r="H28" s="1">
        <v>141</v>
      </c>
      <c r="I28" s="1">
        <v>0</v>
      </c>
      <c r="J28" s="1">
        <v>55</v>
      </c>
      <c r="K28" s="1">
        <v>104</v>
      </c>
      <c r="L28" s="1">
        <f t="shared" si="0"/>
        <v>637</v>
      </c>
    </row>
  </sheetData>
  <sortState ref="A3:L28">
    <sortCondition descending="1" ref="L3:L28"/>
  </sortState>
  <mergeCells count="1">
    <mergeCell ref="A1:L1"/>
  </mergeCells>
  <phoneticPr fontId="3" type="noConversion"/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B3" sqref="B3"/>
    </sheetView>
  </sheetViews>
  <sheetFormatPr defaultRowHeight="17.25" customHeight="1"/>
  <cols>
    <col min="2" max="2" width="31.125" customWidth="1"/>
    <col min="8" max="8" width="10.375" customWidth="1"/>
    <col min="10" max="10" width="10.125" customWidth="1"/>
  </cols>
  <sheetData>
    <row r="1" spans="1:11" ht="33" customHeight="1">
      <c r="A1" s="27" t="s">
        <v>95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4" customHeight="1">
      <c r="A2" s="2" t="s">
        <v>0</v>
      </c>
      <c r="B2" s="2" t="s">
        <v>1</v>
      </c>
      <c r="C2" s="2" t="s">
        <v>2</v>
      </c>
      <c r="D2" s="2" t="s">
        <v>17</v>
      </c>
      <c r="E2" s="3" t="s">
        <v>18</v>
      </c>
      <c r="F2" s="3" t="s">
        <v>19</v>
      </c>
      <c r="G2" s="3" t="s">
        <v>53</v>
      </c>
      <c r="H2" s="3" t="s">
        <v>82</v>
      </c>
      <c r="I2" s="3" t="s">
        <v>80</v>
      </c>
      <c r="J2" s="3" t="s">
        <v>81</v>
      </c>
      <c r="K2" s="3" t="s">
        <v>59</v>
      </c>
    </row>
    <row r="3" spans="1:11" s="8" customFormat="1" ht="18.75" customHeight="1">
      <c r="A3" s="11">
        <v>1</v>
      </c>
      <c r="B3" s="6" t="s">
        <v>49</v>
      </c>
      <c r="C3" s="6" t="s">
        <v>20</v>
      </c>
      <c r="D3" s="6">
        <v>30785</v>
      </c>
      <c r="E3" s="6">
        <v>47121</v>
      </c>
      <c r="F3" s="6">
        <v>51589</v>
      </c>
      <c r="G3" s="6">
        <v>49383</v>
      </c>
      <c r="H3" s="6">
        <v>44088</v>
      </c>
      <c r="I3" s="6">
        <f>VLOOKUP(B:B,[1]Sheet1!$A$1:$C$65536,2,0)</f>
        <v>44366</v>
      </c>
      <c r="J3" s="6">
        <f>VLOOKUP(B:B,[1]Sheet1!$A$1:$C$65536,3,0)</f>
        <v>53539</v>
      </c>
      <c r="K3" s="6">
        <f t="shared" ref="K3:K26" si="0">SUM(D3:J3)</f>
        <v>320871</v>
      </c>
    </row>
    <row r="4" spans="1:11" ht="17.25" customHeight="1">
      <c r="A4" s="4">
        <v>2</v>
      </c>
      <c r="B4" s="5" t="s">
        <v>35</v>
      </c>
      <c r="C4" s="5" t="s">
        <v>36</v>
      </c>
      <c r="D4" s="1">
        <v>3270</v>
      </c>
      <c r="E4" s="1">
        <v>7812</v>
      </c>
      <c r="F4" s="1">
        <v>9603</v>
      </c>
      <c r="G4" s="1">
        <v>9506</v>
      </c>
      <c r="H4" s="1">
        <v>12582</v>
      </c>
      <c r="I4" s="1">
        <f>VLOOKUP(B:B,[1]Sheet1!$A$1:$C$65536,2,0)</f>
        <v>7866</v>
      </c>
      <c r="J4" s="1">
        <f>VLOOKUP(B:B,[1]Sheet1!$A$1:$C$65536,3,0)</f>
        <v>8377</v>
      </c>
      <c r="K4" s="1">
        <f t="shared" si="0"/>
        <v>59016</v>
      </c>
    </row>
    <row r="5" spans="1:11" ht="17.25" customHeight="1">
      <c r="A5" s="4">
        <v>3</v>
      </c>
      <c r="B5" s="5" t="s">
        <v>21</v>
      </c>
      <c r="C5" s="5" t="s">
        <v>20</v>
      </c>
      <c r="D5" s="1">
        <v>6283</v>
      </c>
      <c r="E5" s="1">
        <v>7367</v>
      </c>
      <c r="F5" s="1">
        <v>7910</v>
      </c>
      <c r="G5" s="1">
        <v>6863</v>
      </c>
      <c r="H5" s="1">
        <v>6701</v>
      </c>
      <c r="I5" s="1">
        <f>VLOOKUP(B:B,[1]Sheet1!$A$1:$C$65536,2,0)</f>
        <v>5542</v>
      </c>
      <c r="J5" s="1">
        <f>VLOOKUP(B:B,[1]Sheet1!$A$1:$C$65536,3,0)</f>
        <v>5731</v>
      </c>
      <c r="K5" s="1">
        <f t="shared" si="0"/>
        <v>46397</v>
      </c>
    </row>
    <row r="6" spans="1:11" ht="17.25" customHeight="1">
      <c r="A6" s="4">
        <v>4</v>
      </c>
      <c r="B6" s="5" t="s">
        <v>22</v>
      </c>
      <c r="C6" s="5" t="s">
        <v>20</v>
      </c>
      <c r="D6" s="1">
        <v>5177</v>
      </c>
      <c r="E6" s="1">
        <v>5775</v>
      </c>
      <c r="F6" s="1">
        <v>5371</v>
      </c>
      <c r="G6" s="1">
        <v>6213</v>
      </c>
      <c r="H6" s="1">
        <v>5119</v>
      </c>
      <c r="I6" s="1">
        <f>VLOOKUP(B:B,[1]Sheet1!$A$1:$C$65536,2,0)</f>
        <v>4385</v>
      </c>
      <c r="J6" s="1">
        <f>VLOOKUP(B:B,[1]Sheet1!$A$1:$C$65536,3,0)</f>
        <v>5430</v>
      </c>
      <c r="K6" s="1">
        <f t="shared" si="0"/>
        <v>37470</v>
      </c>
    </row>
    <row r="7" spans="1:11" ht="17.25" customHeight="1">
      <c r="A7" s="4">
        <v>5</v>
      </c>
      <c r="B7" s="5" t="s">
        <v>23</v>
      </c>
      <c r="C7" s="5" t="s">
        <v>24</v>
      </c>
      <c r="D7" s="1">
        <v>3960</v>
      </c>
      <c r="E7" s="1">
        <v>4046</v>
      </c>
      <c r="F7" s="1">
        <v>4754</v>
      </c>
      <c r="G7" s="1">
        <v>5526</v>
      </c>
      <c r="H7" s="1">
        <v>4227</v>
      </c>
      <c r="I7" s="1">
        <f>VLOOKUP(B:B,[1]Sheet1!$A$1:$C$65536,2,0)</f>
        <v>5297</v>
      </c>
      <c r="J7" s="1">
        <f>VLOOKUP(B:B,[1]Sheet1!$A$1:$C$65536,3,0)</f>
        <v>6687</v>
      </c>
      <c r="K7" s="1">
        <f t="shared" si="0"/>
        <v>34497</v>
      </c>
    </row>
    <row r="8" spans="1:11" ht="17.25" customHeight="1">
      <c r="A8" s="4">
        <v>6</v>
      </c>
      <c r="B8" s="5" t="s">
        <v>39</v>
      </c>
      <c r="C8" s="5" t="s">
        <v>38</v>
      </c>
      <c r="D8" s="1" t="s">
        <v>40</v>
      </c>
      <c r="E8" s="1" t="s">
        <v>40</v>
      </c>
      <c r="F8" s="1">
        <v>7309</v>
      </c>
      <c r="G8" s="1">
        <v>5998</v>
      </c>
      <c r="H8" s="1">
        <v>4456</v>
      </c>
      <c r="I8" s="1">
        <f>VLOOKUP(B:B,[1]Sheet1!$A$1:$C$65536,2,0)</f>
        <v>4122</v>
      </c>
      <c r="J8" s="1">
        <f>VLOOKUP(B:B,[1]Sheet1!$A$1:$C$65536,3,0)</f>
        <v>4689</v>
      </c>
      <c r="K8" s="1">
        <f t="shared" si="0"/>
        <v>26574</v>
      </c>
    </row>
    <row r="9" spans="1:11" ht="17.25" customHeight="1">
      <c r="A9" s="4">
        <v>7</v>
      </c>
      <c r="B9" s="5" t="s">
        <v>55</v>
      </c>
      <c r="C9" s="5" t="s">
        <v>45</v>
      </c>
      <c r="D9" s="1">
        <v>2665</v>
      </c>
      <c r="E9" s="1">
        <v>3133</v>
      </c>
      <c r="F9" s="1">
        <v>4595</v>
      </c>
      <c r="G9" s="1">
        <v>3810</v>
      </c>
      <c r="H9" s="1">
        <v>2926</v>
      </c>
      <c r="I9" s="1">
        <f>VLOOKUP(B:B,[1]Sheet1!$A$1:$C$65536,2,0)</f>
        <v>3078</v>
      </c>
      <c r="J9" s="1">
        <f>VLOOKUP(B:B,[1]Sheet1!$A$1:$C$65536,3,0)</f>
        <v>3553</v>
      </c>
      <c r="K9" s="1">
        <f t="shared" si="0"/>
        <v>23760</v>
      </c>
    </row>
    <row r="10" spans="1:11" ht="17.25" customHeight="1">
      <c r="A10" s="4">
        <v>8</v>
      </c>
      <c r="B10" s="5" t="s">
        <v>31</v>
      </c>
      <c r="C10" s="5" t="s">
        <v>24</v>
      </c>
      <c r="D10" s="1">
        <v>6</v>
      </c>
      <c r="E10" s="1">
        <v>144</v>
      </c>
      <c r="F10" s="1">
        <v>2731</v>
      </c>
      <c r="G10" s="1">
        <v>3604</v>
      </c>
      <c r="H10" s="1">
        <v>3481</v>
      </c>
      <c r="I10" s="1">
        <f>VLOOKUP(B:B,[1]Sheet1!$A$1:$C$65536,2,0)</f>
        <v>3102</v>
      </c>
      <c r="J10" s="1">
        <f>VLOOKUP(B:B,[1]Sheet1!$A$1:$C$65536,3,0)</f>
        <v>2858</v>
      </c>
      <c r="K10" s="1">
        <f t="shared" si="0"/>
        <v>15926</v>
      </c>
    </row>
    <row r="11" spans="1:11" ht="17.25" customHeight="1">
      <c r="A11" s="4">
        <v>9</v>
      </c>
      <c r="B11" s="5" t="s">
        <v>41</v>
      </c>
      <c r="C11" s="5" t="s">
        <v>42</v>
      </c>
      <c r="D11" s="1">
        <v>1025</v>
      </c>
      <c r="E11" s="1">
        <v>1477</v>
      </c>
      <c r="F11" s="1">
        <v>2155</v>
      </c>
      <c r="G11" s="1">
        <v>782</v>
      </c>
      <c r="H11" s="1">
        <v>0</v>
      </c>
      <c r="I11" s="1">
        <f>VLOOKUP(B:B,[1]Sheet1!$A$1:$C$65536,2,0)</f>
        <v>1340</v>
      </c>
      <c r="J11" s="1">
        <f>VLOOKUP(B:B,[1]Sheet1!$A$1:$C$65536,3,0)</f>
        <v>1316</v>
      </c>
      <c r="K11" s="1">
        <f t="shared" si="0"/>
        <v>8095</v>
      </c>
    </row>
    <row r="12" spans="1:11" ht="17.25" customHeight="1">
      <c r="A12" s="4">
        <v>10</v>
      </c>
      <c r="B12" s="5" t="s">
        <v>25</v>
      </c>
      <c r="C12" s="5" t="s">
        <v>20</v>
      </c>
      <c r="D12" s="1">
        <v>1129</v>
      </c>
      <c r="E12" s="1">
        <v>1218</v>
      </c>
      <c r="F12" s="1">
        <v>1073</v>
      </c>
      <c r="G12" s="1">
        <v>1200</v>
      </c>
      <c r="H12" s="1">
        <v>1047</v>
      </c>
      <c r="I12" s="1">
        <f>VLOOKUP(B:B,[1]Sheet1!$A$1:$C$65536,2,0)</f>
        <v>789</v>
      </c>
      <c r="J12" s="1">
        <f>VLOOKUP(B:B,[1]Sheet1!$A$1:$C$65536,3,0)</f>
        <v>998</v>
      </c>
      <c r="K12" s="1">
        <f t="shared" si="0"/>
        <v>7454</v>
      </c>
    </row>
    <row r="13" spans="1:11" ht="17.25" customHeight="1">
      <c r="A13" s="4">
        <v>11</v>
      </c>
      <c r="B13" s="5" t="s">
        <v>46</v>
      </c>
      <c r="C13" s="5" t="s">
        <v>45</v>
      </c>
      <c r="D13" s="1">
        <v>0</v>
      </c>
      <c r="E13" s="1">
        <v>1</v>
      </c>
      <c r="F13" s="1">
        <v>274</v>
      </c>
      <c r="G13" s="1">
        <v>2023</v>
      </c>
      <c r="H13" s="1">
        <v>1139</v>
      </c>
      <c r="I13" s="1">
        <f>VLOOKUP(B:B,[1]Sheet1!$A$1:$C$65536,2,0)</f>
        <v>1396</v>
      </c>
      <c r="J13" s="1">
        <f>VLOOKUP(B:B,[1]Sheet1!$A$1:$C$65536,3,0)</f>
        <v>1521</v>
      </c>
      <c r="K13" s="1">
        <f t="shared" si="0"/>
        <v>6354</v>
      </c>
    </row>
    <row r="14" spans="1:11" ht="17.25" customHeight="1">
      <c r="A14" s="4">
        <v>12</v>
      </c>
      <c r="B14" s="5" t="s">
        <v>26</v>
      </c>
      <c r="C14" s="5" t="s">
        <v>24</v>
      </c>
      <c r="D14" s="1">
        <v>976</v>
      </c>
      <c r="E14" s="1">
        <v>1122</v>
      </c>
      <c r="F14" s="1">
        <v>946</v>
      </c>
      <c r="G14" s="1">
        <v>814</v>
      </c>
      <c r="H14" s="1">
        <v>787</v>
      </c>
      <c r="I14" s="1">
        <f>VLOOKUP(B:B,[1]Sheet1!$A$1:$C$65536,2,0)</f>
        <v>452</v>
      </c>
      <c r="J14" s="1">
        <f>VLOOKUP(B:B,[1]Sheet1!$A$1:$C$65536,3,0)</f>
        <v>806</v>
      </c>
      <c r="K14" s="1">
        <f t="shared" si="0"/>
        <v>5903</v>
      </c>
    </row>
    <row r="15" spans="1:11" ht="18" customHeight="1">
      <c r="A15" s="4">
        <v>13</v>
      </c>
      <c r="B15" s="5" t="s">
        <v>33</v>
      </c>
      <c r="C15" s="5" t="s">
        <v>24</v>
      </c>
      <c r="D15" s="1">
        <v>612</v>
      </c>
      <c r="E15" s="1">
        <v>976</v>
      </c>
      <c r="F15" s="1">
        <v>905</v>
      </c>
      <c r="G15" s="1">
        <v>852</v>
      </c>
      <c r="H15" s="1">
        <v>485</v>
      </c>
      <c r="I15" s="1">
        <f>VLOOKUP(B:B,[1]Sheet1!$A$1:$C$65536,2,0)</f>
        <v>490</v>
      </c>
      <c r="J15" s="1">
        <f>VLOOKUP(B:B,[1]Sheet1!$A$1:$C$65536,3,0)</f>
        <v>508</v>
      </c>
      <c r="K15" s="1">
        <f t="shared" si="0"/>
        <v>4828</v>
      </c>
    </row>
    <row r="16" spans="1:11" ht="17.25" customHeight="1">
      <c r="A16" s="4">
        <v>14</v>
      </c>
      <c r="B16" s="5" t="s">
        <v>34</v>
      </c>
      <c r="C16" s="5" t="s">
        <v>20</v>
      </c>
      <c r="D16" s="1">
        <v>119</v>
      </c>
      <c r="E16" s="1">
        <v>256</v>
      </c>
      <c r="F16" s="1">
        <v>869</v>
      </c>
      <c r="G16" s="1">
        <v>1139</v>
      </c>
      <c r="H16" s="1">
        <v>468</v>
      </c>
      <c r="I16" s="1">
        <f>VLOOKUP(B:B,[1]Sheet1!$A$1:$C$65536,2,0)</f>
        <v>521</v>
      </c>
      <c r="J16" s="1">
        <f>VLOOKUP(B:B,[1]Sheet1!$A$1:$C$65536,3,0)</f>
        <v>516</v>
      </c>
      <c r="K16" s="1">
        <f t="shared" si="0"/>
        <v>3888</v>
      </c>
    </row>
    <row r="17" spans="1:11" ht="17.25" customHeight="1">
      <c r="A17" s="4">
        <v>15</v>
      </c>
      <c r="B17" s="5" t="s">
        <v>27</v>
      </c>
      <c r="C17" s="5" t="s">
        <v>20</v>
      </c>
      <c r="D17" s="1">
        <v>173</v>
      </c>
      <c r="E17" s="1">
        <v>270</v>
      </c>
      <c r="F17" s="1">
        <v>312</v>
      </c>
      <c r="G17" s="1">
        <v>707</v>
      </c>
      <c r="H17" s="1">
        <v>422</v>
      </c>
      <c r="I17" s="1">
        <f>VLOOKUP(B:B,[1]Sheet1!$A$1:$C$65536,2,0)</f>
        <v>449</v>
      </c>
      <c r="J17" s="1">
        <f>VLOOKUP(B:B,[1]Sheet1!$A$1:$C$65536,3,0)</f>
        <v>393</v>
      </c>
      <c r="K17" s="1">
        <f t="shared" si="0"/>
        <v>2726</v>
      </c>
    </row>
    <row r="18" spans="1:11" ht="17.25" customHeight="1">
      <c r="A18" s="4">
        <v>16</v>
      </c>
      <c r="B18" s="5" t="s">
        <v>50</v>
      </c>
      <c r="C18" s="5" t="s">
        <v>20</v>
      </c>
      <c r="D18" s="1">
        <v>176</v>
      </c>
      <c r="E18" s="1">
        <v>327</v>
      </c>
      <c r="F18" s="1">
        <v>253</v>
      </c>
      <c r="G18" s="1">
        <v>371</v>
      </c>
      <c r="H18" s="1">
        <v>225</v>
      </c>
      <c r="I18" s="1">
        <f>VLOOKUP(B:B,[1]Sheet1!$A$1:$C$65536,2,0)</f>
        <v>239</v>
      </c>
      <c r="J18" s="1">
        <f>VLOOKUP(B:B,[1]Sheet1!$A$1:$C$65536,3,0)</f>
        <v>41</v>
      </c>
      <c r="K18" s="1">
        <f t="shared" si="0"/>
        <v>1632</v>
      </c>
    </row>
    <row r="19" spans="1:11" ht="17.25" customHeight="1">
      <c r="A19" s="4">
        <v>17</v>
      </c>
      <c r="B19" s="5" t="s">
        <v>28</v>
      </c>
      <c r="C19" s="5" t="s">
        <v>20</v>
      </c>
      <c r="D19" s="1">
        <v>154</v>
      </c>
      <c r="E19" s="1">
        <v>116</v>
      </c>
      <c r="F19" s="1">
        <v>107</v>
      </c>
      <c r="G19" s="1">
        <v>346</v>
      </c>
      <c r="H19" s="1">
        <v>333</v>
      </c>
      <c r="I19" s="1">
        <f>VLOOKUP(B:B,[1]Sheet1!$A$1:$C$65536,2,0)</f>
        <v>290</v>
      </c>
      <c r="J19" s="1">
        <f>VLOOKUP(B:B,[1]Sheet1!$A$1:$C$65536,3,0)</f>
        <v>242</v>
      </c>
      <c r="K19" s="1">
        <f t="shared" si="0"/>
        <v>1588</v>
      </c>
    </row>
    <row r="20" spans="1:11" ht="18" customHeight="1">
      <c r="A20" s="4">
        <v>18</v>
      </c>
      <c r="B20" s="5" t="s">
        <v>29</v>
      </c>
      <c r="C20" s="5" t="s">
        <v>20</v>
      </c>
      <c r="D20" s="1">
        <v>114</v>
      </c>
      <c r="E20" s="1">
        <v>207</v>
      </c>
      <c r="F20" s="1">
        <v>165</v>
      </c>
      <c r="G20" s="1">
        <v>136</v>
      </c>
      <c r="H20" s="1">
        <v>151</v>
      </c>
      <c r="I20" s="1">
        <f>VLOOKUP(B:B,[1]Sheet1!$A$1:$C$65536,2,0)</f>
        <v>65</v>
      </c>
      <c r="J20" s="1">
        <f>VLOOKUP(B:B,[1]Sheet1!$A$1:$C$65536,3,0)</f>
        <v>78</v>
      </c>
      <c r="K20" s="1">
        <f t="shared" si="0"/>
        <v>916</v>
      </c>
    </row>
    <row r="21" spans="1:11" ht="16.5" customHeight="1">
      <c r="A21" s="4">
        <v>19</v>
      </c>
      <c r="B21" s="5" t="s">
        <v>30</v>
      </c>
      <c r="C21" s="5" t="s">
        <v>20</v>
      </c>
      <c r="D21" s="1">
        <v>15</v>
      </c>
      <c r="E21" s="1">
        <v>77</v>
      </c>
      <c r="F21" s="1">
        <v>211</v>
      </c>
      <c r="G21" s="1">
        <v>144</v>
      </c>
      <c r="H21" s="1">
        <v>106</v>
      </c>
      <c r="I21" s="1">
        <f>VLOOKUP(B:B,[1]Sheet1!$A$1:$C$65536,2,0)</f>
        <v>148</v>
      </c>
      <c r="J21" s="1">
        <f>VLOOKUP(B:B,[1]Sheet1!$A$1:$C$65536,3,0)</f>
        <v>93</v>
      </c>
      <c r="K21" s="1">
        <f t="shared" si="0"/>
        <v>794</v>
      </c>
    </row>
    <row r="22" spans="1:11" ht="17.25" customHeight="1">
      <c r="A22" s="4">
        <v>20</v>
      </c>
      <c r="B22" s="5" t="s">
        <v>37</v>
      </c>
      <c r="C22" s="5" t="s">
        <v>38</v>
      </c>
      <c r="D22" s="1">
        <v>0</v>
      </c>
      <c r="E22" s="1">
        <v>41</v>
      </c>
      <c r="F22" s="1">
        <v>72</v>
      </c>
      <c r="G22" s="1">
        <v>72</v>
      </c>
      <c r="H22" s="1">
        <v>122</v>
      </c>
      <c r="I22" s="1">
        <f>VLOOKUP(B:B,[1]Sheet1!$A$1:$C$65536,2,0)</f>
        <v>71</v>
      </c>
      <c r="J22" s="1">
        <f>VLOOKUP(B:B,[1]Sheet1!$A$1:$C$65536,3,0)</f>
        <v>58</v>
      </c>
      <c r="K22" s="1">
        <f t="shared" si="0"/>
        <v>436</v>
      </c>
    </row>
    <row r="23" spans="1:11" ht="23.25" customHeight="1">
      <c r="A23" s="4">
        <v>21</v>
      </c>
      <c r="B23" s="5" t="s">
        <v>54</v>
      </c>
      <c r="C23" s="5" t="s">
        <v>45</v>
      </c>
      <c r="D23" s="1" t="s">
        <v>40</v>
      </c>
      <c r="E23" s="1" t="s">
        <v>40</v>
      </c>
      <c r="F23" s="1">
        <v>169</v>
      </c>
      <c r="G23" s="1">
        <v>64</v>
      </c>
      <c r="H23" s="1">
        <v>27</v>
      </c>
      <c r="I23" s="1">
        <f>VLOOKUP(B:B,[1]Sheet1!$A$1:$C$65536,2,0)</f>
        <v>93</v>
      </c>
      <c r="J23" s="1">
        <f>VLOOKUP(B:B,[1]Sheet1!$A$1:$C$65536,3,0)</f>
        <v>49</v>
      </c>
      <c r="K23" s="1">
        <f t="shared" si="0"/>
        <v>402</v>
      </c>
    </row>
    <row r="24" spans="1:11" ht="17.25" customHeight="1">
      <c r="A24" s="4">
        <v>22</v>
      </c>
      <c r="B24" s="5" t="s">
        <v>43</v>
      </c>
      <c r="C24" s="5" t="s">
        <v>42</v>
      </c>
      <c r="D24" s="1">
        <v>111</v>
      </c>
      <c r="E24" s="1">
        <v>0</v>
      </c>
      <c r="F24" s="1">
        <v>0</v>
      </c>
      <c r="G24" s="1">
        <v>0</v>
      </c>
      <c r="H24" s="1">
        <v>133</v>
      </c>
      <c r="I24" s="1">
        <f>VLOOKUP(B:B,[1]Sheet1!$A$1:$C$65536,2,0)</f>
        <v>0</v>
      </c>
      <c r="J24" s="1">
        <f>VLOOKUP(B:B,[1]Sheet1!$A$1:$C$65536,3,0)</f>
        <v>0</v>
      </c>
      <c r="K24" s="1">
        <f t="shared" si="0"/>
        <v>244</v>
      </c>
    </row>
    <row r="25" spans="1:11" ht="17.25" customHeight="1">
      <c r="A25" s="4">
        <v>23</v>
      </c>
      <c r="B25" s="5" t="s">
        <v>32</v>
      </c>
      <c r="C25" s="5" t="s">
        <v>20</v>
      </c>
      <c r="D25" s="1">
        <v>0</v>
      </c>
      <c r="E25" s="1">
        <v>0</v>
      </c>
      <c r="F25" s="1">
        <v>0</v>
      </c>
      <c r="G25" s="1">
        <v>0</v>
      </c>
      <c r="H25" s="1">
        <v>23</v>
      </c>
      <c r="I25" s="1">
        <f>VLOOKUP(B:B,[1]Sheet1!$A$1:$C$65536,2,0)</f>
        <v>0</v>
      </c>
      <c r="J25" s="1">
        <f>VLOOKUP(B:B,[1]Sheet1!$A$1:$C$65536,3,0)</f>
        <v>0</v>
      </c>
      <c r="K25" s="1">
        <f t="shared" si="0"/>
        <v>23</v>
      </c>
    </row>
    <row r="26" spans="1:11" ht="26.25" customHeight="1">
      <c r="A26" s="4">
        <v>24</v>
      </c>
      <c r="B26" s="5" t="s">
        <v>44</v>
      </c>
      <c r="C26" s="5" t="s">
        <v>42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f>VLOOKUP(B:B,[1]Sheet1!$A$1:$C$65536,2,0)</f>
        <v>0</v>
      </c>
      <c r="J26" s="1">
        <f>VLOOKUP(B:B,[1]Sheet1!$A$1:$C$65536,3,0)</f>
        <v>0</v>
      </c>
      <c r="K26" s="1">
        <f t="shared" si="0"/>
        <v>0</v>
      </c>
    </row>
  </sheetData>
  <sortState ref="A3:K28">
    <sortCondition descending="1" ref="K3:K28"/>
  </sortState>
  <mergeCells count="1">
    <mergeCell ref="A1:K1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selection activeCell="C8" sqref="C8"/>
    </sheetView>
  </sheetViews>
  <sheetFormatPr defaultRowHeight="20.25" customHeight="1"/>
  <cols>
    <col min="2" max="2" width="34.25" customWidth="1"/>
    <col min="3" max="3" width="13.125" customWidth="1"/>
    <col min="4" max="4" width="5.375" customWidth="1"/>
  </cols>
  <sheetData>
    <row r="1" spans="1:12" ht="32.25" customHeight="1">
      <c r="A1" s="29" t="s">
        <v>94</v>
      </c>
      <c r="B1" s="30"/>
      <c r="C1" s="30"/>
      <c r="D1" s="17"/>
      <c r="E1" s="17"/>
      <c r="F1" s="17"/>
      <c r="G1" s="17"/>
      <c r="H1" s="17"/>
      <c r="I1" s="17"/>
      <c r="J1" s="17"/>
      <c r="K1" s="17"/>
      <c r="L1" s="17"/>
    </row>
    <row r="2" spans="1:12" ht="34.5" customHeight="1">
      <c r="A2" s="10" t="s">
        <v>0</v>
      </c>
      <c r="B2" s="10" t="s">
        <v>1</v>
      </c>
      <c r="C2" s="12" t="s">
        <v>93</v>
      </c>
    </row>
    <row r="3" spans="1:12" s="14" customFormat="1" ht="20.25" customHeight="1">
      <c r="A3" s="13">
        <v>1</v>
      </c>
      <c r="B3" s="11" t="s">
        <v>84</v>
      </c>
      <c r="C3" s="11">
        <v>32155</v>
      </c>
    </row>
    <row r="4" spans="1:12" ht="20.25" customHeight="1">
      <c r="A4" s="9">
        <v>2</v>
      </c>
      <c r="B4" s="4" t="s">
        <v>85</v>
      </c>
      <c r="C4" s="4">
        <v>977</v>
      </c>
    </row>
    <row r="5" spans="1:12" ht="20.25" customHeight="1">
      <c r="A5" s="9">
        <v>3</v>
      </c>
      <c r="B5" s="4" t="s">
        <v>83</v>
      </c>
      <c r="C5" s="4">
        <v>251</v>
      </c>
    </row>
    <row r="6" spans="1:12" ht="20.25" customHeight="1">
      <c r="A6" s="9">
        <v>4</v>
      </c>
      <c r="B6" s="4" t="s">
        <v>86</v>
      </c>
      <c r="C6" s="4">
        <v>225</v>
      </c>
    </row>
    <row r="7" spans="1:12" ht="20.25" customHeight="1">
      <c r="A7" s="9">
        <v>5</v>
      </c>
      <c r="B7" s="4" t="s">
        <v>88</v>
      </c>
      <c r="C7" s="4">
        <v>40</v>
      </c>
    </row>
    <row r="8" spans="1:12" ht="20.25" customHeight="1">
      <c r="A8" s="9">
        <v>6</v>
      </c>
      <c r="B8" s="4" t="s">
        <v>91</v>
      </c>
      <c r="C8" s="4">
        <v>10</v>
      </c>
    </row>
    <row r="9" spans="1:12" ht="20.25" customHeight="1">
      <c r="A9" s="9">
        <v>7</v>
      </c>
      <c r="B9" s="4" t="s">
        <v>89</v>
      </c>
      <c r="C9" s="4">
        <v>9</v>
      </c>
    </row>
    <row r="10" spans="1:12" ht="20.25" customHeight="1">
      <c r="A10" s="9">
        <v>8</v>
      </c>
      <c r="B10" s="4" t="s">
        <v>90</v>
      </c>
      <c r="C10" s="4">
        <v>9</v>
      </c>
    </row>
    <row r="11" spans="1:12" ht="20.25" customHeight="1">
      <c r="A11" s="9">
        <v>9</v>
      </c>
      <c r="B11" s="4" t="s">
        <v>87</v>
      </c>
      <c r="C11" s="4">
        <v>6</v>
      </c>
    </row>
    <row r="12" spans="1:12" ht="20.25" customHeight="1">
      <c r="A12" s="9">
        <v>10</v>
      </c>
      <c r="B12" s="4" t="s">
        <v>92</v>
      </c>
      <c r="C12" s="4">
        <v>0</v>
      </c>
    </row>
  </sheetData>
  <sortState ref="A3:C12">
    <sortCondition descending="1" ref="C3:C12"/>
  </sortState>
  <mergeCells count="1">
    <mergeCell ref="A1:C1"/>
  </mergeCells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D6" sqref="D6"/>
    </sheetView>
  </sheetViews>
  <sheetFormatPr defaultRowHeight="25.5" customHeight="1"/>
  <cols>
    <col min="1" max="1" width="9.25" customWidth="1"/>
    <col min="2" max="2" width="15.125" style="18" customWidth="1"/>
    <col min="3" max="3" width="7.625" customWidth="1"/>
    <col min="4" max="4" width="7.875" customWidth="1"/>
    <col min="6" max="6" width="16.875" customWidth="1"/>
    <col min="7" max="7" width="15" customWidth="1"/>
    <col min="9" max="9" width="13.625" customWidth="1"/>
  </cols>
  <sheetData>
    <row r="1" spans="1:9" ht="33.75" customHeight="1">
      <c r="A1" s="31" t="s">
        <v>116</v>
      </c>
      <c r="B1" s="32"/>
      <c r="C1" s="32"/>
      <c r="D1" s="32"/>
      <c r="E1" s="32"/>
      <c r="F1" s="32"/>
      <c r="G1" s="32"/>
      <c r="H1" s="32"/>
      <c r="I1" s="32"/>
    </row>
    <row r="2" spans="1:9" s="22" customFormat="1" ht="25.5" customHeight="1">
      <c r="A2" s="23" t="s">
        <v>115</v>
      </c>
      <c r="B2" s="23" t="s">
        <v>114</v>
      </c>
      <c r="C2" s="23" t="s">
        <v>113</v>
      </c>
      <c r="D2" s="23" t="s">
        <v>112</v>
      </c>
      <c r="E2" s="23" t="s">
        <v>111</v>
      </c>
      <c r="F2" s="23" t="s">
        <v>110</v>
      </c>
      <c r="G2" s="23" t="s">
        <v>109</v>
      </c>
      <c r="H2" s="23" t="s">
        <v>108</v>
      </c>
      <c r="I2" s="23" t="s">
        <v>107</v>
      </c>
    </row>
    <row r="3" spans="1:9" ht="25.5" customHeight="1">
      <c r="A3" s="19" t="s">
        <v>106</v>
      </c>
      <c r="B3" s="21" t="s">
        <v>98</v>
      </c>
      <c r="C3" s="19" t="s">
        <v>97</v>
      </c>
      <c r="D3" s="20">
        <v>1</v>
      </c>
      <c r="E3" s="20">
        <v>1</v>
      </c>
      <c r="F3" s="19">
        <v>1.75</v>
      </c>
      <c r="G3" s="19">
        <v>45.02</v>
      </c>
      <c r="H3" s="19">
        <v>100</v>
      </c>
      <c r="I3" s="19">
        <v>1</v>
      </c>
    </row>
    <row r="4" spans="1:9" ht="25.5" customHeight="1">
      <c r="A4" s="19" t="s">
        <v>105</v>
      </c>
      <c r="B4" s="21" t="s">
        <v>98</v>
      </c>
      <c r="C4" s="19" t="s">
        <v>97</v>
      </c>
      <c r="D4" s="20">
        <v>1</v>
      </c>
      <c r="E4" s="20">
        <v>1</v>
      </c>
      <c r="F4" s="19">
        <v>2.44</v>
      </c>
      <c r="G4" s="19">
        <v>47.46</v>
      </c>
      <c r="H4" s="19">
        <v>100</v>
      </c>
      <c r="I4" s="19">
        <v>1</v>
      </c>
    </row>
    <row r="5" spans="1:9" ht="25.5" customHeight="1">
      <c r="A5" s="19" t="s">
        <v>104</v>
      </c>
      <c r="B5" s="21" t="s">
        <v>98</v>
      </c>
      <c r="C5" s="19" t="s">
        <v>97</v>
      </c>
      <c r="D5" s="20">
        <v>1</v>
      </c>
      <c r="E5" s="20">
        <v>1</v>
      </c>
      <c r="F5" s="19">
        <v>3.09</v>
      </c>
      <c r="G5" s="19">
        <v>50.55</v>
      </c>
      <c r="H5" s="19">
        <v>100</v>
      </c>
      <c r="I5" s="19">
        <v>1</v>
      </c>
    </row>
    <row r="6" spans="1:9" ht="25.5" customHeight="1">
      <c r="A6" s="19" t="s">
        <v>103</v>
      </c>
      <c r="B6" s="21" t="s">
        <v>98</v>
      </c>
      <c r="C6" s="19" t="s">
        <v>97</v>
      </c>
      <c r="D6" s="20">
        <v>1</v>
      </c>
      <c r="E6" s="20">
        <v>1</v>
      </c>
      <c r="F6" s="19">
        <v>2.87</v>
      </c>
      <c r="G6" s="19">
        <v>53.42</v>
      </c>
      <c r="H6" s="19">
        <v>100</v>
      </c>
      <c r="I6" s="19">
        <v>1</v>
      </c>
    </row>
    <row r="7" spans="1:9" ht="25.5" customHeight="1">
      <c r="A7" s="19" t="s">
        <v>102</v>
      </c>
      <c r="B7" s="21" t="s">
        <v>98</v>
      </c>
      <c r="C7" s="19" t="s">
        <v>97</v>
      </c>
      <c r="D7" s="20">
        <v>1</v>
      </c>
      <c r="E7" s="20">
        <v>1</v>
      </c>
      <c r="F7" s="19">
        <v>5.67</v>
      </c>
      <c r="G7" s="19">
        <v>59.09</v>
      </c>
      <c r="H7" s="19">
        <v>100</v>
      </c>
      <c r="I7" s="19">
        <v>1</v>
      </c>
    </row>
    <row r="8" spans="1:9" ht="25.5" customHeight="1">
      <c r="A8" s="19" t="s">
        <v>101</v>
      </c>
      <c r="B8" s="21" t="s">
        <v>98</v>
      </c>
      <c r="C8" s="19" t="s">
        <v>97</v>
      </c>
      <c r="D8" s="20">
        <v>1</v>
      </c>
      <c r="E8" s="20">
        <v>1</v>
      </c>
      <c r="F8" s="19">
        <v>4.6900000000000004</v>
      </c>
      <c r="G8" s="19">
        <v>63.78</v>
      </c>
      <c r="H8" s="19">
        <v>100</v>
      </c>
      <c r="I8" s="19">
        <v>1</v>
      </c>
    </row>
    <row r="9" spans="1:9" ht="25.5" customHeight="1">
      <c r="A9" s="19" t="s">
        <v>100</v>
      </c>
      <c r="B9" s="21" t="s">
        <v>98</v>
      </c>
      <c r="C9" s="19" t="s">
        <v>97</v>
      </c>
      <c r="D9" s="20">
        <v>1</v>
      </c>
      <c r="E9" s="20">
        <v>1</v>
      </c>
      <c r="F9" s="19">
        <v>5.69</v>
      </c>
      <c r="G9" s="19">
        <v>69.39</v>
      </c>
      <c r="H9" s="19">
        <v>100</v>
      </c>
      <c r="I9" s="19">
        <v>1</v>
      </c>
    </row>
    <row r="10" spans="1:9" ht="25.5" customHeight="1">
      <c r="A10" s="19" t="s">
        <v>99</v>
      </c>
      <c r="B10" s="21" t="s">
        <v>98</v>
      </c>
      <c r="C10" s="19" t="s">
        <v>97</v>
      </c>
      <c r="D10" s="20">
        <v>1</v>
      </c>
      <c r="E10" s="20">
        <v>1</v>
      </c>
      <c r="F10" s="19">
        <v>12.8</v>
      </c>
      <c r="G10" s="19">
        <v>82.19</v>
      </c>
      <c r="H10" s="19">
        <v>100</v>
      </c>
      <c r="I10" s="19">
        <v>1</v>
      </c>
    </row>
  </sheetData>
  <mergeCells count="1">
    <mergeCell ref="A1:I1"/>
  </mergeCells>
  <phoneticPr fontId="3" type="noConversion"/>
  <pageMargins left="0.7" right="0.7" top="0.75" bottom="0.75" header="0.3" footer="0.3"/>
  <pageSetup paperSize="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餐饮环节</vt:lpstr>
      <vt:lpstr>食品销售</vt:lpstr>
      <vt:lpstr>食品生产</vt:lpstr>
      <vt:lpstr>重点批发市场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2021-03-30T03:32:53Z</dcterms:modified>
</cp:coreProperties>
</file>