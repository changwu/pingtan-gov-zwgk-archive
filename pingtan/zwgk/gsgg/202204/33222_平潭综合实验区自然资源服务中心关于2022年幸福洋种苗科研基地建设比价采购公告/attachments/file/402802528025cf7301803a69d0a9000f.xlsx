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 activeTab="1"/>
  </bookViews>
  <sheets>
    <sheet name="设计小班" sheetId="13" r:id="rId1"/>
    <sheet name="总投资一览表" sheetId="24" r:id="rId2"/>
  </sheets>
  <definedNames>
    <definedName name="_xlnm._FilterDatabase" localSheetId="0" hidden="1">设计小班!$A$5:$S$18</definedName>
    <definedName name="_xlnm._FilterDatabase" localSheetId="1" hidden="1">总投资一览表!$A$6:$R$19</definedName>
    <definedName name="_xlnm.Print_Titles" localSheetId="0">设计小班!$1:$4</definedName>
    <definedName name="_xlnm.Print_Titles" localSheetId="1">总投资一览表!$1:$5</definedName>
  </definedNames>
  <calcPr calcId="144525"/>
</workbook>
</file>

<file path=xl/sharedStrings.xml><?xml version="1.0" encoding="utf-8"?>
<sst xmlns="http://schemas.openxmlformats.org/spreadsheetml/2006/main" count="253" uniqueCount="64">
  <si>
    <t>幸福洋科研种苗基地实验林造林项目设计一览表</t>
  </si>
  <si>
    <t>单位：亩、厘米、千克/穴、株数／亩、立方米/穴</t>
  </si>
  <si>
    <t>地点</t>
  </si>
  <si>
    <t>造林树种</t>
  </si>
  <si>
    <t>种植株树</t>
  </si>
  <si>
    <t>种植面积（亩）</t>
  </si>
  <si>
    <t>造林前地类</t>
  </si>
  <si>
    <t>主要造林技术</t>
  </si>
  <si>
    <t>备注</t>
  </si>
  <si>
    <t>林地清理方式</t>
  </si>
  <si>
    <t>整地方式及规格</t>
  </si>
  <si>
    <t>挖穴规格</t>
  </si>
  <si>
    <t>基肥定量</t>
  </si>
  <si>
    <t>株行距</t>
  </si>
  <si>
    <t>混交方式</t>
  </si>
  <si>
    <t>苗木     类型</t>
  </si>
  <si>
    <t>种苗要求</t>
  </si>
  <si>
    <t>保湿剂</t>
  </si>
  <si>
    <t>浇水</t>
  </si>
  <si>
    <t>追肥</t>
  </si>
  <si>
    <t>客土</t>
  </si>
  <si>
    <t>抚育方式与次数</t>
  </si>
  <si>
    <t>合计</t>
  </si>
  <si>
    <t>幸福洋</t>
  </si>
  <si>
    <t>菲油果扦插</t>
  </si>
  <si>
    <t>荒山荒地</t>
  </si>
  <si>
    <t>不炼山清理</t>
  </si>
  <si>
    <t>块状整地1米见方</t>
  </si>
  <si>
    <t>50*40*50</t>
  </si>
  <si>
    <t>0.25</t>
  </si>
  <si>
    <t>2m×3m</t>
  </si>
  <si>
    <t>纯林</t>
  </si>
  <si>
    <t>容器苗</t>
  </si>
  <si>
    <t>良种壮苗</t>
  </si>
  <si>
    <t>定根水。后续浇水6次</t>
  </si>
  <si>
    <t>在栽植1年后结合抚育追肥2次</t>
  </si>
  <si>
    <t>抚育年限3年，每年次数分别未2、2、1次。植苗处半径0.5m范围内全面除草,根部扩穴并培土。</t>
  </si>
  <si>
    <t>菲油果</t>
  </si>
  <si>
    <t>交趾黄檀</t>
  </si>
  <si>
    <t>马大相思</t>
  </si>
  <si>
    <t>厚荚相思</t>
  </si>
  <si>
    <t>舟山新木姜子</t>
  </si>
  <si>
    <t>普陀樟</t>
  </si>
  <si>
    <t>普陀鹅耳枥</t>
  </si>
  <si>
    <t>降香黄檀</t>
  </si>
  <si>
    <t>其它</t>
  </si>
  <si>
    <t>羊乃子</t>
  </si>
  <si>
    <t>无花果</t>
  </si>
  <si>
    <t>长果桑</t>
  </si>
  <si>
    <t>带状</t>
  </si>
  <si>
    <t>幸福洋科研种苗基地实验林造林项目投资概算一览表</t>
  </si>
  <si>
    <t>造林面积</t>
  </si>
  <si>
    <t>用工量</t>
  </si>
  <si>
    <t>总投资</t>
  </si>
  <si>
    <t>亩投资</t>
  </si>
  <si>
    <t>施工费</t>
  </si>
  <si>
    <t>施工直接费</t>
  </si>
  <si>
    <t>企业管理费（6.5%）</t>
  </si>
  <si>
    <t>企业利润（6%）</t>
  </si>
  <si>
    <t>税金（11%）</t>
  </si>
  <si>
    <t>小计</t>
  </si>
  <si>
    <t>人工费</t>
  </si>
  <si>
    <t>苗木费</t>
  </si>
  <si>
    <t>肥料费</t>
  </si>
</sst>
</file>

<file path=xl/styles.xml><?xml version="1.0" encoding="utf-8"?>
<styleSheet xmlns="http://schemas.openxmlformats.org/spreadsheetml/2006/main">
  <numFmts count="8">
    <numFmt numFmtId="176" formatCode="0_);[Red]\(0\)"/>
    <numFmt numFmtId="43" formatCode="_ * #,##0.00_ ;_ * \-#,##0.00_ ;_ * &quot;-&quot;??_ ;_ @_ "/>
    <numFmt numFmtId="177" formatCode="0.0_);[Red]\(0.0\)"/>
    <numFmt numFmtId="178" formatCode="0.00;[Red]0.00"/>
    <numFmt numFmtId="42" formatCode="_ &quot;￥&quot;* #,##0_ ;_ &quot;￥&quot;* \-#,##0_ ;_ &quot;￥&quot;* &quot;-&quot;_ ;_ @_ "/>
    <numFmt numFmtId="41" formatCode="_ * #,##0_ ;_ * \-#,##0_ ;_ * &quot;-&quot;_ ;_ @_ "/>
    <numFmt numFmtId="179" formatCode="0;[Red]0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6"/>
      <color theme="1"/>
      <name val="宋体"/>
      <charset val="134"/>
    </font>
    <font>
      <sz val="11"/>
      <name val="Arial"/>
      <charset val="134"/>
    </font>
    <font>
      <sz val="12"/>
      <name val="宋体"/>
      <charset val="134"/>
    </font>
    <font>
      <b/>
      <sz val="12"/>
      <name val="宋体"/>
      <charset val="134"/>
    </font>
    <font>
      <sz val="12"/>
      <color theme="1"/>
      <name val="宋体"/>
      <charset val="134"/>
    </font>
    <font>
      <sz val="11"/>
      <color theme="1"/>
      <name val="Arial"/>
      <charset val="134"/>
    </font>
    <font>
      <sz val="11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6"/>
      <name val="宋体"/>
      <charset val="134"/>
    </font>
    <font>
      <sz val="10"/>
      <name val="Tahoma"/>
      <charset val="134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Arial"/>
      <charset val="134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 style="thin">
        <color auto="true"/>
      </right>
      <top/>
      <bottom/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 style="thin">
        <color auto="true"/>
      </left>
      <right/>
      <top style="thin">
        <color auto="true"/>
      </top>
      <bottom style="thin">
        <color auto="true"/>
      </bottom>
      <diagonal/>
    </border>
    <border>
      <left/>
      <right/>
      <top style="thin">
        <color auto="true"/>
      </top>
      <bottom style="thin">
        <color auto="true"/>
      </bottom>
      <diagonal/>
    </border>
    <border>
      <left/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66">
    <xf numFmtId="0" fontId="0" fillId="0" borderId="0">
      <alignment vertical="center"/>
    </xf>
    <xf numFmtId="0" fontId="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8" fillId="17" borderId="0" applyNumberFormat="false" applyBorder="false" applyAlignment="false" applyProtection="false">
      <alignment vertical="center"/>
    </xf>
    <xf numFmtId="0" fontId="16" fillId="23" borderId="0" applyNumberFormat="false" applyBorder="false" applyAlignment="false" applyProtection="false">
      <alignment vertical="center"/>
    </xf>
    <xf numFmtId="0" fontId="29" fillId="8" borderId="12" applyNumberFormat="false" applyAlignment="false" applyProtection="false">
      <alignment vertical="center"/>
    </xf>
    <xf numFmtId="0" fontId="25" fillId="14" borderId="11" applyNumberFormat="false" applyAlignment="false" applyProtection="false">
      <alignment vertical="center"/>
    </xf>
    <xf numFmtId="0" fontId="24" fillId="13" borderId="0" applyNumberFormat="false" applyBorder="false" applyAlignment="false" applyProtection="false">
      <alignment vertical="center"/>
    </xf>
    <xf numFmtId="0" fontId="23" fillId="0" borderId="10" applyNumberFormat="false" applyFill="false" applyAlignment="false" applyProtection="false">
      <alignment vertical="center"/>
    </xf>
    <xf numFmtId="0" fontId="20" fillId="0" borderId="0" applyNumberFormat="false" applyFill="false" applyBorder="false" applyAlignment="false" applyProtection="false">
      <alignment vertical="center"/>
    </xf>
    <xf numFmtId="0" fontId="27" fillId="0" borderId="10" applyNumberFormat="false" applyFill="false" applyAlignment="false" applyProtection="false">
      <alignment vertical="center"/>
    </xf>
    <xf numFmtId="0" fontId="16" fillId="22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16" fillId="21" borderId="0" applyNumberFormat="false" applyBorder="false" applyAlignment="false" applyProtection="false">
      <alignment vertical="center"/>
    </xf>
    <xf numFmtId="0" fontId="30" fillId="0" borderId="0" applyNumberFormat="false" applyFill="false" applyBorder="false" applyAlignment="false" applyProtection="false">
      <alignment vertical="center"/>
    </xf>
    <xf numFmtId="0" fontId="18" fillId="24" borderId="0" applyNumberFormat="false" applyBorder="false" applyAlignment="false" applyProtection="false">
      <alignment vertical="center"/>
    </xf>
    <xf numFmtId="0" fontId="26" fillId="0" borderId="15" applyNumberFormat="false" applyFill="false" applyAlignment="false" applyProtection="false">
      <alignment vertical="center"/>
    </xf>
    <xf numFmtId="0" fontId="31" fillId="0" borderId="14" applyNumberFormat="false" applyFill="false" applyAlignment="false" applyProtection="false">
      <alignment vertical="center"/>
    </xf>
    <xf numFmtId="0" fontId="16" fillId="18" borderId="0" applyNumberFormat="false" applyBorder="false" applyAlignment="false" applyProtection="false">
      <alignment vertical="center"/>
    </xf>
    <xf numFmtId="0" fontId="22" fillId="0" borderId="0"/>
    <xf numFmtId="0" fontId="16" fillId="27" borderId="0" applyNumberFormat="false" applyBorder="false" applyAlignment="false" applyProtection="false">
      <alignment vertical="center"/>
    </xf>
    <xf numFmtId="0" fontId="18" fillId="28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32" fillId="0" borderId="0" applyNumberFormat="false" applyFill="false" applyBorder="false" applyAlignment="false" applyProtection="false">
      <alignment vertical="center"/>
    </xf>
    <xf numFmtId="0" fontId="28" fillId="0" borderId="0" applyNumberFormat="false" applyFill="false" applyBorder="false" applyAlignment="false" applyProtection="false">
      <alignment vertical="center"/>
    </xf>
    <xf numFmtId="0" fontId="16" fillId="30" borderId="0" applyNumberFormat="false" applyBorder="false" applyAlignment="false" applyProtection="false">
      <alignment vertical="center"/>
    </xf>
    <xf numFmtId="0" fontId="10" fillId="0" borderId="0">
      <alignment vertical="center"/>
    </xf>
    <xf numFmtId="0" fontId="34" fillId="0" borderId="16" applyNumberFormat="false" applyFill="false" applyAlignment="false" applyProtection="false">
      <alignment vertical="center"/>
    </xf>
    <xf numFmtId="0" fontId="26" fillId="0" borderId="0" applyNumberFormat="false" applyFill="false" applyBorder="false" applyAlignment="false" applyProtection="false">
      <alignment vertical="center"/>
    </xf>
    <xf numFmtId="0" fontId="16" fillId="32" borderId="0" applyNumberFormat="false" applyBorder="false" applyAlignment="false" applyProtection="false">
      <alignment vertical="center"/>
    </xf>
    <xf numFmtId="0" fontId="22" fillId="0" borderId="0"/>
    <xf numFmtId="42" fontId="0" fillId="0" borderId="0" applyFont="false" applyFill="false" applyBorder="false" applyAlignment="false" applyProtection="false">
      <alignment vertical="center"/>
    </xf>
    <xf numFmtId="0" fontId="35" fillId="0" borderId="0" applyNumberFormat="false" applyFill="false" applyBorder="false" applyAlignment="false" applyProtection="false">
      <alignment vertical="center"/>
    </xf>
    <xf numFmtId="0" fontId="16" fillId="29" borderId="0" applyNumberFormat="false" applyBorder="false" applyAlignment="false" applyProtection="false">
      <alignment vertical="center"/>
    </xf>
    <xf numFmtId="0" fontId="0" fillId="20" borderId="13" applyNumberFormat="false" applyFont="false" applyAlignment="false" applyProtection="false">
      <alignment vertical="center"/>
    </xf>
    <xf numFmtId="0" fontId="18" fillId="9" borderId="0" applyNumberFormat="false" applyBorder="false" applyAlignment="false" applyProtection="false">
      <alignment vertical="center"/>
    </xf>
    <xf numFmtId="0" fontId="22" fillId="0" borderId="0"/>
    <xf numFmtId="0" fontId="33" fillId="25" borderId="0" applyNumberFormat="false" applyBorder="false" applyAlignment="false" applyProtection="false">
      <alignment vertical="center"/>
    </xf>
    <xf numFmtId="0" fontId="16" fillId="31" borderId="0" applyNumberFormat="false" applyBorder="false" applyAlignment="false" applyProtection="false">
      <alignment vertical="center"/>
    </xf>
    <xf numFmtId="0" fontId="21" fillId="12" borderId="0" applyNumberFormat="false" applyBorder="false" applyAlignment="false" applyProtection="false">
      <alignment vertical="center"/>
    </xf>
    <xf numFmtId="0" fontId="19" fillId="8" borderId="9" applyNumberFormat="false" applyAlignment="false" applyProtection="false">
      <alignment vertical="center"/>
    </xf>
    <xf numFmtId="0" fontId="18" fillId="16" borderId="0" applyNumberFormat="false" applyBorder="false" applyAlignment="false" applyProtection="false">
      <alignment vertical="center"/>
    </xf>
    <xf numFmtId="0" fontId="18" fillId="7" borderId="0" applyNumberFormat="false" applyBorder="false" applyAlignment="false" applyProtection="false">
      <alignment vertical="center"/>
    </xf>
    <xf numFmtId="0" fontId="18" fillId="19" borderId="0" applyNumberFormat="false" applyBorder="false" applyAlignment="false" applyProtection="false">
      <alignment vertical="center"/>
    </xf>
    <xf numFmtId="0" fontId="18" fillId="11" borderId="0" applyNumberFormat="false" applyBorder="false" applyAlignment="false" applyProtection="false">
      <alignment vertical="center"/>
    </xf>
    <xf numFmtId="0" fontId="18" fillId="15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18" fillId="6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18" fillId="5" borderId="0" applyNumberFormat="false" applyBorder="false" applyAlignment="false" applyProtection="false">
      <alignment vertical="center"/>
    </xf>
    <xf numFmtId="0" fontId="16" fillId="26" borderId="0" applyNumberFormat="false" applyBorder="false" applyAlignment="false" applyProtection="false">
      <alignment vertical="center"/>
    </xf>
    <xf numFmtId="0" fontId="17" fillId="4" borderId="9" applyNumberFormat="false" applyAlignment="false" applyProtection="false">
      <alignment vertical="center"/>
    </xf>
    <xf numFmtId="0" fontId="16" fillId="3" borderId="0" applyNumberFormat="false" applyBorder="false" applyAlignment="false" applyProtection="false">
      <alignment vertical="center"/>
    </xf>
    <xf numFmtId="0" fontId="18" fillId="10" borderId="0" applyNumberFormat="false" applyBorder="false" applyAlignment="false" applyProtection="false">
      <alignment vertical="center"/>
    </xf>
    <xf numFmtId="0" fontId="16" fillId="2" borderId="0" applyNumberFormat="false" applyBorder="false" applyAlignment="false" applyProtection="false">
      <alignment vertical="center"/>
    </xf>
  </cellStyleXfs>
  <cellXfs count="51">
    <xf numFmtId="0" fontId="0" fillId="0" borderId="0" xfId="0">
      <alignment vertical="center"/>
    </xf>
    <xf numFmtId="176" fontId="1" fillId="0" borderId="0" xfId="0" applyNumberFormat="true" applyFont="true" applyFill="true" applyAlignment="true">
      <alignment horizontal="center" vertical="center" wrapText="true"/>
    </xf>
    <xf numFmtId="176" fontId="2" fillId="0" borderId="0" xfId="0" applyNumberFormat="true" applyFont="true" applyFill="true" applyAlignment="true">
      <alignment horizontal="center" vertical="center" wrapText="true"/>
    </xf>
    <xf numFmtId="176" fontId="0" fillId="0" borderId="0" xfId="0" applyNumberFormat="true" applyFill="true" applyAlignment="true">
      <alignment horizontal="center" vertical="center" wrapText="true"/>
    </xf>
    <xf numFmtId="176" fontId="3" fillId="0" borderId="0" xfId="0" applyNumberFormat="true" applyFont="true" applyFill="true" applyAlignment="true">
      <alignment horizontal="center" vertical="center" wrapText="true"/>
    </xf>
    <xf numFmtId="176" fontId="4" fillId="0" borderId="0" xfId="0" applyNumberFormat="true" applyFont="true" applyFill="true" applyAlignment="true">
      <alignment horizontal="center" vertical="center" wrapText="true"/>
    </xf>
    <xf numFmtId="176" fontId="3" fillId="0" borderId="1" xfId="0" applyNumberFormat="true" applyFont="true" applyFill="true" applyBorder="true" applyAlignment="true">
      <alignment horizontal="left" vertical="center" wrapText="true"/>
    </xf>
    <xf numFmtId="176" fontId="5" fillId="0" borderId="1" xfId="0" applyNumberFormat="true" applyFont="true" applyFill="true" applyBorder="true" applyAlignment="true">
      <alignment horizontal="center" vertical="center" wrapText="true"/>
    </xf>
    <xf numFmtId="176" fontId="6" fillId="0" borderId="2" xfId="0" applyNumberFormat="true" applyFont="true" applyFill="true" applyBorder="true" applyAlignment="true" applyProtection="true">
      <alignment horizontal="center" vertical="center" wrapText="true"/>
      <protection locked="false"/>
    </xf>
    <xf numFmtId="176" fontId="6" fillId="0" borderId="3" xfId="0" applyNumberFormat="true" applyFont="true" applyFill="true" applyBorder="true" applyAlignment="true" applyProtection="true">
      <alignment horizontal="center" vertical="center" wrapText="true"/>
      <protection locked="false"/>
    </xf>
    <xf numFmtId="176" fontId="6" fillId="0" borderId="4" xfId="0" applyNumberFormat="true" applyFont="true" applyFill="true" applyBorder="true" applyAlignment="true" applyProtection="true">
      <alignment horizontal="center" vertical="center" wrapText="true"/>
      <protection locked="false"/>
    </xf>
    <xf numFmtId="176" fontId="6" fillId="0" borderId="5" xfId="0" applyNumberFormat="true" applyFont="true" applyFill="true" applyBorder="true" applyAlignment="true" applyProtection="true">
      <alignment horizontal="center" vertical="center" wrapText="true"/>
      <protection locked="false"/>
    </xf>
    <xf numFmtId="176" fontId="7" fillId="0" borderId="2" xfId="0" applyNumberFormat="true" applyFont="true" applyFill="true" applyBorder="true" applyAlignment="true" applyProtection="true">
      <alignment horizontal="center" vertical="center" wrapText="true"/>
      <protection locked="false"/>
    </xf>
    <xf numFmtId="177" fontId="7" fillId="0" borderId="2" xfId="0" applyNumberFormat="true" applyFont="true" applyFill="true" applyBorder="true" applyAlignment="true">
      <alignment horizontal="center" vertical="center" wrapText="true"/>
    </xf>
    <xf numFmtId="0" fontId="8" fillId="0" borderId="2" xfId="0" applyFont="true" applyFill="true" applyBorder="true" applyAlignment="true">
      <alignment horizontal="center" vertical="center" wrapText="true"/>
    </xf>
    <xf numFmtId="176" fontId="9" fillId="0" borderId="1" xfId="0" applyNumberFormat="true" applyFont="true" applyFill="true" applyBorder="true" applyAlignment="true">
      <alignment horizontal="center" vertical="center" wrapText="true"/>
    </xf>
    <xf numFmtId="176" fontId="6" fillId="0" borderId="3" xfId="0" applyNumberFormat="true" applyFont="true" applyFill="true" applyBorder="true" applyAlignment="true">
      <alignment horizontal="center" vertical="center" wrapText="true"/>
    </xf>
    <xf numFmtId="176" fontId="6" fillId="0" borderId="2" xfId="0" applyNumberFormat="true" applyFont="true" applyFill="true" applyBorder="true" applyAlignment="true">
      <alignment horizontal="center" vertical="center" wrapText="true"/>
    </xf>
    <xf numFmtId="176" fontId="6" fillId="0" borderId="4" xfId="0" applyNumberFormat="true" applyFont="true" applyFill="true" applyBorder="true" applyAlignment="true">
      <alignment horizontal="center" vertical="center" wrapText="true"/>
    </xf>
    <xf numFmtId="176" fontId="6" fillId="0" borderId="5" xfId="0" applyNumberFormat="true" applyFont="true" applyFill="true" applyBorder="true" applyAlignment="true">
      <alignment horizontal="center" vertical="center" wrapText="true"/>
    </xf>
    <xf numFmtId="176" fontId="7" fillId="0" borderId="2" xfId="0" applyNumberFormat="true" applyFont="true" applyFill="true" applyBorder="true" applyAlignment="true">
      <alignment horizontal="center" vertical="center" wrapText="true"/>
    </xf>
    <xf numFmtId="177" fontId="8" fillId="0" borderId="2" xfId="0" applyNumberFormat="true" applyFont="true" applyFill="true" applyBorder="true" applyAlignment="true">
      <alignment horizontal="center" vertical="center"/>
    </xf>
    <xf numFmtId="176" fontId="6" fillId="0" borderId="2" xfId="2" applyNumberFormat="true" applyFont="true" applyFill="true" applyBorder="true" applyAlignment="true" applyProtection="true">
      <alignment horizontal="center" vertical="center" wrapText="true"/>
    </xf>
    <xf numFmtId="176" fontId="6" fillId="0" borderId="6" xfId="0" applyNumberFormat="true" applyFont="true" applyFill="true" applyBorder="true" applyAlignment="true">
      <alignment horizontal="center" vertical="center" wrapText="true"/>
    </xf>
    <xf numFmtId="176" fontId="6" fillId="0" borderId="7" xfId="0" applyNumberFormat="true" applyFont="true" applyFill="true" applyBorder="true" applyAlignment="true">
      <alignment horizontal="center" vertical="center" wrapText="true"/>
    </xf>
    <xf numFmtId="177" fontId="6" fillId="0" borderId="2" xfId="2" applyNumberFormat="true" applyFont="true" applyFill="true" applyBorder="true" applyAlignment="true" applyProtection="true">
      <alignment horizontal="center" vertical="center" wrapText="true"/>
    </xf>
    <xf numFmtId="176" fontId="6" fillId="0" borderId="8" xfId="0" applyNumberFormat="true" applyFont="true" applyFill="true" applyBorder="true" applyAlignment="true">
      <alignment horizontal="center" vertical="center" wrapText="true"/>
    </xf>
    <xf numFmtId="0" fontId="10" fillId="0" borderId="0" xfId="0" applyFont="true" applyFill="true" applyAlignment="true">
      <alignment horizontal="center" vertical="center" wrapText="true"/>
    </xf>
    <xf numFmtId="0" fontId="11" fillId="0" borderId="0" xfId="0" applyFont="true" applyFill="true" applyBorder="true" applyAlignment="true">
      <alignment horizontal="center" vertical="center" wrapText="true"/>
    </xf>
    <xf numFmtId="0" fontId="11" fillId="0" borderId="0" xfId="0" applyFont="true" applyFill="true" applyAlignment="true">
      <alignment horizontal="center" vertical="center" wrapText="true"/>
    </xf>
    <xf numFmtId="176" fontId="12" fillId="0" borderId="0" xfId="0" applyNumberFormat="true" applyFont="true" applyFill="true" applyAlignment="true">
      <alignment horizontal="center" vertical="center" wrapText="true" shrinkToFit="true"/>
    </xf>
    <xf numFmtId="176" fontId="11" fillId="0" borderId="0" xfId="0" applyNumberFormat="true" applyFont="true" applyFill="true" applyAlignment="true">
      <alignment horizontal="center" vertical="center" wrapText="true"/>
    </xf>
    <xf numFmtId="0" fontId="13" fillId="0" borderId="0" xfId="0" applyFont="true" applyFill="true" applyBorder="true" applyAlignment="true">
      <alignment horizontal="center" vertical="center" wrapText="true"/>
    </xf>
    <xf numFmtId="0" fontId="10" fillId="0" borderId="0" xfId="0" applyFont="true" applyFill="true" applyBorder="true" applyAlignment="true">
      <alignment horizontal="center" vertical="center" wrapText="true"/>
    </xf>
    <xf numFmtId="176" fontId="12" fillId="0" borderId="0" xfId="1" applyNumberFormat="true" applyFont="true" applyFill="true" applyBorder="true" applyAlignment="true">
      <alignment horizontal="center" vertical="center" wrapText="true" shrinkToFit="true"/>
    </xf>
    <xf numFmtId="0" fontId="10" fillId="0" borderId="0" xfId="1" applyFont="true" applyFill="true" applyBorder="true" applyAlignment="true">
      <alignment horizontal="center" vertical="center" wrapText="true"/>
    </xf>
    <xf numFmtId="0" fontId="11" fillId="0" borderId="2" xfId="9" applyNumberFormat="true" applyFont="true" applyFill="true" applyBorder="true" applyAlignment="true" applyProtection="true">
      <alignment horizontal="center" vertical="center" wrapText="true"/>
    </xf>
    <xf numFmtId="176" fontId="11" fillId="0" borderId="2" xfId="9" applyNumberFormat="true" applyFont="true" applyFill="true" applyBorder="true" applyAlignment="true" applyProtection="true">
      <alignment horizontal="center" vertical="center" wrapText="true" shrinkToFit="true"/>
    </xf>
    <xf numFmtId="0" fontId="14" fillId="0" borderId="2" xfId="9" applyNumberFormat="true" applyFont="true" applyFill="true" applyBorder="true" applyAlignment="true" applyProtection="true">
      <alignment horizontal="center" vertical="center" wrapText="true"/>
    </xf>
    <xf numFmtId="176" fontId="14" fillId="0" borderId="2" xfId="9" applyNumberFormat="true" applyFont="true" applyFill="true" applyBorder="true" applyAlignment="true" applyProtection="true">
      <alignment horizontal="center" vertical="center" wrapText="true" shrinkToFit="true"/>
    </xf>
    <xf numFmtId="0" fontId="15" fillId="0" borderId="2" xfId="9" applyNumberFormat="true" applyFont="true" applyFill="true" applyBorder="true" applyAlignment="true" applyProtection="true">
      <alignment horizontal="center" vertical="center" wrapText="true"/>
    </xf>
    <xf numFmtId="179" fontId="12" fillId="0" borderId="2" xfId="0" applyNumberFormat="true" applyFont="true" applyFill="true" applyBorder="true" applyAlignment="true">
      <alignment horizontal="center" vertical="center" wrapText="true"/>
    </xf>
    <xf numFmtId="178" fontId="12" fillId="0" borderId="2" xfId="0" applyNumberFormat="true" applyFont="true" applyFill="true" applyBorder="true" applyAlignment="true">
      <alignment horizontal="center" vertical="center" wrapText="true"/>
    </xf>
    <xf numFmtId="0" fontId="11" fillId="0" borderId="2" xfId="0" applyFont="true" applyFill="true" applyBorder="true" applyAlignment="true">
      <alignment horizontal="center" vertical="center" wrapText="true"/>
    </xf>
    <xf numFmtId="176" fontId="11" fillId="0" borderId="2" xfId="0" applyNumberFormat="true" applyFont="true" applyFill="true" applyBorder="true" applyAlignment="true">
      <alignment horizontal="center" vertical="center" wrapText="true"/>
    </xf>
    <xf numFmtId="176" fontId="12" fillId="0" borderId="0" xfId="0" applyNumberFormat="true" applyFont="true" applyFill="true" applyBorder="true" applyAlignment="true">
      <alignment horizontal="center" vertical="center" wrapText="true" shrinkToFit="true"/>
    </xf>
    <xf numFmtId="176" fontId="11" fillId="0" borderId="0" xfId="0" applyNumberFormat="true" applyFont="true" applyFill="true" applyBorder="true" applyAlignment="true">
      <alignment horizontal="center" vertical="center" wrapText="true"/>
    </xf>
    <xf numFmtId="0" fontId="10" fillId="0" borderId="0" xfId="0" applyFont="true" applyFill="true" applyBorder="true" applyAlignment="true">
      <alignment horizontal="right" vertical="center" wrapText="true"/>
    </xf>
    <xf numFmtId="0" fontId="11" fillId="0" borderId="2" xfId="0" applyNumberFormat="true" applyFont="true" applyFill="true" applyBorder="true" applyAlignment="true" applyProtection="true">
      <alignment horizontal="center" vertical="center" wrapText="true"/>
    </xf>
    <xf numFmtId="0" fontId="11" fillId="0" borderId="2" xfId="0" applyFont="true" applyBorder="true" applyAlignment="true">
      <alignment horizontal="center" vertical="center" wrapText="true"/>
    </xf>
    <xf numFmtId="0" fontId="11" fillId="0" borderId="2" xfId="5" applyFont="true" applyFill="true" applyBorder="true" applyAlignment="true">
      <alignment horizontal="center" vertical="center" wrapText="true"/>
    </xf>
  </cellXfs>
  <cellStyles count="66">
    <cellStyle name="常规" xfId="0" builtinId="0"/>
    <cellStyle name="常规_Sheet1" xfId="1"/>
    <cellStyle name="常规 6" xfId="2"/>
    <cellStyle name="常规 5" xfId="3"/>
    <cellStyle name="常规 4" xfId="4"/>
    <cellStyle name="常规 2" xfId="5"/>
    <cellStyle name="常规 19" xfId="6"/>
    <cellStyle name="常规 17" xfId="7"/>
    <cellStyle name="常规 16" xfId="8"/>
    <cellStyle name="常规 20" xfId="9"/>
    <cellStyle name="常规 15" xfId="10"/>
    <cellStyle name="常规 14" xfId="11"/>
    <cellStyle name="常规 13" xfId="12"/>
    <cellStyle name="常规 12" xfId="13"/>
    <cellStyle name="60% - 强调文字颜色 6" xfId="14" builtinId="52"/>
    <cellStyle name="20% - 强调文字颜色 6" xfId="15" builtinId="50"/>
    <cellStyle name="输出" xfId="16" builtinId="21"/>
    <cellStyle name="检查单元格" xfId="17" builtinId="23"/>
    <cellStyle name="差" xfId="18" builtinId="27"/>
    <cellStyle name="标题 1" xfId="19" builtinId="16"/>
    <cellStyle name="解释性文本" xfId="20" builtinId="53"/>
    <cellStyle name="标题 2" xfId="21" builtinId="17"/>
    <cellStyle name="40% - 强调文字颜色 5" xfId="22" builtinId="47"/>
    <cellStyle name="千位分隔[0]" xfId="23" builtinId="6"/>
    <cellStyle name="40% - 强调文字颜色 6" xfId="24" builtinId="51"/>
    <cellStyle name="超链接" xfId="25" builtinId="8"/>
    <cellStyle name="强调文字颜色 5" xfId="26" builtinId="45"/>
    <cellStyle name="标题 3" xfId="27" builtinId="18"/>
    <cellStyle name="汇总" xfId="28" builtinId="25"/>
    <cellStyle name="20% - 强调文字颜色 1" xfId="29" builtinId="30"/>
    <cellStyle name="常规 7" xfId="30"/>
    <cellStyle name="40% - 强调文字颜色 1" xfId="31" builtinId="31"/>
    <cellStyle name="强调文字颜色 6" xfId="32" builtinId="49"/>
    <cellStyle name="千位分隔" xfId="33" builtinId="3"/>
    <cellStyle name="标题" xfId="34" builtinId="15"/>
    <cellStyle name="已访问的超链接" xfId="35" builtinId="9"/>
    <cellStyle name="40% - 强调文字颜色 4" xfId="36" builtinId="43"/>
    <cellStyle name="常规 3" xfId="37"/>
    <cellStyle name="链接单元格" xfId="38" builtinId="24"/>
    <cellStyle name="标题 4" xfId="39" builtinId="19"/>
    <cellStyle name="20% - 强调文字颜色 2" xfId="40" builtinId="34"/>
    <cellStyle name="常规 10" xfId="41"/>
    <cellStyle name="货币[0]" xfId="42" builtinId="7"/>
    <cellStyle name="警告文本" xfId="43" builtinId="11"/>
    <cellStyle name="40% - 强调文字颜色 2" xfId="44" builtinId="35"/>
    <cellStyle name="注释" xfId="45" builtinId="10"/>
    <cellStyle name="60% - 强调文字颜色 3" xfId="46" builtinId="40"/>
    <cellStyle name="常规 18" xfId="47"/>
    <cellStyle name="好" xfId="48" builtinId="26"/>
    <cellStyle name="20% - 强调文字颜色 5" xfId="49" builtinId="46"/>
    <cellStyle name="适中" xfId="50" builtinId="28"/>
    <cellStyle name="计算" xfId="51" builtinId="22"/>
    <cellStyle name="强调文字颜色 1" xfId="52" builtinId="29"/>
    <cellStyle name="60% - 强调文字颜色 4" xfId="53" builtinId="44"/>
    <cellStyle name="60% - 强调文字颜色 1" xfId="54" builtinId="32"/>
    <cellStyle name="强调文字颜色 2" xfId="55" builtinId="33"/>
    <cellStyle name="60% - 强调文字颜色 5" xfId="56" builtinId="48"/>
    <cellStyle name="百分比" xfId="57" builtinId="5"/>
    <cellStyle name="60% - 强调文字颜色 2" xfId="58" builtinId="36"/>
    <cellStyle name="货币" xfId="59" builtinId="4"/>
    <cellStyle name="强调文字颜色 3" xfId="60" builtinId="37"/>
    <cellStyle name="20% - 强调文字颜色 3" xfId="61" builtinId="38"/>
    <cellStyle name="输入" xfId="62" builtinId="20"/>
    <cellStyle name="40% - 强调文字颜色 3" xfId="63" builtinId="39"/>
    <cellStyle name="强调文字颜色 4" xfId="64" builtinId="41"/>
    <cellStyle name="20% - 强调文字颜色 4" xfId="65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true"/>
  </sheetPr>
  <dimension ref="A1:S21"/>
  <sheetViews>
    <sheetView showZeros="0" zoomScale="85" zoomScaleNormal="85" topLeftCell="A13" workbookViewId="0">
      <selection activeCell="D5" sqref="D5"/>
    </sheetView>
  </sheetViews>
  <sheetFormatPr defaultColWidth="9" defaultRowHeight="13.5"/>
  <cols>
    <col min="1" max="1" width="5.45" style="29" customWidth="true"/>
    <col min="2" max="2" width="6.26666666666667" style="29" customWidth="true"/>
    <col min="3" max="3" width="6.36666666666667" style="30" customWidth="true"/>
    <col min="4" max="4" width="7.26666666666667" style="31" customWidth="true"/>
    <col min="5" max="5" width="6.90833333333333" style="29" customWidth="true"/>
    <col min="6" max="6" width="7" style="29" customWidth="true"/>
    <col min="7" max="7" width="9.725" style="29" customWidth="true"/>
    <col min="8" max="8" width="8.90833333333333" style="29" customWidth="true"/>
    <col min="9" max="9" width="7.45" style="29" customWidth="true"/>
    <col min="10" max="10" width="8.90833333333333" style="29" customWidth="true"/>
    <col min="11" max="11" width="6.36666666666667" style="29" customWidth="true"/>
    <col min="12" max="12" width="7.09166666666667" style="29" customWidth="true"/>
    <col min="13" max="13" width="5.45" style="29" customWidth="true"/>
    <col min="14" max="14" width="7" style="29" customWidth="true"/>
    <col min="15" max="17" width="7.725" style="29" customWidth="true"/>
    <col min="18" max="18" width="17.2666666666667" style="29" customWidth="true"/>
    <col min="19" max="19" width="13.725" style="29" customWidth="true"/>
    <col min="20" max="16384" width="9" style="29"/>
  </cols>
  <sheetData>
    <row r="1" ht="37.5" customHeight="true" spans="1:19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</row>
    <row r="2" s="27" customFormat="true" ht="19.5" customHeight="true" spans="1:19">
      <c r="A2" s="33"/>
      <c r="B2" s="33"/>
      <c r="C2" s="34"/>
      <c r="D2" s="35"/>
      <c r="E2" s="33"/>
      <c r="F2" s="33"/>
      <c r="G2" s="33"/>
      <c r="H2" s="33"/>
      <c r="I2" s="33"/>
      <c r="L2" s="47" t="s">
        <v>1</v>
      </c>
      <c r="M2" s="47"/>
      <c r="N2" s="47"/>
      <c r="O2" s="47"/>
      <c r="P2" s="47"/>
      <c r="Q2" s="47"/>
      <c r="R2" s="47"/>
      <c r="S2" s="47"/>
    </row>
    <row r="3" s="27" customFormat="true" ht="20.65" customHeight="true" spans="1:19">
      <c r="A3" s="36" t="s">
        <v>2</v>
      </c>
      <c r="B3" s="36" t="s">
        <v>3</v>
      </c>
      <c r="C3" s="37" t="s">
        <v>4</v>
      </c>
      <c r="D3" s="36" t="s">
        <v>5</v>
      </c>
      <c r="E3" s="43" t="s">
        <v>6</v>
      </c>
      <c r="F3" s="43" t="s">
        <v>7</v>
      </c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 t="s">
        <v>8</v>
      </c>
    </row>
    <row r="4" s="27" customFormat="true" ht="48" customHeight="true" spans="1:19">
      <c r="A4" s="38"/>
      <c r="B4" s="38"/>
      <c r="C4" s="39"/>
      <c r="D4" s="36"/>
      <c r="E4" s="43"/>
      <c r="F4" s="43" t="s">
        <v>9</v>
      </c>
      <c r="G4" s="43" t="s">
        <v>10</v>
      </c>
      <c r="H4" s="43" t="s">
        <v>11</v>
      </c>
      <c r="I4" s="43" t="s">
        <v>12</v>
      </c>
      <c r="J4" s="48" t="s">
        <v>13</v>
      </c>
      <c r="K4" s="43" t="s">
        <v>14</v>
      </c>
      <c r="L4" s="43" t="s">
        <v>15</v>
      </c>
      <c r="M4" s="43" t="s">
        <v>16</v>
      </c>
      <c r="N4" s="43" t="s">
        <v>17</v>
      </c>
      <c r="O4" s="43" t="s">
        <v>18</v>
      </c>
      <c r="P4" s="49" t="s">
        <v>19</v>
      </c>
      <c r="Q4" s="49" t="s">
        <v>20</v>
      </c>
      <c r="R4" s="43" t="s">
        <v>21</v>
      </c>
      <c r="S4" s="43"/>
    </row>
    <row r="5" s="27" customFormat="true" ht="48" customHeight="true" spans="1:19">
      <c r="A5" s="40" t="s">
        <v>22</v>
      </c>
      <c r="B5" s="38"/>
      <c r="C5" s="41">
        <f>SUM(C6:C18)</f>
        <v>985</v>
      </c>
      <c r="D5" s="42">
        <v>9.1</v>
      </c>
      <c r="E5" s="43"/>
      <c r="F5" s="43"/>
      <c r="G5" s="43"/>
      <c r="H5" s="43"/>
      <c r="I5" s="43"/>
      <c r="J5" s="48"/>
      <c r="K5" s="43"/>
      <c r="L5" s="43"/>
      <c r="M5" s="43"/>
      <c r="N5" s="43"/>
      <c r="O5" s="43"/>
      <c r="P5" s="43"/>
      <c r="Q5" s="43"/>
      <c r="R5" s="43"/>
      <c r="S5" s="43"/>
    </row>
    <row r="6" s="28" customFormat="true" ht="68.5" customHeight="true" spans="1:19">
      <c r="A6" s="43" t="s">
        <v>23</v>
      </c>
      <c r="B6" s="43" t="s">
        <v>24</v>
      </c>
      <c r="C6" s="44">
        <v>50</v>
      </c>
      <c r="D6" s="43">
        <v>0.5</v>
      </c>
      <c r="E6" s="43" t="s">
        <v>25</v>
      </c>
      <c r="F6" s="43" t="s">
        <v>26</v>
      </c>
      <c r="G6" s="43" t="s">
        <v>27</v>
      </c>
      <c r="H6" s="43" t="s">
        <v>28</v>
      </c>
      <c r="I6" s="43" t="s">
        <v>29</v>
      </c>
      <c r="J6" s="43" t="s">
        <v>30</v>
      </c>
      <c r="K6" s="43" t="s">
        <v>31</v>
      </c>
      <c r="L6" s="43" t="s">
        <v>32</v>
      </c>
      <c r="M6" s="43" t="s">
        <v>33</v>
      </c>
      <c r="N6" s="50">
        <v>0.025</v>
      </c>
      <c r="O6" s="43" t="s">
        <v>34</v>
      </c>
      <c r="P6" s="43" t="s">
        <v>35</v>
      </c>
      <c r="Q6" s="43">
        <v>0.02</v>
      </c>
      <c r="R6" s="43" t="s">
        <v>36</v>
      </c>
      <c r="S6" s="43">
        <v>0</v>
      </c>
    </row>
    <row r="7" s="28" customFormat="true" ht="68.5" customHeight="true" spans="1:19">
      <c r="A7" s="43" t="s">
        <v>23</v>
      </c>
      <c r="B7" s="43" t="s">
        <v>37</v>
      </c>
      <c r="C7" s="44">
        <v>50</v>
      </c>
      <c r="D7" s="43">
        <v>0.5</v>
      </c>
      <c r="E7" s="43" t="s">
        <v>25</v>
      </c>
      <c r="F7" s="43" t="s">
        <v>26</v>
      </c>
      <c r="G7" s="43" t="s">
        <v>27</v>
      </c>
      <c r="H7" s="43" t="s">
        <v>28</v>
      </c>
      <c r="I7" s="43" t="s">
        <v>29</v>
      </c>
      <c r="J7" s="43" t="s">
        <v>30</v>
      </c>
      <c r="K7" s="43" t="s">
        <v>31</v>
      </c>
      <c r="L7" s="43" t="s">
        <v>32</v>
      </c>
      <c r="M7" s="43" t="s">
        <v>33</v>
      </c>
      <c r="N7" s="50">
        <v>0.025</v>
      </c>
      <c r="O7" s="43" t="s">
        <v>34</v>
      </c>
      <c r="P7" s="43" t="s">
        <v>35</v>
      </c>
      <c r="Q7" s="43">
        <v>0.02</v>
      </c>
      <c r="R7" s="43" t="s">
        <v>36</v>
      </c>
      <c r="S7" s="43">
        <v>0</v>
      </c>
    </row>
    <row r="8" s="28" customFormat="true" ht="68.5" customHeight="true" spans="1:19">
      <c r="A8" s="43" t="s">
        <v>23</v>
      </c>
      <c r="B8" s="43" t="s">
        <v>38</v>
      </c>
      <c r="C8" s="44">
        <v>100</v>
      </c>
      <c r="D8" s="43">
        <v>0.9</v>
      </c>
      <c r="E8" s="43" t="s">
        <v>25</v>
      </c>
      <c r="F8" s="43" t="s">
        <v>26</v>
      </c>
      <c r="G8" s="43" t="s">
        <v>27</v>
      </c>
      <c r="H8" s="43" t="s">
        <v>28</v>
      </c>
      <c r="I8" s="43" t="s">
        <v>29</v>
      </c>
      <c r="J8" s="43" t="s">
        <v>30</v>
      </c>
      <c r="K8" s="43" t="s">
        <v>31</v>
      </c>
      <c r="L8" s="43" t="s">
        <v>32</v>
      </c>
      <c r="M8" s="43" t="s">
        <v>33</v>
      </c>
      <c r="N8" s="50">
        <v>0.025</v>
      </c>
      <c r="O8" s="43" t="s">
        <v>34</v>
      </c>
      <c r="P8" s="43" t="s">
        <v>35</v>
      </c>
      <c r="Q8" s="43">
        <v>0.02</v>
      </c>
      <c r="R8" s="43" t="s">
        <v>36</v>
      </c>
      <c r="S8" s="43">
        <v>0</v>
      </c>
    </row>
    <row r="9" s="28" customFormat="true" ht="68.5" customHeight="true" spans="1:19">
      <c r="A9" s="43" t="s">
        <v>23</v>
      </c>
      <c r="B9" s="43" t="s">
        <v>39</v>
      </c>
      <c r="C9" s="44">
        <v>100</v>
      </c>
      <c r="D9" s="43">
        <v>0.9</v>
      </c>
      <c r="E9" s="43" t="s">
        <v>25</v>
      </c>
      <c r="F9" s="43" t="s">
        <v>26</v>
      </c>
      <c r="G9" s="43" t="s">
        <v>27</v>
      </c>
      <c r="H9" s="43" t="s">
        <v>28</v>
      </c>
      <c r="I9" s="43" t="s">
        <v>29</v>
      </c>
      <c r="J9" s="43" t="s">
        <v>30</v>
      </c>
      <c r="K9" s="43" t="s">
        <v>31</v>
      </c>
      <c r="L9" s="43" t="s">
        <v>32</v>
      </c>
      <c r="M9" s="43" t="s">
        <v>33</v>
      </c>
      <c r="N9" s="50">
        <v>0.025</v>
      </c>
      <c r="O9" s="43" t="s">
        <v>34</v>
      </c>
      <c r="P9" s="43" t="s">
        <v>35</v>
      </c>
      <c r="Q9" s="43">
        <v>0.02</v>
      </c>
      <c r="R9" s="43" t="s">
        <v>36</v>
      </c>
      <c r="S9" s="43">
        <v>0</v>
      </c>
    </row>
    <row r="10" s="28" customFormat="true" ht="68.5" customHeight="true" spans="1:19">
      <c r="A10" s="43" t="s">
        <v>23</v>
      </c>
      <c r="B10" s="43" t="s">
        <v>40</v>
      </c>
      <c r="C10" s="44">
        <v>100</v>
      </c>
      <c r="D10" s="43">
        <v>0.9</v>
      </c>
      <c r="E10" s="43" t="s">
        <v>25</v>
      </c>
      <c r="F10" s="43" t="s">
        <v>26</v>
      </c>
      <c r="G10" s="43" t="s">
        <v>27</v>
      </c>
      <c r="H10" s="43" t="s">
        <v>28</v>
      </c>
      <c r="I10" s="43" t="s">
        <v>29</v>
      </c>
      <c r="J10" s="43" t="s">
        <v>30</v>
      </c>
      <c r="K10" s="43" t="s">
        <v>31</v>
      </c>
      <c r="L10" s="43" t="s">
        <v>32</v>
      </c>
      <c r="M10" s="43" t="s">
        <v>33</v>
      </c>
      <c r="N10" s="50">
        <v>0.025</v>
      </c>
      <c r="O10" s="43" t="s">
        <v>34</v>
      </c>
      <c r="P10" s="43" t="s">
        <v>35</v>
      </c>
      <c r="Q10" s="43">
        <v>0.02</v>
      </c>
      <c r="R10" s="43" t="s">
        <v>36</v>
      </c>
      <c r="S10" s="43">
        <v>0</v>
      </c>
    </row>
    <row r="11" s="28" customFormat="true" ht="68.5" customHeight="true" spans="1:19">
      <c r="A11" s="43" t="s">
        <v>23</v>
      </c>
      <c r="B11" s="43" t="s">
        <v>41</v>
      </c>
      <c r="C11" s="44">
        <v>100</v>
      </c>
      <c r="D11" s="43">
        <v>0.9</v>
      </c>
      <c r="E11" s="43" t="s">
        <v>25</v>
      </c>
      <c r="F11" s="43" t="s">
        <v>26</v>
      </c>
      <c r="G11" s="43" t="s">
        <v>27</v>
      </c>
      <c r="H11" s="43" t="s">
        <v>28</v>
      </c>
      <c r="I11" s="43" t="s">
        <v>29</v>
      </c>
      <c r="J11" s="43" t="s">
        <v>30</v>
      </c>
      <c r="K11" s="43" t="s">
        <v>31</v>
      </c>
      <c r="L11" s="43" t="s">
        <v>32</v>
      </c>
      <c r="M11" s="43" t="s">
        <v>33</v>
      </c>
      <c r="N11" s="50">
        <v>0.025</v>
      </c>
      <c r="O11" s="43" t="s">
        <v>34</v>
      </c>
      <c r="P11" s="43" t="s">
        <v>35</v>
      </c>
      <c r="Q11" s="43">
        <v>0.02</v>
      </c>
      <c r="R11" s="43" t="s">
        <v>36</v>
      </c>
      <c r="S11" s="43">
        <v>0</v>
      </c>
    </row>
    <row r="12" s="28" customFormat="true" ht="68.5" customHeight="true" spans="1:19">
      <c r="A12" s="43" t="s">
        <v>23</v>
      </c>
      <c r="B12" s="43" t="s">
        <v>42</v>
      </c>
      <c r="C12" s="44">
        <v>100</v>
      </c>
      <c r="D12" s="43">
        <v>0.9</v>
      </c>
      <c r="E12" s="43" t="s">
        <v>25</v>
      </c>
      <c r="F12" s="43" t="s">
        <v>26</v>
      </c>
      <c r="G12" s="43" t="s">
        <v>27</v>
      </c>
      <c r="H12" s="43" t="s">
        <v>28</v>
      </c>
      <c r="I12" s="43" t="s">
        <v>29</v>
      </c>
      <c r="J12" s="43" t="s">
        <v>30</v>
      </c>
      <c r="K12" s="43" t="s">
        <v>31</v>
      </c>
      <c r="L12" s="43" t="s">
        <v>32</v>
      </c>
      <c r="M12" s="43" t="s">
        <v>33</v>
      </c>
      <c r="N12" s="50">
        <v>0.025</v>
      </c>
      <c r="O12" s="43" t="s">
        <v>34</v>
      </c>
      <c r="P12" s="43" t="s">
        <v>35</v>
      </c>
      <c r="Q12" s="43">
        <v>0.02</v>
      </c>
      <c r="R12" s="43" t="s">
        <v>36</v>
      </c>
      <c r="S12" s="43">
        <v>0</v>
      </c>
    </row>
    <row r="13" s="28" customFormat="true" ht="68.5" customHeight="true" spans="1:19">
      <c r="A13" s="43" t="s">
        <v>23</v>
      </c>
      <c r="B13" s="43" t="s">
        <v>43</v>
      </c>
      <c r="C13" s="44">
        <v>20</v>
      </c>
      <c r="D13" s="43">
        <v>0.2</v>
      </c>
      <c r="E13" s="43" t="s">
        <v>25</v>
      </c>
      <c r="F13" s="43" t="s">
        <v>26</v>
      </c>
      <c r="G13" s="43" t="s">
        <v>27</v>
      </c>
      <c r="H13" s="43" t="s">
        <v>28</v>
      </c>
      <c r="I13" s="43" t="s">
        <v>29</v>
      </c>
      <c r="J13" s="43" t="s">
        <v>30</v>
      </c>
      <c r="K13" s="43" t="s">
        <v>31</v>
      </c>
      <c r="L13" s="43" t="s">
        <v>32</v>
      </c>
      <c r="M13" s="43" t="s">
        <v>33</v>
      </c>
      <c r="N13" s="50">
        <v>0.025</v>
      </c>
      <c r="O13" s="43" t="s">
        <v>34</v>
      </c>
      <c r="P13" s="43" t="s">
        <v>35</v>
      </c>
      <c r="Q13" s="43">
        <v>0.02</v>
      </c>
      <c r="R13" s="43" t="s">
        <v>36</v>
      </c>
      <c r="S13" s="43"/>
    </row>
    <row r="14" s="28" customFormat="true" ht="68.5" customHeight="true" spans="1:19">
      <c r="A14" s="43" t="s">
        <v>23</v>
      </c>
      <c r="B14" s="43" t="s">
        <v>44</v>
      </c>
      <c r="C14" s="44">
        <v>100</v>
      </c>
      <c r="D14" s="43">
        <v>0.9</v>
      </c>
      <c r="E14" s="43" t="s">
        <v>25</v>
      </c>
      <c r="F14" s="43" t="s">
        <v>26</v>
      </c>
      <c r="G14" s="43" t="s">
        <v>27</v>
      </c>
      <c r="H14" s="43" t="s">
        <v>28</v>
      </c>
      <c r="I14" s="43" t="s">
        <v>29</v>
      </c>
      <c r="J14" s="43" t="s">
        <v>30</v>
      </c>
      <c r="K14" s="43" t="s">
        <v>31</v>
      </c>
      <c r="L14" s="43" t="s">
        <v>32</v>
      </c>
      <c r="M14" s="43" t="s">
        <v>33</v>
      </c>
      <c r="N14" s="50">
        <v>0.025</v>
      </c>
      <c r="O14" s="43" t="s">
        <v>34</v>
      </c>
      <c r="P14" s="43" t="s">
        <v>35</v>
      </c>
      <c r="Q14" s="43">
        <v>0.02</v>
      </c>
      <c r="R14" s="43" t="s">
        <v>36</v>
      </c>
      <c r="S14" s="43"/>
    </row>
    <row r="15" s="28" customFormat="true" ht="68.5" customHeight="true" spans="1:19">
      <c r="A15" s="43" t="s">
        <v>23</v>
      </c>
      <c r="B15" s="43" t="s">
        <v>45</v>
      </c>
      <c r="C15" s="44">
        <v>150</v>
      </c>
      <c r="D15" s="43">
        <v>1.4</v>
      </c>
      <c r="E15" s="43" t="s">
        <v>25</v>
      </c>
      <c r="F15" s="43" t="s">
        <v>26</v>
      </c>
      <c r="G15" s="43" t="s">
        <v>27</v>
      </c>
      <c r="H15" s="43" t="s">
        <v>28</v>
      </c>
      <c r="I15" s="43" t="s">
        <v>29</v>
      </c>
      <c r="J15" s="43" t="s">
        <v>30</v>
      </c>
      <c r="K15" s="43" t="s">
        <v>31</v>
      </c>
      <c r="L15" s="43" t="s">
        <v>32</v>
      </c>
      <c r="M15" s="43" t="s">
        <v>33</v>
      </c>
      <c r="N15" s="50">
        <v>0.025</v>
      </c>
      <c r="O15" s="43" t="s">
        <v>34</v>
      </c>
      <c r="P15" s="43" t="s">
        <v>35</v>
      </c>
      <c r="Q15" s="43">
        <v>0.02</v>
      </c>
      <c r="R15" s="43" t="s">
        <v>36</v>
      </c>
      <c r="S15" s="43"/>
    </row>
    <row r="16" s="28" customFormat="true" ht="68.5" customHeight="true" spans="1:19">
      <c r="A16" s="43" t="s">
        <v>23</v>
      </c>
      <c r="B16" s="43" t="s">
        <v>46</v>
      </c>
      <c r="C16" s="44">
        <v>15</v>
      </c>
      <c r="D16" s="43">
        <v>0.1</v>
      </c>
      <c r="E16" s="43" t="s">
        <v>25</v>
      </c>
      <c r="F16" s="43" t="s">
        <v>26</v>
      </c>
      <c r="G16" s="43" t="s">
        <v>27</v>
      </c>
      <c r="H16" s="43" t="s">
        <v>28</v>
      </c>
      <c r="I16" s="43" t="s">
        <v>29</v>
      </c>
      <c r="J16" s="43" t="s">
        <v>30</v>
      </c>
      <c r="K16" s="43" t="s">
        <v>31</v>
      </c>
      <c r="L16" s="43" t="s">
        <v>32</v>
      </c>
      <c r="M16" s="43" t="s">
        <v>33</v>
      </c>
      <c r="N16" s="50">
        <v>0.025</v>
      </c>
      <c r="O16" s="43" t="s">
        <v>34</v>
      </c>
      <c r="P16" s="43" t="s">
        <v>35</v>
      </c>
      <c r="Q16" s="43">
        <v>0.02</v>
      </c>
      <c r="R16" s="43" t="s">
        <v>36</v>
      </c>
      <c r="S16" s="43"/>
    </row>
    <row r="17" s="28" customFormat="true" ht="68.5" customHeight="true" spans="1:19">
      <c r="A17" s="43" t="s">
        <v>23</v>
      </c>
      <c r="B17" s="43" t="s">
        <v>47</v>
      </c>
      <c r="C17" s="44">
        <v>50</v>
      </c>
      <c r="D17" s="43">
        <v>0.5</v>
      </c>
      <c r="E17" s="43" t="s">
        <v>25</v>
      </c>
      <c r="F17" s="43" t="s">
        <v>26</v>
      </c>
      <c r="G17" s="43" t="s">
        <v>27</v>
      </c>
      <c r="H17" s="43" t="s">
        <v>28</v>
      </c>
      <c r="I17" s="43" t="s">
        <v>29</v>
      </c>
      <c r="J17" s="43" t="s">
        <v>30</v>
      </c>
      <c r="K17" s="43" t="s">
        <v>31</v>
      </c>
      <c r="L17" s="43" t="s">
        <v>32</v>
      </c>
      <c r="M17" s="43" t="s">
        <v>33</v>
      </c>
      <c r="N17" s="50">
        <v>0.025</v>
      </c>
      <c r="O17" s="43" t="s">
        <v>34</v>
      </c>
      <c r="P17" s="43" t="s">
        <v>35</v>
      </c>
      <c r="Q17" s="43">
        <v>0.02</v>
      </c>
      <c r="R17" s="43" t="s">
        <v>36</v>
      </c>
      <c r="S17" s="43"/>
    </row>
    <row r="18" s="28" customFormat="true" ht="68.5" customHeight="true" spans="1:19">
      <c r="A18" s="43" t="s">
        <v>23</v>
      </c>
      <c r="B18" s="43" t="s">
        <v>48</v>
      </c>
      <c r="C18" s="44">
        <v>50</v>
      </c>
      <c r="D18" s="43">
        <v>0.5</v>
      </c>
      <c r="E18" s="43" t="s">
        <v>25</v>
      </c>
      <c r="F18" s="43" t="s">
        <v>26</v>
      </c>
      <c r="G18" s="43" t="s">
        <v>27</v>
      </c>
      <c r="H18" s="43" t="s">
        <v>28</v>
      </c>
      <c r="I18" s="43" t="s">
        <v>29</v>
      </c>
      <c r="J18" s="43" t="s">
        <v>30</v>
      </c>
      <c r="K18" s="43" t="s">
        <v>49</v>
      </c>
      <c r="L18" s="43" t="s">
        <v>32</v>
      </c>
      <c r="M18" s="43" t="s">
        <v>33</v>
      </c>
      <c r="N18" s="50">
        <v>0.025</v>
      </c>
      <c r="O18" s="43" t="s">
        <v>34</v>
      </c>
      <c r="P18" s="43" t="s">
        <v>35</v>
      </c>
      <c r="Q18" s="43">
        <v>0.02</v>
      </c>
      <c r="R18" s="43" t="s">
        <v>36</v>
      </c>
      <c r="S18" s="43"/>
    </row>
    <row r="19" s="28" customFormat="true" spans="3:4">
      <c r="C19" s="45"/>
      <c r="D19" s="46"/>
    </row>
    <row r="20" s="28" customFormat="true" spans="3:4">
      <c r="C20" s="45"/>
      <c r="D20" s="46"/>
    </row>
    <row r="21" s="28" customFormat="true" spans="3:4">
      <c r="C21" s="45"/>
      <c r="D21" s="46"/>
    </row>
  </sheetData>
  <autoFilter ref="A5:S18">
    <extLst/>
  </autoFilter>
  <mergeCells count="9">
    <mergeCell ref="A1:S1"/>
    <mergeCell ref="L2:S2"/>
    <mergeCell ref="F3:R3"/>
    <mergeCell ref="A3:A4"/>
    <mergeCell ref="B3:B4"/>
    <mergeCell ref="C3:C4"/>
    <mergeCell ref="D3:D4"/>
    <mergeCell ref="E3:E4"/>
    <mergeCell ref="S3:S4"/>
  </mergeCells>
  <printOptions horizontalCentered="true"/>
  <pageMargins left="0.905511811023622" right="0.511811023622047" top="0.551181102362205" bottom="0.551181102362205" header="0.31496062992126" footer="0.31496062992126"/>
  <pageSetup paperSize="9" scale="86" firstPageNumber="27" fitToHeight="0" orientation="landscape" useFirstPageNumber="true"/>
  <headerFooter>
    <oddFooter>&amp;C第 &amp;P-26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true"/>
  </sheetPr>
  <dimension ref="A1:R21"/>
  <sheetViews>
    <sheetView tabSelected="1" zoomScale="70" zoomScaleNormal="70" workbookViewId="0">
      <pane ySplit="5" topLeftCell="A6" activePane="bottomLeft" state="frozenSplit"/>
      <selection/>
      <selection pane="bottomLeft" activeCell="F12" sqref="F12"/>
    </sheetView>
  </sheetViews>
  <sheetFormatPr defaultColWidth="9" defaultRowHeight="13.5"/>
  <cols>
    <col min="1" max="1" width="10" style="3" customWidth="true"/>
    <col min="2" max="3" width="9.26666666666667" style="3" customWidth="true"/>
    <col min="4" max="4" width="12.6333333333333" style="3" customWidth="true"/>
    <col min="5" max="5" width="11.6333333333333" style="3" customWidth="true"/>
    <col min="6" max="7" width="12.6333333333333" style="3" customWidth="true"/>
    <col min="8" max="8" width="11.3666666666667" style="3" customWidth="true"/>
    <col min="9" max="9" width="11.0916666666667" style="3" customWidth="true"/>
    <col min="10" max="10" width="14.45" style="3" customWidth="true"/>
    <col min="11" max="11" width="12.45" style="4" customWidth="true"/>
    <col min="12" max="12" width="10.6333333333333" style="4" customWidth="true"/>
    <col min="13" max="13" width="12.3666666666667" style="4" customWidth="true"/>
    <col min="14" max="15" width="10.2666666666667" style="4" customWidth="true"/>
    <col min="16" max="16" width="11.45" style="3" customWidth="true"/>
    <col min="17" max="17" width="9.725" style="3" customWidth="true"/>
    <col min="18" max="18" width="8.725" style="3" customWidth="true"/>
    <col min="19" max="16384" width="9" style="3"/>
  </cols>
  <sheetData>
    <row r="1" ht="31.5" customHeight="true" spans="1:18">
      <c r="A1" s="5" t="s">
        <v>50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="1" customFormat="true" ht="21" customHeight="true" spans="1:18">
      <c r="A2" s="6"/>
      <c r="B2" s="6"/>
      <c r="C2" s="6"/>
      <c r="D2" s="7"/>
      <c r="E2" s="7"/>
      <c r="F2" s="15"/>
      <c r="G2" s="15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="1" customFormat="true" ht="24.75" customHeight="true" spans="1:18">
      <c r="A3" s="8" t="s">
        <v>2</v>
      </c>
      <c r="B3" s="8" t="s">
        <v>3</v>
      </c>
      <c r="C3" s="9" t="s">
        <v>4</v>
      </c>
      <c r="D3" s="8" t="s">
        <v>51</v>
      </c>
      <c r="E3" s="8" t="s">
        <v>52</v>
      </c>
      <c r="F3" s="8" t="s">
        <v>53</v>
      </c>
      <c r="G3" s="16" t="s">
        <v>54</v>
      </c>
      <c r="H3" s="17" t="s">
        <v>55</v>
      </c>
      <c r="I3" s="17"/>
      <c r="J3" s="17"/>
      <c r="K3" s="17"/>
      <c r="L3" s="17"/>
      <c r="M3" s="17"/>
      <c r="N3" s="17"/>
      <c r="O3" s="17"/>
      <c r="P3" s="17"/>
      <c r="Q3" s="17"/>
      <c r="R3" s="17"/>
    </row>
    <row r="4" s="1" customFormat="true" ht="24.75" customHeight="true" spans="1:18">
      <c r="A4" s="8"/>
      <c r="B4" s="8"/>
      <c r="C4" s="10"/>
      <c r="D4" s="8"/>
      <c r="E4" s="8"/>
      <c r="F4" s="8"/>
      <c r="G4" s="18"/>
      <c r="H4" s="17" t="s">
        <v>22</v>
      </c>
      <c r="I4" s="23" t="s">
        <v>56</v>
      </c>
      <c r="J4" s="24"/>
      <c r="K4" s="24"/>
      <c r="L4" s="24"/>
      <c r="M4" s="24"/>
      <c r="N4" s="24"/>
      <c r="O4" s="26"/>
      <c r="P4" s="17" t="s">
        <v>57</v>
      </c>
      <c r="Q4" s="17" t="s">
        <v>58</v>
      </c>
      <c r="R4" s="17" t="s">
        <v>59</v>
      </c>
    </row>
    <row r="5" s="1" customFormat="true" ht="36.75" customHeight="true" spans="1:18">
      <c r="A5" s="8"/>
      <c r="B5" s="8"/>
      <c r="C5" s="11"/>
      <c r="D5" s="8"/>
      <c r="E5" s="8"/>
      <c r="F5" s="8"/>
      <c r="G5" s="19"/>
      <c r="H5" s="17"/>
      <c r="I5" s="17" t="s">
        <v>60</v>
      </c>
      <c r="J5" s="17" t="s">
        <v>61</v>
      </c>
      <c r="K5" s="17" t="s">
        <v>62</v>
      </c>
      <c r="L5" s="17" t="s">
        <v>63</v>
      </c>
      <c r="M5" s="17" t="s">
        <v>17</v>
      </c>
      <c r="N5" s="17" t="s">
        <v>18</v>
      </c>
      <c r="O5" s="17" t="s">
        <v>20</v>
      </c>
      <c r="P5" s="17"/>
      <c r="Q5" s="17"/>
      <c r="R5" s="17"/>
    </row>
    <row r="6" s="1" customFormat="true" ht="40.5" customHeight="true" spans="1:18">
      <c r="A6" s="12" t="s">
        <v>22</v>
      </c>
      <c r="B6" s="12"/>
      <c r="C6" s="12">
        <f>SUM(C7:C19)</f>
        <v>985</v>
      </c>
      <c r="D6" s="13">
        <v>9.1</v>
      </c>
      <c r="E6" s="13">
        <v>119.5</v>
      </c>
      <c r="F6" s="20">
        <v>53241.5</v>
      </c>
      <c r="G6" s="20">
        <v>6523.68131868132</v>
      </c>
      <c r="H6" s="20">
        <v>53240.5</v>
      </c>
      <c r="I6" s="20">
        <v>43108.5</v>
      </c>
      <c r="J6" s="20">
        <v>17925</v>
      </c>
      <c r="K6" s="13">
        <v>14017.5</v>
      </c>
      <c r="L6" s="20">
        <v>816</v>
      </c>
      <c r="M6" s="20">
        <v>996</v>
      </c>
      <c r="N6" s="20">
        <v>8960</v>
      </c>
      <c r="O6" s="20">
        <v>394</v>
      </c>
      <c r="P6" s="20">
        <v>2801</v>
      </c>
      <c r="Q6" s="20">
        <v>2588</v>
      </c>
      <c r="R6" s="20">
        <v>4743</v>
      </c>
    </row>
    <row r="7" s="2" customFormat="true" ht="42" customHeight="true" spans="1:18">
      <c r="A7" s="14" t="s">
        <v>23</v>
      </c>
      <c r="B7" s="14" t="s">
        <v>24</v>
      </c>
      <c r="C7" s="14">
        <v>50</v>
      </c>
      <c r="D7" s="14">
        <v>0.5</v>
      </c>
      <c r="E7" s="21">
        <v>7.2</v>
      </c>
      <c r="F7" s="22">
        <v>4101</v>
      </c>
      <c r="G7" s="17">
        <v>8202</v>
      </c>
      <c r="H7" s="22">
        <v>3679</v>
      </c>
      <c r="I7" s="22">
        <v>2978</v>
      </c>
      <c r="J7" s="22">
        <v>1080</v>
      </c>
      <c r="K7" s="22">
        <v>1225</v>
      </c>
      <c r="L7" s="22">
        <v>41</v>
      </c>
      <c r="M7" s="22">
        <v>52</v>
      </c>
      <c r="N7" s="22">
        <v>560</v>
      </c>
      <c r="O7" s="22">
        <v>20</v>
      </c>
      <c r="P7" s="22">
        <v>194</v>
      </c>
      <c r="Q7" s="22">
        <v>179</v>
      </c>
      <c r="R7" s="22">
        <v>328</v>
      </c>
    </row>
    <row r="8" s="2" customFormat="true" ht="42" customHeight="true" spans="1:18">
      <c r="A8" s="14" t="s">
        <v>23</v>
      </c>
      <c r="B8" s="14" t="s">
        <v>37</v>
      </c>
      <c r="C8" s="14">
        <v>50</v>
      </c>
      <c r="D8" s="14">
        <v>0.5</v>
      </c>
      <c r="E8" s="21">
        <v>7.2</v>
      </c>
      <c r="F8" s="22">
        <v>3393.5</v>
      </c>
      <c r="G8" s="17">
        <v>6787</v>
      </c>
      <c r="H8" s="22">
        <v>3044.5</v>
      </c>
      <c r="I8" s="22">
        <v>2465.5</v>
      </c>
      <c r="J8" s="22">
        <v>1080</v>
      </c>
      <c r="K8" s="25">
        <v>712.5</v>
      </c>
      <c r="L8" s="22">
        <v>41</v>
      </c>
      <c r="M8" s="22">
        <v>52</v>
      </c>
      <c r="N8" s="22">
        <v>560</v>
      </c>
      <c r="O8" s="22">
        <v>20</v>
      </c>
      <c r="P8" s="22">
        <v>160</v>
      </c>
      <c r="Q8" s="22">
        <v>148</v>
      </c>
      <c r="R8" s="22">
        <v>271</v>
      </c>
    </row>
    <row r="9" s="2" customFormat="true" ht="42" customHeight="true" spans="1:18">
      <c r="A9" s="14" t="s">
        <v>23</v>
      </c>
      <c r="B9" s="14" t="s">
        <v>38</v>
      </c>
      <c r="C9" s="14">
        <v>100</v>
      </c>
      <c r="D9" s="14">
        <v>0.9</v>
      </c>
      <c r="E9" s="21">
        <v>11.1</v>
      </c>
      <c r="F9" s="22">
        <v>5080</v>
      </c>
      <c r="G9" s="17">
        <v>5644.44444444444</v>
      </c>
      <c r="H9" s="22">
        <v>4555</v>
      </c>
      <c r="I9" s="22">
        <v>3688</v>
      </c>
      <c r="J9" s="22">
        <v>1665</v>
      </c>
      <c r="K9" s="22">
        <v>960</v>
      </c>
      <c r="L9" s="22">
        <v>83</v>
      </c>
      <c r="M9" s="22">
        <v>100</v>
      </c>
      <c r="N9" s="22">
        <v>840</v>
      </c>
      <c r="O9" s="22">
        <v>40</v>
      </c>
      <c r="P9" s="22">
        <v>240</v>
      </c>
      <c r="Q9" s="22">
        <v>221</v>
      </c>
      <c r="R9" s="22">
        <v>406</v>
      </c>
    </row>
    <row r="10" s="2" customFormat="true" ht="42" customHeight="true" spans="1:18">
      <c r="A10" s="14" t="s">
        <v>23</v>
      </c>
      <c r="B10" s="14" t="s">
        <v>39</v>
      </c>
      <c r="C10" s="14">
        <v>100</v>
      </c>
      <c r="D10" s="14">
        <v>0.9</v>
      </c>
      <c r="E10" s="21">
        <v>11.1</v>
      </c>
      <c r="F10" s="22">
        <v>4667</v>
      </c>
      <c r="G10" s="17">
        <v>5185.55555555556</v>
      </c>
      <c r="H10" s="22">
        <v>4184</v>
      </c>
      <c r="I10" s="22">
        <v>3388</v>
      </c>
      <c r="J10" s="22">
        <v>1665</v>
      </c>
      <c r="K10" s="22">
        <v>660</v>
      </c>
      <c r="L10" s="22">
        <v>83</v>
      </c>
      <c r="M10" s="22">
        <v>100</v>
      </c>
      <c r="N10" s="22">
        <v>840</v>
      </c>
      <c r="O10" s="22">
        <v>40</v>
      </c>
      <c r="P10" s="22">
        <v>220</v>
      </c>
      <c r="Q10" s="22">
        <v>203</v>
      </c>
      <c r="R10" s="22">
        <v>373</v>
      </c>
    </row>
    <row r="11" s="2" customFormat="true" ht="42" customHeight="true" spans="1:18">
      <c r="A11" s="14" t="s">
        <v>23</v>
      </c>
      <c r="B11" s="14" t="s">
        <v>40</v>
      </c>
      <c r="C11" s="14">
        <v>100</v>
      </c>
      <c r="D11" s="14">
        <v>0.9</v>
      </c>
      <c r="E11" s="21">
        <v>11.1</v>
      </c>
      <c r="F11" s="22">
        <v>4667</v>
      </c>
      <c r="G11" s="17">
        <v>5185.55555555556</v>
      </c>
      <c r="H11" s="22">
        <v>4184</v>
      </c>
      <c r="I11" s="22">
        <v>3388</v>
      </c>
      <c r="J11" s="22">
        <v>1665</v>
      </c>
      <c r="K11" s="22">
        <v>660</v>
      </c>
      <c r="L11" s="22">
        <v>83</v>
      </c>
      <c r="M11" s="22">
        <v>100</v>
      </c>
      <c r="N11" s="22">
        <v>840</v>
      </c>
      <c r="O11" s="22">
        <v>40</v>
      </c>
      <c r="P11" s="22">
        <v>220</v>
      </c>
      <c r="Q11" s="22">
        <v>203</v>
      </c>
      <c r="R11" s="22">
        <v>373</v>
      </c>
    </row>
    <row r="12" s="2" customFormat="true" ht="42" customHeight="true" spans="1:18">
      <c r="A12" s="14" t="s">
        <v>23</v>
      </c>
      <c r="B12" s="14" t="s">
        <v>41</v>
      </c>
      <c r="C12" s="14">
        <v>100</v>
      </c>
      <c r="D12" s="14">
        <v>0.9</v>
      </c>
      <c r="E12" s="21">
        <v>11.1</v>
      </c>
      <c r="F12" s="22">
        <v>7061</v>
      </c>
      <c r="G12" s="17">
        <v>7845.55555555556</v>
      </c>
      <c r="H12" s="22">
        <v>6333</v>
      </c>
      <c r="I12" s="22">
        <v>5128</v>
      </c>
      <c r="J12" s="22">
        <v>1665</v>
      </c>
      <c r="K12" s="22">
        <v>2400</v>
      </c>
      <c r="L12" s="22">
        <v>83</v>
      </c>
      <c r="M12" s="22">
        <v>100</v>
      </c>
      <c r="N12" s="22">
        <v>840</v>
      </c>
      <c r="O12" s="22">
        <v>40</v>
      </c>
      <c r="P12" s="22">
        <v>333</v>
      </c>
      <c r="Q12" s="22">
        <v>308</v>
      </c>
      <c r="R12" s="22">
        <v>564</v>
      </c>
    </row>
    <row r="13" s="2" customFormat="true" ht="42" customHeight="true" spans="1:18">
      <c r="A13" s="14" t="s">
        <v>23</v>
      </c>
      <c r="B13" s="14" t="s">
        <v>42</v>
      </c>
      <c r="C13" s="14">
        <v>100</v>
      </c>
      <c r="D13" s="14">
        <v>0.9</v>
      </c>
      <c r="E13" s="21">
        <v>11.1</v>
      </c>
      <c r="F13" s="22">
        <v>7061</v>
      </c>
      <c r="G13" s="17">
        <v>7845.55555555556</v>
      </c>
      <c r="H13" s="22">
        <v>6333</v>
      </c>
      <c r="I13" s="22">
        <v>5128</v>
      </c>
      <c r="J13" s="22">
        <v>1665</v>
      </c>
      <c r="K13" s="22">
        <v>2400</v>
      </c>
      <c r="L13" s="22">
        <v>83</v>
      </c>
      <c r="M13" s="22">
        <v>100</v>
      </c>
      <c r="N13" s="22">
        <v>840</v>
      </c>
      <c r="O13" s="22">
        <v>40</v>
      </c>
      <c r="P13" s="22">
        <v>333</v>
      </c>
      <c r="Q13" s="22">
        <v>308</v>
      </c>
      <c r="R13" s="22">
        <v>564</v>
      </c>
    </row>
    <row r="14" s="2" customFormat="true" ht="42" customHeight="true" spans="1:18">
      <c r="A14" s="14" t="s">
        <v>23</v>
      </c>
      <c r="B14" s="14" t="s">
        <v>43</v>
      </c>
      <c r="C14" s="14">
        <v>20</v>
      </c>
      <c r="D14" s="14">
        <v>0.2</v>
      </c>
      <c r="E14" s="21">
        <v>4.8</v>
      </c>
      <c r="F14" s="22">
        <v>2102</v>
      </c>
      <c r="G14" s="17">
        <v>10510</v>
      </c>
      <c r="H14" s="22">
        <v>1884</v>
      </c>
      <c r="I14" s="22">
        <v>1525</v>
      </c>
      <c r="J14" s="22">
        <v>720</v>
      </c>
      <c r="K14" s="22">
        <v>480</v>
      </c>
      <c r="L14" s="22">
        <v>17</v>
      </c>
      <c r="M14" s="22">
        <v>20</v>
      </c>
      <c r="N14" s="22">
        <v>280</v>
      </c>
      <c r="O14" s="22">
        <v>8</v>
      </c>
      <c r="P14" s="22">
        <v>99</v>
      </c>
      <c r="Q14" s="22">
        <v>92</v>
      </c>
      <c r="R14" s="22">
        <v>168</v>
      </c>
    </row>
    <row r="15" s="2" customFormat="true" ht="42" customHeight="true" spans="1:18">
      <c r="A15" s="14" t="s">
        <v>23</v>
      </c>
      <c r="B15" s="14" t="s">
        <v>44</v>
      </c>
      <c r="C15" s="14">
        <v>100</v>
      </c>
      <c r="D15" s="14">
        <v>0.9</v>
      </c>
      <c r="E15" s="21">
        <v>11.1</v>
      </c>
      <c r="F15" s="22">
        <v>4859</v>
      </c>
      <c r="G15" s="17">
        <v>5398.88888888889</v>
      </c>
      <c r="H15" s="22">
        <v>4357</v>
      </c>
      <c r="I15" s="22">
        <v>3528</v>
      </c>
      <c r="J15" s="22">
        <v>1665</v>
      </c>
      <c r="K15" s="22">
        <v>800</v>
      </c>
      <c r="L15" s="22">
        <v>83</v>
      </c>
      <c r="M15" s="22">
        <v>100</v>
      </c>
      <c r="N15" s="22">
        <v>840</v>
      </c>
      <c r="O15" s="22">
        <v>40</v>
      </c>
      <c r="P15" s="22">
        <v>229</v>
      </c>
      <c r="Q15" s="22">
        <v>212</v>
      </c>
      <c r="R15" s="22">
        <v>388</v>
      </c>
    </row>
    <row r="16" s="2" customFormat="true" ht="42" customHeight="true" spans="1:18">
      <c r="A16" s="14" t="s">
        <v>23</v>
      </c>
      <c r="B16" s="14" t="s">
        <v>45</v>
      </c>
      <c r="C16" s="14">
        <v>150</v>
      </c>
      <c r="D16" s="14">
        <v>1.4</v>
      </c>
      <c r="E16" s="21">
        <v>15.5</v>
      </c>
      <c r="F16" s="22">
        <v>8278</v>
      </c>
      <c r="G16" s="17">
        <v>5912.85714285714</v>
      </c>
      <c r="H16" s="22">
        <v>7424</v>
      </c>
      <c r="I16" s="22">
        <v>6011</v>
      </c>
      <c r="J16" s="22">
        <v>2325</v>
      </c>
      <c r="K16" s="22">
        <v>1950</v>
      </c>
      <c r="L16" s="22">
        <v>124</v>
      </c>
      <c r="M16" s="22">
        <v>152</v>
      </c>
      <c r="N16" s="22">
        <v>1400</v>
      </c>
      <c r="O16" s="22">
        <v>60</v>
      </c>
      <c r="P16" s="22">
        <v>391</v>
      </c>
      <c r="Q16" s="22">
        <v>361</v>
      </c>
      <c r="R16" s="22">
        <v>661</v>
      </c>
    </row>
    <row r="17" s="2" customFormat="true" ht="42" customHeight="true" spans="1:18">
      <c r="A17" s="14" t="s">
        <v>23</v>
      </c>
      <c r="B17" s="14" t="s">
        <v>46</v>
      </c>
      <c r="C17" s="14">
        <v>15</v>
      </c>
      <c r="D17" s="14">
        <v>0.1</v>
      </c>
      <c r="E17" s="21">
        <v>3.8</v>
      </c>
      <c r="F17" s="22">
        <v>1204</v>
      </c>
      <c r="G17" s="17">
        <v>12040</v>
      </c>
      <c r="H17" s="22">
        <v>1081</v>
      </c>
      <c r="I17" s="22">
        <v>875</v>
      </c>
      <c r="J17" s="22">
        <v>570</v>
      </c>
      <c r="K17" s="22">
        <v>270</v>
      </c>
      <c r="L17" s="22">
        <v>13</v>
      </c>
      <c r="M17" s="22">
        <v>16</v>
      </c>
      <c r="N17" s="22">
        <v>0</v>
      </c>
      <c r="O17" s="22">
        <v>6</v>
      </c>
      <c r="P17" s="22">
        <v>57</v>
      </c>
      <c r="Q17" s="22">
        <v>53</v>
      </c>
      <c r="R17" s="22">
        <v>96</v>
      </c>
    </row>
    <row r="18" s="2" customFormat="true" ht="42" customHeight="true" spans="1:18">
      <c r="A18" s="14" t="s">
        <v>23</v>
      </c>
      <c r="B18" s="14" t="s">
        <v>47</v>
      </c>
      <c r="C18" s="14">
        <v>50</v>
      </c>
      <c r="D18" s="14">
        <v>0.5</v>
      </c>
      <c r="E18" s="21">
        <v>7.2</v>
      </c>
      <c r="F18" s="22">
        <v>3101</v>
      </c>
      <c r="G18" s="17">
        <v>6202</v>
      </c>
      <c r="H18" s="22">
        <v>2782</v>
      </c>
      <c r="I18" s="22">
        <v>2253</v>
      </c>
      <c r="J18" s="22">
        <v>1080</v>
      </c>
      <c r="K18" s="22">
        <v>500</v>
      </c>
      <c r="L18" s="22">
        <v>41</v>
      </c>
      <c r="M18" s="22">
        <v>52</v>
      </c>
      <c r="N18" s="22">
        <v>560</v>
      </c>
      <c r="O18" s="22">
        <v>20</v>
      </c>
      <c r="P18" s="22">
        <v>146</v>
      </c>
      <c r="Q18" s="22">
        <v>135</v>
      </c>
      <c r="R18" s="22">
        <v>248</v>
      </c>
    </row>
    <row r="19" s="2" customFormat="true" ht="42" customHeight="true" spans="1:18">
      <c r="A19" s="14" t="s">
        <v>23</v>
      </c>
      <c r="B19" s="14" t="s">
        <v>48</v>
      </c>
      <c r="C19" s="14">
        <v>50</v>
      </c>
      <c r="D19" s="14">
        <v>0.5</v>
      </c>
      <c r="E19" s="21">
        <v>7.2</v>
      </c>
      <c r="F19" s="22">
        <v>3791</v>
      </c>
      <c r="G19" s="17">
        <v>7582</v>
      </c>
      <c r="H19" s="22">
        <v>3400</v>
      </c>
      <c r="I19" s="22">
        <v>2753</v>
      </c>
      <c r="J19" s="22">
        <v>1080</v>
      </c>
      <c r="K19" s="22">
        <v>1000</v>
      </c>
      <c r="L19" s="22">
        <v>41</v>
      </c>
      <c r="M19" s="22">
        <v>52</v>
      </c>
      <c r="N19" s="22">
        <v>560</v>
      </c>
      <c r="O19" s="22">
        <v>20</v>
      </c>
      <c r="P19" s="22">
        <v>179</v>
      </c>
      <c r="Q19" s="22">
        <v>165</v>
      </c>
      <c r="R19" s="22">
        <v>303</v>
      </c>
    </row>
    <row r="20" spans="11:15">
      <c r="K20" s="3"/>
      <c r="L20" s="3"/>
      <c r="M20" s="3"/>
      <c r="N20" s="3"/>
      <c r="O20" s="3"/>
    </row>
    <row r="21" spans="11:15">
      <c r="K21" s="3"/>
      <c r="L21" s="3"/>
      <c r="M21" s="3"/>
      <c r="N21" s="3"/>
      <c r="O21" s="3"/>
    </row>
  </sheetData>
  <mergeCells count="15">
    <mergeCell ref="A1:R1"/>
    <mergeCell ref="A2:B2"/>
    <mergeCell ref="H3:R3"/>
    <mergeCell ref="I4:O4"/>
    <mergeCell ref="A3:A5"/>
    <mergeCell ref="B3:B5"/>
    <mergeCell ref="C3:C5"/>
    <mergeCell ref="D3:D5"/>
    <mergeCell ref="E3:E5"/>
    <mergeCell ref="F3:F5"/>
    <mergeCell ref="G3:G5"/>
    <mergeCell ref="H4:H5"/>
    <mergeCell ref="P4:P5"/>
    <mergeCell ref="Q4:Q5"/>
    <mergeCell ref="R4:R5"/>
  </mergeCells>
  <pageMargins left="0.708661417322835" right="0.511811023622047" top="0.748031496062992" bottom="0.748031496062992" header="0.31496062992126" footer="0.31496062992126"/>
  <pageSetup paperSize="8" scale="75" firstPageNumber="40" fitToHeight="0" orientation="landscape" useFirstPageNumber="true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设计小班</vt:lpstr>
      <vt:lpstr>总投资一览表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ylg</dc:creator>
  <cp:lastModifiedBy>pingtan</cp:lastModifiedBy>
  <dcterms:created xsi:type="dcterms:W3CDTF">2019-04-17T08:44:00Z</dcterms:created>
  <cp:lastPrinted>2022-03-31T14:54:00Z</cp:lastPrinted>
  <dcterms:modified xsi:type="dcterms:W3CDTF">2022-04-13T17:12:32Z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2052-11.8.2.9793</vt:lpwstr>
  </property>
  <property fmtid="{D5CDD505-2E9C-101B-9397-08002B2CF9AE}" pid="3" name="KSOReadingLayout">
    <vt:bool>true</vt:bool>
  </property>
</Properties>
</file>