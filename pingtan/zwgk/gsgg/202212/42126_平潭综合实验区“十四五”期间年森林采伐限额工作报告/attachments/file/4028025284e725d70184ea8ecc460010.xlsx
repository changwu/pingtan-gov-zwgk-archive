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 " sheetId="2" r:id="rId1"/>
  </sheets>
  <calcPr calcId="144525"/>
</workbook>
</file>

<file path=xl/sharedStrings.xml><?xml version="1.0" encoding="utf-8"?>
<sst xmlns="http://schemas.openxmlformats.org/spreadsheetml/2006/main" count="85" uniqueCount="24">
  <si>
    <t>2020~2030年森林采伐限额建议指标确定结果一览表</t>
  </si>
  <si>
    <t>汇总单位：</t>
  </si>
  <si>
    <t>计量单位：公顷、立方米</t>
  </si>
  <si>
    <t>单位</t>
  </si>
  <si>
    <t>面积</t>
  </si>
  <si>
    <t>蓄积</t>
  </si>
  <si>
    <t>商品林</t>
  </si>
  <si>
    <t>公益林</t>
  </si>
  <si>
    <t>备注</t>
  </si>
  <si>
    <t>主伐</t>
  </si>
  <si>
    <t>抚育采伐</t>
  </si>
  <si>
    <t>低产林改造</t>
  </si>
  <si>
    <t>其他采伐</t>
  </si>
  <si>
    <t>更新采伐</t>
  </si>
  <si>
    <t>低效林改造</t>
  </si>
  <si>
    <t>合计</t>
  </si>
  <si>
    <t>其中天然林</t>
  </si>
  <si>
    <t>小计</t>
  </si>
  <si>
    <t>限额</t>
  </si>
  <si>
    <t>其中天然</t>
  </si>
  <si>
    <t>平潭县</t>
  </si>
  <si>
    <t>国有计</t>
  </si>
  <si>
    <t>平潭国有防护林场</t>
  </si>
  <si>
    <t>集体林计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</si>
</sst>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_);[Red]\(0.0000\)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b/>
      <sz val="8"/>
      <color theme="1"/>
      <name val="仿宋_GB2312"/>
      <charset val="134"/>
    </font>
    <font>
      <sz val="8"/>
      <color theme="1"/>
      <name val="仿宋_GB2312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13" borderId="16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76" fontId="4" fillId="0" borderId="0" xfId="0" applyNumberFormat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76" fontId="8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76" fontId="7" fillId="0" borderId="0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6" fillId="0" borderId="3" xfId="0" applyFont="1" applyBorder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7"/>
  <sheetViews>
    <sheetView showZeros="0" tabSelected="1" workbookViewId="0">
      <pane xSplit="1" topLeftCell="B1" activePane="topRight" state="frozen"/>
      <selection/>
      <selection pane="topRight" activeCell="G28" sqref="G28"/>
    </sheetView>
  </sheetViews>
  <sheetFormatPr defaultColWidth="9" defaultRowHeight="13.5"/>
  <cols>
    <col min="1" max="1" width="6.125" customWidth="1"/>
    <col min="2" max="2" width="9" customWidth="1"/>
    <col min="3" max="3" width="2.5" customWidth="1"/>
    <col min="4" max="4" width="4.625" customWidth="1"/>
    <col min="5" max="5" width="3.5" customWidth="1"/>
    <col min="6" max="6" width="11.875" style="5" customWidth="1"/>
    <col min="7" max="7" width="3.625" customWidth="1"/>
    <col min="8" max="8" width="12.625" customWidth="1"/>
    <col min="9" max="9" width="4.75" customWidth="1"/>
    <col min="10" max="10" width="8.875" customWidth="1"/>
    <col min="11" max="11" width="4" customWidth="1"/>
    <col min="12" max="12" width="5.375" customWidth="1"/>
    <col min="13" max="13" width="4.5" customWidth="1"/>
    <col min="14" max="14" width="9.875" customWidth="1"/>
    <col min="15" max="16" width="4.5" customWidth="1"/>
    <col min="17" max="17" width="5" customWidth="1"/>
    <col min="18" max="18" width="2.375" customWidth="1"/>
    <col min="19" max="19" width="5.125" customWidth="1"/>
    <col min="20" max="20" width="4.75" customWidth="1"/>
    <col min="21" max="21" width="4.875" customWidth="1"/>
    <col min="22" max="22" width="8.25" customWidth="1"/>
    <col min="23" max="23" width="4.875" customWidth="1"/>
    <col min="24" max="24" width="4.75" customWidth="1"/>
    <col min="25" max="25" width="5" customWidth="1"/>
    <col min="26" max="26" width="9.625" customWidth="1"/>
    <col min="27" max="27" width="3.125" customWidth="1"/>
    <col min="28" max="28" width="6" customWidth="1"/>
    <col min="29" max="29" width="4.25" customWidth="1"/>
    <col min="30" max="30" width="8.625" customWidth="1"/>
    <col min="31" max="31" width="4.625" customWidth="1"/>
    <col min="32" max="32" width="5.75" customWidth="1"/>
    <col min="33" max="33" width="5.5" customWidth="1"/>
    <col min="34" max="34" width="7.875" customWidth="1"/>
    <col min="35" max="35" width="4.75" customWidth="1"/>
    <col min="36" max="36" width="5.375" customWidth="1"/>
    <col min="37" max="37" width="4.25" customWidth="1"/>
    <col min="38" max="38" width="7.625" customWidth="1"/>
    <col min="39" max="39" width="3.625" customWidth="1"/>
    <col min="40" max="40" width="5.5" customWidth="1"/>
    <col min="41" max="41" width="4.625" customWidth="1"/>
    <col min="42" max="42" width="6.25" customWidth="1"/>
    <col min="43" max="43" width="5.5" customWidth="1"/>
    <col min="44" max="44" width="4.875" customWidth="1"/>
    <col min="45" max="45" width="5.25" customWidth="1"/>
    <col min="46" max="46" width="2.125" customWidth="1"/>
  </cols>
  <sheetData>
    <row r="1" ht="25.5" spans="1:4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ht="25.5" customHeight="1" spans="1:46">
      <c r="A2" s="7" t="s">
        <v>1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33" t="s">
        <v>2</v>
      </c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6"/>
    </row>
    <row r="3" s="1" customFormat="1" ht="15" customHeight="1" spans="1:46">
      <c r="A3" s="10" t="s">
        <v>3</v>
      </c>
      <c r="B3" s="11" t="s">
        <v>4</v>
      </c>
      <c r="C3" s="11"/>
      <c r="D3" s="11" t="s">
        <v>5</v>
      </c>
      <c r="E3" s="11"/>
      <c r="F3" s="11" t="s">
        <v>6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 t="s">
        <v>7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37" t="s">
        <v>8</v>
      </c>
    </row>
    <row r="4" s="1" customFormat="1" ht="15" customHeight="1" spans="1:46">
      <c r="A4" s="10"/>
      <c r="B4" s="11"/>
      <c r="C4" s="11"/>
      <c r="D4" s="11"/>
      <c r="E4" s="11"/>
      <c r="F4" s="12" t="s">
        <v>4</v>
      </c>
      <c r="G4" s="12"/>
      <c r="H4" s="12" t="s">
        <v>5</v>
      </c>
      <c r="I4" s="12"/>
      <c r="J4" s="12" t="s">
        <v>9</v>
      </c>
      <c r="K4" s="12"/>
      <c r="L4" s="12"/>
      <c r="M4" s="12"/>
      <c r="N4" s="11" t="s">
        <v>10</v>
      </c>
      <c r="O4" s="11"/>
      <c r="P4" s="11"/>
      <c r="Q4" s="11"/>
      <c r="R4" s="11" t="s">
        <v>11</v>
      </c>
      <c r="S4" s="11"/>
      <c r="T4" s="11"/>
      <c r="U4" s="11"/>
      <c r="V4" s="11" t="s">
        <v>12</v>
      </c>
      <c r="W4" s="11"/>
      <c r="X4" s="11"/>
      <c r="Y4" s="11"/>
      <c r="Z4" s="11" t="s">
        <v>4</v>
      </c>
      <c r="AA4" s="11"/>
      <c r="AB4" s="11" t="s">
        <v>5</v>
      </c>
      <c r="AC4" s="11"/>
      <c r="AD4" s="11" t="s">
        <v>13</v>
      </c>
      <c r="AE4" s="11"/>
      <c r="AF4" s="11"/>
      <c r="AG4" s="11"/>
      <c r="AH4" s="11" t="s">
        <v>10</v>
      </c>
      <c r="AI4" s="11"/>
      <c r="AJ4" s="11"/>
      <c r="AK4" s="11"/>
      <c r="AL4" s="11" t="s">
        <v>14</v>
      </c>
      <c r="AM4" s="11"/>
      <c r="AN4" s="11"/>
      <c r="AO4" s="11"/>
      <c r="AP4" s="11" t="s">
        <v>12</v>
      </c>
      <c r="AQ4" s="11"/>
      <c r="AR4" s="11"/>
      <c r="AS4" s="11"/>
      <c r="AT4" s="37"/>
    </row>
    <row r="5" s="2" customFormat="1" ht="15" customHeight="1" spans="1:46">
      <c r="A5" s="10"/>
      <c r="B5" s="12" t="s">
        <v>15</v>
      </c>
      <c r="C5" s="12" t="s">
        <v>16</v>
      </c>
      <c r="D5" s="12" t="s">
        <v>15</v>
      </c>
      <c r="E5" s="12" t="s">
        <v>16</v>
      </c>
      <c r="F5" s="13" t="s">
        <v>17</v>
      </c>
      <c r="G5" s="12" t="s">
        <v>16</v>
      </c>
      <c r="H5" s="12" t="s">
        <v>17</v>
      </c>
      <c r="I5" s="12" t="s">
        <v>16</v>
      </c>
      <c r="J5" s="12" t="s">
        <v>4</v>
      </c>
      <c r="K5" s="12"/>
      <c r="L5" s="12" t="s">
        <v>5</v>
      </c>
      <c r="M5" s="12"/>
      <c r="N5" s="12" t="s">
        <v>4</v>
      </c>
      <c r="O5" s="12"/>
      <c r="P5" s="12" t="s">
        <v>5</v>
      </c>
      <c r="Q5" s="12"/>
      <c r="R5" s="12" t="s">
        <v>4</v>
      </c>
      <c r="S5" s="12"/>
      <c r="T5" s="12" t="s">
        <v>5</v>
      </c>
      <c r="U5" s="12"/>
      <c r="V5" s="12" t="s">
        <v>4</v>
      </c>
      <c r="W5" s="12"/>
      <c r="X5" s="11" t="s">
        <v>5</v>
      </c>
      <c r="Y5" s="11"/>
      <c r="Z5" s="12" t="s">
        <v>17</v>
      </c>
      <c r="AA5" s="12" t="s">
        <v>16</v>
      </c>
      <c r="AB5" s="12" t="s">
        <v>17</v>
      </c>
      <c r="AC5" s="12" t="s">
        <v>16</v>
      </c>
      <c r="AD5" s="11" t="s">
        <v>4</v>
      </c>
      <c r="AE5" s="11"/>
      <c r="AF5" s="11" t="s">
        <v>5</v>
      </c>
      <c r="AG5" s="11"/>
      <c r="AH5" s="11" t="s">
        <v>4</v>
      </c>
      <c r="AI5" s="11"/>
      <c r="AJ5" s="11" t="s">
        <v>5</v>
      </c>
      <c r="AK5" s="11"/>
      <c r="AL5" s="11" t="s">
        <v>4</v>
      </c>
      <c r="AM5" s="11"/>
      <c r="AN5" s="11" t="s">
        <v>5</v>
      </c>
      <c r="AO5" s="11"/>
      <c r="AP5" s="11" t="s">
        <v>4</v>
      </c>
      <c r="AQ5" s="11"/>
      <c r="AR5" s="11" t="s">
        <v>5</v>
      </c>
      <c r="AS5" s="11"/>
      <c r="AT5" s="37"/>
    </row>
    <row r="6" s="2" customFormat="1" ht="15" customHeight="1" spans="1:46">
      <c r="A6" s="10"/>
      <c r="B6" s="12"/>
      <c r="C6" s="12"/>
      <c r="D6" s="12"/>
      <c r="E6" s="12"/>
      <c r="F6" s="13"/>
      <c r="G6" s="12"/>
      <c r="H6" s="12"/>
      <c r="I6" s="12"/>
      <c r="J6" s="32" t="s">
        <v>18</v>
      </c>
      <c r="K6" s="12" t="s">
        <v>16</v>
      </c>
      <c r="L6" s="12" t="s">
        <v>18</v>
      </c>
      <c r="M6" s="12" t="s">
        <v>16</v>
      </c>
      <c r="N6" s="12" t="s">
        <v>18</v>
      </c>
      <c r="O6" s="12" t="s">
        <v>19</v>
      </c>
      <c r="P6" s="12" t="s">
        <v>18</v>
      </c>
      <c r="Q6" s="12" t="s">
        <v>19</v>
      </c>
      <c r="R6" s="12" t="s">
        <v>18</v>
      </c>
      <c r="S6" s="12" t="s">
        <v>19</v>
      </c>
      <c r="T6" s="12" t="s">
        <v>18</v>
      </c>
      <c r="U6" s="12" t="s">
        <v>19</v>
      </c>
      <c r="V6" s="12" t="s">
        <v>18</v>
      </c>
      <c r="W6" s="12" t="s">
        <v>19</v>
      </c>
      <c r="X6" s="12" t="s">
        <v>18</v>
      </c>
      <c r="Y6" s="12" t="s">
        <v>19</v>
      </c>
      <c r="Z6" s="12"/>
      <c r="AA6" s="12"/>
      <c r="AB6" s="12"/>
      <c r="AC6" s="12"/>
      <c r="AD6" s="12" t="s">
        <v>18</v>
      </c>
      <c r="AE6" s="12" t="s">
        <v>19</v>
      </c>
      <c r="AF6" s="12" t="s">
        <v>18</v>
      </c>
      <c r="AG6" s="12" t="s">
        <v>16</v>
      </c>
      <c r="AH6" s="12" t="s">
        <v>18</v>
      </c>
      <c r="AI6" s="12" t="s">
        <v>19</v>
      </c>
      <c r="AJ6" s="12" t="s">
        <v>18</v>
      </c>
      <c r="AK6" s="12" t="s">
        <v>19</v>
      </c>
      <c r="AL6" s="12" t="s">
        <v>18</v>
      </c>
      <c r="AM6" s="12" t="s">
        <v>19</v>
      </c>
      <c r="AN6" s="12" t="s">
        <v>18</v>
      </c>
      <c r="AO6" s="12" t="s">
        <v>16</v>
      </c>
      <c r="AP6" s="12" t="s">
        <v>18</v>
      </c>
      <c r="AQ6" s="12" t="s">
        <v>16</v>
      </c>
      <c r="AR6" s="12" t="s">
        <v>18</v>
      </c>
      <c r="AS6" s="12" t="s">
        <v>16</v>
      </c>
      <c r="AT6" s="37"/>
    </row>
    <row r="7" s="2" customFormat="1" ht="23.1" customHeight="1" spans="1:46">
      <c r="A7" s="10"/>
      <c r="B7" s="12"/>
      <c r="C7" s="12"/>
      <c r="D7" s="12"/>
      <c r="E7" s="12"/>
      <c r="F7" s="13"/>
      <c r="G7" s="12"/>
      <c r="H7" s="12"/>
      <c r="I7" s="12"/>
      <c r="J7" s="3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37"/>
    </row>
    <row r="8" s="3" customFormat="1" ht="11.25" spans="1:46">
      <c r="A8" s="14" t="s">
        <v>20</v>
      </c>
      <c r="B8" s="15">
        <v>240.9706</v>
      </c>
      <c r="C8" s="16">
        <v>0</v>
      </c>
      <c r="D8" s="16">
        <f>H8+AB8</f>
        <v>7800</v>
      </c>
      <c r="E8" s="16">
        <v>0</v>
      </c>
      <c r="F8" s="16">
        <v>56.0085</v>
      </c>
      <c r="G8" s="16">
        <v>0</v>
      </c>
      <c r="H8" s="16">
        <f>L8+P8+X8</f>
        <v>1268</v>
      </c>
      <c r="I8" s="16">
        <v>0</v>
      </c>
      <c r="J8" s="16">
        <v>11.351</v>
      </c>
      <c r="K8" s="16">
        <v>0</v>
      </c>
      <c r="L8" s="16">
        <v>864</v>
      </c>
      <c r="M8" s="16">
        <v>0</v>
      </c>
      <c r="N8" s="16">
        <v>35.8595</v>
      </c>
      <c r="O8" s="16">
        <v>0</v>
      </c>
      <c r="P8" s="16">
        <v>352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8.798</v>
      </c>
      <c r="W8" s="16">
        <v>0</v>
      </c>
      <c r="X8" s="16">
        <v>52</v>
      </c>
      <c r="Y8" s="16">
        <v>0</v>
      </c>
      <c r="Z8" s="16">
        <v>184.9621</v>
      </c>
      <c r="AA8" s="16">
        <v>0</v>
      </c>
      <c r="AB8" s="16">
        <f>AB9+AB11</f>
        <v>6532</v>
      </c>
      <c r="AC8" s="16">
        <v>0</v>
      </c>
      <c r="AD8" s="16">
        <v>75.8774</v>
      </c>
      <c r="AE8" s="16">
        <v>0</v>
      </c>
      <c r="AF8" s="16">
        <v>5123</v>
      </c>
      <c r="AG8" s="16">
        <v>0</v>
      </c>
      <c r="AH8" s="16">
        <v>86.0884</v>
      </c>
      <c r="AI8" s="16">
        <v>0</v>
      </c>
      <c r="AJ8" s="16">
        <v>1160</v>
      </c>
      <c r="AK8" s="16">
        <v>0</v>
      </c>
      <c r="AL8" s="16">
        <v>20.0248</v>
      </c>
      <c r="AM8" s="16">
        <v>0</v>
      </c>
      <c r="AN8" s="16">
        <v>209</v>
      </c>
      <c r="AO8" s="16">
        <v>0</v>
      </c>
      <c r="AP8" s="16">
        <v>2.9716</v>
      </c>
      <c r="AQ8" s="16">
        <v>0</v>
      </c>
      <c r="AR8" s="16">
        <v>40</v>
      </c>
      <c r="AS8" s="16">
        <v>0</v>
      </c>
      <c r="AT8" s="38">
        <v>0</v>
      </c>
    </row>
    <row r="9" s="3" customFormat="1" ht="11.25" spans="1:46">
      <c r="A9" s="14" t="s">
        <v>21</v>
      </c>
      <c r="B9" s="15">
        <v>15.7766</v>
      </c>
      <c r="C9" s="16">
        <v>0</v>
      </c>
      <c r="D9" s="16">
        <f t="shared" ref="D9:D11" si="0">H9+AB9</f>
        <v>1000</v>
      </c>
      <c r="E9" s="16">
        <v>0</v>
      </c>
      <c r="F9" s="16">
        <v>0.0666</v>
      </c>
      <c r="G9" s="16">
        <v>0</v>
      </c>
      <c r="H9" s="17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0.0666</v>
      </c>
      <c r="W9" s="16">
        <v>0</v>
      </c>
      <c r="X9" s="16">
        <v>0</v>
      </c>
      <c r="Y9" s="16">
        <v>0</v>
      </c>
      <c r="Z9" s="16">
        <v>15.71</v>
      </c>
      <c r="AA9" s="16">
        <v>0</v>
      </c>
      <c r="AB9" s="16">
        <v>1000</v>
      </c>
      <c r="AC9" s="16">
        <v>0</v>
      </c>
      <c r="AD9" s="16">
        <v>9.8229</v>
      </c>
      <c r="AE9" s="16">
        <v>0</v>
      </c>
      <c r="AF9" s="16">
        <v>923</v>
      </c>
      <c r="AG9" s="16">
        <v>0</v>
      </c>
      <c r="AH9" s="16">
        <v>5.8871</v>
      </c>
      <c r="AI9" s="16">
        <v>0</v>
      </c>
      <c r="AJ9" s="16">
        <v>77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38">
        <v>0</v>
      </c>
    </row>
    <row r="10" s="3" customFormat="1" ht="32.25" spans="1:46">
      <c r="A10" s="18" t="s">
        <v>22</v>
      </c>
      <c r="B10" s="15">
        <v>15.7766</v>
      </c>
      <c r="C10" s="19">
        <v>0</v>
      </c>
      <c r="D10" s="16">
        <f t="shared" si="0"/>
        <v>1000</v>
      </c>
      <c r="E10" s="19">
        <v>0</v>
      </c>
      <c r="F10" s="19">
        <v>0.0666</v>
      </c>
      <c r="G10" s="20">
        <v>0</v>
      </c>
      <c r="H10" s="21">
        <v>0</v>
      </c>
      <c r="I10" s="19">
        <v>0</v>
      </c>
      <c r="J10" s="16">
        <v>0</v>
      </c>
      <c r="K10" s="19">
        <v>0</v>
      </c>
      <c r="L10" s="19">
        <v>0</v>
      </c>
      <c r="M10" s="19">
        <v>0</v>
      </c>
      <c r="N10" s="16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6">
        <v>0.0666</v>
      </c>
      <c r="W10" s="19">
        <v>0</v>
      </c>
      <c r="X10" s="19">
        <v>0</v>
      </c>
      <c r="Y10" s="19">
        <v>0</v>
      </c>
      <c r="Z10" s="16">
        <v>15.71</v>
      </c>
      <c r="AA10" s="19">
        <v>0</v>
      </c>
      <c r="AB10" s="19">
        <f>AF10+AJ10</f>
        <v>1000</v>
      </c>
      <c r="AC10" s="19">
        <v>0</v>
      </c>
      <c r="AD10" s="16">
        <v>9.8229</v>
      </c>
      <c r="AE10" s="19">
        <v>0</v>
      </c>
      <c r="AF10" s="19">
        <v>923</v>
      </c>
      <c r="AG10" s="19">
        <v>0</v>
      </c>
      <c r="AH10" s="16">
        <v>5.8871</v>
      </c>
      <c r="AI10" s="19">
        <v>0</v>
      </c>
      <c r="AJ10" s="19">
        <v>77</v>
      </c>
      <c r="AK10" s="19">
        <v>0</v>
      </c>
      <c r="AL10" s="16">
        <v>0</v>
      </c>
      <c r="AM10" s="19">
        <v>0</v>
      </c>
      <c r="AN10" s="19">
        <v>0</v>
      </c>
      <c r="AO10" s="19">
        <v>0</v>
      </c>
      <c r="AP10" s="16">
        <v>0</v>
      </c>
      <c r="AQ10" s="19">
        <v>0</v>
      </c>
      <c r="AR10" s="19">
        <v>0</v>
      </c>
      <c r="AS10" s="19">
        <v>0</v>
      </c>
      <c r="AT10" s="39">
        <v>0</v>
      </c>
    </row>
    <row r="11" s="3" customFormat="1" ht="21.75" spans="1:46">
      <c r="A11" s="22" t="s">
        <v>23</v>
      </c>
      <c r="B11" s="15">
        <v>225.194</v>
      </c>
      <c r="C11" s="21">
        <v>0</v>
      </c>
      <c r="D11" s="16">
        <f t="shared" si="0"/>
        <v>6800</v>
      </c>
      <c r="E11" s="21">
        <v>0</v>
      </c>
      <c r="F11" s="21">
        <v>55.9419</v>
      </c>
      <c r="G11" s="23">
        <v>0</v>
      </c>
      <c r="H11" s="24">
        <f>L11+P11+X11</f>
        <v>1268</v>
      </c>
      <c r="I11" s="20">
        <v>0</v>
      </c>
      <c r="J11" s="16">
        <v>11.351</v>
      </c>
      <c r="K11" s="21">
        <v>0</v>
      </c>
      <c r="L11" s="21">
        <v>864</v>
      </c>
      <c r="M11" s="21">
        <v>0</v>
      </c>
      <c r="N11" s="16">
        <v>35.8595</v>
      </c>
      <c r="O11" s="21">
        <v>0</v>
      </c>
      <c r="P11" s="21">
        <v>352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16">
        <v>8.7314</v>
      </c>
      <c r="W11" s="21">
        <v>0</v>
      </c>
      <c r="X11" s="21">
        <v>52</v>
      </c>
      <c r="Y11" s="21">
        <v>0</v>
      </c>
      <c r="Z11" s="16">
        <v>169.2521</v>
      </c>
      <c r="AA11" s="21">
        <v>0</v>
      </c>
      <c r="AB11" s="21">
        <f>AF11+AJ11+AN11+AR11</f>
        <v>5532</v>
      </c>
      <c r="AC11" s="21">
        <v>0</v>
      </c>
      <c r="AD11" s="16">
        <v>66.0545</v>
      </c>
      <c r="AE11" s="21">
        <v>0</v>
      </c>
      <c r="AF11" s="21">
        <v>4200</v>
      </c>
      <c r="AG11" s="21">
        <v>0</v>
      </c>
      <c r="AH11" s="16">
        <v>80.2013</v>
      </c>
      <c r="AI11" s="21">
        <v>0</v>
      </c>
      <c r="AJ11" s="21">
        <v>1083</v>
      </c>
      <c r="AK11" s="21">
        <v>0</v>
      </c>
      <c r="AL11" s="16">
        <v>20.0248</v>
      </c>
      <c r="AM11" s="21">
        <v>0</v>
      </c>
      <c r="AN11" s="21">
        <v>209</v>
      </c>
      <c r="AO11" s="21">
        <v>0</v>
      </c>
      <c r="AP11" s="16">
        <v>2.9716</v>
      </c>
      <c r="AQ11" s="21">
        <v>0</v>
      </c>
      <c r="AR11" s="21">
        <v>40</v>
      </c>
      <c r="AS11" s="21">
        <v>0</v>
      </c>
      <c r="AT11" s="22">
        <v>0</v>
      </c>
    </row>
    <row r="12" s="4" customFormat="1" spans="1:46">
      <c r="A12" s="25"/>
      <c r="B12" s="25"/>
      <c r="C12" s="25"/>
      <c r="D12" s="25"/>
      <c r="E12" s="25"/>
      <c r="F12" s="26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34"/>
      <c r="AI12" s="34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40"/>
    </row>
    <row r="13" s="4" customFormat="1" spans="1:46">
      <c r="A13" s="25"/>
      <c r="B13" s="27"/>
      <c r="C13" s="27"/>
      <c r="D13" s="27"/>
      <c r="E13" s="27"/>
      <c r="F13" s="28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35"/>
      <c r="AI13" s="35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s="4" customFormat="1" spans="1:46">
      <c r="A14" s="25"/>
      <c r="B14" s="27"/>
      <c r="C14" s="27"/>
      <c r="D14" s="27"/>
      <c r="E14" s="27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35"/>
      <c r="AI14" s="35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s="4" customFormat="1" spans="1:46">
      <c r="A15" s="25"/>
      <c r="B15" s="27"/>
      <c r="C15" s="27"/>
      <c r="D15" s="27"/>
      <c r="E15" s="27"/>
      <c r="F15" s="28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35"/>
      <c r="AI15" s="35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="4" customFormat="1" spans="1:46">
      <c r="A16" s="29"/>
      <c r="B16" s="27"/>
      <c r="C16" s="27"/>
      <c r="D16" s="27"/>
      <c r="E16" s="27"/>
      <c r="F16" s="28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35"/>
      <c r="AI16" s="35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s="4" customFormat="1" spans="1:46">
      <c r="A17" s="29"/>
      <c r="B17"/>
      <c r="C17" s="27"/>
      <c r="D17" s="27"/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35"/>
      <c r="AI17" s="35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="4" customFormat="1" spans="1:46">
      <c r="A18" s="29"/>
      <c r="B18"/>
      <c r="C18" s="27"/>
      <c r="D18" s="27"/>
      <c r="E18" s="27"/>
      <c r="F18" s="28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35"/>
      <c r="AI18" s="35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s="4" customFormat="1" spans="1:45">
      <c r="A19" s="29"/>
      <c r="B19"/>
      <c r="C19" s="27"/>
      <c r="D19" s="27"/>
      <c r="E19" s="27"/>
      <c r="F19" s="28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5"/>
      <c r="AI19" s="35"/>
      <c r="AJ19" s="27"/>
      <c r="AK19" s="27"/>
      <c r="AL19" s="27"/>
      <c r="AM19" s="27"/>
      <c r="AN19" s="27"/>
      <c r="AO19" s="27"/>
      <c r="AP19" s="27"/>
      <c r="AQ19" s="27"/>
      <c r="AR19" s="27"/>
      <c r="AS19" s="27"/>
    </row>
    <row r="20" spans="8:8">
      <c r="H20" s="5"/>
    </row>
    <row r="21" spans="2:6">
      <c r="B21" s="30"/>
      <c r="F21"/>
    </row>
    <row r="22" spans="2:6">
      <c r="B22" s="30"/>
      <c r="F22"/>
    </row>
    <row r="23" spans="2:6">
      <c r="B23" s="30"/>
      <c r="F23"/>
    </row>
    <row r="24" spans="2:6">
      <c r="B24" s="30"/>
      <c r="F24"/>
    </row>
    <row r="27" spans="2:2">
      <c r="B27" s="31"/>
    </row>
  </sheetData>
  <mergeCells count="80">
    <mergeCell ref="A1:AT1"/>
    <mergeCell ref="AI2:AS2"/>
    <mergeCell ref="F3:Y3"/>
    <mergeCell ref="Z3:AS3"/>
    <mergeCell ref="F4:G4"/>
    <mergeCell ref="H4:I4"/>
    <mergeCell ref="J4:M4"/>
    <mergeCell ref="N4:Q4"/>
    <mergeCell ref="R4:U4"/>
    <mergeCell ref="V4:Y4"/>
    <mergeCell ref="Z4:AA4"/>
    <mergeCell ref="AB4:AC4"/>
    <mergeCell ref="AD4:AG4"/>
    <mergeCell ref="AH4:AK4"/>
    <mergeCell ref="AL4:AO4"/>
    <mergeCell ref="AP4:AS4"/>
    <mergeCell ref="J5:K5"/>
    <mergeCell ref="L5:M5"/>
    <mergeCell ref="N5:O5"/>
    <mergeCell ref="P5:Q5"/>
    <mergeCell ref="R5:S5"/>
    <mergeCell ref="T5:U5"/>
    <mergeCell ref="V5:W5"/>
    <mergeCell ref="X5:Y5"/>
    <mergeCell ref="AD5:AE5"/>
    <mergeCell ref="AF5:AG5"/>
    <mergeCell ref="AH5:AI5"/>
    <mergeCell ref="AJ5:AK5"/>
    <mergeCell ref="AL5:AM5"/>
    <mergeCell ref="AN5:AO5"/>
    <mergeCell ref="AP5:AQ5"/>
    <mergeCell ref="AR5:AS5"/>
    <mergeCell ref="A3:A7"/>
    <mergeCell ref="B5:B7"/>
    <mergeCell ref="C5:C7"/>
    <mergeCell ref="D5:D7"/>
    <mergeCell ref="E5:E7"/>
    <mergeCell ref="F5:F7"/>
    <mergeCell ref="G5:G7"/>
    <mergeCell ref="H5:H7"/>
    <mergeCell ref="I5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5:Z7"/>
    <mergeCell ref="AA5:AA7"/>
    <mergeCell ref="AB5:AB7"/>
    <mergeCell ref="AC5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3:AT7"/>
    <mergeCell ref="B3:C4"/>
    <mergeCell ref="D3:E4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呐酱</cp:lastModifiedBy>
  <dcterms:created xsi:type="dcterms:W3CDTF">2020-03-03T02:57:00Z</dcterms:created>
  <cp:lastPrinted>2020-03-10T14:28:00Z</cp:lastPrinted>
  <dcterms:modified xsi:type="dcterms:W3CDTF">2020-03-23T07:22:41Z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  <property fmtid="{D5CDD505-2E9C-101B-9397-08002B2CF9AE}" pid="3" name="KSOReadingLayout">
    <vt:bool>true</vt:bool>
  </property>
</Properties>
</file>