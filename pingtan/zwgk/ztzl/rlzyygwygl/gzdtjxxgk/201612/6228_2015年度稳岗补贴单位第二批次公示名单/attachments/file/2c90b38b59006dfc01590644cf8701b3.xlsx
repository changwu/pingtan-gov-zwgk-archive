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第二批 " sheetId="13" r:id="rId1"/>
  </sheets>
  <calcPr calcId="145621"/>
</workbook>
</file>

<file path=xl/calcChain.xml><?xml version="1.0" encoding="utf-8"?>
<calcChain xmlns="http://schemas.openxmlformats.org/spreadsheetml/2006/main">
  <c r="F15" i="13" l="1"/>
  <c r="H14" i="13"/>
  <c r="E15" i="13"/>
  <c r="F14" i="13"/>
  <c r="D15" i="13"/>
  <c r="H15" i="13" l="1"/>
  <c r="H13" i="13"/>
  <c r="F13" i="13"/>
  <c r="H12" i="13"/>
  <c r="F12" i="13"/>
  <c r="H11" i="13"/>
  <c r="F11" i="13"/>
  <c r="H10" i="13"/>
  <c r="F10" i="13"/>
  <c r="H9" i="13"/>
  <c r="F9" i="13"/>
  <c r="H8" i="13"/>
  <c r="F8" i="13"/>
  <c r="H7" i="13"/>
  <c r="F7" i="13"/>
  <c r="H6" i="13"/>
  <c r="F6" i="13"/>
  <c r="H5" i="13"/>
  <c r="F5" i="13"/>
  <c r="H4" i="13"/>
  <c r="F4" i="13"/>
</calcChain>
</file>

<file path=xl/sharedStrings.xml><?xml version="1.0" encoding="utf-8"?>
<sst xmlns="http://schemas.openxmlformats.org/spreadsheetml/2006/main" count="52" uniqueCount="51">
  <si>
    <t>01</t>
    <phoneticPr fontId="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</si>
  <si>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</si>
  <si>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</si>
  <si>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</si>
  <si>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</si>
  <si>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</si>
  <si>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</si>
  <si>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</si>
  <si>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</si>
  <si>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</si>
  <si>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</si>
  <si>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福建易通市政建设工程有限公司</t>
    <phoneticPr fontId="1" type="noConversion"/>
  </si>
  <si>
    <t>平潭县供销贸易公司</t>
    <phoneticPr fontId="1" type="noConversion"/>
  </si>
  <si>
    <t>福建省平潭县五交化公司</t>
    <phoneticPr fontId="1" type="noConversion"/>
  </si>
  <si>
    <t>序号</t>
    <phoneticPr fontId="1" type="noConversion"/>
  </si>
  <si>
    <t>企业名称</t>
    <phoneticPr fontId="1" type="noConversion"/>
  </si>
  <si>
    <t>失业保险
单位档案号</t>
    <phoneticPr fontId="1" type="noConversion"/>
  </si>
  <si>
    <t>2015年度初
年初社会保险
参保数（人）</t>
    <phoneticPr fontId="1" type="noConversion"/>
  </si>
  <si>
    <t>2015年度
年末社会保险
参保数（人）</t>
    <phoneticPr fontId="1" type="noConversion"/>
  </si>
  <si>
    <t>2015年度
净裁员
率（%）</t>
    <phoneticPr fontId="1" type="noConversion"/>
  </si>
  <si>
    <t>2015年度
失业保险费
总额（元）</t>
    <phoneticPr fontId="1" type="noConversion"/>
  </si>
  <si>
    <t>2015年度
稳岗补贴
金额（元）</t>
    <phoneticPr fontId="1" type="noConversion"/>
  </si>
  <si>
    <t>经办机构名称（盖章）：</t>
    <phoneticPr fontId="1" type="noConversion"/>
  </si>
  <si>
    <t>失业保险
经办机构
审核意见</t>
    <phoneticPr fontId="1" type="noConversion"/>
  </si>
  <si>
    <t>区党群工
作部审定
意见</t>
    <phoneticPr fontId="1" type="noConversion"/>
  </si>
  <si>
    <t>年   月   日（盖章）</t>
    <phoneticPr fontId="1" type="noConversion"/>
  </si>
  <si>
    <t>备  注</t>
    <phoneticPr fontId="1" type="noConversion"/>
  </si>
  <si>
    <t>111</t>
    <phoneticPr fontId="1" type="noConversion"/>
  </si>
  <si>
    <t>宸鸿科技（平潭）有限公司</t>
    <phoneticPr fontId="1" type="noConversion"/>
  </si>
  <si>
    <t>平潭综合实验区2015年第二批享受失业保险稳岗补贴企业汇总审核表</t>
    <phoneticPr fontId="1" type="noConversion"/>
  </si>
  <si>
    <t>批次：2015年度 第2批</t>
    <phoneticPr fontId="1" type="noConversion"/>
  </si>
  <si>
    <t>200</t>
    <phoneticPr fontId="1" type="noConversion"/>
  </si>
  <si>
    <t>福建海峡高速客滚航运有限公司</t>
    <phoneticPr fontId="1" type="noConversion"/>
  </si>
  <si>
    <t>059</t>
    <phoneticPr fontId="1" type="noConversion"/>
  </si>
  <si>
    <t>平潭自由贸易区两岸发展有限公司</t>
    <phoneticPr fontId="1" type="noConversion"/>
  </si>
  <si>
    <t>福建省平潭农资土产公司</t>
    <phoneticPr fontId="1" type="noConversion"/>
  </si>
  <si>
    <t>合        计</t>
    <phoneticPr fontId="1" type="noConversion"/>
  </si>
  <si>
    <t>203</t>
    <phoneticPr fontId="1" type="noConversion"/>
  </si>
  <si>
    <t>204</t>
    <phoneticPr fontId="1" type="noConversion"/>
  </si>
  <si>
    <t>福州市烟草公司平潭分公司</t>
    <phoneticPr fontId="1" type="noConversion"/>
  </si>
  <si>
    <t>004</t>
    <phoneticPr fontId="1" type="noConversion"/>
  </si>
  <si>
    <t>009</t>
    <phoneticPr fontId="1" type="noConversion"/>
  </si>
  <si>
    <t>122</t>
    <phoneticPr fontId="1" type="noConversion"/>
  </si>
  <si>
    <t>平潭综合实验区市政园林有限公司</t>
    <phoneticPr fontId="1" type="noConversion"/>
  </si>
  <si>
    <t>福建省平潭县水产供销公司</t>
    <phoneticPr fontId="1" type="noConversion"/>
  </si>
  <si>
    <t>071</t>
    <phoneticPr fontId="1" type="noConversion"/>
  </si>
  <si>
    <t>008</t>
    <phoneticPr fontId="1" type="noConversion"/>
  </si>
  <si>
    <t>爱玛客服务产业（中国）有限公司平潭分公司</t>
    <phoneticPr fontId="1" type="noConversion"/>
  </si>
  <si>
    <t>114</t>
    <phoneticPr fontId="1" type="noConversion"/>
  </si>
  <si>
    <t>经核实，本批次符合稳岗补贴条件企业共11家，补贴总金额328123.09元。</t>
    <phoneticPr fontId="1" type="noConversion"/>
  </si>
  <si>
    <t xml:space="preserve">      负责人：                分管：                 财务：                复核：                比对：                经办：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</si>
</sst>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;[Red]0.00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b/>
      <sz val="15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0" fontId="0" fillId="0" borderId="0" xfId="0" applyNumberFormat="1"/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177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4" fillId="0" borderId="9" xfId="0" applyNumberFormat="1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right" vertical="center"/>
    </xf>
    <xf numFmtId="49" fontId="5" fillId="0" borderId="10" xfId="0" applyNumberFormat="1" applyFont="1" applyBorder="1" applyAlignment="1">
      <alignment horizontal="right" vertical="center"/>
    </xf>
    <xf numFmtId="49" fontId="0" fillId="0" borderId="3" xfId="0" applyNumberForma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right" vertical="center"/>
    </xf>
    <xf numFmtId="49" fontId="0" fillId="0" borderId="5" xfId="0" applyNumberFormat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49" fontId="0" fillId="0" borderId="7" xfId="0" applyNumberFormat="1" applyBorder="1" applyAlignment="1">
      <alignment horizontal="right" vertical="center"/>
    </xf>
    <xf numFmtId="49" fontId="0" fillId="0" borderId="0" xfId="0" applyNumberFormat="1" applyBorder="1" applyAlignment="1">
      <alignment horizontal="right" vertical="center"/>
    </xf>
    <xf numFmtId="49" fontId="0" fillId="0" borderId="8" xfId="0" applyNumberForma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31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tabSelected="1" topLeftCell="A4" workbookViewId="0">
      <selection activeCell="B20" sqref="B20:I20"/>
    </sheetView>
  </sheetViews>
  <sheetFormatPr defaultRowHeight="13.5" x14ac:dyDescent="0.15"/>
  <cols>
    <col min="1" max="1" width="8.625" style="2" customWidth="1"/>
    <col min="2" max="2" width="9.375" style="2" customWidth="1"/>
    <col min="3" max="3" width="35.875" customWidth="1"/>
    <col min="4" max="5" width="18.625" customWidth="1"/>
    <col min="6" max="6" width="10" style="1" customWidth="1"/>
    <col min="7" max="7" width="22.625" style="9" customWidth="1"/>
    <col min="8" max="8" width="23.375" style="9" customWidth="1"/>
    <col min="9" max="9" width="10.625" customWidth="1"/>
  </cols>
  <sheetData>
    <row r="1" spans="1:9" s="14" customFormat="1" ht="35.1" customHeight="1" x14ac:dyDescent="0.15">
      <c r="A1" s="37" t="s">
        <v>29</v>
      </c>
      <c r="B1" s="37"/>
      <c r="C1" s="37"/>
      <c r="D1" s="37"/>
      <c r="E1" s="37"/>
      <c r="F1" s="37"/>
      <c r="G1" s="37"/>
      <c r="H1" s="37"/>
      <c r="I1" s="37"/>
    </row>
    <row r="2" spans="1:9" x14ac:dyDescent="0.15">
      <c r="A2" s="38" t="s">
        <v>22</v>
      </c>
      <c r="B2" s="38"/>
      <c r="C2" s="38"/>
      <c r="D2" s="38"/>
      <c r="E2" s="39" t="s">
        <v>30</v>
      </c>
      <c r="F2" s="39"/>
      <c r="G2" s="8"/>
      <c r="H2" s="40">
        <v>42702</v>
      </c>
      <c r="I2" s="39"/>
    </row>
    <row r="3" spans="1:9" s="7" customFormat="1" ht="63" customHeight="1" x14ac:dyDescent="0.15">
      <c r="A3" s="13" t="s">
        <v>14</v>
      </c>
      <c r="B3" s="10" t="s">
        <v>16</v>
      </c>
      <c r="C3" s="3" t="s">
        <v>15</v>
      </c>
      <c r="D3" s="4" t="s">
        <v>17</v>
      </c>
      <c r="E3" s="4" t="s">
        <v>18</v>
      </c>
      <c r="F3" s="11" t="s">
        <v>19</v>
      </c>
      <c r="G3" s="12" t="s">
        <v>20</v>
      </c>
      <c r="H3" s="12" t="s">
        <v>21</v>
      </c>
      <c r="I3" s="3" t="s">
        <v>26</v>
      </c>
    </row>
    <row r="4" spans="1:9" ht="24.95" customHeight="1" x14ac:dyDescent="0.15">
      <c r="A4" s="15" t="s">
        <v>0</v>
      </c>
      <c r="B4" s="15" t="s">
        <v>27</v>
      </c>
      <c r="C4" s="5" t="s">
        <v>28</v>
      </c>
      <c r="D4" s="5">
        <v>424</v>
      </c>
      <c r="E4" s="5">
        <v>423</v>
      </c>
      <c r="F4" s="6">
        <f>(D4-E4)/D4</f>
        <v>2.3584905660377358E-3</v>
      </c>
      <c r="G4" s="16">
        <v>141163.42000000001</v>
      </c>
      <c r="H4" s="16">
        <f>G4/2</f>
        <v>70581.710000000006</v>
      </c>
      <c r="I4" s="5"/>
    </row>
    <row r="5" spans="1:9" ht="24.95" customHeight="1" x14ac:dyDescent="0.15">
      <c r="A5" s="15" t="s">
        <v>1</v>
      </c>
      <c r="B5" s="15" t="s">
        <v>31</v>
      </c>
      <c r="C5" s="5" t="s">
        <v>34</v>
      </c>
      <c r="D5" s="5">
        <v>1</v>
      </c>
      <c r="E5" s="5">
        <v>31</v>
      </c>
      <c r="F5" s="6">
        <f t="shared" ref="F5:F14" si="0">(D5-E5)/D5</f>
        <v>-30</v>
      </c>
      <c r="G5" s="16">
        <v>13316</v>
      </c>
      <c r="H5" s="16">
        <f t="shared" ref="H5:H14" si="1">G5/2</f>
        <v>6658</v>
      </c>
      <c r="I5" s="5"/>
    </row>
    <row r="6" spans="1:9" ht="24.95" customHeight="1" x14ac:dyDescent="0.15">
      <c r="A6" s="15" t="s">
        <v>2</v>
      </c>
      <c r="B6" s="15" t="s">
        <v>33</v>
      </c>
      <c r="C6" s="5" t="s">
        <v>32</v>
      </c>
      <c r="D6" s="5">
        <v>65</v>
      </c>
      <c r="E6" s="5">
        <v>64</v>
      </c>
      <c r="F6" s="6">
        <f t="shared" si="0"/>
        <v>1.5384615384615385E-2</v>
      </c>
      <c r="G6" s="16">
        <v>54302.69</v>
      </c>
      <c r="H6" s="16">
        <f t="shared" si="1"/>
        <v>27151.345000000001</v>
      </c>
      <c r="I6" s="5"/>
    </row>
    <row r="7" spans="1:9" ht="24.95" customHeight="1" x14ac:dyDescent="0.15">
      <c r="A7" s="15" t="s">
        <v>3</v>
      </c>
      <c r="B7" s="15" t="s">
        <v>38</v>
      </c>
      <c r="C7" s="5" t="s">
        <v>13</v>
      </c>
      <c r="D7" s="5">
        <v>58</v>
      </c>
      <c r="E7" s="5">
        <v>57</v>
      </c>
      <c r="F7" s="6">
        <f t="shared" si="0"/>
        <v>1.7241379310344827E-2</v>
      </c>
      <c r="G7" s="16">
        <v>25798</v>
      </c>
      <c r="H7" s="16">
        <f t="shared" si="1"/>
        <v>12899</v>
      </c>
      <c r="I7" s="5"/>
    </row>
    <row r="8" spans="1:9" ht="24.95" customHeight="1" x14ac:dyDescent="0.15">
      <c r="A8" s="15" t="s">
        <v>4</v>
      </c>
      <c r="B8" s="15" t="s">
        <v>37</v>
      </c>
      <c r="C8" s="5" t="s">
        <v>35</v>
      </c>
      <c r="D8" s="5">
        <v>208</v>
      </c>
      <c r="E8" s="5">
        <v>205</v>
      </c>
      <c r="F8" s="6">
        <f t="shared" si="0"/>
        <v>1.4423076923076924E-2</v>
      </c>
      <c r="G8" s="16">
        <v>75435</v>
      </c>
      <c r="H8" s="16">
        <f t="shared" si="1"/>
        <v>37717.5</v>
      </c>
      <c r="I8" s="5"/>
    </row>
    <row r="9" spans="1:9" ht="24.95" customHeight="1" x14ac:dyDescent="0.15">
      <c r="A9" s="15" t="s">
        <v>5</v>
      </c>
      <c r="B9" s="15" t="s">
        <v>40</v>
      </c>
      <c r="C9" s="5" t="s">
        <v>39</v>
      </c>
      <c r="D9" s="5">
        <v>67</v>
      </c>
      <c r="E9" s="5">
        <v>67</v>
      </c>
      <c r="F9" s="6">
        <f t="shared" si="0"/>
        <v>0</v>
      </c>
      <c r="G9" s="16">
        <v>163514.22</v>
      </c>
      <c r="H9" s="16">
        <f t="shared" si="1"/>
        <v>81757.11</v>
      </c>
      <c r="I9" s="5"/>
    </row>
    <row r="10" spans="1:9" ht="24.95" customHeight="1" x14ac:dyDescent="0.15">
      <c r="A10" s="15" t="s">
        <v>6</v>
      </c>
      <c r="B10" s="15" t="s">
        <v>41</v>
      </c>
      <c r="C10" s="5" t="s">
        <v>12</v>
      </c>
      <c r="D10" s="5">
        <v>54</v>
      </c>
      <c r="E10" s="5">
        <v>65</v>
      </c>
      <c r="F10" s="6">
        <f t="shared" si="0"/>
        <v>-0.20370370370370369</v>
      </c>
      <c r="G10" s="16">
        <v>20906</v>
      </c>
      <c r="H10" s="16">
        <f t="shared" si="1"/>
        <v>10453</v>
      </c>
      <c r="I10" s="5"/>
    </row>
    <row r="11" spans="1:9" ht="24.95" customHeight="1" x14ac:dyDescent="0.15">
      <c r="A11" s="15" t="s">
        <v>7</v>
      </c>
      <c r="B11" s="15" t="s">
        <v>42</v>
      </c>
      <c r="C11" s="5" t="s">
        <v>11</v>
      </c>
      <c r="D11" s="5">
        <v>60</v>
      </c>
      <c r="E11" s="5">
        <v>60</v>
      </c>
      <c r="F11" s="6">
        <f t="shared" si="0"/>
        <v>0</v>
      </c>
      <c r="G11" s="16">
        <v>25888.799999999999</v>
      </c>
      <c r="H11" s="16">
        <f t="shared" si="1"/>
        <v>12944.4</v>
      </c>
      <c r="I11" s="5"/>
    </row>
    <row r="12" spans="1:9" ht="24.95" customHeight="1" x14ac:dyDescent="0.15">
      <c r="A12" s="15" t="s">
        <v>8</v>
      </c>
      <c r="B12" s="15" t="s">
        <v>45</v>
      </c>
      <c r="C12" s="5" t="s">
        <v>43</v>
      </c>
      <c r="D12" s="5">
        <v>118</v>
      </c>
      <c r="E12" s="5">
        <v>129</v>
      </c>
      <c r="F12" s="6">
        <f t="shared" si="0"/>
        <v>-9.3220338983050849E-2</v>
      </c>
      <c r="G12" s="16">
        <v>63775.839999999997</v>
      </c>
      <c r="H12" s="16">
        <f t="shared" si="1"/>
        <v>31887.919999999998</v>
      </c>
      <c r="I12" s="5"/>
    </row>
    <row r="13" spans="1:9" ht="24.95" customHeight="1" x14ac:dyDescent="0.15">
      <c r="A13" s="15" t="s">
        <v>9</v>
      </c>
      <c r="B13" s="15" t="s">
        <v>46</v>
      </c>
      <c r="C13" s="5" t="s">
        <v>44</v>
      </c>
      <c r="D13" s="5">
        <v>143</v>
      </c>
      <c r="E13" s="5">
        <v>139</v>
      </c>
      <c r="F13" s="6">
        <f t="shared" si="0"/>
        <v>2.7972027972027972E-2</v>
      </c>
      <c r="G13" s="16">
        <v>58636.5</v>
      </c>
      <c r="H13" s="16">
        <f t="shared" si="1"/>
        <v>29318.25</v>
      </c>
      <c r="I13" s="5"/>
    </row>
    <row r="14" spans="1:9" ht="24.95" customHeight="1" x14ac:dyDescent="0.15">
      <c r="A14" s="17" t="s">
        <v>10</v>
      </c>
      <c r="B14" s="17" t="s">
        <v>48</v>
      </c>
      <c r="C14" s="19" t="s">
        <v>47</v>
      </c>
      <c r="D14" s="5">
        <v>36</v>
      </c>
      <c r="E14" s="5">
        <v>36</v>
      </c>
      <c r="F14" s="6">
        <f t="shared" si="0"/>
        <v>0</v>
      </c>
      <c r="G14" s="18">
        <v>13509.71</v>
      </c>
      <c r="H14" s="18">
        <f t="shared" si="1"/>
        <v>6754.8549999999996</v>
      </c>
      <c r="I14" s="5"/>
    </row>
    <row r="15" spans="1:9" ht="30" customHeight="1" x14ac:dyDescent="0.15">
      <c r="A15" s="43" t="s">
        <v>36</v>
      </c>
      <c r="B15" s="41"/>
      <c r="C15" s="41"/>
      <c r="D15" s="5">
        <f>SUM(D4:D14)</f>
        <v>1234</v>
      </c>
      <c r="E15" s="5">
        <f>SUM(E4:E14)</f>
        <v>1276</v>
      </c>
      <c r="F15" s="42">
        <f>SUM(G4:G14)</f>
        <v>656246.17999999993</v>
      </c>
      <c r="G15" s="42"/>
      <c r="H15" s="42">
        <f>SUM(H4:H14)</f>
        <v>328123.08999999997</v>
      </c>
      <c r="I15" s="42"/>
    </row>
    <row r="16" spans="1:9" ht="35.1" customHeight="1" x14ac:dyDescent="0.15">
      <c r="A16" s="24" t="s">
        <v>23</v>
      </c>
      <c r="B16" s="25" t="s">
        <v>49</v>
      </c>
      <c r="C16" s="26"/>
      <c r="D16" s="26"/>
      <c r="E16" s="26"/>
      <c r="F16" s="26"/>
      <c r="G16" s="26"/>
      <c r="H16" s="26"/>
      <c r="I16" s="27"/>
    </row>
    <row r="17" spans="1:9" ht="35.1" customHeight="1" x14ac:dyDescent="0.15">
      <c r="A17" s="20"/>
      <c r="B17" s="28" t="s">
        <v>50</v>
      </c>
      <c r="C17" s="29"/>
      <c r="D17" s="29"/>
      <c r="E17" s="29"/>
      <c r="F17" s="29"/>
      <c r="G17" s="29"/>
      <c r="H17" s="29"/>
      <c r="I17" s="30"/>
    </row>
    <row r="18" spans="1:9" ht="35.1" customHeight="1" x14ac:dyDescent="0.15">
      <c r="A18" s="20"/>
      <c r="B18" s="21" t="s">
        <v>25</v>
      </c>
      <c r="C18" s="22"/>
      <c r="D18" s="22"/>
      <c r="E18" s="22"/>
      <c r="F18" s="22"/>
      <c r="G18" s="22"/>
      <c r="H18" s="22"/>
      <c r="I18" s="23"/>
    </row>
    <row r="19" spans="1:9" ht="35.1" customHeight="1" x14ac:dyDescent="0.15">
      <c r="A19" s="24" t="s">
        <v>24</v>
      </c>
      <c r="B19" s="31"/>
      <c r="C19" s="32"/>
      <c r="D19" s="32"/>
      <c r="E19" s="32"/>
      <c r="F19" s="32"/>
      <c r="G19" s="32"/>
      <c r="H19" s="32"/>
      <c r="I19" s="33"/>
    </row>
    <row r="20" spans="1:9" ht="35.1" customHeight="1" x14ac:dyDescent="0.15">
      <c r="A20" s="20"/>
      <c r="B20" s="34"/>
      <c r="C20" s="35"/>
      <c r="D20" s="35"/>
      <c r="E20" s="35"/>
      <c r="F20" s="35"/>
      <c r="G20" s="35"/>
      <c r="H20" s="35"/>
      <c r="I20" s="36"/>
    </row>
    <row r="21" spans="1:9" ht="35.1" customHeight="1" x14ac:dyDescent="0.15">
      <c r="A21" s="20"/>
      <c r="B21" s="21" t="s">
        <v>25</v>
      </c>
      <c r="C21" s="22"/>
      <c r="D21" s="22"/>
      <c r="E21" s="22"/>
      <c r="F21" s="22"/>
      <c r="G21" s="22"/>
      <c r="H21" s="22"/>
      <c r="I21" s="23"/>
    </row>
  </sheetData>
  <mergeCells count="15">
    <mergeCell ref="A1:I1"/>
    <mergeCell ref="A2:D2"/>
    <mergeCell ref="E2:F2"/>
    <mergeCell ref="H2:I2"/>
    <mergeCell ref="A15:C15"/>
    <mergeCell ref="F15:G15"/>
    <mergeCell ref="H15:I15"/>
    <mergeCell ref="A16:A18"/>
    <mergeCell ref="B16:I16"/>
    <mergeCell ref="B17:I17"/>
    <mergeCell ref="B18:I18"/>
    <mergeCell ref="A19:A21"/>
    <mergeCell ref="B19:I19"/>
    <mergeCell ref="B20:I20"/>
    <mergeCell ref="B21:I21"/>
  </mergeCells>
  <phoneticPr fontId="1" type="noConversion"/>
  <pageMargins left="0.7" right="0.7" top="0.75" bottom="0.75" header="0.3" footer="0.3"/>
  <pageSetup paperSize="9" scale="77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第二批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2016-12-16T05:59:04Z</dcterms:modified>
</cp:coreProperties>
</file>