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附表1-1" sheetId="1" r:id="rId1"/>
    <sheet name="附表1-2" sheetId="2" r:id="rId2"/>
    <sheet name="附表1-3" sheetId="3" r:id="rId3"/>
    <sheet name="附表1-4" sheetId="4" r:id="rId4"/>
    <sheet name="附表1-5" sheetId="5" r:id="rId5"/>
    <sheet name="附表1-6" sheetId="6" r:id="rId6"/>
    <sheet name="附表1-7" sheetId="7" r:id="rId7"/>
    <sheet name="附表1-8" sheetId="8" r:id="rId8"/>
    <sheet name="附表1-9" sheetId="9" r:id="rId9"/>
    <sheet name="附表1-10" sheetId="10" r:id="rId10"/>
    <sheet name="附表1-11" sheetId="13" r:id="rId11"/>
    <sheet name="附表1-12" sheetId="14" r:id="rId12"/>
  </sheets>
  <externalReferences>
    <externalReference r:id="rId13"/>
    <externalReference r:id="rId14"/>
  </externalReferences>
  <definedNames>
    <definedName name="_xlnm._FilterDatabase" localSheetId="7" hidden="1">'附表1-8'!$A$5:$C$111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'附表1-7'!$A$1:$C$15</definedName>
    <definedName name="_xlnm.Print_Titles" localSheetId="0">'附表1-1'!$2:$6</definedName>
    <definedName name="_xlnm.Print_Titles" localSheetId="9">'附表1-10'!$1:$5</definedName>
    <definedName name="_xlnm.Print_Titles" localSheetId="1">'附表1-2'!$1:$5</definedName>
    <definedName name="_xlnm.Print_Titles" localSheetId="2">'附表1-3'!$1:$6</definedName>
    <definedName name="_xlnm.Print_Titles" localSheetId="3">'附表1-4'!$1:$5</definedName>
    <definedName name="_xlnm.Print_Titles" localSheetId="4">'附表1-5'!$1:$5</definedName>
    <definedName name="_xlnm.Print_Titles" localSheetId="5">'附表1-6'!$1:$5</definedName>
    <definedName name="_xlnm.Print_Titles" localSheetId="7">'附表1-8'!$1:$4</definedName>
    <definedName name="_xlnm.Print_Titles" localSheetId="8">'附表1-9'!$1:$4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  <definedName name="Database" localSheetId="10">#REF!</definedName>
    <definedName name="database2" localSheetId="10">#REF!</definedName>
    <definedName name="database3" localSheetId="10">#REF!</definedName>
    <definedName name="hhhh" localSheetId="10">#REF!</definedName>
    <definedName name="kkkk" localSheetId="10">#REF!</definedName>
    <definedName name="UU" localSheetId="10">#REF!</definedName>
    <definedName name="YY" localSheetId="10">#REF!</definedName>
    <definedName name="地区名称" localSheetId="10">#REF!</definedName>
    <definedName name="福州" localSheetId="10">#REF!</definedName>
    <definedName name="汇率" localSheetId="10">#REF!</definedName>
    <definedName name="生产列1" localSheetId="10">#REF!</definedName>
    <definedName name="生产列11" localSheetId="10">#REF!</definedName>
    <definedName name="生产列15" localSheetId="10">#REF!</definedName>
    <definedName name="生产列16" localSheetId="10">#REF!</definedName>
    <definedName name="生产列17" localSheetId="10">#REF!</definedName>
    <definedName name="生产列19" localSheetId="10">#REF!</definedName>
    <definedName name="生产列2" localSheetId="10">#REF!</definedName>
    <definedName name="生产列20" localSheetId="10">#REF!</definedName>
    <definedName name="生产列3" localSheetId="10">#REF!</definedName>
    <definedName name="生产列4" localSheetId="10">#REF!</definedName>
    <definedName name="生产列5" localSheetId="10">#REF!</definedName>
    <definedName name="生产列6" localSheetId="10">#REF!</definedName>
    <definedName name="生产列7" localSheetId="10">#REF!</definedName>
    <definedName name="生产列8" localSheetId="10">#REF!</definedName>
    <definedName name="生产列9" localSheetId="10">#REF!</definedName>
    <definedName name="生产期" localSheetId="10">#REF!</definedName>
    <definedName name="生产期1" localSheetId="10">#REF!</definedName>
    <definedName name="生产期11" localSheetId="10">#REF!</definedName>
    <definedName name="生产期15" localSheetId="10">#REF!</definedName>
    <definedName name="生产期16" localSheetId="10">#REF!</definedName>
    <definedName name="生产期17" localSheetId="10">#REF!</definedName>
    <definedName name="生产期19" localSheetId="10">#REF!</definedName>
    <definedName name="生产期2" localSheetId="10">#REF!</definedName>
    <definedName name="生产期20" localSheetId="10">#REF!</definedName>
    <definedName name="生产期3" localSheetId="10">#REF!</definedName>
    <definedName name="生产期4" localSheetId="10">#REF!</definedName>
    <definedName name="生产期5" localSheetId="10">#REF!</definedName>
    <definedName name="生产期6" localSheetId="10">#REF!</definedName>
    <definedName name="生产期7" localSheetId="10">#REF!</definedName>
    <definedName name="生产期8" localSheetId="10">#REF!</definedName>
    <definedName name="生产期9" localSheetId="10">#REF!</definedName>
    <definedName name="体制上解" localSheetId="10">#REF!</definedName>
    <definedName name="Database" localSheetId="11">#REF!</definedName>
    <definedName name="database2" localSheetId="11">#REF!</definedName>
    <definedName name="database3" localSheetId="11">#REF!</definedName>
    <definedName name="hhhh" localSheetId="11">#REF!</definedName>
    <definedName name="kkkk" localSheetId="11">#REF!</definedName>
    <definedName name="UU" localSheetId="11">#REF!</definedName>
    <definedName name="YY" localSheetId="11">#REF!</definedName>
    <definedName name="地区名称" localSheetId="11">#REF!</definedName>
    <definedName name="福州" localSheetId="11">#REF!</definedName>
    <definedName name="汇率" localSheetId="11">#REF!</definedName>
    <definedName name="生产列1" localSheetId="11">#REF!</definedName>
    <definedName name="生产列11" localSheetId="11">#REF!</definedName>
    <definedName name="生产列15" localSheetId="11">#REF!</definedName>
    <definedName name="生产列16" localSheetId="11">#REF!</definedName>
    <definedName name="生产列17" localSheetId="11">#REF!</definedName>
    <definedName name="生产列19" localSheetId="11">#REF!</definedName>
    <definedName name="生产列2" localSheetId="11">#REF!</definedName>
    <definedName name="生产列20" localSheetId="11">#REF!</definedName>
    <definedName name="生产列3" localSheetId="11">#REF!</definedName>
    <definedName name="生产列4" localSheetId="11">#REF!</definedName>
    <definedName name="生产列5" localSheetId="11">#REF!</definedName>
    <definedName name="生产列6" localSheetId="11">#REF!</definedName>
    <definedName name="生产列7" localSheetId="11">#REF!</definedName>
    <definedName name="生产列8" localSheetId="11">#REF!</definedName>
    <definedName name="生产列9" localSheetId="11">#REF!</definedName>
    <definedName name="生产期" localSheetId="11">#REF!</definedName>
    <definedName name="生产期1" localSheetId="11">#REF!</definedName>
    <definedName name="生产期11" localSheetId="11">#REF!</definedName>
    <definedName name="生产期15" localSheetId="11">#REF!</definedName>
    <definedName name="生产期16" localSheetId="11">#REF!</definedName>
    <definedName name="生产期17" localSheetId="11">#REF!</definedName>
    <definedName name="生产期19" localSheetId="11">#REF!</definedName>
    <definedName name="生产期2" localSheetId="11">#REF!</definedName>
    <definedName name="生产期20" localSheetId="11">#REF!</definedName>
    <definedName name="生产期3" localSheetId="11">#REF!</definedName>
    <definedName name="生产期4" localSheetId="11">#REF!</definedName>
    <definedName name="生产期5" localSheetId="11">#REF!</definedName>
    <definedName name="生产期6" localSheetId="11">#REF!</definedName>
    <definedName name="生产期7" localSheetId="11">#REF!</definedName>
    <definedName name="生产期8" localSheetId="11">#REF!</definedName>
    <definedName name="生产期9" localSheetId="11">#REF!</definedName>
    <definedName name="体制上解" localSheetId="11">#REF!</definedName>
  </definedNames>
  <calcPr calcId="144525"/>
</workbook>
</file>

<file path=xl/sharedStrings.xml><?xml version="1.0" encoding="utf-8"?>
<sst xmlns="http://schemas.openxmlformats.org/spreadsheetml/2006/main" count="855" uniqueCount="421">
  <si>
    <t>附表1-1</t>
  </si>
  <si>
    <t>2021年度收支预算总表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</si>
  <si>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</si>
  <si>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</si>
  <si>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</si>
  <si>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</si>
  <si>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</si>
  <si>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</si>
  <si>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</si>
  <si>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</si>
  <si>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</si>
  <si>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</si>
  <si>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</si>
  <si>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</si>
  <si>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</si>
  <si>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</si>
  <si>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</si>
  <si>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</si>
  <si>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</si>
  <si>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</si>
  <si>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附表1-2</t>
  </si>
  <si>
    <t>2021年度收入预算总表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</si>
  <si>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</si>
  <si>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</si>
  <si>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</si>
  <si>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</si>
  <si>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</si>
  <si>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</si>
  <si>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</si>
  <si>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</si>
  <si>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</si>
  <si>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</si>
  <si>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051001</t>
  </si>
  <si>
    <t>平潭综合实验区君山片区管理局</t>
  </si>
  <si>
    <t>附表1-3</t>
  </si>
  <si>
    <t>2021年度支出预算总表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</si>
  <si>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</si>
  <si>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</si>
  <si>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</si>
  <si>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</si>
  <si>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</si>
  <si>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</si>
  <si>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</si>
  <si>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2010301</t>
  </si>
  <si>
    <t>行政运行</t>
  </si>
  <si>
    <t>2010302</t>
  </si>
  <si>
    <t>一般行政管理事务</t>
  </si>
  <si>
    <t>2010303</t>
  </si>
  <si>
    <t>机关服务</t>
  </si>
  <si>
    <t>2010350</t>
  </si>
  <si>
    <t>事业运行</t>
  </si>
  <si>
    <t>2010601</t>
  </si>
  <si>
    <t>2080505</t>
  </si>
  <si>
    <t>机关事业单位基本养老保险缴费支出</t>
  </si>
  <si>
    <t>2081902</t>
  </si>
  <si>
    <t>农村最低生活保障金支出</t>
  </si>
  <si>
    <t>2082001</t>
  </si>
  <si>
    <t>临时救助支出</t>
  </si>
  <si>
    <t>2082102</t>
  </si>
  <si>
    <t>农村特困人员救助供养支出</t>
  </si>
  <si>
    <t>2130705</t>
  </si>
  <si>
    <t>对村民委员会和村党支部的补助</t>
  </si>
  <si>
    <t>2210201</t>
  </si>
  <si>
    <t>住房公积金</t>
  </si>
  <si>
    <t>2210202</t>
  </si>
  <si>
    <t>提租补贴</t>
  </si>
  <si>
    <t>2296002</t>
  </si>
  <si>
    <t>用于社会福利的彩票公益金支出</t>
  </si>
  <si>
    <t>总合计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</si>
  <si>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</si>
  <si>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附表1-4</t>
  </si>
  <si>
    <t>2021年度财政拨款收支预算总表</t>
  </si>
  <si>
    <t xml:space="preserve">    人员支出</t>
  </si>
  <si>
    <t xml:space="preserve">    对个人和家庭补助支出</t>
  </si>
  <si>
    <t xml:space="preserve">    公用支出</t>
  </si>
  <si>
    <t>附表1-5</t>
  </si>
  <si>
    <t>2021年度一般公共预算拨款支出预算表</t>
  </si>
  <si>
    <t>其中：</t>
  </si>
  <si>
    <t>基本支出</t>
  </si>
  <si>
    <t>备注：本表公开到政府支出功能分类项级科目。</t>
  </si>
  <si>
    <t>附表1-6</t>
  </si>
  <si>
    <t>2021年度政府性基金拨款支出预算表</t>
  </si>
  <si>
    <t>本表无数据</t>
  </si>
  <si>
    <t>备注：1.本表公开到政府支出功能分类项级科目。</t>
  </si>
  <si>
    <t xml:space="preserve">      2.没有数据的单位应当列出空表并说明。</t>
  </si>
  <si>
    <t>附表1-7</t>
  </si>
  <si>
    <t>2021年度一般公共预算支出经济分类情况表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</si>
  <si>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</si>
  <si>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</si>
  <si>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</si>
  <si>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</si>
  <si>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</si>
  <si>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</si>
  <si>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</si>
  <si>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</si>
  <si>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</si>
  <si>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</si>
  <si>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</si>
  <si>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</si>
  <si>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</si>
  <si>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</si>
  <si>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</si>
  <si>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</si>
  <si>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</si>
  <si>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</si>
  <si>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</si>
  <si>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</si>
  <si>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</si>
  <si>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</si>
  <si>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附表1-8</t>
  </si>
  <si>
    <t>2021年度一般公共预算基本支出经济分类情况表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</si>
  <si>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</si>
  <si>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</si>
  <si>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</si>
  <si>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</si>
  <si>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</si>
  <si>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</si>
  <si>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</si>
  <si>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</si>
  <si>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</si>
  <si>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</si>
  <si>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</si>
  <si>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</si>
  <si>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</si>
  <si>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</si>
  <si>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</si>
  <si>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</si>
  <si>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</si>
  <si>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</si>
  <si>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</si>
  <si>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</si>
  <si>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</si>
  <si>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</si>
  <si>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</si>
  <si>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</si>
  <si>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</si>
  <si>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</si>
  <si>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</si>
  <si>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</si>
  <si>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</si>
  <si>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</si>
  <si>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</si>
  <si>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</si>
  <si>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</si>
  <si>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</si>
  <si>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</si>
  <si>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</si>
  <si>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</si>
  <si>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</si>
  <si>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</si>
  <si>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</si>
  <si>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</si>
  <si>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</si>
  <si>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</si>
  <si>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</si>
  <si>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</si>
  <si>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</si>
  <si>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</si>
  <si>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</si>
  <si>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</si>
  <si>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</si>
  <si>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</si>
  <si>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</si>
  <si>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</si>
  <si>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</si>
  <si>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</si>
  <si>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</si>
  <si>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</si>
  <si>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</si>
  <si>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</si>
  <si>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</si>
  <si>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</si>
  <si>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</si>
  <si>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</si>
  <si>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</si>
  <si>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</si>
  <si>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</si>
  <si>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</si>
  <si>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</si>
  <si>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</si>
  <si>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</si>
  <si>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</si>
  <si>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</si>
  <si>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</si>
  <si>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</si>
  <si>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</si>
  <si>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</si>
  <si>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</si>
  <si>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</si>
  <si>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</si>
  <si>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</si>
  <si>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</si>
  <si>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</si>
  <si>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</si>
  <si>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</si>
  <si>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</si>
  <si>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</si>
  <si>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</si>
  <si>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</si>
  <si>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</si>
  <si>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</si>
  <si>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</si>
  <si>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</si>
  <si>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</si>
  <si>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</si>
  <si>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</si>
  <si>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</si>
  <si>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</si>
  <si>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</si>
  <si>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</si>
  <si>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</si>
  <si>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</si>
  <si>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</si>
  <si>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</si>
  <si>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</si>
  <si>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</si>
  <si>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</si>
  <si>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</si>
  <si>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</si>
  <si>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</si>
  <si>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</si>
  <si>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</si>
  <si>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</si>
  <si>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</si>
  <si>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</si>
  <si>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</si>
  <si>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</si>
  <si>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</si>
  <si>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</si>
  <si>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</si>
  <si>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</si>
  <si>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</si>
  <si>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</si>
  <si>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</si>
  <si>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</si>
  <si>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</si>
  <si>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</si>
  <si>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</si>
  <si>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</si>
  <si>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</si>
  <si>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</si>
  <si>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</si>
  <si>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</si>
  <si>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</si>
  <si>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</si>
  <si>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</si>
  <si>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</si>
  <si>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</si>
  <si>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</si>
  <si>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</si>
  <si>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</si>
  <si>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</si>
  <si>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</si>
  <si>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</si>
  <si>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</si>
  <si>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</si>
  <si>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</si>
  <si>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</si>
  <si>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</si>
  <si>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</si>
  <si>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</si>
  <si>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</si>
  <si>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</si>
  <si>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</si>
  <si>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</si>
  <si>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</si>
  <si>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</si>
  <si>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</si>
  <si>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</si>
  <si>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</si>
  <si>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</si>
  <si>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</si>
  <si>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</si>
  <si>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</si>
  <si>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</si>
  <si>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</si>
  <si>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</si>
  <si>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</si>
  <si>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</si>
  <si>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</si>
  <si>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</si>
  <si>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</si>
  <si>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</si>
  <si>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</si>
  <si>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</si>
  <si>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</si>
  <si>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</si>
  <si>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</si>
  <si>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</si>
  <si>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附表1-9</t>
  </si>
  <si>
    <t>2021年度一般公共预算“三公”经费支出预算表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</si>
  <si>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</si>
  <si>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</si>
  <si>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</si>
  <si>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</si>
  <si>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</si>
  <si>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</si>
  <si>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</si>
  <si>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附表1-10</t>
  </si>
  <si>
    <t>2021年度部门专项资金管理清单目录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</si>
  <si>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</si>
  <si>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</si>
  <si>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</si>
  <si>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</si>
  <si>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</si>
  <si>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</si>
  <si>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</si>
  <si>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</si>
  <si>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</si>
  <si>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</si>
  <si>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</si>
  <si>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</si>
  <si>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</si>
  <si>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附表1-11</t>
  </si>
  <si>
    <t xml:space="preserve">部门业务费绩效目标申报表                             </t>
  </si>
  <si>
    <t>填报单位:（盖章）平潭综合实验区君山片区管理局</t>
  </si>
  <si>
    <t>项目资金申请（万元）</t>
  </si>
  <si>
    <t xml:space="preserve">资金总额(年度预算按排)： </t>
  </si>
  <si>
    <t>公共财政预算拨款：</t>
  </si>
  <si>
    <t xml:space="preserve">基金预算拨款： </t>
  </si>
  <si>
    <t>∕</t>
  </si>
  <si>
    <t>其他：</t>
  </si>
  <si>
    <t>总体目标</t>
  </si>
  <si>
    <t>保证我片财政供养人员等工资、日常工作需要，调动工作人员积极性，促进经济、社会事业等各方面全面发展。</t>
  </si>
  <si>
    <t>一级指标</t>
  </si>
  <si>
    <t>二级指标</t>
  </si>
  <si>
    <t>三级指标</t>
  </si>
  <si>
    <t>指标解释</t>
  </si>
  <si>
    <t>绩效目标值</t>
  </si>
  <si>
    <t>当年度目标</t>
  </si>
  <si>
    <t>产出指标</t>
  </si>
  <si>
    <t>数量指标</t>
  </si>
  <si>
    <t>业务费细化率</t>
  </si>
  <si>
    <t>95%以上</t>
  </si>
  <si>
    <t>保障对象情况（范围、项目数、人数等）</t>
  </si>
  <si>
    <t>保障君山片区财政供养196名人员工作</t>
  </si>
  <si>
    <t>196人及以上</t>
  </si>
  <si>
    <t>质量指标</t>
  </si>
  <si>
    <t>细化项目目标完成情况</t>
  </si>
  <si>
    <t>资金使用合规性</t>
  </si>
  <si>
    <t>按规定使用</t>
  </si>
  <si>
    <t>时效指标</t>
  </si>
  <si>
    <t>支出进度</t>
  </si>
  <si>
    <t>按月发放</t>
  </si>
  <si>
    <t>12月31日前发放完毕</t>
  </si>
  <si>
    <t>成本指标</t>
  </si>
  <si>
    <t>业务费总量增长率</t>
  </si>
  <si>
    <t>预算完成率</t>
  </si>
  <si>
    <t>效益指标</t>
  </si>
  <si>
    <t>经济效益指标</t>
  </si>
  <si>
    <t>/</t>
  </si>
  <si>
    <t>社会效益指标</t>
  </si>
  <si>
    <t>提高全体干部职工工作积极性</t>
  </si>
  <si>
    <t>各项工作完成情况</t>
  </si>
  <si>
    <t>生态效益指标</t>
  </si>
  <si>
    <t>可持续影响指标</t>
  </si>
  <si>
    <t>满意度指标</t>
  </si>
  <si>
    <t>服务对象满意度指标</t>
  </si>
  <si>
    <t>服务对象满意度情况</t>
  </si>
  <si>
    <t>备注</t>
  </si>
  <si>
    <r>
      <rPr>
        <sz val="11"/>
        <color theme="1"/>
        <rFont val="宋体"/>
        <charset val="134"/>
      </rPr>
      <t>填报人：</t>
    </r>
    <r>
      <rPr>
        <sz val="11"/>
        <color indexed="8"/>
        <rFont val="Calibri"/>
        <charset val="134"/>
      </rPr>
      <t xml:space="preserve">   </t>
    </r>
  </si>
  <si>
    <r>
      <rPr>
        <sz val="11"/>
        <color theme="1"/>
        <rFont val="宋体"/>
        <charset val="134"/>
      </rPr>
      <t>审核人：</t>
    </r>
    <r>
      <rPr>
        <sz val="11"/>
        <color indexed="8"/>
        <rFont val="Calibri"/>
        <charset val="134"/>
      </rPr>
      <t xml:space="preserve">  </t>
    </r>
  </si>
  <si>
    <t>填报日期：</t>
  </si>
  <si>
    <t>附表1-12</t>
  </si>
  <si>
    <t>专项资金绩效目标申报表</t>
  </si>
  <si>
    <t>项目名称</t>
  </si>
  <si>
    <t>中原便民服务中心装修工程</t>
  </si>
  <si>
    <t>部门预算功能科目</t>
  </si>
  <si>
    <t>项目资金（万元）</t>
  </si>
  <si>
    <t>财政拨款：</t>
  </si>
  <si>
    <t>其他资金：</t>
  </si>
  <si>
    <t>满足便民工作人员工作使用，更好为君山片区群众服务。</t>
  </si>
  <si>
    <t xml:space="preserve">
绩效目标   </t>
  </si>
  <si>
    <t>评价指标</t>
  </si>
  <si>
    <t>绩效内容</t>
  </si>
  <si>
    <t>实施期目标</t>
  </si>
  <si>
    <t>绩效标准</t>
  </si>
  <si>
    <t>半年目标值</t>
  </si>
  <si>
    <t>全年目标值</t>
  </si>
  <si>
    <t>时效目标</t>
  </si>
  <si>
    <t>目标1</t>
  </si>
  <si>
    <t>完成时间</t>
  </si>
  <si>
    <t>100%完成</t>
  </si>
  <si>
    <t>100%建成</t>
  </si>
  <si>
    <t>完成70%</t>
  </si>
  <si>
    <t>成本目标</t>
  </si>
  <si>
    <t>其他资源投入目标</t>
  </si>
  <si>
    <t>数量目标</t>
  </si>
  <si>
    <t>中原便民服务中心装修情况</t>
  </si>
  <si>
    <t>中原便民服务中心装修完成</t>
  </si>
  <si>
    <t>基本建成</t>
  </si>
  <si>
    <t>质量目标</t>
  </si>
  <si>
    <t>合格情况</t>
  </si>
  <si>
    <t>经验收合格</t>
  </si>
  <si>
    <t>合格</t>
  </si>
  <si>
    <t>经济效益目标</t>
  </si>
  <si>
    <t>社会效益目标</t>
  </si>
  <si>
    <t>满足便民工作人员工作使用，更好为君山片区群众服务</t>
  </si>
  <si>
    <t>生态效益目标</t>
  </si>
  <si>
    <t>可持续影响目标</t>
  </si>
  <si>
    <t>服务对象满意度目标</t>
  </si>
  <si>
    <t>当地群众满意度</t>
  </si>
  <si>
    <t>单位已有的（或拟订的）保证项目实施的制度、措施</t>
  </si>
  <si>
    <r>
      <rPr>
        <sz val="11"/>
        <color indexed="8"/>
        <rFont val="宋体"/>
        <charset val="134"/>
      </rPr>
      <t>审核人：</t>
    </r>
    <r>
      <rPr>
        <sz val="11"/>
        <color indexed="8"/>
        <rFont val="Calibri"/>
        <charset val="0"/>
      </rPr>
      <t xml:space="preserve">   </t>
    </r>
  </si>
  <si>
    <r>
      <rPr>
        <sz val="11"/>
        <color indexed="8"/>
        <rFont val="宋体"/>
        <charset val="134"/>
      </rPr>
      <t>填报人：</t>
    </r>
    <r>
      <rPr>
        <sz val="11"/>
        <color indexed="8"/>
        <rFont val="Calibri"/>
        <charset val="0"/>
      </rPr>
      <t xml:space="preserve">  </t>
    </r>
  </si>
  <si>
    <t>东庠乡南江滩涂地景观规划提升项目</t>
  </si>
  <si>
    <t>配合东庠乡旅游业发展需求对南江滩涂地景观进行提升改造，提升村容村貌，打造更加宜居宜游的滨海乡村旅游环境，助推壮大村集体经济。</t>
  </si>
  <si>
    <t>完成情况</t>
  </si>
  <si>
    <t>按实际进度支付</t>
  </si>
  <si>
    <t>2021.12.31前支付完毕</t>
  </si>
  <si>
    <t>专区数量</t>
  </si>
  <si>
    <t>满足专区内旅游环境需要</t>
  </si>
  <si>
    <t>生态环境提升程度</t>
  </si>
  <si>
    <t>生态环境提升程度情况</t>
  </si>
  <si>
    <t>旅游人士及当地群众满意度</t>
  </si>
  <si>
    <t>90%以上</t>
  </si>
  <si>
    <t>东庠南江澳沿岸水毁道路修复工程</t>
  </si>
  <si>
    <t>东庠南江澳沿岸水毁道路修复工程是区重点项目之一，设计长499米，属自然灾害水毁道理项目。满足东庠南江澳沿岸水毁道理修复需要。</t>
  </si>
  <si>
    <t>按质保金要求标准支付</t>
  </si>
  <si>
    <t>经检验合格</t>
  </si>
  <si>
    <t>满足专区群众生活需要</t>
  </si>
</sst>
</file>

<file path=xl/styles.xml><?xml version="1.0" encoding="utf-8"?>
<styleSheet xmlns="http://schemas.openxmlformats.org/spreadsheetml/2006/main">
  <numFmts count="22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"/>
    <numFmt numFmtId="177" formatCode="_-\¥* #,##0_-;\-\¥* #,##0_-;_-\¥* &quot;-&quot;_-;_-@_-"/>
    <numFmt numFmtId="178" formatCode="\$#,##0;\(\$#,##0\)"/>
    <numFmt numFmtId="179" formatCode="_ \¥* #,##0.00_ ;_ \¥* \-#,##0.00_ ;_ \¥* &quot;-&quot;??_ ;_ @_ "/>
    <numFmt numFmtId="180" formatCode="_-* #,##0.0000_-;\-* #,##0.0000_-;_-* &quot;-&quot;??_-;_-@_-"/>
    <numFmt numFmtId="181" formatCode="_-* #,##0.00_-;\-* #,##0.00_-;_-* &quot;-&quot;??_-;_-@_-"/>
    <numFmt numFmtId="182" formatCode="#,##0.000_ "/>
    <numFmt numFmtId="183" formatCode="* #,##0.0;* \-#,##0.0;* &quot;&quot;??;@"/>
    <numFmt numFmtId="184" formatCode="#,##0;\-#,##0;&quot;-&quot;"/>
    <numFmt numFmtId="185" formatCode="#,##0;\(#,##0\)"/>
    <numFmt numFmtId="186" formatCode="_(* #,##0.00_);_(* \(#,##0.00\);_(* &quot;-&quot;??_);_(@_)"/>
    <numFmt numFmtId="187" formatCode="_(&quot;$&quot;* #,##0.00_);_(&quot;$&quot;* \(#,##0.00\);_(&quot;$&quot;* &quot;-&quot;??_);_(@_)"/>
    <numFmt numFmtId="188" formatCode="_-&quot;$&quot;* #,##0_-;\-&quot;$&quot;* #,##0_-;_-&quot;$&quot;* &quot;-&quot;_-;_-@_-"/>
    <numFmt numFmtId="189" formatCode="\$#,##0.00;\(\$#,##0.00\)"/>
    <numFmt numFmtId="190" formatCode="0.00;[Red]0.00"/>
    <numFmt numFmtId="191" formatCode="_-* #,##0_-;\-* #,##0_-;_-* &quot;-&quot;_-;_-@_-"/>
    <numFmt numFmtId="192" formatCode="#,##0.0"/>
    <numFmt numFmtId="193" formatCode="#,##0.00_ "/>
  </numFmts>
  <fonts count="99">
    <font>
      <sz val="12"/>
      <name val="宋体"/>
      <charset val="134"/>
    </font>
    <font>
      <sz val="20"/>
      <color indexed="8"/>
      <name val="方正小标宋简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indexed="8"/>
      <name val="Calibri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4"/>
      <color theme="1"/>
      <name val="方正小标宋简体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18"/>
      <color theme="3"/>
      <name val="宋体"/>
      <charset val="134"/>
      <scheme val="minor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indexed="9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  <font>
      <sz val="11"/>
      <color indexed="52"/>
      <name val="宋体"/>
      <charset val="134"/>
    </font>
    <font>
      <sz val="11"/>
      <color indexed="42"/>
      <name val="宋体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rgb="FFFF0000"/>
      <name val="宋体"/>
      <charset val="0"/>
      <scheme val="minor"/>
    </font>
    <font>
      <sz val="11"/>
      <color indexed="17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indexed="5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indexed="20"/>
      <name val="宋体"/>
      <charset val="134"/>
    </font>
    <font>
      <b/>
      <sz val="13"/>
      <color indexed="54"/>
      <name val="宋体"/>
      <charset val="134"/>
    </font>
    <font>
      <sz val="11"/>
      <color rgb="FF9C6500"/>
      <name val="宋体"/>
      <charset val="0"/>
      <scheme val="minor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u/>
      <sz val="12"/>
      <color indexed="36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9"/>
      <color indexed="8"/>
      <name val="宋体"/>
      <charset val="134"/>
    </font>
    <font>
      <b/>
      <sz val="11"/>
      <color indexed="56"/>
      <name val="宋体"/>
      <charset val="134"/>
    </font>
    <font>
      <sz val="10"/>
      <color indexed="8"/>
      <name val="Arial"/>
      <charset val="134"/>
    </font>
    <font>
      <b/>
      <sz val="21"/>
      <name val="楷体_GB2312"/>
      <charset val="134"/>
    </font>
    <font>
      <b/>
      <sz val="13"/>
      <color indexed="56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5"/>
      <color indexed="62"/>
      <name val="宋体"/>
      <charset val="134"/>
    </font>
    <font>
      <b/>
      <sz val="18"/>
      <color theme="3"/>
      <name val="宋体"/>
      <charset val="134"/>
      <scheme val="major"/>
    </font>
    <font>
      <b/>
      <sz val="12"/>
      <name val="Arial"/>
      <charset val="134"/>
    </font>
    <font>
      <sz val="10"/>
      <name val="Times New Roman"/>
      <charset val="134"/>
    </font>
    <font>
      <sz val="12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b/>
      <sz val="15"/>
      <color indexed="54"/>
      <name val="宋体"/>
      <charset val="134"/>
    </font>
    <font>
      <b/>
      <sz val="11"/>
      <color indexed="63"/>
      <name val="宋体"/>
      <charset val="134"/>
    </font>
    <font>
      <sz val="12"/>
      <name val="Helv"/>
      <charset val="134"/>
    </font>
    <font>
      <sz val="7"/>
      <name val="Small Fonts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  <font>
      <sz val="11"/>
      <color indexed="8"/>
      <name val="Calibri"/>
      <charset val="134"/>
    </font>
  </fonts>
  <fills count="58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000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8" borderId="21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6" fillId="0" borderId="0" applyFont="0" applyFill="0" applyBorder="0" applyAlignment="0" applyProtection="0">
      <alignment vertical="center"/>
    </xf>
    <xf numFmtId="0" fontId="0" fillId="0" borderId="0"/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54" fillId="2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43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6" fillId="22" borderId="25" applyNumberFormat="0" applyFont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2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15" borderId="0" applyNumberFormat="0" applyBorder="0" applyAlignment="0" applyProtection="0">
      <alignment vertical="center"/>
    </xf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57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0" fillId="0" borderId="0"/>
    <xf numFmtId="0" fontId="55" fillId="0" borderId="2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29" borderId="0" applyNumberFormat="0" applyBorder="0" applyAlignment="0" applyProtection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9" fillId="31" borderId="28" applyNumberFormat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31" borderId="21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0" fillId="0" borderId="0"/>
    <xf numFmtId="0" fontId="61" fillId="32" borderId="2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3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4" fillId="0" borderId="31" applyNumberFormat="0" applyFill="0" applyAlignment="0" applyProtection="0">
      <alignment vertical="center"/>
    </xf>
    <xf numFmtId="0" fontId="0" fillId="0" borderId="0">
      <alignment vertical="center"/>
    </xf>
    <xf numFmtId="0" fontId="65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8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3" fillId="4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41" borderId="0" applyNumberFormat="0" applyBorder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15" fillId="0" borderId="0">
      <alignment vertical="center"/>
    </xf>
    <xf numFmtId="0" fontId="43" fillId="42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0" fillId="0" borderId="0"/>
    <xf numFmtId="0" fontId="43" fillId="5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4" borderId="0" applyNumberFormat="0" applyBorder="0" applyAlignment="0" applyProtection="0">
      <alignment vertical="center"/>
    </xf>
    <xf numFmtId="0" fontId="0" fillId="0" borderId="0"/>
    <xf numFmtId="0" fontId="44" fillId="53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4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6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4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/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2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9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0" fillId="5" borderId="20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5" fillId="3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73" fillId="14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5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70" fillId="5" borderId="20" applyNumberFormat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20" borderId="0" applyNumberFormat="0" applyBorder="0" applyAlignment="0" applyProtection="0">
      <alignment vertical="center"/>
    </xf>
    <xf numFmtId="0" fontId="74" fillId="0" borderId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75" fillId="0" borderId="0" applyNumberFormat="0" applyFill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0" borderId="0"/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2" fillId="45" borderId="0" applyNumberFormat="0" applyBorder="0" applyAlignment="0" applyProtection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5" fillId="13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5" fillId="13" borderId="0" applyNumberFormat="0" applyBorder="0" applyAlignment="0" applyProtection="0">
      <alignment vertical="center"/>
    </xf>
    <xf numFmtId="0" fontId="0" fillId="0" borderId="0"/>
    <xf numFmtId="0" fontId="4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7" fillId="9" borderId="19" applyNumberFormat="0" applyAlignment="0" applyProtection="0">
      <alignment vertical="center"/>
    </xf>
    <xf numFmtId="0" fontId="0" fillId="0" borderId="0"/>
    <xf numFmtId="0" fontId="45" fillId="15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5" fillId="2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8" fillId="5" borderId="20" applyNumberFormat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4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9" borderId="0" applyNumberFormat="0" applyBorder="0" applyAlignment="0" applyProtection="0">
      <alignment vertical="center"/>
    </xf>
    <xf numFmtId="0" fontId="0" fillId="0" borderId="0"/>
    <xf numFmtId="0" fontId="5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49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0" fillId="0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/>
    <xf numFmtId="0" fontId="0" fillId="0" borderId="0"/>
    <xf numFmtId="0" fontId="45" fillId="52" borderId="0" applyNumberFormat="0" applyBorder="0" applyAlignment="0" applyProtection="0">
      <alignment vertical="center"/>
    </xf>
    <xf numFmtId="0" fontId="2" fillId="0" borderId="0"/>
    <xf numFmtId="0" fontId="0" fillId="0" borderId="0">
      <alignment vertical="center"/>
    </xf>
    <xf numFmtId="0" fontId="0" fillId="0" borderId="0"/>
    <xf numFmtId="0" fontId="4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38" fillId="5" borderId="20" applyNumberFormat="0" applyAlignment="0" applyProtection="0">
      <alignment vertical="center"/>
    </xf>
    <xf numFmtId="0" fontId="5" fillId="0" borderId="0"/>
    <xf numFmtId="0" fontId="0" fillId="0" borderId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/>
    <xf numFmtId="0" fontId="38" fillId="5" borderId="20" applyNumberFormat="0" applyAlignment="0" applyProtection="0">
      <alignment vertical="center"/>
    </xf>
    <xf numFmtId="0" fontId="15" fillId="0" borderId="0"/>
    <xf numFmtId="0" fontId="1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" fillId="0" borderId="1">
      <alignment horizontal="distributed" vertical="center" wrapText="1"/>
    </xf>
    <xf numFmtId="0" fontId="0" fillId="0" borderId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0" borderId="0"/>
    <xf numFmtId="0" fontId="77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0" borderId="1">
      <alignment horizontal="distributed" vertical="center" wrapText="1"/>
    </xf>
    <xf numFmtId="0" fontId="0" fillId="0" borderId="0"/>
    <xf numFmtId="0" fontId="0" fillId="55" borderId="34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/>
    <xf numFmtId="0" fontId="49" fillId="15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0" fillId="0" borderId="0"/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1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/>
    <xf numFmtId="0" fontId="2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0" borderId="24" applyNumberFormat="0" applyFill="0" applyAlignment="0" applyProtection="0">
      <alignment vertical="center"/>
    </xf>
    <xf numFmtId="0" fontId="0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5" fillId="15" borderId="0" applyNumberFormat="0" applyBorder="0" applyAlignment="0" applyProtection="0">
      <alignment vertical="center"/>
    </xf>
    <xf numFmtId="0" fontId="0" fillId="0" borderId="0"/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0" borderId="24" applyNumberFormat="0" applyFill="0" applyAlignment="0" applyProtection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" fillId="45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7" fillId="0" borderId="1">
      <alignment horizontal="distributed" vertical="center" wrapText="1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2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5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70" fillId="5" borderId="20" applyNumberFormat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9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78" fillId="0" borderId="3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8" fillId="0" borderId="35" applyNumberFormat="0" applyFill="0" applyAlignment="0" applyProtection="0">
      <alignment vertical="center"/>
    </xf>
    <xf numFmtId="0" fontId="0" fillId="0" borderId="0"/>
    <xf numFmtId="0" fontId="0" fillId="0" borderId="0"/>
    <xf numFmtId="0" fontId="70" fillId="5" borderId="20" applyNumberFormat="0" applyAlignment="0" applyProtection="0">
      <alignment vertical="center"/>
    </xf>
    <xf numFmtId="176" fontId="7" fillId="0" borderId="1">
      <alignment vertical="center"/>
      <protection locked="0"/>
    </xf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0">
      <alignment vertical="center"/>
    </xf>
    <xf numFmtId="0" fontId="0" fillId="0" borderId="0"/>
    <xf numFmtId="0" fontId="0" fillId="0" borderId="0">
      <alignment vertical="center"/>
    </xf>
    <xf numFmtId="0" fontId="78" fillId="0" borderId="35" applyNumberFormat="0" applyFill="0" applyAlignment="0" applyProtection="0">
      <alignment vertical="center"/>
    </xf>
    <xf numFmtId="0" fontId="0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8" fillId="5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15" fillId="0" borderId="0"/>
    <xf numFmtId="0" fontId="0" fillId="0" borderId="0"/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4" borderId="19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89" fillId="0" borderId="3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0" fillId="5" borderId="20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0" fillId="0" borderId="0"/>
    <xf numFmtId="0" fontId="45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0" fillId="0" borderId="0"/>
    <xf numFmtId="0" fontId="45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5" fillId="30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5" borderId="0" applyNumberFormat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0" fillId="5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/>
    <xf numFmtId="0" fontId="4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/>
    <xf numFmtId="0" fontId="4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9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53" fillId="20" borderId="0" applyNumberFormat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9" borderId="19" applyNumberFormat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9" fillId="1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" fillId="2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0" fillId="9" borderId="42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91" fillId="0" borderId="0">
      <alignment vertical="center"/>
    </xf>
    <xf numFmtId="0" fontId="45" fillId="26" borderId="0" applyNumberFormat="0" applyBorder="0" applyAlignment="0" applyProtection="0">
      <alignment vertical="center"/>
    </xf>
    <xf numFmtId="0" fontId="0" fillId="0" borderId="0"/>
    <xf numFmtId="0" fontId="45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5" fillId="26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9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9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" fillId="14" borderId="0" applyNumberFormat="0" applyBorder="0" applyAlignment="0" applyProtection="0">
      <alignment vertical="center"/>
    </xf>
    <xf numFmtId="0" fontId="0" fillId="0" borderId="0"/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0" borderId="0"/>
    <xf numFmtId="0" fontId="8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2" fillId="9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8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3" fillId="14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0" borderId="0">
      <alignment vertical="center"/>
    </xf>
    <xf numFmtId="0" fontId="0" fillId="0" borderId="0"/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0" fillId="0" borderId="0"/>
    <xf numFmtId="0" fontId="0" fillId="0" borderId="0"/>
    <xf numFmtId="0" fontId="45" fillId="13" borderId="0" applyNumberFormat="0" applyBorder="0" applyAlignment="0" applyProtection="0">
      <alignment vertical="center"/>
    </xf>
    <xf numFmtId="0" fontId="0" fillId="0" borderId="0"/>
    <xf numFmtId="0" fontId="45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/>
    <xf numFmtId="0" fontId="49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79" fillId="0" borderId="3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79" fillId="0" borderId="35" applyNumberFormat="0" applyFill="0" applyAlignment="0" applyProtection="0">
      <alignment vertical="center"/>
    </xf>
    <xf numFmtId="0" fontId="0" fillId="0" borderId="0">
      <alignment vertical="center"/>
    </xf>
    <xf numFmtId="0" fontId="79" fillId="0" borderId="35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9" borderId="19" applyNumberFormat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15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45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70" fillId="5" borderId="20" applyNumberFormat="0" applyAlignment="0" applyProtection="0">
      <alignment vertical="center"/>
    </xf>
    <xf numFmtId="176" fontId="7" fillId="0" borderId="1">
      <alignment vertical="center"/>
      <protection locked="0"/>
    </xf>
    <xf numFmtId="0" fontId="2" fillId="3" borderId="0" applyNumberFormat="0" applyBorder="0" applyAlignment="0" applyProtection="0">
      <alignment vertical="center"/>
    </xf>
    <xf numFmtId="0" fontId="6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49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49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" fillId="3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49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46" fillId="0" borderId="0"/>
    <xf numFmtId="0" fontId="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0" borderId="0"/>
    <xf numFmtId="0" fontId="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6" fillId="0" borderId="0"/>
    <xf numFmtId="0" fontId="69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6" fillId="0" borderId="0"/>
    <xf numFmtId="0" fontId="2" fillId="9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/>
    <xf numFmtId="0" fontId="2" fillId="24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1" fontId="15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0" fillId="0" borderId="0"/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37" fontId="92" fillId="0" borderId="0">
      <alignment vertical="center"/>
    </xf>
    <xf numFmtId="0" fontId="2" fillId="14" borderId="0" applyNumberFormat="0" applyBorder="0" applyAlignment="0" applyProtection="0">
      <alignment vertical="center"/>
    </xf>
    <xf numFmtId="37" fontId="92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9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89" fontId="85" fillId="0" borderId="0">
      <alignment vertical="center"/>
    </xf>
    <xf numFmtId="0" fontId="37" fillId="9" borderId="19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7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2" fillId="0" borderId="0"/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76" fillId="0" borderId="0"/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0" borderId="0"/>
    <xf numFmtId="0" fontId="83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2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78" fillId="0" borderId="3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78" fillId="0" borderId="3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0" borderId="0"/>
    <xf numFmtId="0" fontId="2" fillId="6" borderId="0" applyNumberFormat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2" fillId="24" borderId="0" applyNumberFormat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87" fillId="0" borderId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/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24" borderId="0" applyNumberFormat="0" applyBorder="0" applyAlignment="0" applyProtection="0">
      <alignment vertical="center"/>
    </xf>
    <xf numFmtId="0" fontId="0" fillId="0" borderId="0"/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/>
    <xf numFmtId="0" fontId="37" fillId="4" borderId="19" applyNumberFormat="0" applyAlignment="0" applyProtection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6" fillId="0" borderId="0"/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6" fillId="0" borderId="0"/>
    <xf numFmtId="0" fontId="2" fillId="14" borderId="0" applyNumberFormat="0" applyBorder="0" applyAlignment="0" applyProtection="0">
      <alignment vertical="center"/>
    </xf>
    <xf numFmtId="0" fontId="2" fillId="0" borderId="0"/>
    <xf numFmtId="0" fontId="2" fillId="23" borderId="0" applyNumberFormat="0" applyBorder="0" applyAlignment="0" applyProtection="0">
      <alignment vertical="center"/>
    </xf>
    <xf numFmtId="0" fontId="46" fillId="0" borderId="0"/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6" fillId="0" borderId="0"/>
    <xf numFmtId="0" fontId="2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0" borderId="0"/>
    <xf numFmtId="0" fontId="2" fillId="2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2" fillId="23" borderId="0" applyNumberFormat="0" applyBorder="0" applyAlignment="0" applyProtection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" fillId="2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/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/>
    <xf numFmtId="0" fontId="2" fillId="23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/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9" fillId="13" borderId="0" applyNumberFormat="0" applyBorder="0" applyAlignment="0" applyProtection="0">
      <alignment vertical="center"/>
    </xf>
    <xf numFmtId="184" fontId="76" fillId="0" borderId="0" applyFill="0" applyBorder="0" applyAlignment="0"/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2" fillId="0" borderId="0"/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/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/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/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/>
    <xf numFmtId="0" fontId="75" fillId="0" borderId="36" applyNumberFormat="0" applyFill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85" fontId="85" fillId="0" borderId="0"/>
    <xf numFmtId="0" fontId="0" fillId="0" borderId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15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0" fillId="0" borderId="0"/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9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9" fillId="16" borderId="0" applyNumberFormat="0" applyBorder="0" applyAlignment="0" applyProtection="0">
      <alignment vertical="center"/>
    </xf>
    <xf numFmtId="0" fontId="0" fillId="0" borderId="0"/>
    <xf numFmtId="0" fontId="49" fillId="1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5" fillId="6" borderId="0" applyNumberFormat="0" applyBorder="0" applyAlignment="0" applyProtection="0">
      <alignment vertical="center"/>
    </xf>
    <xf numFmtId="0" fontId="6" fillId="0" borderId="0"/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5" fillId="30" borderId="0" applyNumberFormat="0" applyBorder="0" applyAlignment="0" applyProtection="0">
      <alignment vertical="center"/>
    </xf>
    <xf numFmtId="0" fontId="0" fillId="0" borderId="0"/>
    <xf numFmtId="0" fontId="45" fillId="3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5" fillId="30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5" fillId="30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0" fillId="0" borderId="0"/>
    <xf numFmtId="0" fontId="45" fillId="3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45" fillId="30" borderId="0" applyNumberFormat="0" applyBorder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15" fillId="0" borderId="0"/>
    <xf numFmtId="0" fontId="15" fillId="0" borderId="0"/>
    <xf numFmtId="0" fontId="45" fillId="3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15" fillId="0" borderId="0"/>
    <xf numFmtId="0" fontId="0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/>
    <xf numFmtId="0" fontId="45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2" fontId="86" fillId="0" borderId="0" applyProtection="0"/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0" fillId="0" borderId="0"/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2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0" fillId="0" borderId="0"/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84" fillId="0" borderId="40" applyNumberFormat="0" applyAlignment="0" applyProtection="0">
      <alignment horizontal="left"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/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0" fillId="0" borderId="0"/>
    <xf numFmtId="0" fontId="45" fillId="14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4" fontId="76" fillId="0" borderId="0" applyFill="0" applyBorder="0" applyAlignment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/>
    <xf numFmtId="185" fontId="85" fillId="0" borderId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188" fontId="15" fillId="0" borderId="0" applyFont="0" applyFill="0" applyBorder="0" applyAlignment="0" applyProtection="0"/>
    <xf numFmtId="0" fontId="37" fillId="9" borderId="19" applyNumberFormat="0" applyAlignment="0" applyProtection="0">
      <alignment vertical="center"/>
    </xf>
    <xf numFmtId="189" fontId="85" fillId="0" borderId="0"/>
    <xf numFmtId="0" fontId="37" fillId="4" borderId="19" applyNumberFormat="0" applyAlignment="0" applyProtection="0">
      <alignment vertical="center"/>
    </xf>
    <xf numFmtId="0" fontId="86" fillId="0" borderId="0" applyProtection="0">
      <alignment vertical="center"/>
    </xf>
    <xf numFmtId="0" fontId="86" fillId="0" borderId="0" applyProtection="0"/>
    <xf numFmtId="179" fontId="0" fillId="0" borderId="0" applyFont="0" applyFill="0" applyBorder="0" applyAlignment="0" applyProtection="0"/>
    <xf numFmtId="178" fontId="85" fillId="0" borderId="0">
      <alignment vertical="center"/>
    </xf>
    <xf numFmtId="178" fontId="85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86" fillId="0" borderId="0" applyProtection="0">
      <alignment vertical="center"/>
    </xf>
    <xf numFmtId="0" fontId="84" fillId="0" borderId="40" applyNumberFormat="0" applyAlignment="0" applyProtection="0">
      <alignment horizontal="left" vertical="center"/>
    </xf>
    <xf numFmtId="0" fontId="49" fillId="1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4" fillId="0" borderId="4">
      <alignment horizontal="left" vertical="center"/>
    </xf>
    <xf numFmtId="0" fontId="84" fillId="0" borderId="4">
      <alignment horizontal="left" vertical="center"/>
    </xf>
    <xf numFmtId="0" fontId="87" fillId="0" borderId="0" applyProtection="0"/>
    <xf numFmtId="0" fontId="84" fillId="0" borderId="0" applyProtection="0">
      <alignment vertical="center"/>
    </xf>
    <xf numFmtId="0" fontId="84" fillId="0" borderId="0" applyProtection="0"/>
    <xf numFmtId="0" fontId="88" fillId="0" borderId="0">
      <alignment vertical="center"/>
    </xf>
    <xf numFmtId="0" fontId="0" fillId="0" borderId="0"/>
    <xf numFmtId="0" fontId="86" fillId="0" borderId="41" applyProtection="0">
      <alignment vertical="center"/>
    </xf>
    <xf numFmtId="0" fontId="7" fillId="0" borderId="1">
      <alignment horizontal="distributed" vertical="center" wrapText="1"/>
    </xf>
    <xf numFmtId="0" fontId="80" fillId="0" borderId="37" applyNumberFormat="0" applyFill="0" applyAlignment="0" applyProtection="0">
      <alignment vertical="center"/>
    </xf>
    <xf numFmtId="0" fontId="86" fillId="0" borderId="41" applyProtection="0"/>
    <xf numFmtId="0" fontId="70" fillId="5" borderId="20" applyNumberFormat="0" applyAlignment="0" applyProtection="0">
      <alignment vertical="center"/>
    </xf>
    <xf numFmtId="0" fontId="0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7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82" fillId="0" borderId="39" applyNumberFormat="0" applyFill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0" fillId="0" borderId="0"/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0" fillId="0" borderId="0"/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0" fillId="0" borderId="0"/>
    <xf numFmtId="0" fontId="79" fillId="0" borderId="35" applyNumberFormat="0" applyFill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53" fillId="2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75" fillId="0" borderId="36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53" fillId="2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75" fillId="0" borderId="36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0" fillId="0" borderId="0"/>
    <xf numFmtId="0" fontId="80" fillId="0" borderId="37" applyNumberFormat="0" applyFill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80" fillId="0" borderId="37" applyNumberFormat="0" applyFill="0" applyAlignment="0" applyProtection="0">
      <alignment vertical="center"/>
    </xf>
    <xf numFmtId="0" fontId="81" fillId="0" borderId="38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51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/>
    <xf numFmtId="0" fontId="6" fillId="0" borderId="0"/>
    <xf numFmtId="0" fontId="45" fillId="5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179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0" fillId="0" borderId="0" applyFont="0" applyFill="0" applyBorder="0" applyAlignment="0" applyProtection="0"/>
    <xf numFmtId="0" fontId="6" fillId="0" borderId="0"/>
    <xf numFmtId="0" fontId="21" fillId="0" borderId="3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6" fillId="0" borderId="0"/>
    <xf numFmtId="0" fontId="42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/>
    <xf numFmtId="0" fontId="2" fillId="0" borderId="0"/>
    <xf numFmtId="0" fontId="5" fillId="0" borderId="0">
      <alignment vertical="center"/>
    </xf>
    <xf numFmtId="0" fontId="5" fillId="0" borderId="0"/>
    <xf numFmtId="179" fontId="0" fillId="0" borderId="0" applyFont="0" applyFill="0" applyBorder="0" applyAlignment="0" applyProtection="0"/>
    <xf numFmtId="0" fontId="5" fillId="0" borderId="0"/>
    <xf numFmtId="0" fontId="2" fillId="0" borderId="0"/>
    <xf numFmtId="0" fontId="5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0" fillId="0" borderId="0"/>
    <xf numFmtId="0" fontId="70" fillId="5" borderId="20" applyNumberFormat="0" applyAlignment="0" applyProtection="0">
      <alignment vertical="center"/>
    </xf>
    <xf numFmtId="0" fontId="15" fillId="0" borderId="0"/>
    <xf numFmtId="0" fontId="1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>
      <alignment vertical="center"/>
    </xf>
    <xf numFmtId="0" fontId="2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0" fillId="4" borderId="4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90" fillId="4" borderId="42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2" fillId="0" borderId="0"/>
    <xf numFmtId="0" fontId="0" fillId="0" borderId="0"/>
    <xf numFmtId="0" fontId="90" fillId="9" borderId="4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1" fillId="0" borderId="3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90" fillId="4" borderId="4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0" fillId="5" borderId="20" applyNumberFormat="0" applyAlignment="0" applyProtection="0">
      <alignment vertical="center"/>
    </xf>
    <xf numFmtId="176" fontId="7" fillId="0" borderId="1">
      <alignment vertical="center"/>
      <protection locked="0"/>
    </xf>
    <xf numFmtId="0" fontId="2" fillId="0" borderId="0"/>
    <xf numFmtId="0" fontId="70" fillId="5" borderId="20" applyNumberFormat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179" fontId="0" fillId="0" borderId="0" applyFont="0" applyFill="0" applyBorder="0" applyAlignment="0" applyProtection="0"/>
    <xf numFmtId="0" fontId="6" fillId="0" borderId="0"/>
    <xf numFmtId="0" fontId="0" fillId="0" borderId="0">
      <alignment vertical="center"/>
    </xf>
    <xf numFmtId="0" fontId="0" fillId="0" borderId="0"/>
    <xf numFmtId="0" fontId="73" fillId="14" borderId="19" applyNumberFormat="0" applyAlignment="0" applyProtection="0">
      <alignment vertical="center"/>
    </xf>
    <xf numFmtId="0" fontId="0" fillId="0" borderId="0">
      <alignment vertical="center"/>
    </xf>
    <xf numFmtId="0" fontId="73" fillId="14" borderId="19" applyNumberFormat="0" applyAlignment="0" applyProtection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3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9" fontId="0" fillId="0" borderId="0" applyFont="0" applyFill="0" applyBorder="0" applyAlignment="0" applyProtection="0"/>
    <xf numFmtId="0" fontId="6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79" fontId="0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9" fontId="0" fillId="0" borderId="0" applyFont="0" applyFill="0" applyBorder="0" applyAlignment="0" applyProtection="0"/>
    <xf numFmtId="0" fontId="6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>
      <alignment vertical="center"/>
    </xf>
    <xf numFmtId="0" fontId="46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46" fillId="0" borderId="0">
      <alignment vertical="center"/>
    </xf>
    <xf numFmtId="0" fontId="0" fillId="0" borderId="0"/>
    <xf numFmtId="191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6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5" borderId="20" applyNumberFormat="0" applyAlignment="0" applyProtection="0">
      <alignment vertical="center"/>
    </xf>
    <xf numFmtId="0" fontId="0" fillId="0" borderId="0"/>
    <xf numFmtId="0" fontId="45" fillId="13" borderId="0" applyNumberFormat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6" fillId="0" borderId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5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5" fillId="0" borderId="0"/>
    <xf numFmtId="0" fontId="53" fillId="2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0" fontId="0" fillId="0" borderId="0">
      <alignment vertical="center"/>
    </xf>
    <xf numFmtId="0" fontId="4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" fillId="0" borderId="0"/>
    <xf numFmtId="0" fontId="0" fillId="0" borderId="0"/>
    <xf numFmtId="0" fontId="0" fillId="0" borderId="0"/>
    <xf numFmtId="0" fontId="37" fillId="4" borderId="19" applyNumberFormat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21" fillId="0" borderId="33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7" fillId="9" borderId="19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73" fillId="14" borderId="19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73" fillId="14" borderId="19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7" fillId="9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7" fillId="9" borderId="19" applyNumberFormat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38" fillId="5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5" borderId="20" applyNumberFormat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70" fillId="5" borderId="20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95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90" fillId="9" borderId="4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90" fillId="9" borderId="4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90" fillId="4" borderId="4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90" fillId="9" borderId="42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9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90" fillId="4" borderId="42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73" fillId="14" borderId="19" applyNumberFormat="0" applyAlignment="0" applyProtection="0">
      <alignment vertical="center"/>
    </xf>
    <xf numFmtId="0" fontId="73" fillId="14" borderId="19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97" fillId="0" borderId="0">
      <alignment vertical="center"/>
    </xf>
    <xf numFmtId="0" fontId="97" fillId="0" borderId="0"/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176" fontId="7" fillId="0" borderId="1">
      <alignment vertical="center"/>
      <protection locked="0"/>
    </xf>
    <xf numFmtId="0" fontId="15" fillId="0" borderId="0"/>
    <xf numFmtId="0" fontId="45" fillId="5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2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2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2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2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2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0" fillId="55" borderId="34" applyNumberFormat="0" applyFont="0" applyAlignment="0" applyProtection="0">
      <alignment vertical="center"/>
    </xf>
    <xf numFmtId="0" fontId="2" fillId="55" borderId="34" applyNumberFormat="0" applyFont="0" applyAlignment="0" applyProtection="0">
      <alignment vertical="center"/>
    </xf>
    <xf numFmtId="0" fontId="0" fillId="0" borderId="0"/>
  </cellStyleXfs>
  <cellXfs count="19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4999" applyFont="1" applyAlignment="1">
      <alignment horizontal="center" vertical="top" wrapText="1"/>
    </xf>
    <xf numFmtId="0" fontId="2" fillId="0" borderId="0" xfId="4999" applyFont="1" applyBorder="1" applyAlignment="1">
      <alignment horizontal="left" vertical="center" wrapText="1"/>
    </xf>
    <xf numFmtId="0" fontId="2" fillId="0" borderId="1" xfId="4999" applyFont="1" applyBorder="1" applyAlignment="1">
      <alignment vertical="center" wrapText="1"/>
    </xf>
    <xf numFmtId="0" fontId="2" fillId="0" borderId="1" xfId="4999" applyFont="1" applyBorder="1" applyAlignment="1">
      <alignment horizontal="center" vertical="center" wrapText="1"/>
    </xf>
    <xf numFmtId="0" fontId="2" fillId="0" borderId="2" xfId="4999" applyFont="1" applyBorder="1" applyAlignment="1">
      <alignment horizontal="center" vertical="center" wrapText="1"/>
    </xf>
    <xf numFmtId="0" fontId="2" fillId="0" borderId="3" xfId="4999" applyFont="1" applyBorder="1" applyAlignment="1">
      <alignment horizontal="center" vertical="center" wrapText="1"/>
    </xf>
    <xf numFmtId="0" fontId="2" fillId="0" borderId="4" xfId="4999" applyFont="1" applyBorder="1" applyAlignment="1">
      <alignment horizontal="center" vertical="center" wrapText="1"/>
    </xf>
    <xf numFmtId="0" fontId="2" fillId="0" borderId="5" xfId="4999" applyFont="1" applyBorder="1" applyAlignment="1">
      <alignment horizontal="center" vertical="center" wrapText="1"/>
    </xf>
    <xf numFmtId="190" fontId="2" fillId="0" borderId="3" xfId="4999" applyNumberFormat="1" applyFont="1" applyBorder="1" applyAlignment="1">
      <alignment horizontal="center" vertical="center" wrapText="1"/>
    </xf>
    <xf numFmtId="0" fontId="2" fillId="0" borderId="6" xfId="4999" applyFont="1" applyBorder="1" applyAlignment="1">
      <alignment horizontal="center" vertical="center" wrapText="1"/>
    </xf>
    <xf numFmtId="9" fontId="2" fillId="0" borderId="1" xfId="4999" applyNumberFormat="1" applyFont="1" applyBorder="1" applyAlignment="1">
      <alignment horizontal="center" vertical="center" wrapText="1"/>
    </xf>
    <xf numFmtId="0" fontId="2" fillId="0" borderId="7" xfId="4999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4999" applyFont="1" applyBorder="1" applyAlignment="1">
      <alignment horizontal="justify" vertical="center" wrapText="1"/>
    </xf>
    <xf numFmtId="0" fontId="2" fillId="0" borderId="0" xfId="4999" applyFont="1" applyAlignment="1">
      <alignment vertical="center"/>
    </xf>
    <xf numFmtId="0" fontId="4" fillId="0" borderId="0" xfId="4999" applyFont="1" applyAlignment="1">
      <alignment vertical="center"/>
    </xf>
    <xf numFmtId="0" fontId="2" fillId="0" borderId="0" xfId="4999" applyFont="1" applyAlignment="1">
      <alignment horizontal="left" vertical="center"/>
    </xf>
    <xf numFmtId="0" fontId="5" fillId="0" borderId="0" xfId="4999" applyFont="1" applyAlignment="1">
      <alignment horizontal="left" vertical="center" wrapText="1"/>
    </xf>
    <xf numFmtId="0" fontId="2" fillId="0" borderId="1" xfId="4999" applyFont="1" applyBorder="1" applyAlignment="1">
      <alignment horizontal="justify" vertical="center"/>
    </xf>
    <xf numFmtId="190" fontId="2" fillId="0" borderId="4" xfId="4999" applyNumberFormat="1" applyFont="1" applyBorder="1" applyAlignment="1">
      <alignment horizontal="center" vertical="center" wrapText="1"/>
    </xf>
    <xf numFmtId="190" fontId="2" fillId="0" borderId="5" xfId="4999" applyNumberFormat="1" applyFont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10" fillId="0" borderId="0" xfId="0" applyFont="1" applyFill="1" applyAlignment="1">
      <alignment horizontal="justify" vertical="center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/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/>
    <xf numFmtId="0" fontId="14" fillId="0" borderId="1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5" fillId="0" borderId="0" xfId="3859"/>
    <xf numFmtId="0" fontId="11" fillId="0" borderId="0" xfId="3859" applyFont="1" applyAlignment="1">
      <alignment horizontal="center" vertical="center"/>
    </xf>
    <xf numFmtId="0" fontId="16" fillId="0" borderId="0" xfId="3859" applyFont="1" applyBorder="1" applyAlignment="1">
      <alignment vertical="center"/>
    </xf>
    <xf numFmtId="0" fontId="17" fillId="0" borderId="0" xfId="3859" applyFont="1" applyAlignment="1">
      <alignment horizontal="right" vertical="center"/>
    </xf>
    <xf numFmtId="0" fontId="18" fillId="0" borderId="1" xfId="3859" applyFont="1" applyBorder="1" applyAlignment="1">
      <alignment horizontal="center" vertical="center"/>
    </xf>
    <xf numFmtId="0" fontId="17" fillId="0" borderId="1" xfId="3859" applyFont="1" applyBorder="1" applyAlignment="1">
      <alignment vertical="center"/>
    </xf>
    <xf numFmtId="0" fontId="17" fillId="0" borderId="1" xfId="3859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190" fontId="0" fillId="0" borderId="0" xfId="0" applyNumberFormat="1" applyAlignment="1">
      <alignment vertical="center"/>
    </xf>
    <xf numFmtId="0" fontId="0" fillId="0" borderId="0" xfId="3298" applyFont="1"/>
    <xf numFmtId="0" fontId="15" fillId="0" borderId="0" xfId="3298"/>
    <xf numFmtId="190" fontId="0" fillId="0" borderId="0" xfId="0" applyNumberFormat="1">
      <alignment vertical="center"/>
    </xf>
    <xf numFmtId="0" fontId="20" fillId="0" borderId="0" xfId="3469" applyFont="1" applyAlignment="1">
      <alignment horizontal="center" vertical="center"/>
    </xf>
    <xf numFmtId="190" fontId="20" fillId="0" borderId="0" xfId="3469" applyNumberFormat="1" applyFont="1" applyAlignment="1">
      <alignment horizontal="center" vertical="center"/>
    </xf>
    <xf numFmtId="0" fontId="15" fillId="0" borderId="0" xfId="3298" applyAlignment="1">
      <alignment vertical="center"/>
    </xf>
    <xf numFmtId="0" fontId="7" fillId="0" borderId="0" xfId="2318" applyFont="1" applyBorder="1" applyAlignment="1">
      <alignment horizontal="right" vertical="center"/>
    </xf>
    <xf numFmtId="190" fontId="7" fillId="0" borderId="0" xfId="2318" applyNumberFormat="1" applyFont="1" applyBorder="1" applyAlignment="1">
      <alignment horizontal="right" vertical="center"/>
    </xf>
    <xf numFmtId="0" fontId="21" fillId="0" borderId="1" xfId="3431" applyFont="1" applyFill="1" applyBorder="1" applyAlignment="1">
      <alignment horizontal="center" vertical="center" wrapText="1"/>
    </xf>
    <xf numFmtId="0" fontId="21" fillId="0" borderId="1" xfId="3431" applyFont="1" applyFill="1" applyBorder="1" applyAlignment="1">
      <alignment horizontal="center" vertical="center"/>
    </xf>
    <xf numFmtId="190" fontId="21" fillId="0" borderId="1" xfId="3431" applyNumberFormat="1" applyFont="1" applyFill="1" applyBorder="1" applyAlignment="1">
      <alignment horizontal="center" vertical="center"/>
    </xf>
    <xf numFmtId="190" fontId="21" fillId="0" borderId="1" xfId="3431" applyNumberFormat="1" applyFont="1" applyFill="1" applyBorder="1" applyAlignment="1">
      <alignment horizontal="right" vertical="center" shrinkToFit="1"/>
    </xf>
    <xf numFmtId="49" fontId="22" fillId="0" borderId="1" xfId="2157" applyNumberFormat="1" applyFont="1" applyBorder="1" applyAlignment="1">
      <alignment vertical="center"/>
    </xf>
    <xf numFmtId="49" fontId="7" fillId="0" borderId="1" xfId="2157" applyNumberFormat="1" applyFont="1" applyBorder="1" applyAlignment="1">
      <alignment vertical="center"/>
    </xf>
    <xf numFmtId="190" fontId="2" fillId="0" borderId="1" xfId="3431" applyNumberFormat="1" applyFont="1" applyFill="1" applyBorder="1" applyAlignment="1">
      <alignment horizontal="right" vertical="center" shrinkToFit="1"/>
    </xf>
    <xf numFmtId="49" fontId="7" fillId="0" borderId="1" xfId="2157" applyNumberFormat="1" applyFont="1" applyBorder="1" applyAlignment="1">
      <alignment vertical="center" wrapText="1"/>
    </xf>
    <xf numFmtId="190" fontId="7" fillId="0" borderId="1" xfId="0" applyNumberFormat="1" applyFont="1" applyBorder="1" applyAlignment="1">
      <alignment vertical="center"/>
    </xf>
    <xf numFmtId="190" fontId="22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23" fillId="2" borderId="0" xfId="0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190" fontId="21" fillId="0" borderId="16" xfId="0" applyNumberFormat="1" applyFont="1" applyFill="1" applyBorder="1" applyAlignment="1">
      <alignment horizontal="right" vertical="center"/>
    </xf>
    <xf numFmtId="0" fontId="24" fillId="0" borderId="16" xfId="2161" applyFont="1" applyBorder="1" applyAlignment="1">
      <alignment horizontal="left" vertical="center" wrapText="1"/>
    </xf>
    <xf numFmtId="190" fontId="25" fillId="0" borderId="16" xfId="0" applyNumberFormat="1" applyFont="1" applyFill="1" applyBorder="1" applyAlignment="1">
      <alignment horizontal="right" vertical="center"/>
    </xf>
    <xf numFmtId="190" fontId="13" fillId="0" borderId="16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3727" applyFont="1"/>
    <xf numFmtId="0" fontId="26" fillId="0" borderId="0" xfId="2318" applyFont="1" applyAlignment="1">
      <alignment vertical="center"/>
    </xf>
    <xf numFmtId="0" fontId="11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22" fillId="0" borderId="1" xfId="2318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7" fillId="0" borderId="1" xfId="1732" applyFont="1" applyBorder="1" applyAlignment="1">
      <alignment horizontal="center" vertical="center"/>
    </xf>
    <xf numFmtId="0" fontId="7" fillId="0" borderId="1" xfId="3727" applyFont="1" applyBorder="1" applyAlignment="1">
      <alignment horizontal="center"/>
    </xf>
    <xf numFmtId="0" fontId="7" fillId="0" borderId="1" xfId="1732" applyFont="1" applyBorder="1" applyAlignment="1">
      <alignment vertical="center"/>
    </xf>
    <xf numFmtId="0" fontId="7" fillId="0" borderId="1" xfId="3804" applyFont="1" applyBorder="1"/>
    <xf numFmtId="49" fontId="7" fillId="0" borderId="1" xfId="1732" applyNumberFormat="1" applyFont="1" applyFill="1" applyBorder="1" applyAlignment="1">
      <alignment horizontal="left" vertical="center"/>
    </xf>
    <xf numFmtId="192" fontId="7" fillId="0" borderId="1" xfId="1732" applyNumberFormat="1" applyFont="1" applyFill="1" applyBorder="1" applyAlignment="1">
      <alignment horizontal="left" vertical="center"/>
    </xf>
    <xf numFmtId="0" fontId="7" fillId="0" borderId="1" xfId="1732" applyFont="1" applyBorder="1"/>
    <xf numFmtId="192" fontId="27" fillId="0" borderId="0" xfId="3798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27" fillId="0" borderId="0" xfId="3798" applyNumberFormat="1" applyFont="1" applyFill="1" applyBorder="1" applyAlignment="1" applyProtection="1">
      <alignment horizontal="left" wrapText="1"/>
    </xf>
    <xf numFmtId="0" fontId="27" fillId="0" borderId="0" xfId="0" applyFont="1" applyAlignment="1">
      <alignment horizontal="left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left" vertical="center" wrapText="1"/>
    </xf>
    <xf numFmtId="0" fontId="7" fillId="0" borderId="1" xfId="3804" applyFont="1" applyBorder="1" applyAlignment="1">
      <alignment vertical="center"/>
    </xf>
    <xf numFmtId="190" fontId="2" fillId="0" borderId="1" xfId="0" applyNumberFormat="1" applyFont="1" applyFill="1" applyBorder="1" applyAlignment="1">
      <alignment horizontal="right" vertical="center" wrapText="1"/>
    </xf>
    <xf numFmtId="49" fontId="28" fillId="0" borderId="18" xfId="0" applyNumberFormat="1" applyFont="1" applyFill="1" applyBorder="1" applyAlignment="1">
      <alignment horizontal="left" vertical="center" wrapText="1"/>
    </xf>
    <xf numFmtId="49" fontId="29" fillId="0" borderId="1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left" vertical="center" wrapText="1"/>
    </xf>
    <xf numFmtId="0" fontId="7" fillId="0" borderId="1" xfId="3804" applyFont="1" applyBorder="1" applyAlignment="1">
      <alignment horizontal="center" vertical="center"/>
    </xf>
    <xf numFmtId="192" fontId="14" fillId="0" borderId="0" xfId="3798" applyNumberFormat="1" applyFont="1" applyFill="1" applyBorder="1" applyAlignment="1">
      <alignment horizontal="left"/>
    </xf>
    <xf numFmtId="0" fontId="14" fillId="0" borderId="0" xfId="3798" applyNumberFormat="1" applyFont="1" applyFill="1" applyBorder="1" applyAlignment="1" applyProtection="1">
      <alignment horizontal="left" wrapText="1"/>
    </xf>
    <xf numFmtId="0" fontId="11" fillId="0" borderId="0" xfId="3494" applyFont="1" applyAlignment="1">
      <alignment horizontal="center" vertical="center"/>
    </xf>
    <xf numFmtId="0" fontId="0" fillId="0" borderId="0" xfId="3494" applyFont="1"/>
    <xf numFmtId="0" fontId="5" fillId="0" borderId="0" xfId="3494" applyFont="1" applyAlignment="1">
      <alignment horizontal="right" vertical="center"/>
    </xf>
    <xf numFmtId="0" fontId="22" fillId="0" borderId="1" xfId="3494" applyFont="1" applyBorder="1" applyAlignment="1">
      <alignment horizontal="centerContinuous" vertical="center"/>
    </xf>
    <xf numFmtId="0" fontId="22" fillId="0" borderId="1" xfId="3494" applyFont="1" applyBorder="1" applyAlignment="1">
      <alignment horizontal="center" vertical="center"/>
    </xf>
    <xf numFmtId="0" fontId="7" fillId="0" borderId="1" xfId="3494" applyFont="1" applyBorder="1" applyAlignment="1">
      <alignment vertical="center"/>
    </xf>
    <xf numFmtId="193" fontId="7" fillId="0" borderId="1" xfId="3494" applyNumberFormat="1" applyFont="1" applyFill="1" applyBorder="1" applyAlignment="1">
      <alignment horizontal="right" vertical="center" wrapText="1"/>
    </xf>
    <xf numFmtId="193" fontId="7" fillId="0" borderId="1" xfId="3492" applyNumberFormat="1" applyFont="1" applyFill="1" applyBorder="1" applyAlignment="1">
      <alignment horizontal="right" vertical="center"/>
    </xf>
    <xf numFmtId="193" fontId="7" fillId="0" borderId="1" xfId="3492" applyNumberFormat="1" applyFont="1" applyFill="1" applyBorder="1" applyAlignment="1">
      <alignment horizontal="right" vertical="center" wrapText="1"/>
    </xf>
    <xf numFmtId="0" fontId="7" fillId="0" borderId="1" xfId="3494" applyFont="1" applyBorder="1" applyAlignment="1">
      <alignment horizontal="center" vertical="center"/>
    </xf>
    <xf numFmtId="4" fontId="7" fillId="0" borderId="1" xfId="3494" applyNumberFormat="1" applyFont="1" applyFill="1" applyBorder="1" applyAlignment="1">
      <alignment horizontal="right" vertical="center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27" fillId="0" borderId="1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right" vertical="center"/>
    </xf>
    <xf numFmtId="0" fontId="21" fillId="0" borderId="1" xfId="0" applyFont="1" applyBorder="1" applyAlignment="1">
      <alignment horizontal="centerContinuous" vertical="center" wrapText="1"/>
    </xf>
    <xf numFmtId="0" fontId="22" fillId="0" borderId="2" xfId="3799" applyNumberFormat="1" applyFont="1" applyFill="1" applyBorder="1" applyAlignment="1" applyProtection="1">
      <alignment horizontal="center" vertical="center" wrapText="1"/>
    </xf>
    <xf numFmtId="0" fontId="22" fillId="0" borderId="6" xfId="3799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5" fillId="0" borderId="0" xfId="3488" applyFont="1"/>
    <xf numFmtId="49" fontId="5" fillId="0" borderId="0" xfId="3488" applyNumberFormat="1" applyFont="1" applyFill="1" applyAlignment="1" applyProtection="1">
      <alignment horizontal="center" vertical="center"/>
    </xf>
    <xf numFmtId="0" fontId="5" fillId="0" borderId="0" xfId="3488" applyFont="1" applyAlignment="1">
      <alignment horizontal="center" vertical="center" wrapText="1"/>
    </xf>
    <xf numFmtId="183" fontId="5" fillId="0" borderId="0" xfId="3488" applyNumberFormat="1" applyFont="1" applyAlignment="1">
      <alignment horizontal="center" vertical="center"/>
    </xf>
    <xf numFmtId="0" fontId="5" fillId="0" borderId="0" xfId="3488" applyFont="1" applyAlignment="1">
      <alignment horizontal="center" vertical="center"/>
    </xf>
    <xf numFmtId="49" fontId="11" fillId="0" borderId="0" xfId="3488" applyNumberFormat="1" applyFont="1" applyFill="1" applyAlignment="1" applyProtection="1">
      <alignment horizontal="center" vertical="center" wrapText="1"/>
    </xf>
    <xf numFmtId="49" fontId="34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83" fontId="0" fillId="0" borderId="0" xfId="3488" applyNumberFormat="1" applyFont="1" applyAlignment="1">
      <alignment horizontal="center" vertical="center"/>
    </xf>
    <xf numFmtId="0" fontId="7" fillId="0" borderId="14" xfId="3488" applyFont="1" applyBorder="1" applyAlignment="1">
      <alignment horizontal="right" vertical="center"/>
    </xf>
    <xf numFmtId="0" fontId="22" fillId="0" borderId="1" xfId="3488" applyNumberFormat="1" applyFont="1" applyFill="1" applyBorder="1" applyAlignment="1" applyProtection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3799" applyNumberFormat="1" applyFont="1" applyFill="1" applyBorder="1" applyAlignment="1" applyProtection="1">
      <alignment horizontal="center" vertical="center" wrapText="1"/>
    </xf>
    <xf numFmtId="0" fontId="7" fillId="0" borderId="1" xfId="3488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7" fillId="0" borderId="1" xfId="3488" applyNumberFormat="1" applyFont="1" applyFill="1" applyBorder="1" applyAlignment="1">
      <alignment horizontal="left" vertical="center" wrapText="1"/>
    </xf>
    <xf numFmtId="4" fontId="7" fillId="0" borderId="1" xfId="3488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22" fillId="0" borderId="1" xfId="3492" applyFont="1" applyBorder="1" applyAlignment="1">
      <alignment horizontal="centerContinuous" vertical="center"/>
    </xf>
    <xf numFmtId="0" fontId="22" fillId="0" borderId="1" xfId="3492" applyFont="1" applyBorder="1" applyAlignment="1">
      <alignment horizontal="center" vertical="center"/>
    </xf>
    <xf numFmtId="0" fontId="7" fillId="0" borderId="1" xfId="3492" applyFont="1" applyBorder="1" applyAlignment="1">
      <alignment vertical="center"/>
    </xf>
    <xf numFmtId="0" fontId="7" fillId="0" borderId="1" xfId="164" applyFont="1" applyBorder="1" applyAlignment="1">
      <alignment vertical="center"/>
    </xf>
    <xf numFmtId="0" fontId="7" fillId="0" borderId="1" xfId="3492" applyFont="1" applyBorder="1" applyAlignment="1">
      <alignment horizontal="center" vertical="center"/>
    </xf>
    <xf numFmtId="4" fontId="7" fillId="0" borderId="1" xfId="3492" applyNumberFormat="1" applyFont="1" applyFill="1" applyBorder="1" applyAlignment="1">
      <alignment horizontal="right" vertical="center" wrapText="1"/>
    </xf>
    <xf numFmtId="0" fontId="22" fillId="0" borderId="1" xfId="2318" applyFont="1" applyBorder="1" applyAlignment="1" quotePrefix="1">
      <alignment horizontal="center" vertical="center"/>
    </xf>
  </cellXfs>
  <cellStyles count="5000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20% - 强调文字颜色 2 2 3_2015财政决算公开" xfId="22"/>
    <cellStyle name="?鹎%U龡&amp;H齲_x0001_C铣_x0014__x0007__x0001__x0001_ 2 5 2 2" xfId="23"/>
    <cellStyle name="差" xfId="24" builtinId="27"/>
    <cellStyle name="40% - 强调文字颜色 2 5 2 2" xfId="25"/>
    <cellStyle name="?鹎%U龡&amp;H齲_x0001_C铣_x0014__x0007__x0001__x0001_ 3 2 2 6_2015财政决算公开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  <cellStyle name="常规_Sheet1" xfId="499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tabSelected="1" workbookViewId="0">
      <selection activeCell="D7" sqref="D7"/>
    </sheetView>
  </sheetViews>
  <sheetFormatPr defaultColWidth="9" defaultRowHeight="14.25" outlineLevelCol="3"/>
  <cols>
    <col min="1" max="1" width="29.875" style="55" customWidth="1"/>
    <col min="2" max="2" width="15.125" style="55" customWidth="1"/>
    <col min="3" max="3" width="26.25" style="55" customWidth="1"/>
    <col min="4" max="4" width="14.75" style="55" customWidth="1"/>
    <col min="5" max="16384" width="9" style="55"/>
  </cols>
  <sheetData>
    <row r="1" spans="1:4">
      <c r="A1" s="188"/>
      <c r="B1" s="188"/>
      <c r="C1" s="188"/>
      <c r="D1" s="188"/>
    </row>
    <row r="2" spans="1:4">
      <c r="A2" s="189" t="s">
        <v>0</v>
      </c>
      <c r="B2"/>
      <c r="C2"/>
      <c r="D2"/>
    </row>
    <row r="3" ht="20.25" spans="1:4">
      <c r="A3" s="112" t="s">
        <v>1</v>
      </c>
      <c r="B3" s="112"/>
      <c r="C3" s="112"/>
      <c r="D3" s="112"/>
    </row>
    <row r="4" spans="1:4">
      <c r="A4" s="190"/>
      <c r="B4" s="190"/>
      <c r="C4" s="190"/>
      <c r="D4" s="191" t="s">
        <v>2</v>
      </c>
    </row>
    <row r="5" ht="20.1" customHeight="1" spans="1:4">
      <c r="A5" s="192" t="s">
        <v>3</v>
      </c>
      <c r="B5" s="192"/>
      <c r="C5" s="192" t="s">
        <v>4</v>
      </c>
      <c r="D5" s="192"/>
    </row>
    <row r="6" ht="20.1" customHeight="1" spans="1:4">
      <c r="A6" s="193" t="s">
        <v>5</v>
      </c>
      <c r="B6" s="193" t="s">
        <v>6</v>
      </c>
      <c r="C6" s="193" t="s">
        <v>7</v>
      </c>
      <c r="D6" s="193" t="s">
        <v>6</v>
      </c>
    </row>
    <row r="7" ht="20.1" customHeight="1" spans="1:4">
      <c r="A7" s="194" t="s">
        <v>8</v>
      </c>
      <c r="B7" s="146">
        <v>10366.46</v>
      </c>
      <c r="C7" s="194" t="s">
        <v>9</v>
      </c>
      <c r="D7" s="146">
        <f>SUM(D8:D10)</f>
        <v>9940.46</v>
      </c>
    </row>
    <row r="8" ht="20.1" customHeight="1" spans="1:4">
      <c r="A8" s="194" t="s">
        <v>10</v>
      </c>
      <c r="B8" s="146"/>
      <c r="C8" s="194" t="s">
        <v>11</v>
      </c>
      <c r="D8" s="146">
        <v>4557.57</v>
      </c>
    </row>
    <row r="9" ht="20.1" customHeight="1" spans="1:4">
      <c r="A9" s="195" t="s">
        <v>12</v>
      </c>
      <c r="B9" s="146"/>
      <c r="C9" s="194" t="s">
        <v>13</v>
      </c>
      <c r="D9" s="146">
        <v>2832.8</v>
      </c>
    </row>
    <row r="10" ht="20.1" customHeight="1" spans="1:4">
      <c r="A10" s="195" t="s">
        <v>14</v>
      </c>
      <c r="B10" s="146"/>
      <c r="C10" s="194" t="s">
        <v>15</v>
      </c>
      <c r="D10" s="146">
        <v>2550.09</v>
      </c>
    </row>
    <row r="11" ht="20.1" customHeight="1" spans="1:4">
      <c r="A11" s="195" t="s">
        <v>16</v>
      </c>
      <c r="B11" s="146"/>
      <c r="C11" s="194" t="s">
        <v>17</v>
      </c>
      <c r="D11" s="146">
        <v>426</v>
      </c>
    </row>
    <row r="12" ht="20.1" customHeight="1" spans="1:4">
      <c r="A12" s="196" t="s">
        <v>18</v>
      </c>
      <c r="B12" s="197">
        <v>10366.46</v>
      </c>
      <c r="C12" s="196" t="s">
        <v>19</v>
      </c>
      <c r="D12" s="146">
        <f>D7+D11</f>
        <v>10366.46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C8" sqref="C8"/>
    </sheetView>
  </sheetViews>
  <sheetFormatPr defaultColWidth="9" defaultRowHeight="14.25" outlineLevelCol="7"/>
  <cols>
    <col min="1" max="1" width="10.25" style="55" customWidth="1"/>
    <col min="2" max="2" width="18.375" style="55" customWidth="1"/>
    <col min="3" max="3" width="11.25" style="164" customWidth="1"/>
    <col min="4" max="4" width="10" style="164" customWidth="1"/>
    <col min="5" max="8" width="9.5" style="164" customWidth="1"/>
    <col min="9" max="16384" width="9" style="55"/>
  </cols>
  <sheetData>
    <row r="1" spans="1:8">
      <c r="A1" s="165" t="s">
        <v>20</v>
      </c>
      <c r="B1" s="166"/>
      <c r="C1" s="167"/>
      <c r="D1" s="168"/>
      <c r="E1" s="168"/>
      <c r="F1" s="169"/>
      <c r="G1" s="170"/>
      <c r="H1" s="170"/>
    </row>
    <row r="2" ht="29.1" customHeight="1" spans="1:8">
      <c r="A2" s="171" t="s">
        <v>21</v>
      </c>
      <c r="B2" s="171"/>
      <c r="C2" s="171"/>
      <c r="D2" s="171"/>
      <c r="E2" s="171"/>
      <c r="F2" s="171"/>
      <c r="G2" s="171"/>
      <c r="H2" s="171"/>
    </row>
    <row r="3" ht="25.5" spans="1:8">
      <c r="A3" s="165"/>
      <c r="B3" s="165"/>
      <c r="C3" s="172"/>
      <c r="D3" s="173"/>
      <c r="E3" s="173"/>
      <c r="F3" s="174"/>
      <c r="G3" s="175" t="s">
        <v>2</v>
      </c>
      <c r="H3" s="175"/>
    </row>
    <row r="4" spans="1:8">
      <c r="A4" s="176" t="s">
        <v>22</v>
      </c>
      <c r="B4" s="176" t="s">
        <v>23</v>
      </c>
      <c r="C4" s="177" t="s">
        <v>24</v>
      </c>
      <c r="D4" s="178"/>
      <c r="E4" s="178"/>
      <c r="F4" s="178"/>
      <c r="G4" s="178"/>
      <c r="H4" s="179"/>
    </row>
    <row r="5" ht="60" customHeight="1" spans="1:8">
      <c r="A5" s="176"/>
      <c r="B5" s="176"/>
      <c r="C5" s="180" t="s">
        <v>25</v>
      </c>
      <c r="D5" s="180" t="s">
        <v>26</v>
      </c>
      <c r="E5" s="180" t="s">
        <v>27</v>
      </c>
      <c r="F5" s="180" t="s">
        <v>28</v>
      </c>
      <c r="G5" s="181" t="s">
        <v>29</v>
      </c>
      <c r="H5" s="180" t="s">
        <v>30</v>
      </c>
    </row>
    <row r="6" ht="20.1" customHeight="1" spans="1:8">
      <c r="A6" s="182" t="s">
        <v>31</v>
      </c>
      <c r="B6" s="182" t="s">
        <v>31</v>
      </c>
      <c r="C6" s="183">
        <v>1</v>
      </c>
      <c r="D6" s="182">
        <v>2</v>
      </c>
      <c r="E6" s="183">
        <v>3</v>
      </c>
      <c r="F6" s="183">
        <v>4</v>
      </c>
      <c r="G6" s="182">
        <v>5</v>
      </c>
      <c r="H6" s="183">
        <v>6</v>
      </c>
    </row>
    <row r="7" ht="28" customHeight="1" spans="1:8">
      <c r="A7" s="184" t="s">
        <v>32</v>
      </c>
      <c r="B7" s="157" t="s">
        <v>33</v>
      </c>
      <c r="C7" s="185">
        <f>SUM(D7:H7)</f>
        <v>10366.46</v>
      </c>
      <c r="D7" s="185">
        <v>10366.46</v>
      </c>
      <c r="E7" s="185"/>
      <c r="F7" s="185"/>
      <c r="G7" s="185"/>
      <c r="H7" s="185"/>
    </row>
    <row r="8" ht="20.1" customHeight="1" spans="1:8">
      <c r="A8" s="184"/>
      <c r="B8" s="184"/>
      <c r="C8" s="185"/>
      <c r="D8" s="185"/>
      <c r="E8" s="185"/>
      <c r="F8" s="185"/>
      <c r="G8" s="185"/>
      <c r="H8" s="185"/>
    </row>
    <row r="9" ht="20.1" customHeight="1" spans="1:8">
      <c r="A9" s="186"/>
      <c r="B9" s="186"/>
      <c r="C9" s="187"/>
      <c r="D9" s="187"/>
      <c r="E9" s="187"/>
      <c r="F9" s="187"/>
      <c r="G9" s="187"/>
      <c r="H9" s="187"/>
    </row>
    <row r="10" ht="20.1" customHeight="1" spans="1:8">
      <c r="A10" s="186"/>
      <c r="B10" s="186"/>
      <c r="C10" s="187"/>
      <c r="D10" s="187"/>
      <c r="E10" s="187"/>
      <c r="F10" s="187"/>
      <c r="G10" s="187"/>
      <c r="H10" s="187"/>
    </row>
    <row r="11" ht="20.1" customHeight="1" spans="1:8">
      <c r="A11" s="186"/>
      <c r="B11" s="186"/>
      <c r="C11" s="187"/>
      <c r="D11" s="187"/>
      <c r="E11" s="187"/>
      <c r="F11" s="187"/>
      <c r="G11" s="187"/>
      <c r="H11" s="187"/>
    </row>
    <row r="12" ht="20.1" customHeight="1" spans="1:8">
      <c r="A12" s="186"/>
      <c r="B12" s="186"/>
      <c r="C12" s="187"/>
      <c r="D12" s="187"/>
      <c r="E12" s="187"/>
      <c r="F12" s="187"/>
      <c r="G12" s="187"/>
      <c r="H12" s="187"/>
    </row>
    <row r="13" ht="20.1" customHeight="1" spans="1:8">
      <c r="A13" s="186"/>
      <c r="B13" s="186"/>
      <c r="C13" s="187"/>
      <c r="D13" s="187"/>
      <c r="E13" s="187"/>
      <c r="F13" s="187"/>
      <c r="G13" s="187"/>
      <c r="H13" s="187"/>
    </row>
    <row r="14" ht="20.1" customHeight="1" spans="1:8">
      <c r="A14" s="186"/>
      <c r="B14" s="186"/>
      <c r="C14" s="187"/>
      <c r="D14" s="187"/>
      <c r="E14" s="187"/>
      <c r="F14" s="187"/>
      <c r="G14" s="187"/>
      <c r="H14" s="187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3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"/>
  <sheetViews>
    <sheetView zoomScale="85" zoomScaleNormal="85" workbookViewId="0">
      <selection activeCell="F9" sqref="F9:H9"/>
    </sheetView>
  </sheetViews>
  <sheetFormatPr defaultColWidth="9" defaultRowHeight="14.25"/>
  <cols>
    <col min="1" max="1" width="9" style="55" customWidth="1"/>
    <col min="2" max="2" width="19.75" style="55" customWidth="1"/>
    <col min="3" max="3" width="9.125" style="55" customWidth="1"/>
    <col min="4" max="4" width="22.5" style="55" customWidth="1"/>
    <col min="5" max="5" width="9.5" style="55" customWidth="1"/>
    <col min="6" max="6" width="10.375" style="55" customWidth="1"/>
    <col min="7" max="7" width="10.875" style="55" customWidth="1"/>
    <col min="8" max="8" width="10.375" style="55" customWidth="1"/>
    <col min="9" max="9" width="7.5" style="55" customWidth="1"/>
    <col min="10" max="14" width="9.625" style="55" customWidth="1"/>
    <col min="15" max="15" width="9.125" style="55" customWidth="1"/>
    <col min="16" max="16384" width="9" style="55"/>
  </cols>
  <sheetData>
    <row r="1" ht="25.5" spans="1:15">
      <c r="A1" s="149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/>
      <c r="N1"/>
      <c r="O1"/>
    </row>
    <row r="2" ht="20.25" spans="1:15">
      <c r="A2" s="151" t="s">
        <v>35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spans="1:1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60" t="s">
        <v>2</v>
      </c>
      <c r="O3" s="160"/>
    </row>
    <row r="4" s="109" customFormat="1" ht="13.5" spans="1:15">
      <c r="A4" s="153" t="s">
        <v>22</v>
      </c>
      <c r="B4" s="153" t="s">
        <v>23</v>
      </c>
      <c r="C4" s="153" t="s">
        <v>36</v>
      </c>
      <c r="D4" s="153" t="s">
        <v>37</v>
      </c>
      <c r="E4" s="153" t="s">
        <v>38</v>
      </c>
      <c r="F4" s="153" t="s">
        <v>39</v>
      </c>
      <c r="G4" s="153" t="s">
        <v>40</v>
      </c>
      <c r="H4" s="153" t="s">
        <v>41</v>
      </c>
      <c r="I4" s="153" t="s">
        <v>42</v>
      </c>
      <c r="J4" s="161" t="s">
        <v>24</v>
      </c>
      <c r="K4" s="161"/>
      <c r="L4" s="161"/>
      <c r="M4" s="161"/>
      <c r="N4" s="161"/>
      <c r="O4" s="161"/>
    </row>
    <row r="5" s="109" customFormat="1" ht="43.15" customHeight="1" spans="1:15">
      <c r="A5" s="154"/>
      <c r="B5" s="154"/>
      <c r="C5" s="154"/>
      <c r="D5" s="154"/>
      <c r="E5" s="154"/>
      <c r="F5" s="154"/>
      <c r="G5" s="154"/>
      <c r="H5" s="154"/>
      <c r="I5" s="154"/>
      <c r="J5" s="153" t="s">
        <v>38</v>
      </c>
      <c r="K5" s="153" t="s">
        <v>26</v>
      </c>
      <c r="L5" s="153" t="s">
        <v>27</v>
      </c>
      <c r="M5" s="153" t="s">
        <v>28</v>
      </c>
      <c r="N5" s="162" t="s">
        <v>29</v>
      </c>
      <c r="O5" s="153" t="s">
        <v>30</v>
      </c>
    </row>
    <row r="6" s="109" customFormat="1" ht="13.5" spans="1:15">
      <c r="A6" s="155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63"/>
      <c r="O6" s="155"/>
    </row>
    <row r="7" s="109" customFormat="1" ht="20.1" customHeight="1" spans="1:15">
      <c r="A7" s="156" t="s">
        <v>31</v>
      </c>
      <c r="B7" s="156" t="s">
        <v>31</v>
      </c>
      <c r="C7" s="156" t="s">
        <v>31</v>
      </c>
      <c r="D7" s="156" t="s">
        <v>31</v>
      </c>
      <c r="E7" s="156">
        <v>1</v>
      </c>
      <c r="F7" s="156">
        <v>2</v>
      </c>
      <c r="G7" s="156">
        <v>3</v>
      </c>
      <c r="H7" s="156">
        <v>4</v>
      </c>
      <c r="I7" s="156">
        <v>5</v>
      </c>
      <c r="J7" s="156">
        <v>6</v>
      </c>
      <c r="K7" s="156">
        <v>7</v>
      </c>
      <c r="L7" s="156">
        <v>8</v>
      </c>
      <c r="M7" s="156">
        <v>9</v>
      </c>
      <c r="N7" s="156">
        <v>10</v>
      </c>
      <c r="O7" s="156">
        <v>11</v>
      </c>
    </row>
    <row r="8" s="109" customFormat="1" ht="30" customHeight="1" spans="1:15">
      <c r="A8" s="157" t="s">
        <v>32</v>
      </c>
      <c r="B8" s="157" t="s">
        <v>33</v>
      </c>
      <c r="C8" s="127" t="s">
        <v>43</v>
      </c>
      <c r="D8" s="128" t="s">
        <v>44</v>
      </c>
      <c r="E8" s="130">
        <f>SUM(F8:I8)</f>
        <v>4784.19</v>
      </c>
      <c r="F8" s="130">
        <v>3211.98</v>
      </c>
      <c r="G8" s="130">
        <v>75.67</v>
      </c>
      <c r="H8" s="130">
        <v>1426.54</v>
      </c>
      <c r="I8" s="130">
        <v>70</v>
      </c>
      <c r="J8" s="130">
        <f>SUM(K8:O8)</f>
        <v>4784.19</v>
      </c>
      <c r="K8" s="130">
        <v>4784.19</v>
      </c>
      <c r="L8" s="130"/>
      <c r="M8" s="130"/>
      <c r="N8" s="130"/>
      <c r="O8" s="130"/>
    </row>
    <row r="9" s="109" customFormat="1" ht="20.1" customHeight="1" spans="1:15">
      <c r="A9" s="157"/>
      <c r="B9" s="157"/>
      <c r="C9" s="127" t="s">
        <v>45</v>
      </c>
      <c r="D9" s="128" t="s">
        <v>46</v>
      </c>
      <c r="E9" s="130">
        <f t="shared" ref="E9:E20" si="0">SUM(F9:I9)</f>
        <v>1289.14</v>
      </c>
      <c r="F9" s="130">
        <v>143.59</v>
      </c>
      <c r="G9" s="130"/>
      <c r="H9" s="130">
        <v>789.55</v>
      </c>
      <c r="I9" s="130">
        <v>356</v>
      </c>
      <c r="J9" s="130">
        <f t="shared" ref="J9:J20" si="1">SUM(K9:O9)</f>
        <v>1289.14</v>
      </c>
      <c r="K9" s="130">
        <v>1289.14</v>
      </c>
      <c r="L9" s="130"/>
      <c r="M9" s="130"/>
      <c r="N9" s="130"/>
      <c r="O9" s="130"/>
    </row>
    <row r="10" s="109" customFormat="1" ht="20.1" customHeight="1" spans="1:15">
      <c r="A10" s="157"/>
      <c r="B10" s="157"/>
      <c r="C10" s="127" t="s">
        <v>47</v>
      </c>
      <c r="D10" s="128" t="s">
        <v>48</v>
      </c>
      <c r="E10" s="130">
        <f t="shared" si="0"/>
        <v>139.1</v>
      </c>
      <c r="F10" s="130"/>
      <c r="G10" s="130">
        <v>139.1</v>
      </c>
      <c r="H10" s="130"/>
      <c r="I10" s="130"/>
      <c r="J10" s="130">
        <f t="shared" si="1"/>
        <v>139.1</v>
      </c>
      <c r="K10" s="130">
        <v>139.1</v>
      </c>
      <c r="L10" s="130"/>
      <c r="M10" s="130"/>
      <c r="N10" s="130"/>
      <c r="O10" s="130"/>
    </row>
    <row r="11" s="109" customFormat="1" ht="20.1" customHeight="1" spans="1:15">
      <c r="A11" s="157"/>
      <c r="B11" s="157"/>
      <c r="C11" s="127" t="s">
        <v>49</v>
      </c>
      <c r="D11" s="128" t="s">
        <v>50</v>
      </c>
      <c r="E11" s="130">
        <f t="shared" si="0"/>
        <v>521.12</v>
      </c>
      <c r="F11" s="130">
        <v>521.12</v>
      </c>
      <c r="G11" s="130"/>
      <c r="H11" s="130"/>
      <c r="I11" s="130"/>
      <c r="J11" s="130">
        <f t="shared" si="1"/>
        <v>521.12</v>
      </c>
      <c r="K11" s="130">
        <v>521.12</v>
      </c>
      <c r="L11" s="130"/>
      <c r="M11" s="130"/>
      <c r="N11" s="130"/>
      <c r="O11" s="130"/>
    </row>
    <row r="12" s="109" customFormat="1" ht="20.1" customHeight="1" spans="1:15">
      <c r="A12" s="157"/>
      <c r="B12" s="157"/>
      <c r="C12" s="127" t="s">
        <v>51</v>
      </c>
      <c r="D12" s="128" t="s">
        <v>44</v>
      </c>
      <c r="E12" s="130">
        <f t="shared" si="0"/>
        <v>12</v>
      </c>
      <c r="F12" s="130"/>
      <c r="G12" s="130"/>
      <c r="H12" s="130">
        <v>12</v>
      </c>
      <c r="I12" s="130"/>
      <c r="J12" s="130">
        <f t="shared" si="1"/>
        <v>12</v>
      </c>
      <c r="K12" s="130">
        <v>12</v>
      </c>
      <c r="L12" s="130"/>
      <c r="M12" s="130"/>
      <c r="N12" s="130"/>
      <c r="O12" s="130"/>
    </row>
    <row r="13" s="109" customFormat="1" ht="20.1" customHeight="1" spans="1:15">
      <c r="A13" s="157"/>
      <c r="B13" s="157"/>
      <c r="C13" s="127" t="s">
        <v>52</v>
      </c>
      <c r="D13" s="131" t="s">
        <v>53</v>
      </c>
      <c r="E13" s="130">
        <f t="shared" si="0"/>
        <v>248.9</v>
      </c>
      <c r="F13" s="130">
        <v>248.9</v>
      </c>
      <c r="G13" s="130"/>
      <c r="H13" s="130"/>
      <c r="I13" s="130"/>
      <c r="J13" s="130">
        <f t="shared" si="1"/>
        <v>248.9</v>
      </c>
      <c r="K13" s="130">
        <v>248.9</v>
      </c>
      <c r="L13" s="130"/>
      <c r="M13" s="130"/>
      <c r="N13" s="130"/>
      <c r="O13" s="130"/>
    </row>
    <row r="14" s="109" customFormat="1" ht="20.1" customHeight="1" spans="1:15">
      <c r="A14" s="157"/>
      <c r="B14" s="157"/>
      <c r="C14" s="127" t="s">
        <v>54</v>
      </c>
      <c r="D14" s="128" t="s">
        <v>55</v>
      </c>
      <c r="E14" s="130">
        <f t="shared" si="0"/>
        <v>1440.98</v>
      </c>
      <c r="F14" s="130"/>
      <c r="G14" s="130">
        <v>1440.98</v>
      </c>
      <c r="H14" s="130"/>
      <c r="I14" s="130"/>
      <c r="J14" s="130">
        <f t="shared" si="1"/>
        <v>1440.98</v>
      </c>
      <c r="K14" s="130">
        <v>1440.98</v>
      </c>
      <c r="L14" s="130"/>
      <c r="M14" s="130"/>
      <c r="N14" s="130"/>
      <c r="O14" s="130"/>
    </row>
    <row r="15" s="109" customFormat="1" ht="20.1" customHeight="1" spans="1:15">
      <c r="A15" s="157"/>
      <c r="B15" s="157"/>
      <c r="C15" s="127" t="s">
        <v>56</v>
      </c>
      <c r="D15" s="128" t="s">
        <v>57</v>
      </c>
      <c r="E15" s="130">
        <f t="shared" si="0"/>
        <v>104</v>
      </c>
      <c r="F15" s="130"/>
      <c r="G15" s="130">
        <v>104</v>
      </c>
      <c r="H15" s="130"/>
      <c r="I15" s="130"/>
      <c r="J15" s="130">
        <f t="shared" si="1"/>
        <v>104</v>
      </c>
      <c r="K15" s="130">
        <v>104</v>
      </c>
      <c r="L15" s="130"/>
      <c r="M15" s="130"/>
      <c r="N15" s="130"/>
      <c r="O15" s="130"/>
    </row>
    <row r="16" s="109" customFormat="1" ht="20.1" customHeight="1" spans="1:15">
      <c r="A16" s="157"/>
      <c r="B16" s="157"/>
      <c r="C16" s="127" t="s">
        <v>58</v>
      </c>
      <c r="D16" s="132" t="s">
        <v>59</v>
      </c>
      <c r="E16" s="130">
        <f t="shared" si="0"/>
        <v>428.54</v>
      </c>
      <c r="F16" s="130"/>
      <c r="G16" s="130">
        <v>428.54</v>
      </c>
      <c r="H16" s="130"/>
      <c r="I16" s="130"/>
      <c r="J16" s="130">
        <f t="shared" si="1"/>
        <v>428.54</v>
      </c>
      <c r="K16" s="130">
        <v>428.54</v>
      </c>
      <c r="L16" s="130"/>
      <c r="M16" s="130"/>
      <c r="N16" s="130"/>
      <c r="O16" s="130"/>
    </row>
    <row r="17" ht="24" customHeight="1" spans="1:15">
      <c r="A17" s="158"/>
      <c r="B17" s="158"/>
      <c r="C17" s="127" t="s">
        <v>60</v>
      </c>
      <c r="D17" s="132" t="s">
        <v>61</v>
      </c>
      <c r="E17" s="130">
        <f t="shared" si="0"/>
        <v>956.31</v>
      </c>
      <c r="F17" s="94"/>
      <c r="G17" s="94">
        <v>634.31</v>
      </c>
      <c r="H17" s="94">
        <v>322</v>
      </c>
      <c r="I17" s="94"/>
      <c r="J17" s="130">
        <f t="shared" si="1"/>
        <v>956.31</v>
      </c>
      <c r="K17" s="94">
        <v>956.31</v>
      </c>
      <c r="L17" s="94"/>
      <c r="M17" s="94"/>
      <c r="N17" s="94"/>
      <c r="O17" s="94"/>
    </row>
    <row r="18" ht="20.1" customHeight="1" spans="1:15">
      <c r="A18" s="158"/>
      <c r="B18" s="158"/>
      <c r="C18" s="127" t="s">
        <v>62</v>
      </c>
      <c r="D18" s="128" t="s">
        <v>63</v>
      </c>
      <c r="E18" s="130">
        <f t="shared" si="0"/>
        <v>364.79</v>
      </c>
      <c r="F18" s="94">
        <v>364.79</v>
      </c>
      <c r="G18" s="94"/>
      <c r="H18" s="94"/>
      <c r="I18" s="94"/>
      <c r="J18" s="130">
        <f t="shared" si="1"/>
        <v>364.79</v>
      </c>
      <c r="K18" s="94">
        <v>364.79</v>
      </c>
      <c r="L18" s="94"/>
      <c r="M18" s="94"/>
      <c r="N18" s="94"/>
      <c r="O18" s="94"/>
    </row>
    <row r="19" ht="20.1" customHeight="1" spans="1:15">
      <c r="A19" s="158"/>
      <c r="B19" s="158"/>
      <c r="C19" s="127" t="s">
        <v>64</v>
      </c>
      <c r="D19" s="128" t="s">
        <v>65</v>
      </c>
      <c r="E19" s="130">
        <f t="shared" si="0"/>
        <v>67.19</v>
      </c>
      <c r="F19" s="94">
        <v>67.19</v>
      </c>
      <c r="G19" s="94"/>
      <c r="H19" s="94"/>
      <c r="I19" s="94"/>
      <c r="J19" s="130">
        <f t="shared" si="1"/>
        <v>67.19</v>
      </c>
      <c r="K19" s="94">
        <v>67.19</v>
      </c>
      <c r="L19" s="94"/>
      <c r="M19" s="94"/>
      <c r="N19" s="94"/>
      <c r="O19" s="94"/>
    </row>
    <row r="20" ht="20.1" customHeight="1" spans="1:15">
      <c r="A20" s="158"/>
      <c r="B20" s="158"/>
      <c r="C20" s="133" t="s">
        <v>66</v>
      </c>
      <c r="D20" s="134" t="s">
        <v>67</v>
      </c>
      <c r="E20" s="130">
        <f t="shared" si="0"/>
        <v>10.2</v>
      </c>
      <c r="F20" s="94"/>
      <c r="G20" s="94">
        <v>10.2</v>
      </c>
      <c r="H20" s="94"/>
      <c r="I20" s="94"/>
      <c r="J20" s="130">
        <f t="shared" si="1"/>
        <v>10.2</v>
      </c>
      <c r="K20" s="94">
        <v>10.2</v>
      </c>
      <c r="L20" s="94"/>
      <c r="M20" s="94"/>
      <c r="N20" s="94"/>
      <c r="O20" s="94"/>
    </row>
    <row r="21" ht="20.1" customHeight="1" spans="1:15">
      <c r="A21" s="158"/>
      <c r="B21" s="158"/>
      <c r="C21" s="158"/>
      <c r="D21" s="158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</row>
    <row r="22" ht="20.1" customHeight="1" spans="1:15">
      <c r="A22" s="158"/>
      <c r="B22" s="158"/>
      <c r="C22" s="158"/>
      <c r="D22" s="158" t="s">
        <v>68</v>
      </c>
      <c r="E22" s="94">
        <f t="shared" ref="E22:K22" si="2">SUM(E8:E21)</f>
        <v>10366.46</v>
      </c>
      <c r="F22" s="94">
        <f t="shared" si="2"/>
        <v>4557.57</v>
      </c>
      <c r="G22" s="94">
        <f t="shared" si="2"/>
        <v>2832.8</v>
      </c>
      <c r="H22" s="94">
        <f t="shared" si="2"/>
        <v>2550.09</v>
      </c>
      <c r="I22" s="94">
        <f t="shared" si="2"/>
        <v>426</v>
      </c>
      <c r="J22" s="94">
        <f t="shared" si="2"/>
        <v>10366.46</v>
      </c>
      <c r="K22" s="94">
        <f t="shared" si="2"/>
        <v>10366.46</v>
      </c>
      <c r="L22" s="94"/>
      <c r="M22" s="94"/>
      <c r="N22" s="94"/>
      <c r="O22" s="94"/>
    </row>
    <row r="23" ht="64.9" customHeight="1" spans="1:15">
      <c r="A23" s="159" t="s">
        <v>69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</row>
  </sheetData>
  <mergeCells count="18">
    <mergeCell ref="A2:O2"/>
    <mergeCell ref="N3:O3"/>
    <mergeCell ref="A23:O2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74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C11" sqref="C11"/>
    </sheetView>
  </sheetViews>
  <sheetFormatPr defaultColWidth="9" defaultRowHeight="14.25" outlineLevelCol="3"/>
  <cols>
    <col min="1" max="1" width="23.625" style="55" customWidth="1"/>
    <col min="2" max="2" width="18.25" style="55" customWidth="1"/>
    <col min="3" max="3" width="25" style="55" customWidth="1"/>
    <col min="4" max="4" width="21.875" style="55" customWidth="1"/>
    <col min="5" max="16384" width="9" style="55"/>
  </cols>
  <sheetData>
    <row r="1" spans="1:4">
      <c r="A1" t="s">
        <v>70</v>
      </c>
      <c r="B1"/>
      <c r="C1"/>
      <c r="D1"/>
    </row>
    <row r="2" ht="20.25" spans="1:4">
      <c r="A2" s="138" t="s">
        <v>71</v>
      </c>
      <c r="B2" s="138"/>
      <c r="C2" s="138"/>
      <c r="D2" s="138"/>
    </row>
    <row r="3" spans="1:4">
      <c r="A3" s="139"/>
      <c r="B3" s="139"/>
      <c r="C3" s="139"/>
      <c r="D3" s="140" t="s">
        <v>2</v>
      </c>
    </row>
    <row r="4" s="109" customFormat="1" ht="20.1" customHeight="1" spans="1:4">
      <c r="A4" s="141" t="s">
        <v>3</v>
      </c>
      <c r="B4" s="141"/>
      <c r="C4" s="141" t="s">
        <v>4</v>
      </c>
      <c r="D4" s="141"/>
    </row>
    <row r="5" s="109" customFormat="1" ht="20.1" customHeight="1" spans="1:4">
      <c r="A5" s="142" t="s">
        <v>5</v>
      </c>
      <c r="B5" s="142" t="s">
        <v>6</v>
      </c>
      <c r="C5" s="142" t="s">
        <v>7</v>
      </c>
      <c r="D5" s="142" t="s">
        <v>6</v>
      </c>
    </row>
    <row r="6" s="109" customFormat="1" ht="20.1" customHeight="1" spans="1:4">
      <c r="A6" s="143" t="s">
        <v>8</v>
      </c>
      <c r="B6" s="144">
        <v>10366.46</v>
      </c>
      <c r="C6" s="143" t="s">
        <v>9</v>
      </c>
      <c r="D6" s="145">
        <f>SUM(D7:D9)</f>
        <v>9940.46</v>
      </c>
    </row>
    <row r="7" s="109" customFormat="1" ht="20.1" customHeight="1" spans="1:4">
      <c r="A7" s="143" t="s">
        <v>10</v>
      </c>
      <c r="B7" s="144"/>
      <c r="C7" s="143" t="s">
        <v>72</v>
      </c>
      <c r="D7" s="146">
        <v>4557.57</v>
      </c>
    </row>
    <row r="8" s="109" customFormat="1" ht="20.1" customHeight="1" spans="1:4">
      <c r="A8" s="143"/>
      <c r="B8" s="144"/>
      <c r="C8" s="143" t="s">
        <v>73</v>
      </c>
      <c r="D8" s="146">
        <v>2832.8</v>
      </c>
    </row>
    <row r="9" s="109" customFormat="1" ht="20.1" customHeight="1" spans="1:4">
      <c r="A9" s="143"/>
      <c r="B9" s="144"/>
      <c r="C9" s="143" t="s">
        <v>74</v>
      </c>
      <c r="D9" s="146">
        <v>2550.09</v>
      </c>
    </row>
    <row r="10" s="109" customFormat="1" ht="20.1" customHeight="1" spans="1:4">
      <c r="A10" s="143"/>
      <c r="B10" s="144"/>
      <c r="C10" s="143" t="s">
        <v>17</v>
      </c>
      <c r="D10" s="146">
        <v>426</v>
      </c>
    </row>
    <row r="11" s="109" customFormat="1" ht="20.1" customHeight="1" spans="1:4">
      <c r="A11" s="143"/>
      <c r="B11" s="144"/>
      <c r="C11" s="143"/>
      <c r="D11" s="144"/>
    </row>
    <row r="12" s="109" customFormat="1" ht="20.1" customHeight="1" spans="1:4">
      <c r="A12" s="143"/>
      <c r="B12" s="144"/>
      <c r="C12" s="143"/>
      <c r="D12" s="144"/>
    </row>
    <row r="13" s="109" customFormat="1" ht="20.1" customHeight="1" spans="1:4">
      <c r="A13" s="147" t="s">
        <v>18</v>
      </c>
      <c r="B13" s="148">
        <f>SUM(B6:B12)</f>
        <v>10366.46</v>
      </c>
      <c r="C13" s="147" t="s">
        <v>19</v>
      </c>
      <c r="D13" s="144">
        <f>D6+D10</f>
        <v>10366.46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view="pageBreakPreview" zoomScaleNormal="100" zoomScaleSheetLayoutView="100" workbookViewId="0">
      <selection activeCell="B30" sqref="B30"/>
    </sheetView>
  </sheetViews>
  <sheetFormatPr defaultColWidth="9" defaultRowHeight="14.25" outlineLevelCol="4"/>
  <cols>
    <col min="1" max="1" width="18.875" style="55" customWidth="1"/>
    <col min="2" max="2" width="23.75" style="55" customWidth="1"/>
    <col min="3" max="3" width="15.75" style="55" customWidth="1"/>
    <col min="4" max="4" width="14.125" style="55" customWidth="1"/>
    <col min="5" max="5" width="15.875" style="55" customWidth="1"/>
    <col min="6" max="16384" width="9" style="55"/>
  </cols>
  <sheetData>
    <row r="1" spans="1:5">
      <c r="A1" s="110" t="s">
        <v>75</v>
      </c>
      <c r="B1" s="110"/>
      <c r="C1" s="110"/>
      <c r="D1" s="111"/>
      <c r="E1" s="111"/>
    </row>
    <row r="2" ht="20.25" spans="1:5">
      <c r="A2" s="112" t="s">
        <v>76</v>
      </c>
      <c r="B2" s="112"/>
      <c r="C2" s="112"/>
      <c r="D2" s="112"/>
      <c r="E2" s="112"/>
    </row>
    <row r="3" spans="1:5">
      <c r="A3" s="113"/>
      <c r="B3" s="113"/>
      <c r="C3" s="113"/>
      <c r="D3" s="113"/>
      <c r="E3" s="84" t="s">
        <v>2</v>
      </c>
    </row>
    <row r="4" s="109" customFormat="1" ht="20.1" customHeight="1" spans="1:5">
      <c r="A4" s="114" t="s">
        <v>36</v>
      </c>
      <c r="B4" s="114" t="s">
        <v>37</v>
      </c>
      <c r="C4" s="114" t="s">
        <v>38</v>
      </c>
      <c r="D4" s="115" t="s">
        <v>77</v>
      </c>
      <c r="E4" s="115"/>
    </row>
    <row r="5" s="109" customFormat="1" ht="20.1" customHeight="1" spans="1:5">
      <c r="A5" s="114"/>
      <c r="B5" s="114"/>
      <c r="C5" s="114"/>
      <c r="D5" s="198" t="s">
        <v>78</v>
      </c>
      <c r="E5" s="114" t="s">
        <v>42</v>
      </c>
    </row>
    <row r="6" s="109" customFormat="1" ht="20.1" customHeight="1" spans="1:5">
      <c r="A6" s="116" t="s">
        <v>31</v>
      </c>
      <c r="B6" s="116" t="s">
        <v>31</v>
      </c>
      <c r="C6" s="116">
        <v>1</v>
      </c>
      <c r="D6" s="117">
        <v>2</v>
      </c>
      <c r="E6" s="117">
        <v>3</v>
      </c>
    </row>
    <row r="7" s="109" customFormat="1" ht="20.1" customHeight="1" spans="1:5">
      <c r="A7" s="127" t="s">
        <v>43</v>
      </c>
      <c r="B7" s="128" t="s">
        <v>44</v>
      </c>
      <c r="C7" s="118">
        <f>SUM(D7:E7)</f>
        <v>4784.19</v>
      </c>
      <c r="D7" s="129">
        <v>4714.19</v>
      </c>
      <c r="E7" s="130">
        <v>70</v>
      </c>
    </row>
    <row r="8" s="109" customFormat="1" ht="20.1" customHeight="1" spans="1:5">
      <c r="A8" s="127" t="s">
        <v>45</v>
      </c>
      <c r="B8" s="128" t="s">
        <v>46</v>
      </c>
      <c r="C8" s="118">
        <f t="shared" ref="C8:C19" si="0">SUM(D8:E8)</f>
        <v>1289.14</v>
      </c>
      <c r="D8" s="129">
        <v>933.14</v>
      </c>
      <c r="E8" s="130">
        <v>356</v>
      </c>
    </row>
    <row r="9" s="109" customFormat="1" ht="20.1" customHeight="1" spans="1:5">
      <c r="A9" s="127" t="s">
        <v>47</v>
      </c>
      <c r="B9" s="128" t="s">
        <v>48</v>
      </c>
      <c r="C9" s="118">
        <f t="shared" si="0"/>
        <v>139.1</v>
      </c>
      <c r="D9" s="129">
        <v>139.1</v>
      </c>
      <c r="E9" s="129"/>
    </row>
    <row r="10" s="109" customFormat="1" ht="20.1" customHeight="1" spans="1:5">
      <c r="A10" s="127" t="s">
        <v>49</v>
      </c>
      <c r="B10" s="128" t="s">
        <v>50</v>
      </c>
      <c r="C10" s="118">
        <f t="shared" si="0"/>
        <v>521.12</v>
      </c>
      <c r="D10" s="129">
        <v>521.12</v>
      </c>
      <c r="E10" s="129"/>
    </row>
    <row r="11" s="109" customFormat="1" ht="20.1" customHeight="1" spans="1:5">
      <c r="A11" s="127" t="s">
        <v>51</v>
      </c>
      <c r="B11" s="128" t="s">
        <v>44</v>
      </c>
      <c r="C11" s="118">
        <f t="shared" si="0"/>
        <v>12</v>
      </c>
      <c r="D11" s="129">
        <v>12</v>
      </c>
      <c r="E11" s="129"/>
    </row>
    <row r="12" s="109" customFormat="1" ht="20.1" customHeight="1" spans="1:5">
      <c r="A12" s="127" t="s">
        <v>52</v>
      </c>
      <c r="B12" s="131" t="s">
        <v>53</v>
      </c>
      <c r="C12" s="118">
        <f t="shared" si="0"/>
        <v>248.9</v>
      </c>
      <c r="D12" s="129">
        <v>248.9</v>
      </c>
      <c r="E12" s="129"/>
    </row>
    <row r="13" s="109" customFormat="1" ht="20.1" customHeight="1" spans="1:5">
      <c r="A13" s="127" t="s">
        <v>54</v>
      </c>
      <c r="B13" s="128" t="s">
        <v>55</v>
      </c>
      <c r="C13" s="118">
        <f t="shared" si="0"/>
        <v>1440.98</v>
      </c>
      <c r="D13" s="129">
        <v>1440.98</v>
      </c>
      <c r="E13" s="129"/>
    </row>
    <row r="14" s="109" customFormat="1" ht="20.1" customHeight="1" spans="1:5">
      <c r="A14" s="127" t="s">
        <v>56</v>
      </c>
      <c r="B14" s="128" t="s">
        <v>57</v>
      </c>
      <c r="C14" s="118">
        <f t="shared" si="0"/>
        <v>104</v>
      </c>
      <c r="D14" s="129">
        <v>104</v>
      </c>
      <c r="E14" s="129"/>
    </row>
    <row r="15" s="109" customFormat="1" ht="20.1" customHeight="1" spans="1:5">
      <c r="A15" s="127" t="s">
        <v>58</v>
      </c>
      <c r="B15" s="132" t="s">
        <v>59</v>
      </c>
      <c r="C15" s="118">
        <f t="shared" si="0"/>
        <v>428.54</v>
      </c>
      <c r="D15" s="129">
        <v>428.54</v>
      </c>
      <c r="E15" s="129"/>
    </row>
    <row r="16" s="109" customFormat="1" ht="20.1" customHeight="1" spans="1:5">
      <c r="A16" s="127" t="s">
        <v>60</v>
      </c>
      <c r="B16" s="132" t="s">
        <v>61</v>
      </c>
      <c r="C16" s="118">
        <f t="shared" si="0"/>
        <v>956.31</v>
      </c>
      <c r="D16" s="129">
        <v>956.31</v>
      </c>
      <c r="E16" s="129"/>
    </row>
    <row r="17" s="109" customFormat="1" ht="20.1" customHeight="1" spans="1:5">
      <c r="A17" s="127" t="s">
        <v>62</v>
      </c>
      <c r="B17" s="128" t="s">
        <v>63</v>
      </c>
      <c r="C17" s="118">
        <f t="shared" si="0"/>
        <v>364.79</v>
      </c>
      <c r="D17" s="129">
        <v>364.79</v>
      </c>
      <c r="E17" s="129"/>
    </row>
    <row r="18" s="109" customFormat="1" ht="20.1" customHeight="1" spans="1:5">
      <c r="A18" s="127" t="s">
        <v>64</v>
      </c>
      <c r="B18" s="128" t="s">
        <v>65</v>
      </c>
      <c r="C18" s="118">
        <f t="shared" si="0"/>
        <v>67.19</v>
      </c>
      <c r="D18" s="129">
        <v>67.19</v>
      </c>
      <c r="E18" s="129"/>
    </row>
    <row r="19" s="109" customFormat="1" ht="20.1" customHeight="1" spans="1:5">
      <c r="A19" s="133" t="s">
        <v>66</v>
      </c>
      <c r="B19" s="134" t="s">
        <v>67</v>
      </c>
      <c r="C19" s="118">
        <f t="shared" si="0"/>
        <v>10.2</v>
      </c>
      <c r="D19" s="129">
        <v>10.2</v>
      </c>
      <c r="E19" s="129"/>
    </row>
    <row r="20" s="109" customFormat="1" ht="20.1" customHeight="1" spans="1:5">
      <c r="A20" s="129"/>
      <c r="B20" s="129"/>
      <c r="C20" s="129"/>
      <c r="D20" s="129"/>
      <c r="E20" s="129"/>
    </row>
    <row r="21" s="109" customFormat="1" ht="20.1" customHeight="1" spans="1:5">
      <c r="A21" s="129"/>
      <c r="B21" s="135" t="s">
        <v>38</v>
      </c>
      <c r="C21" s="129">
        <f>SUM(C7:C20)</f>
        <v>10366.46</v>
      </c>
      <c r="D21" s="129">
        <f>SUM(D7:D20)</f>
        <v>9940.46</v>
      </c>
      <c r="E21" s="129">
        <f>SUM(E7:E20)</f>
        <v>426</v>
      </c>
    </row>
    <row r="22" s="109" customFormat="1" ht="16.5" spans="1:5">
      <c r="A22" s="136" t="s">
        <v>79</v>
      </c>
      <c r="B22" s="136"/>
      <c r="C22" s="136"/>
      <c r="D22" s="136"/>
      <c r="E22" s="136"/>
    </row>
    <row r="23" s="109" customFormat="1" ht="16.5" spans="1:5">
      <c r="A23" s="137"/>
      <c r="B23" s="137"/>
      <c r="C23" s="137"/>
      <c r="D23" s="137"/>
      <c r="E23" s="137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B8" sqref="B8"/>
    </sheetView>
  </sheetViews>
  <sheetFormatPr defaultColWidth="9" defaultRowHeight="14.25" outlineLevelCol="4"/>
  <cols>
    <col min="1" max="1" width="15.75" style="55" customWidth="1"/>
    <col min="2" max="2" width="23.625" style="55" customWidth="1"/>
    <col min="3" max="5" width="15.25" style="55" customWidth="1"/>
    <col min="6" max="16384" width="9" style="55"/>
  </cols>
  <sheetData>
    <row r="1" ht="24.6" customHeight="1" spans="1:5">
      <c r="A1" s="110" t="s">
        <v>80</v>
      </c>
      <c r="B1" s="110"/>
      <c r="C1" s="110"/>
      <c r="D1" s="111"/>
      <c r="E1" s="111"/>
    </row>
    <row r="2" ht="26.45" customHeight="1" spans="1:5">
      <c r="A2" s="112" t="s">
        <v>81</v>
      </c>
      <c r="B2" s="112"/>
      <c r="C2" s="112"/>
      <c r="D2" s="112"/>
      <c r="E2" s="112"/>
    </row>
    <row r="3" spans="1:5">
      <c r="A3" s="113"/>
      <c r="B3" s="113"/>
      <c r="C3" s="113"/>
      <c r="D3" s="113"/>
      <c r="E3" s="84" t="s">
        <v>2</v>
      </c>
    </row>
    <row r="4" s="109" customFormat="1" ht="20.1" customHeight="1" spans="1:5">
      <c r="A4" s="114" t="s">
        <v>36</v>
      </c>
      <c r="B4" s="114" t="s">
        <v>37</v>
      </c>
      <c r="C4" s="114" t="s">
        <v>38</v>
      </c>
      <c r="D4" s="115" t="s">
        <v>77</v>
      </c>
      <c r="E4" s="115"/>
    </row>
    <row r="5" s="109" customFormat="1" ht="20.1" customHeight="1" spans="1:5">
      <c r="A5" s="114"/>
      <c r="B5" s="114"/>
      <c r="C5" s="114"/>
      <c r="D5" s="198" t="s">
        <v>78</v>
      </c>
      <c r="E5" s="114" t="s">
        <v>42</v>
      </c>
    </row>
    <row r="6" s="109" customFormat="1" ht="20.1" customHeight="1" spans="1:5">
      <c r="A6" s="116" t="s">
        <v>31</v>
      </c>
      <c r="B6" s="116" t="s">
        <v>31</v>
      </c>
      <c r="C6" s="116">
        <v>1</v>
      </c>
      <c r="D6" s="117">
        <v>2</v>
      </c>
      <c r="E6" s="117">
        <v>3</v>
      </c>
    </row>
    <row r="7" s="109" customFormat="1" ht="20.1" customHeight="1" spans="1:5">
      <c r="A7" s="116" t="s">
        <v>82</v>
      </c>
      <c r="B7" s="118"/>
      <c r="C7" s="118"/>
      <c r="D7" s="119"/>
      <c r="E7" s="119"/>
    </row>
    <row r="8" s="109" customFormat="1" ht="20.1" customHeight="1" spans="1:5">
      <c r="A8" s="120"/>
      <c r="B8" s="121"/>
      <c r="C8" s="121"/>
      <c r="D8" s="119"/>
      <c r="E8" s="119"/>
    </row>
    <row r="9" s="109" customFormat="1" ht="20.1" customHeight="1" spans="1:5">
      <c r="A9" s="122"/>
      <c r="B9" s="122"/>
      <c r="C9" s="122"/>
      <c r="D9" s="119"/>
      <c r="E9" s="119"/>
    </row>
    <row r="10" s="109" customFormat="1" ht="20.1" customHeight="1" spans="1:5">
      <c r="A10" s="122"/>
      <c r="B10" s="122"/>
      <c r="C10" s="122"/>
      <c r="D10" s="119"/>
      <c r="E10" s="119"/>
    </row>
    <row r="11" s="109" customFormat="1" ht="20.1" customHeight="1" spans="1:5">
      <c r="A11" s="122"/>
      <c r="B11" s="122"/>
      <c r="C11" s="122"/>
      <c r="D11" s="119"/>
      <c r="E11" s="119"/>
    </row>
    <row r="12" s="109" customFormat="1" ht="20.1" customHeight="1" spans="1:5">
      <c r="A12" s="122"/>
      <c r="B12" s="122"/>
      <c r="C12" s="122"/>
      <c r="D12" s="119"/>
      <c r="E12" s="119"/>
    </row>
    <row r="13" s="109" customFormat="1" ht="20.1" customHeight="1" spans="1:5">
      <c r="A13" s="122"/>
      <c r="B13" s="122"/>
      <c r="C13" s="122"/>
      <c r="D13" s="119"/>
      <c r="E13" s="119"/>
    </row>
    <row r="14" s="109" customFormat="1" ht="20.1" customHeight="1" spans="1:5">
      <c r="A14" s="119"/>
      <c r="B14" s="119"/>
      <c r="C14" s="119"/>
      <c r="D14" s="119"/>
      <c r="E14" s="119"/>
    </row>
    <row r="15" s="109" customFormat="1" ht="20.1" customHeight="1" spans="1:5">
      <c r="A15" s="119"/>
      <c r="B15" s="119"/>
      <c r="C15" s="119"/>
      <c r="D15" s="119"/>
      <c r="E15" s="119"/>
    </row>
    <row r="16" s="109" customFormat="1" ht="20.1" customHeight="1" spans="1:5">
      <c r="A16" s="119"/>
      <c r="B16" s="119"/>
      <c r="C16" s="119"/>
      <c r="D16" s="119"/>
      <c r="E16" s="119"/>
    </row>
    <row r="17" s="109" customFormat="1" ht="20.1" customHeight="1" spans="1:5">
      <c r="A17" s="119"/>
      <c r="B17" s="119"/>
      <c r="C17" s="119"/>
      <c r="D17" s="119"/>
      <c r="E17" s="119"/>
    </row>
    <row r="18" s="109" customFormat="1" ht="20.1" customHeight="1" spans="1:5">
      <c r="A18" s="119"/>
      <c r="B18" s="119"/>
      <c r="C18" s="119"/>
      <c r="D18" s="119"/>
      <c r="E18" s="119"/>
    </row>
    <row r="19" s="109" customFormat="1" ht="20.1" customHeight="1" spans="1:5">
      <c r="A19" s="119"/>
      <c r="B19" s="119"/>
      <c r="C19" s="119"/>
      <c r="D19" s="119"/>
      <c r="E19" s="119"/>
    </row>
    <row r="20" s="109" customFormat="1" ht="20.1" customHeight="1" spans="1:5">
      <c r="A20" s="119"/>
      <c r="B20" s="119"/>
      <c r="C20" s="119"/>
      <c r="D20" s="119"/>
      <c r="E20" s="119"/>
    </row>
    <row r="21" s="109" customFormat="1" ht="20.1" customHeight="1" spans="1:5">
      <c r="A21" s="119"/>
      <c r="B21" s="119"/>
      <c r="C21" s="119"/>
      <c r="D21" s="119"/>
      <c r="E21" s="119"/>
    </row>
    <row r="22" s="109" customFormat="1" ht="18.6" customHeight="1" spans="1:5">
      <c r="A22" s="123" t="s">
        <v>83</v>
      </c>
      <c r="B22" s="123"/>
      <c r="C22" s="123"/>
      <c r="D22" s="123"/>
      <c r="E22" s="124"/>
    </row>
    <row r="23" s="109" customFormat="1" ht="18.6" customHeight="1" spans="1:5">
      <c r="A23" s="125" t="s">
        <v>84</v>
      </c>
      <c r="B23" s="125"/>
      <c r="C23" s="125"/>
      <c r="D23" s="125"/>
      <c r="E23" s="124"/>
    </row>
    <row r="24" s="109" customFormat="1" ht="18.6" customHeight="1" spans="1:4">
      <c r="A24" s="126"/>
      <c r="B24" s="126"/>
      <c r="C24" s="126"/>
      <c r="D24" s="126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12" sqref="C12"/>
    </sheetView>
  </sheetViews>
  <sheetFormatPr defaultColWidth="9" defaultRowHeight="14.25" outlineLevelCol="2"/>
  <cols>
    <col min="1" max="1" width="17.125" style="55" customWidth="1"/>
    <col min="2" max="2" width="36.25" style="55" customWidth="1"/>
    <col min="3" max="3" width="30.625" style="55" customWidth="1"/>
    <col min="4" max="16384" width="9" style="55"/>
  </cols>
  <sheetData>
    <row r="1" ht="23.45" customHeight="1" spans="1:3">
      <c r="A1" s="97" t="s">
        <v>85</v>
      </c>
      <c r="B1" s="58"/>
      <c r="C1" s="58"/>
    </row>
    <row r="2" ht="37.15" customHeight="1" spans="1:3">
      <c r="A2" s="98" t="s">
        <v>86</v>
      </c>
      <c r="B2" s="98"/>
      <c r="C2" s="98"/>
    </row>
    <row r="3" s="96" customFormat="1" ht="18" customHeight="1" spans="1:3">
      <c r="A3" s="99"/>
      <c r="B3" s="100"/>
      <c r="C3" s="101" t="s">
        <v>2</v>
      </c>
    </row>
    <row r="4" ht="31.5" customHeight="1" spans="1:3">
      <c r="A4" s="102" t="s">
        <v>36</v>
      </c>
      <c r="B4" s="103" t="s">
        <v>37</v>
      </c>
      <c r="C4" s="104" t="s">
        <v>6</v>
      </c>
    </row>
    <row r="5" ht="20.1" customHeight="1" spans="1:3">
      <c r="A5" s="103" t="s">
        <v>87</v>
      </c>
      <c r="B5" s="103" t="s">
        <v>88</v>
      </c>
      <c r="C5" s="105">
        <f>SUM(C6:C15)</f>
        <v>10366.46</v>
      </c>
    </row>
    <row r="6" ht="20.1" customHeight="1" spans="1:3">
      <c r="A6" s="106" t="s">
        <v>89</v>
      </c>
      <c r="B6" s="106" t="s">
        <v>90</v>
      </c>
      <c r="C6" s="107">
        <v>4832.58</v>
      </c>
    </row>
    <row r="7" ht="20.1" customHeight="1" spans="1:3">
      <c r="A7" s="106" t="s">
        <v>91</v>
      </c>
      <c r="B7" s="106" t="s">
        <v>92</v>
      </c>
      <c r="C7" s="107">
        <v>2175.08</v>
      </c>
    </row>
    <row r="8" ht="20.1" customHeight="1" spans="1:3">
      <c r="A8" s="106" t="s">
        <v>93</v>
      </c>
      <c r="B8" s="106" t="s">
        <v>94</v>
      </c>
      <c r="C8" s="107">
        <v>2932.8</v>
      </c>
    </row>
    <row r="9" ht="20.1" customHeight="1" spans="1:3">
      <c r="A9" s="106" t="s">
        <v>95</v>
      </c>
      <c r="B9" s="106" t="s">
        <v>96</v>
      </c>
      <c r="C9" s="107" t="s">
        <v>88</v>
      </c>
    </row>
    <row r="10" ht="20.1" customHeight="1" spans="1:3">
      <c r="A10" s="106" t="s">
        <v>97</v>
      </c>
      <c r="B10" s="106" t="s">
        <v>98</v>
      </c>
      <c r="C10" s="107" t="s">
        <v>88</v>
      </c>
    </row>
    <row r="11" ht="20.1" customHeight="1" spans="1:3">
      <c r="A11" s="106" t="s">
        <v>99</v>
      </c>
      <c r="B11" s="106" t="s">
        <v>100</v>
      </c>
      <c r="C11" s="107">
        <v>426</v>
      </c>
    </row>
    <row r="12" ht="20.1" customHeight="1" spans="1:3">
      <c r="A12" s="106" t="s">
        <v>101</v>
      </c>
      <c r="B12" s="106" t="s">
        <v>102</v>
      </c>
      <c r="C12" s="107" t="s">
        <v>88</v>
      </c>
    </row>
    <row r="13" ht="20.1" customHeight="1" spans="1:3">
      <c r="A13" s="106" t="s">
        <v>103</v>
      </c>
      <c r="B13" s="106" t="s">
        <v>104</v>
      </c>
      <c r="C13" s="107" t="s">
        <v>88</v>
      </c>
    </row>
    <row r="14" ht="20.1" customHeight="1" spans="1:3">
      <c r="A14" s="106" t="s">
        <v>105</v>
      </c>
      <c r="B14" s="106" t="s">
        <v>106</v>
      </c>
      <c r="C14" s="108"/>
    </row>
    <row r="15" ht="20.1" customHeight="1" spans="1:3">
      <c r="A15" s="106" t="s">
        <v>107</v>
      </c>
      <c r="B15" s="106" t="s">
        <v>108</v>
      </c>
      <c r="C15" s="108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C48" sqref="C48"/>
    </sheetView>
  </sheetViews>
  <sheetFormatPr defaultColWidth="9" defaultRowHeight="14.25" outlineLevelCol="2"/>
  <cols>
    <col min="1" max="1" width="17.625" style="55" customWidth="1"/>
    <col min="2" max="2" width="37.125" style="55" customWidth="1"/>
    <col min="3" max="3" width="27.25" style="77" customWidth="1"/>
    <col min="4" max="16384" width="9" style="55"/>
  </cols>
  <sheetData>
    <row r="1" ht="25.9" customHeight="1" spans="1:3">
      <c r="A1" s="78" t="s">
        <v>109</v>
      </c>
      <c r="B1" s="79"/>
      <c r="C1" s="80"/>
    </row>
    <row r="2" ht="33.75" customHeight="1" spans="1:3">
      <c r="A2" s="81" t="s">
        <v>110</v>
      </c>
      <c r="B2" s="81"/>
      <c r="C2" s="82"/>
    </row>
    <row r="3" ht="21" customHeight="1" spans="1:3">
      <c r="A3" s="83"/>
      <c r="B3" s="84" t="s">
        <v>2</v>
      </c>
      <c r="C3" s="85"/>
    </row>
    <row r="4" ht="20.1" customHeight="1" spans="1:3">
      <c r="A4" s="86" t="s">
        <v>111</v>
      </c>
      <c r="B4" s="87" t="s">
        <v>37</v>
      </c>
      <c r="C4" s="88" t="s">
        <v>6</v>
      </c>
    </row>
    <row r="5" ht="20.1" customHeight="1" spans="1:3">
      <c r="A5" s="87" t="s">
        <v>87</v>
      </c>
      <c r="B5" s="87" t="s">
        <v>88</v>
      </c>
      <c r="C5" s="89">
        <f>C6+C20+C48</f>
        <v>9940.46</v>
      </c>
    </row>
    <row r="6" s="76" customFormat="1" ht="20.1" customHeight="1" spans="1:3">
      <c r="A6" s="90" t="s">
        <v>89</v>
      </c>
      <c r="B6" s="90" t="s">
        <v>90</v>
      </c>
      <c r="C6" s="89">
        <f>SUM(C7:C19)</f>
        <v>4832.58</v>
      </c>
    </row>
    <row r="7" ht="20.1" customHeight="1" spans="1:3">
      <c r="A7" s="91" t="s">
        <v>112</v>
      </c>
      <c r="B7" s="91" t="s">
        <v>113</v>
      </c>
      <c r="C7" s="92">
        <v>677.92</v>
      </c>
    </row>
    <row r="8" ht="20.1" customHeight="1" spans="1:3">
      <c r="A8" s="91" t="s">
        <v>114</v>
      </c>
      <c r="B8" s="91" t="s">
        <v>115</v>
      </c>
      <c r="C8" s="92">
        <v>782.56</v>
      </c>
    </row>
    <row r="9" ht="20.1" customHeight="1" spans="1:3">
      <c r="A9" s="91" t="s">
        <v>116</v>
      </c>
      <c r="B9" s="91" t="s">
        <v>117</v>
      </c>
      <c r="C9" s="92">
        <v>1666.11</v>
      </c>
    </row>
    <row r="10" ht="20.1" customHeight="1" spans="1:3">
      <c r="A10" s="91" t="s">
        <v>118</v>
      </c>
      <c r="B10" s="91" t="s">
        <v>119</v>
      </c>
      <c r="C10" s="92">
        <v>310</v>
      </c>
    </row>
    <row r="11" ht="20.1" customHeight="1" spans="1:3">
      <c r="A11" s="91" t="s">
        <v>120</v>
      </c>
      <c r="B11" s="91" t="s">
        <v>121</v>
      </c>
      <c r="C11" s="92">
        <v>81.96</v>
      </c>
    </row>
    <row r="12" ht="20.1" customHeight="1" spans="1:3">
      <c r="A12" s="91" t="s">
        <v>122</v>
      </c>
      <c r="B12" s="91" t="s">
        <v>123</v>
      </c>
      <c r="C12" s="92">
        <v>248.9</v>
      </c>
    </row>
    <row r="13" ht="20.1" customHeight="1" spans="1:3">
      <c r="A13" s="91" t="s">
        <v>124</v>
      </c>
      <c r="B13" s="91" t="s">
        <v>125</v>
      </c>
      <c r="C13" s="92">
        <v>10.57</v>
      </c>
    </row>
    <row r="14" ht="20.1" customHeight="1" spans="1:3">
      <c r="A14" s="91" t="s">
        <v>126</v>
      </c>
      <c r="B14" s="91" t="s">
        <v>127</v>
      </c>
      <c r="C14" s="92">
        <v>124.45</v>
      </c>
    </row>
    <row r="15" ht="20.1" customHeight="1" spans="1:3">
      <c r="A15" s="91" t="s">
        <v>128</v>
      </c>
      <c r="B15" s="91" t="s">
        <v>129</v>
      </c>
      <c r="C15" s="92">
        <v>108.89</v>
      </c>
    </row>
    <row r="16" ht="20.1" customHeight="1" spans="1:3">
      <c r="A16" s="91" t="s">
        <v>130</v>
      </c>
      <c r="B16" s="91" t="s">
        <v>131</v>
      </c>
      <c r="C16" s="92">
        <v>13.23</v>
      </c>
    </row>
    <row r="17" ht="20.1" customHeight="1" spans="1:3">
      <c r="A17" s="91" t="s">
        <v>132</v>
      </c>
      <c r="B17" s="91" t="s">
        <v>63</v>
      </c>
      <c r="C17" s="92">
        <v>364.79</v>
      </c>
    </row>
    <row r="18" ht="20.1" customHeight="1" spans="1:3">
      <c r="A18" s="91" t="s">
        <v>133</v>
      </c>
      <c r="B18" s="91" t="s">
        <v>134</v>
      </c>
      <c r="C18" s="92" t="s">
        <v>88</v>
      </c>
    </row>
    <row r="19" ht="20.1" customHeight="1" spans="1:3">
      <c r="A19" s="91" t="s">
        <v>135</v>
      </c>
      <c r="B19" s="91" t="s">
        <v>136</v>
      </c>
      <c r="C19" s="92">
        <v>443.2</v>
      </c>
    </row>
    <row r="20" s="76" customFormat="1" ht="20.1" customHeight="1" spans="1:3">
      <c r="A20" s="90" t="s">
        <v>91</v>
      </c>
      <c r="B20" s="90" t="s">
        <v>92</v>
      </c>
      <c r="C20" s="89">
        <f>SUM(C21:C47)</f>
        <v>2175.08</v>
      </c>
    </row>
    <row r="21" ht="20.1" customHeight="1" spans="1:3">
      <c r="A21" s="91" t="s">
        <v>137</v>
      </c>
      <c r="B21" s="91" t="s">
        <v>138</v>
      </c>
      <c r="C21" s="92">
        <v>292.94</v>
      </c>
    </row>
    <row r="22" ht="20.1" customHeight="1" spans="1:3">
      <c r="A22" s="91" t="s">
        <v>139</v>
      </c>
      <c r="B22" s="91" t="s">
        <v>140</v>
      </c>
      <c r="C22" s="92">
        <v>5</v>
      </c>
    </row>
    <row r="23" ht="20.1" customHeight="1" spans="1:3">
      <c r="A23" s="91" t="s">
        <v>141</v>
      </c>
      <c r="B23" s="91" t="s">
        <v>142</v>
      </c>
      <c r="C23" s="92" t="s">
        <v>88</v>
      </c>
    </row>
    <row r="24" ht="20.1" customHeight="1" spans="1:3">
      <c r="A24" s="91" t="s">
        <v>143</v>
      </c>
      <c r="B24" s="93" t="s">
        <v>144</v>
      </c>
      <c r="C24" s="92">
        <v>0.5</v>
      </c>
    </row>
    <row r="25" ht="20.1" customHeight="1" spans="1:3">
      <c r="A25" s="91" t="s">
        <v>145</v>
      </c>
      <c r="B25" s="91" t="s">
        <v>146</v>
      </c>
      <c r="C25" s="92">
        <v>25</v>
      </c>
    </row>
    <row r="26" ht="20.1" customHeight="1" spans="1:3">
      <c r="A26" s="91" t="s">
        <v>147</v>
      </c>
      <c r="B26" s="91" t="s">
        <v>148</v>
      </c>
      <c r="C26" s="92">
        <v>65</v>
      </c>
    </row>
    <row r="27" ht="20.1" customHeight="1" spans="1:3">
      <c r="A27" s="91" t="s">
        <v>149</v>
      </c>
      <c r="B27" s="91" t="s">
        <v>150</v>
      </c>
      <c r="C27" s="92">
        <v>60</v>
      </c>
    </row>
    <row r="28" ht="20.1" customHeight="1" spans="1:3">
      <c r="A28" s="91" t="s">
        <v>151</v>
      </c>
      <c r="B28" s="91" t="s">
        <v>152</v>
      </c>
      <c r="C28" s="92" t="s">
        <v>88</v>
      </c>
    </row>
    <row r="29" ht="20.1" customHeight="1" spans="1:3">
      <c r="A29" s="91" t="s">
        <v>153</v>
      </c>
      <c r="B29" s="91" t="s">
        <v>154</v>
      </c>
      <c r="C29" s="92" t="s">
        <v>88</v>
      </c>
    </row>
    <row r="30" ht="20.1" customHeight="1" spans="1:3">
      <c r="A30" s="91" t="s">
        <v>155</v>
      </c>
      <c r="B30" s="91" t="s">
        <v>156</v>
      </c>
      <c r="C30" s="92">
        <v>20</v>
      </c>
    </row>
    <row r="31" ht="20.1" customHeight="1" spans="1:3">
      <c r="A31" s="91" t="s">
        <v>157</v>
      </c>
      <c r="B31" s="91" t="s">
        <v>158</v>
      </c>
      <c r="C31" s="92" t="s">
        <v>88</v>
      </c>
    </row>
    <row r="32" ht="20.1" customHeight="1" spans="1:3">
      <c r="A32" s="91" t="s">
        <v>159</v>
      </c>
      <c r="B32" s="91" t="s">
        <v>160</v>
      </c>
      <c r="C32" s="92">
        <v>40</v>
      </c>
    </row>
    <row r="33" ht="20.1" customHeight="1" spans="1:3">
      <c r="A33" s="91" t="s">
        <v>161</v>
      </c>
      <c r="B33" s="91" t="s">
        <v>162</v>
      </c>
      <c r="C33" s="92" t="s">
        <v>88</v>
      </c>
    </row>
    <row r="34" ht="20.1" customHeight="1" spans="1:3">
      <c r="A34" s="91" t="s">
        <v>163</v>
      </c>
      <c r="B34" s="91" t="s">
        <v>164</v>
      </c>
      <c r="C34" s="92"/>
    </row>
    <row r="35" ht="20.1" customHeight="1" spans="1:3">
      <c r="A35" s="91" t="s">
        <v>165</v>
      </c>
      <c r="B35" s="91" t="s">
        <v>166</v>
      </c>
      <c r="C35" s="92"/>
    </row>
    <row r="36" ht="20.1" customHeight="1" spans="1:3">
      <c r="A36" s="91" t="s">
        <v>167</v>
      </c>
      <c r="B36" s="91" t="s">
        <v>168</v>
      </c>
      <c r="C36" s="92" t="s">
        <v>88</v>
      </c>
    </row>
    <row r="37" ht="20.1" customHeight="1" spans="1:3">
      <c r="A37" s="91" t="s">
        <v>169</v>
      </c>
      <c r="B37" s="91" t="s">
        <v>170</v>
      </c>
      <c r="C37" s="92" t="s">
        <v>88</v>
      </c>
    </row>
    <row r="38" ht="20.1" customHeight="1" spans="1:3">
      <c r="A38" s="91" t="s">
        <v>171</v>
      </c>
      <c r="B38" s="91" t="s">
        <v>172</v>
      </c>
      <c r="C38" s="92" t="s">
        <v>88</v>
      </c>
    </row>
    <row r="39" ht="20.1" customHeight="1" spans="1:3">
      <c r="A39" s="91" t="s">
        <v>173</v>
      </c>
      <c r="B39" s="91" t="s">
        <v>174</v>
      </c>
      <c r="C39" s="92" t="s">
        <v>88</v>
      </c>
    </row>
    <row r="40" ht="20.1" customHeight="1" spans="1:3">
      <c r="A40" s="91" t="s">
        <v>175</v>
      </c>
      <c r="B40" s="91" t="s">
        <v>176</v>
      </c>
      <c r="C40" s="92">
        <v>40</v>
      </c>
    </row>
    <row r="41" ht="20.1" customHeight="1" spans="1:3">
      <c r="A41" s="91" t="s">
        <v>177</v>
      </c>
      <c r="B41" s="91" t="s">
        <v>178</v>
      </c>
      <c r="C41" s="92">
        <v>1016.2</v>
      </c>
    </row>
    <row r="42" ht="20.1" customHeight="1" spans="1:3">
      <c r="A42" s="91" t="s">
        <v>179</v>
      </c>
      <c r="B42" s="91" t="s">
        <v>180</v>
      </c>
      <c r="C42" s="92">
        <v>85.82</v>
      </c>
    </row>
    <row r="43" ht="20.1" customHeight="1" spans="1:3">
      <c r="A43" s="91" t="s">
        <v>181</v>
      </c>
      <c r="B43" s="91" t="s">
        <v>182</v>
      </c>
      <c r="C43" s="92" t="s">
        <v>88</v>
      </c>
    </row>
    <row r="44" ht="20.1" customHeight="1" spans="1:3">
      <c r="A44" s="91" t="s">
        <v>183</v>
      </c>
      <c r="B44" s="91" t="s">
        <v>184</v>
      </c>
      <c r="C44" s="92">
        <v>27.6</v>
      </c>
    </row>
    <row r="45" ht="20.1" customHeight="1" spans="1:3">
      <c r="A45" s="91" t="s">
        <v>185</v>
      </c>
      <c r="B45" s="91" t="s">
        <v>186</v>
      </c>
      <c r="C45" s="92">
        <v>120.92</v>
      </c>
    </row>
    <row r="46" ht="20.1" customHeight="1" spans="1:3">
      <c r="A46" s="91" t="s">
        <v>187</v>
      </c>
      <c r="B46" s="91" t="s">
        <v>188</v>
      </c>
      <c r="C46" s="92" t="s">
        <v>88</v>
      </c>
    </row>
    <row r="47" ht="20.1" customHeight="1" spans="1:3">
      <c r="A47" s="91" t="s">
        <v>189</v>
      </c>
      <c r="B47" s="91" t="s">
        <v>190</v>
      </c>
      <c r="C47" s="92">
        <v>376.1</v>
      </c>
    </row>
    <row r="48" s="76" customFormat="1" ht="20.1" customHeight="1" spans="1:3">
      <c r="A48" s="90" t="s">
        <v>93</v>
      </c>
      <c r="B48" s="90" t="s">
        <v>94</v>
      </c>
      <c r="C48" s="89">
        <f>SUM(C49:C59)</f>
        <v>2932.8</v>
      </c>
    </row>
    <row r="49" ht="20.1" customHeight="1" spans="1:3">
      <c r="A49" s="91" t="s">
        <v>191</v>
      </c>
      <c r="B49" s="91" t="s">
        <v>192</v>
      </c>
      <c r="C49" s="92" t="s">
        <v>88</v>
      </c>
    </row>
    <row r="50" ht="20.1" customHeight="1" spans="1:3">
      <c r="A50" s="91" t="s">
        <v>193</v>
      </c>
      <c r="B50" s="91" t="s">
        <v>194</v>
      </c>
      <c r="C50" s="92" t="s">
        <v>88</v>
      </c>
    </row>
    <row r="51" ht="20.1" customHeight="1" spans="1:3">
      <c r="A51" s="91" t="s">
        <v>195</v>
      </c>
      <c r="B51" s="91" t="s">
        <v>196</v>
      </c>
      <c r="C51" s="92" t="s">
        <v>88</v>
      </c>
    </row>
    <row r="52" ht="20.1" customHeight="1" spans="1:3">
      <c r="A52" s="91" t="s">
        <v>197</v>
      </c>
      <c r="B52" s="91" t="s">
        <v>198</v>
      </c>
      <c r="C52" s="92" t="s">
        <v>88</v>
      </c>
    </row>
    <row r="53" ht="20.1" customHeight="1" spans="1:3">
      <c r="A53" s="91" t="s">
        <v>199</v>
      </c>
      <c r="B53" s="91" t="s">
        <v>200</v>
      </c>
      <c r="C53" s="92">
        <v>650.73</v>
      </c>
    </row>
    <row r="54" ht="20.1" customHeight="1" spans="1:3">
      <c r="A54" s="91" t="s">
        <v>201</v>
      </c>
      <c r="B54" s="91" t="s">
        <v>202</v>
      </c>
      <c r="C54" s="92">
        <v>1983.72</v>
      </c>
    </row>
    <row r="55" ht="20.1" customHeight="1" spans="1:3">
      <c r="A55" s="91" t="s">
        <v>203</v>
      </c>
      <c r="B55" s="91" t="s">
        <v>204</v>
      </c>
      <c r="C55" s="92" t="s">
        <v>88</v>
      </c>
    </row>
    <row r="56" ht="20.1" customHeight="1" spans="1:3">
      <c r="A56" s="91" t="s">
        <v>205</v>
      </c>
      <c r="B56" s="91" t="s">
        <v>206</v>
      </c>
      <c r="C56" s="92" t="s">
        <v>88</v>
      </c>
    </row>
    <row r="57" ht="20.1" customHeight="1" spans="1:3">
      <c r="A57" s="91" t="s">
        <v>207</v>
      </c>
      <c r="B57" s="91" t="s">
        <v>208</v>
      </c>
      <c r="C57" s="92" t="s">
        <v>88</v>
      </c>
    </row>
    <row r="58" ht="20.1" customHeight="1" spans="1:3">
      <c r="A58" s="91" t="s">
        <v>209</v>
      </c>
      <c r="B58" s="91" t="s">
        <v>210</v>
      </c>
      <c r="C58" s="92" t="s">
        <v>88</v>
      </c>
    </row>
    <row r="59" ht="20.1" customHeight="1" spans="1:3">
      <c r="A59" s="91" t="s">
        <v>211</v>
      </c>
      <c r="B59" s="91" t="s">
        <v>212</v>
      </c>
      <c r="C59" s="92">
        <v>298.35</v>
      </c>
    </row>
    <row r="60" s="76" customFormat="1" ht="20.1" customHeight="1" spans="1:3">
      <c r="A60" s="90" t="s">
        <v>95</v>
      </c>
      <c r="B60" s="90" t="s">
        <v>96</v>
      </c>
      <c r="C60" s="89" t="s">
        <v>88</v>
      </c>
    </row>
    <row r="61" ht="20.1" customHeight="1" spans="1:3">
      <c r="A61" s="91" t="s">
        <v>213</v>
      </c>
      <c r="B61" s="91" t="s">
        <v>214</v>
      </c>
      <c r="C61" s="92" t="s">
        <v>88</v>
      </c>
    </row>
    <row r="62" ht="20.1" customHeight="1" spans="1:3">
      <c r="A62" s="91" t="s">
        <v>215</v>
      </c>
      <c r="B62" s="91" t="s">
        <v>216</v>
      </c>
      <c r="C62" s="92" t="s">
        <v>88</v>
      </c>
    </row>
    <row r="63" ht="20.1" customHeight="1" spans="1:3">
      <c r="A63" s="91" t="s">
        <v>217</v>
      </c>
      <c r="B63" s="91" t="s">
        <v>218</v>
      </c>
      <c r="C63" s="92" t="s">
        <v>88</v>
      </c>
    </row>
    <row r="64" ht="20.1" customHeight="1" spans="1:3">
      <c r="A64" s="91" t="s">
        <v>219</v>
      </c>
      <c r="B64" s="91" t="s">
        <v>220</v>
      </c>
      <c r="C64" s="92" t="s">
        <v>88</v>
      </c>
    </row>
    <row r="65" s="76" customFormat="1" ht="20.1" customHeight="1" spans="1:3">
      <c r="A65" s="90" t="s">
        <v>97</v>
      </c>
      <c r="B65" s="90" t="s">
        <v>98</v>
      </c>
      <c r="C65" s="89" t="s">
        <v>88</v>
      </c>
    </row>
    <row r="66" ht="20.1" customHeight="1" spans="1:3">
      <c r="A66" s="91" t="s">
        <v>221</v>
      </c>
      <c r="B66" s="91" t="s">
        <v>222</v>
      </c>
      <c r="C66" s="92" t="s">
        <v>88</v>
      </c>
    </row>
    <row r="67" ht="20.1" customHeight="1" spans="1:3">
      <c r="A67" s="91" t="s">
        <v>223</v>
      </c>
      <c r="B67" s="91" t="s">
        <v>224</v>
      </c>
      <c r="C67" s="92" t="s">
        <v>88</v>
      </c>
    </row>
    <row r="68" ht="20.1" customHeight="1" spans="1:3">
      <c r="A68" s="91" t="s">
        <v>225</v>
      </c>
      <c r="B68" s="91" t="s">
        <v>226</v>
      </c>
      <c r="C68" s="92" t="s">
        <v>88</v>
      </c>
    </row>
    <row r="69" ht="20.1" customHeight="1" spans="1:3">
      <c r="A69" s="91" t="s">
        <v>227</v>
      </c>
      <c r="B69" s="91" t="s">
        <v>228</v>
      </c>
      <c r="C69" s="92" t="s">
        <v>88</v>
      </c>
    </row>
    <row r="70" ht="20.1" customHeight="1" spans="1:3">
      <c r="A70" s="91" t="s">
        <v>229</v>
      </c>
      <c r="B70" s="91" t="s">
        <v>230</v>
      </c>
      <c r="C70" s="92" t="s">
        <v>88</v>
      </c>
    </row>
    <row r="71" ht="20.1" customHeight="1" spans="1:3">
      <c r="A71" s="91" t="s">
        <v>231</v>
      </c>
      <c r="B71" s="91" t="s">
        <v>232</v>
      </c>
      <c r="C71" s="92" t="s">
        <v>88</v>
      </c>
    </row>
    <row r="72" ht="20.1" customHeight="1" spans="1:3">
      <c r="A72" s="91" t="s">
        <v>233</v>
      </c>
      <c r="B72" s="91" t="s">
        <v>234</v>
      </c>
      <c r="C72" s="92" t="s">
        <v>88</v>
      </c>
    </row>
    <row r="73" ht="20.1" customHeight="1" spans="1:3">
      <c r="A73" s="91" t="s">
        <v>235</v>
      </c>
      <c r="B73" s="91" t="s">
        <v>236</v>
      </c>
      <c r="C73" s="92" t="s">
        <v>88</v>
      </c>
    </row>
    <row r="74" ht="20.1" customHeight="1" spans="1:3">
      <c r="A74" s="91" t="s">
        <v>237</v>
      </c>
      <c r="B74" s="91" t="s">
        <v>238</v>
      </c>
      <c r="C74" s="92" t="s">
        <v>88</v>
      </c>
    </row>
    <row r="75" ht="20.1" customHeight="1" spans="1:3">
      <c r="A75" s="91" t="s">
        <v>239</v>
      </c>
      <c r="B75" s="91" t="s">
        <v>240</v>
      </c>
      <c r="C75" s="92" t="s">
        <v>88</v>
      </c>
    </row>
    <row r="76" ht="20.1" customHeight="1" spans="1:3">
      <c r="A76" s="91" t="s">
        <v>241</v>
      </c>
      <c r="B76" s="91" t="s">
        <v>242</v>
      </c>
      <c r="C76" s="92" t="s">
        <v>88</v>
      </c>
    </row>
    <row r="77" ht="20.1" customHeight="1" spans="1:3">
      <c r="A77" s="91" t="s">
        <v>243</v>
      </c>
      <c r="B77" s="91" t="s">
        <v>244</v>
      </c>
      <c r="C77" s="92" t="s">
        <v>88</v>
      </c>
    </row>
    <row r="78" s="76" customFormat="1" ht="20.1" customHeight="1" spans="1:3">
      <c r="A78" s="90" t="s">
        <v>99</v>
      </c>
      <c r="B78" s="90" t="s">
        <v>100</v>
      </c>
      <c r="C78" s="89" t="s">
        <v>88</v>
      </c>
    </row>
    <row r="79" ht="20.1" customHeight="1" spans="1:3">
      <c r="A79" s="91" t="s">
        <v>245</v>
      </c>
      <c r="B79" s="91" t="s">
        <v>222</v>
      </c>
      <c r="C79" s="92" t="s">
        <v>88</v>
      </c>
    </row>
    <row r="80" ht="20.1" customHeight="1" spans="1:3">
      <c r="A80" s="91" t="s">
        <v>246</v>
      </c>
      <c r="B80" s="91" t="s">
        <v>224</v>
      </c>
      <c r="C80" s="92" t="s">
        <v>88</v>
      </c>
    </row>
    <row r="81" ht="20.1" customHeight="1" spans="1:3">
      <c r="A81" s="91" t="s">
        <v>247</v>
      </c>
      <c r="B81" s="91" t="s">
        <v>226</v>
      </c>
      <c r="C81" s="92" t="s">
        <v>88</v>
      </c>
    </row>
    <row r="82" ht="20.1" customHeight="1" spans="1:3">
      <c r="A82" s="91" t="s">
        <v>248</v>
      </c>
      <c r="B82" s="91" t="s">
        <v>228</v>
      </c>
      <c r="C82" s="94"/>
    </row>
    <row r="83" ht="20.1" customHeight="1" spans="1:3">
      <c r="A83" s="91" t="s">
        <v>249</v>
      </c>
      <c r="B83" s="91" t="s">
        <v>230</v>
      </c>
      <c r="C83" s="94"/>
    </row>
    <row r="84" ht="20.1" customHeight="1" spans="1:3">
      <c r="A84" s="91" t="s">
        <v>250</v>
      </c>
      <c r="B84" s="91" t="s">
        <v>232</v>
      </c>
      <c r="C84" s="94"/>
    </row>
    <row r="85" ht="20.1" customHeight="1" spans="1:3">
      <c r="A85" s="91" t="s">
        <v>251</v>
      </c>
      <c r="B85" s="91" t="s">
        <v>234</v>
      </c>
      <c r="C85" s="94"/>
    </row>
    <row r="86" ht="20.1" customHeight="1" spans="1:3">
      <c r="A86" s="91" t="s">
        <v>252</v>
      </c>
      <c r="B86" s="91" t="s">
        <v>253</v>
      </c>
      <c r="C86" s="94"/>
    </row>
    <row r="87" ht="20.1" customHeight="1" spans="1:3">
      <c r="A87" s="91" t="s">
        <v>254</v>
      </c>
      <c r="B87" s="91" t="s">
        <v>255</v>
      </c>
      <c r="C87" s="94"/>
    </row>
    <row r="88" ht="20.1" customHeight="1" spans="1:3">
      <c r="A88" s="91" t="s">
        <v>256</v>
      </c>
      <c r="B88" s="91" t="s">
        <v>257</v>
      </c>
      <c r="C88" s="94"/>
    </row>
    <row r="89" ht="20.1" customHeight="1" spans="1:3">
      <c r="A89" s="91" t="s">
        <v>258</v>
      </c>
      <c r="B89" s="93" t="s">
        <v>259</v>
      </c>
      <c r="C89" s="94"/>
    </row>
    <row r="90" ht="20.1" customHeight="1" spans="1:3">
      <c r="A90" s="91" t="s">
        <v>260</v>
      </c>
      <c r="B90" s="91" t="s">
        <v>236</v>
      </c>
      <c r="C90" s="94"/>
    </row>
    <row r="91" ht="20.1" customHeight="1" spans="1:3">
      <c r="A91" s="91" t="s">
        <v>261</v>
      </c>
      <c r="B91" s="91" t="s">
        <v>238</v>
      </c>
      <c r="C91" s="94"/>
    </row>
    <row r="92" ht="20.1" customHeight="1" spans="1:3">
      <c r="A92" s="91" t="s">
        <v>262</v>
      </c>
      <c r="B92" s="91" t="s">
        <v>240</v>
      </c>
      <c r="C92" s="94"/>
    </row>
    <row r="93" ht="20.1" customHeight="1" spans="1:3">
      <c r="A93" s="91" t="s">
        <v>263</v>
      </c>
      <c r="B93" s="91" t="s">
        <v>242</v>
      </c>
      <c r="C93" s="94"/>
    </row>
    <row r="94" ht="20.1" customHeight="1" spans="1:3">
      <c r="A94" s="91" t="s">
        <v>264</v>
      </c>
      <c r="B94" s="91" t="s">
        <v>265</v>
      </c>
      <c r="C94" s="94"/>
    </row>
    <row r="95" s="76" customFormat="1" ht="20.1" customHeight="1" spans="1:3">
      <c r="A95" s="90" t="s">
        <v>101</v>
      </c>
      <c r="B95" s="90" t="s">
        <v>102</v>
      </c>
      <c r="C95" s="95"/>
    </row>
    <row r="96" ht="20.1" customHeight="1" spans="1:3">
      <c r="A96" s="91" t="s">
        <v>266</v>
      </c>
      <c r="B96" s="91" t="s">
        <v>267</v>
      </c>
      <c r="C96" s="94"/>
    </row>
    <row r="97" ht="20.1" customHeight="1" spans="1:3">
      <c r="A97" s="91" t="s">
        <v>268</v>
      </c>
      <c r="B97" s="91" t="s">
        <v>269</v>
      </c>
      <c r="C97" s="94"/>
    </row>
    <row r="98" s="76" customFormat="1" ht="20.1" customHeight="1" spans="1:3">
      <c r="A98" s="90" t="s">
        <v>103</v>
      </c>
      <c r="B98" s="90" t="s">
        <v>104</v>
      </c>
      <c r="C98" s="95"/>
    </row>
    <row r="99" ht="20.1" customHeight="1" spans="1:3">
      <c r="A99" s="91" t="s">
        <v>270</v>
      </c>
      <c r="B99" s="91" t="s">
        <v>267</v>
      </c>
      <c r="C99" s="94"/>
    </row>
    <row r="100" ht="20.1" customHeight="1" spans="1:3">
      <c r="A100" s="91" t="s">
        <v>271</v>
      </c>
      <c r="B100" s="91" t="s">
        <v>272</v>
      </c>
      <c r="C100" s="94"/>
    </row>
    <row r="101" ht="20.1" customHeight="1" spans="1:3">
      <c r="A101" s="91" t="s">
        <v>273</v>
      </c>
      <c r="B101" s="91" t="s">
        <v>274</v>
      </c>
      <c r="C101" s="94"/>
    </row>
    <row r="102" ht="20.1" customHeight="1" spans="1:3">
      <c r="A102" s="91" t="s">
        <v>275</v>
      </c>
      <c r="B102" s="91" t="s">
        <v>276</v>
      </c>
      <c r="C102" s="94"/>
    </row>
    <row r="103" ht="20.1" customHeight="1" spans="1:3">
      <c r="A103" s="91" t="s">
        <v>277</v>
      </c>
      <c r="B103" s="91" t="s">
        <v>269</v>
      </c>
      <c r="C103" s="94"/>
    </row>
    <row r="104" s="76" customFormat="1" ht="20.1" customHeight="1" spans="1:3">
      <c r="A104" s="90" t="s">
        <v>105</v>
      </c>
      <c r="B104" s="90" t="s">
        <v>106</v>
      </c>
      <c r="C104" s="95"/>
    </row>
    <row r="105" ht="20.1" customHeight="1" spans="1:3">
      <c r="A105" s="91" t="s">
        <v>278</v>
      </c>
      <c r="B105" s="91" t="s">
        <v>279</v>
      </c>
      <c r="C105" s="94"/>
    </row>
    <row r="106" ht="20.1" customHeight="1" spans="1:3">
      <c r="A106" s="91" t="s">
        <v>280</v>
      </c>
      <c r="B106" s="91" t="s">
        <v>281</v>
      </c>
      <c r="C106" s="94"/>
    </row>
    <row r="107" s="76" customFormat="1" ht="20.1" customHeight="1" spans="1:3">
      <c r="A107" s="90" t="s">
        <v>107</v>
      </c>
      <c r="B107" s="90" t="s">
        <v>108</v>
      </c>
      <c r="C107" s="95"/>
    </row>
    <row r="108" ht="20.1" customHeight="1" spans="1:3">
      <c r="A108" s="91" t="s">
        <v>282</v>
      </c>
      <c r="B108" s="91" t="s">
        <v>283</v>
      </c>
      <c r="C108" s="94"/>
    </row>
    <row r="109" ht="20.1" customHeight="1" spans="1:3">
      <c r="A109" s="91" t="s">
        <v>284</v>
      </c>
      <c r="B109" s="91" t="s">
        <v>285</v>
      </c>
      <c r="C109" s="94"/>
    </row>
    <row r="110" ht="20.1" customHeight="1" spans="1:3">
      <c r="A110" s="91" t="s">
        <v>286</v>
      </c>
      <c r="B110" s="91" t="s">
        <v>287</v>
      </c>
      <c r="C110" s="94"/>
    </row>
    <row r="111" ht="20.1" customHeight="1" spans="1:3">
      <c r="A111" s="91" t="s">
        <v>288</v>
      </c>
      <c r="B111" s="91" t="s">
        <v>108</v>
      </c>
      <c r="C111" s="94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9" sqref="A9"/>
    </sheetView>
  </sheetViews>
  <sheetFormatPr defaultColWidth="9" defaultRowHeight="14.25" outlineLevelCol="1"/>
  <cols>
    <col min="1" max="1" width="50.75" style="55" customWidth="1"/>
    <col min="2" max="2" width="29.75" style="55" customWidth="1"/>
    <col min="3" max="16384" width="9" style="55"/>
  </cols>
  <sheetData>
    <row r="1" spans="1:2">
      <c r="A1" s="67" t="s">
        <v>289</v>
      </c>
      <c r="B1" s="68"/>
    </row>
    <row r="2" ht="28.5" customHeight="1" spans="1:2">
      <c r="A2" s="69" t="s">
        <v>290</v>
      </c>
      <c r="B2" s="69"/>
    </row>
    <row r="3" ht="18" customHeight="1" spans="1:2">
      <c r="A3" s="70"/>
      <c r="B3" s="71" t="s">
        <v>2</v>
      </c>
    </row>
    <row r="4" ht="20.1" customHeight="1" spans="1:2">
      <c r="A4" s="72" t="s">
        <v>291</v>
      </c>
      <c r="B4" s="72" t="s">
        <v>6</v>
      </c>
    </row>
    <row r="5" ht="20.1" customHeight="1" spans="1:2">
      <c r="A5" s="72" t="s">
        <v>38</v>
      </c>
      <c r="B5" s="73">
        <f>B6+B7+B8</f>
        <v>27.6</v>
      </c>
    </row>
    <row r="6" ht="20.1" customHeight="1" spans="1:2">
      <c r="A6" s="73" t="s">
        <v>292</v>
      </c>
      <c r="B6" s="73"/>
    </row>
    <row r="7" ht="20.1" customHeight="1" spans="1:2">
      <c r="A7" s="73" t="s">
        <v>293</v>
      </c>
      <c r="B7" s="73"/>
    </row>
    <row r="8" ht="20.1" customHeight="1" spans="1:2">
      <c r="A8" s="73" t="s">
        <v>294</v>
      </c>
      <c r="B8" s="73">
        <v>27.6</v>
      </c>
    </row>
    <row r="9" ht="20.1" customHeight="1" spans="1:2">
      <c r="A9" s="74" t="s">
        <v>295</v>
      </c>
      <c r="B9" s="73">
        <v>27.6</v>
      </c>
    </row>
    <row r="10" ht="20.1" customHeight="1" spans="1:2">
      <c r="A10" s="74" t="s">
        <v>296</v>
      </c>
      <c r="B10" s="73"/>
    </row>
    <row r="11" ht="46.5" customHeight="1" spans="1:2">
      <c r="A11" s="75" t="s">
        <v>297</v>
      </c>
      <c r="B11" s="75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A1" sqref="A1"/>
    </sheetView>
  </sheetViews>
  <sheetFormatPr defaultColWidth="9" defaultRowHeight="14.25"/>
  <cols>
    <col min="1" max="1" width="14.875" style="55" customWidth="1"/>
    <col min="2" max="2" width="20.5" style="55" customWidth="1"/>
    <col min="3" max="3" width="10.5" style="55" customWidth="1"/>
    <col min="4" max="4" width="11.375" style="55" customWidth="1"/>
    <col min="5" max="5" width="11.875" style="55" customWidth="1"/>
    <col min="6" max="6" width="13.125" style="55" customWidth="1"/>
    <col min="7" max="7" width="10.5" style="55" customWidth="1"/>
    <col min="8" max="8" width="8.625" style="55" customWidth="1"/>
    <col min="9" max="10" width="10" style="55" customWidth="1"/>
    <col min="11" max="11" width="12.875" style="55" customWidth="1"/>
    <col min="12" max="16384" width="9" style="55"/>
  </cols>
  <sheetData>
    <row r="1" ht="21" customHeight="1" spans="1:1">
      <c r="A1" s="56" t="s">
        <v>298</v>
      </c>
    </row>
    <row r="2" ht="26.25" customHeight="1" spans="1:11">
      <c r="A2" s="57" t="s">
        <v>299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ht="23.25" customHeight="1" spans="1:11">
      <c r="A3" s="58"/>
      <c r="B3" s="58"/>
      <c r="C3" s="58"/>
      <c r="D3" s="58"/>
      <c r="E3" s="58"/>
      <c r="F3" s="58"/>
      <c r="G3" s="58"/>
      <c r="H3" s="58"/>
      <c r="I3" s="58"/>
      <c r="J3" s="58"/>
      <c r="K3" s="66" t="s">
        <v>2</v>
      </c>
    </row>
    <row r="4" ht="20.1" customHeight="1" spans="1:11">
      <c r="A4" s="59" t="s">
        <v>300</v>
      </c>
      <c r="B4" s="59" t="s">
        <v>301</v>
      </c>
      <c r="C4" s="59" t="s">
        <v>302</v>
      </c>
      <c r="D4" s="59" t="s">
        <v>303</v>
      </c>
      <c r="E4" s="59" t="s">
        <v>304</v>
      </c>
      <c r="F4" s="59" t="s">
        <v>305</v>
      </c>
      <c r="G4" s="59" t="s">
        <v>306</v>
      </c>
      <c r="H4" s="60" t="s">
        <v>307</v>
      </c>
      <c r="I4" s="60"/>
      <c r="J4" s="60"/>
      <c r="K4" s="59" t="s">
        <v>308</v>
      </c>
    </row>
    <row r="5" ht="36.75" customHeight="1" spans="1:11">
      <c r="A5" s="61"/>
      <c r="B5" s="61"/>
      <c r="C5" s="61"/>
      <c r="D5" s="61"/>
      <c r="E5" s="61"/>
      <c r="F5" s="61"/>
      <c r="G5" s="61"/>
      <c r="H5" s="60" t="s">
        <v>309</v>
      </c>
      <c r="I5" s="60" t="s">
        <v>310</v>
      </c>
      <c r="J5" s="60" t="s">
        <v>311</v>
      </c>
      <c r="K5" s="61"/>
    </row>
    <row r="6" ht="20.1" customHeight="1" spans="1:11">
      <c r="A6" s="62" t="s">
        <v>82</v>
      </c>
      <c r="B6" s="63"/>
      <c r="C6" s="63"/>
      <c r="D6" s="63"/>
      <c r="E6" s="63"/>
      <c r="F6" s="63"/>
      <c r="G6" s="63"/>
      <c r="H6" s="63"/>
      <c r="I6" s="63"/>
      <c r="J6" s="63"/>
      <c r="K6" s="63"/>
    </row>
    <row r="7" ht="20.1" customHeight="1" spans="1:1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</row>
    <row r="8" ht="20.1" customHeight="1" spans="1:1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</row>
    <row r="9" ht="20.1" customHeight="1" spans="1:1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</row>
    <row r="10" ht="20.1" customHeight="1" spans="1:1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</row>
    <row r="11" ht="20.1" customHeight="1" spans="1: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ht="20.1" customHeight="1" spans="1:11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</row>
    <row r="13" ht="20.1" customHeight="1" spans="1:1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</row>
    <row r="14" ht="184.15" customHeight="1" spans="1:11">
      <c r="A14" s="64" t="s">
        <v>312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31"/>
  <sheetViews>
    <sheetView view="pageBreakPreview" zoomScale="85" zoomScaleNormal="85" zoomScaleSheetLayoutView="85" workbookViewId="0">
      <selection activeCell="A1" sqref="A1"/>
    </sheetView>
  </sheetViews>
  <sheetFormatPr defaultColWidth="9" defaultRowHeight="13.5"/>
  <cols>
    <col min="1" max="1" width="13.5333333333333" style="24" customWidth="1"/>
    <col min="2" max="2" width="5.875" style="24" customWidth="1"/>
    <col min="3" max="3" width="14.75" style="24" customWidth="1"/>
    <col min="4" max="4" width="18.375" style="24" customWidth="1"/>
    <col min="5" max="5" width="18.3833333333333" style="24" customWidth="1"/>
    <col min="6" max="6" width="9.75" style="24" customWidth="1"/>
    <col min="7" max="7" width="10.1416666666667" style="24" customWidth="1"/>
    <col min="8" max="8" width="8.75" style="24" customWidth="1"/>
    <col min="9" max="9" width="9.125" style="24" customWidth="1"/>
    <col min="10" max="254" width="9" style="24"/>
    <col min="255" max="256" width="9" style="25"/>
    <col min="257" max="257" width="8.75" style="25" customWidth="1"/>
    <col min="258" max="258" width="5.875" style="25" customWidth="1"/>
    <col min="259" max="259" width="13.875" style="25" customWidth="1"/>
    <col min="260" max="260" width="8.25" style="25" customWidth="1"/>
    <col min="261" max="261" width="12" style="25" customWidth="1"/>
    <col min="262" max="262" width="11.125" style="25" customWidth="1"/>
    <col min="263" max="263" width="9.5" style="25" customWidth="1"/>
    <col min="264" max="264" width="8.75" style="25" customWidth="1"/>
    <col min="265" max="265" width="11.125" style="25" customWidth="1"/>
    <col min="266" max="512" width="9" style="25"/>
    <col min="513" max="513" width="8.75" style="25" customWidth="1"/>
    <col min="514" max="514" width="5.875" style="25" customWidth="1"/>
    <col min="515" max="515" width="13.875" style="25" customWidth="1"/>
    <col min="516" max="516" width="8.25" style="25" customWidth="1"/>
    <col min="517" max="517" width="12" style="25" customWidth="1"/>
    <col min="518" max="518" width="11.125" style="25" customWidth="1"/>
    <col min="519" max="519" width="9.5" style="25" customWidth="1"/>
    <col min="520" max="520" width="8.75" style="25" customWidth="1"/>
    <col min="521" max="521" width="11.125" style="25" customWidth="1"/>
    <col min="522" max="768" width="9" style="25"/>
    <col min="769" max="769" width="8.75" style="25" customWidth="1"/>
    <col min="770" max="770" width="5.875" style="25" customWidth="1"/>
    <col min="771" max="771" width="13.875" style="25" customWidth="1"/>
    <col min="772" max="772" width="8.25" style="25" customWidth="1"/>
    <col min="773" max="773" width="12" style="25" customWidth="1"/>
    <col min="774" max="774" width="11.125" style="25" customWidth="1"/>
    <col min="775" max="775" width="9.5" style="25" customWidth="1"/>
    <col min="776" max="776" width="8.75" style="25" customWidth="1"/>
    <col min="777" max="777" width="11.125" style="25" customWidth="1"/>
    <col min="778" max="1024" width="9" style="25"/>
    <col min="1025" max="1025" width="8.75" style="25" customWidth="1"/>
    <col min="1026" max="1026" width="5.875" style="25" customWidth="1"/>
    <col min="1027" max="1027" width="13.875" style="25" customWidth="1"/>
    <col min="1028" max="1028" width="8.25" style="25" customWidth="1"/>
    <col min="1029" max="1029" width="12" style="25" customWidth="1"/>
    <col min="1030" max="1030" width="11.125" style="25" customWidth="1"/>
    <col min="1031" max="1031" width="9.5" style="25" customWidth="1"/>
    <col min="1032" max="1032" width="8.75" style="25" customWidth="1"/>
    <col min="1033" max="1033" width="11.125" style="25" customWidth="1"/>
    <col min="1034" max="1280" width="9" style="25"/>
    <col min="1281" max="1281" width="8.75" style="25" customWidth="1"/>
    <col min="1282" max="1282" width="5.875" style="25" customWidth="1"/>
    <col min="1283" max="1283" width="13.875" style="25" customWidth="1"/>
    <col min="1284" max="1284" width="8.25" style="25" customWidth="1"/>
    <col min="1285" max="1285" width="12" style="25" customWidth="1"/>
    <col min="1286" max="1286" width="11.125" style="25" customWidth="1"/>
    <col min="1287" max="1287" width="9.5" style="25" customWidth="1"/>
    <col min="1288" max="1288" width="8.75" style="25" customWidth="1"/>
    <col min="1289" max="1289" width="11.125" style="25" customWidth="1"/>
    <col min="1290" max="1536" width="9" style="25"/>
    <col min="1537" max="1537" width="8.75" style="25" customWidth="1"/>
    <col min="1538" max="1538" width="5.875" style="25" customWidth="1"/>
    <col min="1539" max="1539" width="13.875" style="25" customWidth="1"/>
    <col min="1540" max="1540" width="8.25" style="25" customWidth="1"/>
    <col min="1541" max="1541" width="12" style="25" customWidth="1"/>
    <col min="1542" max="1542" width="11.125" style="25" customWidth="1"/>
    <col min="1543" max="1543" width="9.5" style="25" customWidth="1"/>
    <col min="1544" max="1544" width="8.75" style="25" customWidth="1"/>
    <col min="1545" max="1545" width="11.125" style="25" customWidth="1"/>
    <col min="1546" max="1792" width="9" style="25"/>
    <col min="1793" max="1793" width="8.75" style="25" customWidth="1"/>
    <col min="1794" max="1794" width="5.875" style="25" customWidth="1"/>
    <col min="1795" max="1795" width="13.875" style="25" customWidth="1"/>
    <col min="1796" max="1796" width="8.25" style="25" customWidth="1"/>
    <col min="1797" max="1797" width="12" style="25" customWidth="1"/>
    <col min="1798" max="1798" width="11.125" style="25" customWidth="1"/>
    <col min="1799" max="1799" width="9.5" style="25" customWidth="1"/>
    <col min="1800" max="1800" width="8.75" style="25" customWidth="1"/>
    <col min="1801" max="1801" width="11.125" style="25" customWidth="1"/>
    <col min="1802" max="2048" width="9" style="25"/>
    <col min="2049" max="2049" width="8.75" style="25" customWidth="1"/>
    <col min="2050" max="2050" width="5.875" style="25" customWidth="1"/>
    <col min="2051" max="2051" width="13.875" style="25" customWidth="1"/>
    <col min="2052" max="2052" width="8.25" style="25" customWidth="1"/>
    <col min="2053" max="2053" width="12" style="25" customWidth="1"/>
    <col min="2054" max="2054" width="11.125" style="25" customWidth="1"/>
    <col min="2055" max="2055" width="9.5" style="25" customWidth="1"/>
    <col min="2056" max="2056" width="8.75" style="25" customWidth="1"/>
    <col min="2057" max="2057" width="11.125" style="25" customWidth="1"/>
    <col min="2058" max="2304" width="9" style="25"/>
    <col min="2305" max="2305" width="8.75" style="25" customWidth="1"/>
    <col min="2306" max="2306" width="5.875" style="25" customWidth="1"/>
    <col min="2307" max="2307" width="13.875" style="25" customWidth="1"/>
    <col min="2308" max="2308" width="8.25" style="25" customWidth="1"/>
    <col min="2309" max="2309" width="12" style="25" customWidth="1"/>
    <col min="2310" max="2310" width="11.125" style="25" customWidth="1"/>
    <col min="2311" max="2311" width="9.5" style="25" customWidth="1"/>
    <col min="2312" max="2312" width="8.75" style="25" customWidth="1"/>
    <col min="2313" max="2313" width="11.125" style="25" customWidth="1"/>
    <col min="2314" max="2560" width="9" style="25"/>
    <col min="2561" max="2561" width="8.75" style="25" customWidth="1"/>
    <col min="2562" max="2562" width="5.875" style="25" customWidth="1"/>
    <col min="2563" max="2563" width="13.875" style="25" customWidth="1"/>
    <col min="2564" max="2564" width="8.25" style="25" customWidth="1"/>
    <col min="2565" max="2565" width="12" style="25" customWidth="1"/>
    <col min="2566" max="2566" width="11.125" style="25" customWidth="1"/>
    <col min="2567" max="2567" width="9.5" style="25" customWidth="1"/>
    <col min="2568" max="2568" width="8.75" style="25" customWidth="1"/>
    <col min="2569" max="2569" width="11.125" style="25" customWidth="1"/>
    <col min="2570" max="2816" width="9" style="25"/>
    <col min="2817" max="2817" width="8.75" style="25" customWidth="1"/>
    <col min="2818" max="2818" width="5.875" style="25" customWidth="1"/>
    <col min="2819" max="2819" width="13.875" style="25" customWidth="1"/>
    <col min="2820" max="2820" width="8.25" style="25" customWidth="1"/>
    <col min="2821" max="2821" width="12" style="25" customWidth="1"/>
    <col min="2822" max="2822" width="11.125" style="25" customWidth="1"/>
    <col min="2823" max="2823" width="9.5" style="25" customWidth="1"/>
    <col min="2824" max="2824" width="8.75" style="25" customWidth="1"/>
    <col min="2825" max="2825" width="11.125" style="25" customWidth="1"/>
    <col min="2826" max="3072" width="9" style="25"/>
    <col min="3073" max="3073" width="8.75" style="25" customWidth="1"/>
    <col min="3074" max="3074" width="5.875" style="25" customWidth="1"/>
    <col min="3075" max="3075" width="13.875" style="25" customWidth="1"/>
    <col min="3076" max="3076" width="8.25" style="25" customWidth="1"/>
    <col min="3077" max="3077" width="12" style="25" customWidth="1"/>
    <col min="3078" max="3078" width="11.125" style="25" customWidth="1"/>
    <col min="3079" max="3079" width="9.5" style="25" customWidth="1"/>
    <col min="3080" max="3080" width="8.75" style="25" customWidth="1"/>
    <col min="3081" max="3081" width="11.125" style="25" customWidth="1"/>
    <col min="3082" max="3328" width="9" style="25"/>
    <col min="3329" max="3329" width="8.75" style="25" customWidth="1"/>
    <col min="3330" max="3330" width="5.875" style="25" customWidth="1"/>
    <col min="3331" max="3331" width="13.875" style="25" customWidth="1"/>
    <col min="3332" max="3332" width="8.25" style="25" customWidth="1"/>
    <col min="3333" max="3333" width="12" style="25" customWidth="1"/>
    <col min="3334" max="3334" width="11.125" style="25" customWidth="1"/>
    <col min="3335" max="3335" width="9.5" style="25" customWidth="1"/>
    <col min="3336" max="3336" width="8.75" style="25" customWidth="1"/>
    <col min="3337" max="3337" width="11.125" style="25" customWidth="1"/>
    <col min="3338" max="3584" width="9" style="25"/>
    <col min="3585" max="3585" width="8.75" style="25" customWidth="1"/>
    <col min="3586" max="3586" width="5.875" style="25" customWidth="1"/>
    <col min="3587" max="3587" width="13.875" style="25" customWidth="1"/>
    <col min="3588" max="3588" width="8.25" style="25" customWidth="1"/>
    <col min="3589" max="3589" width="12" style="25" customWidth="1"/>
    <col min="3590" max="3590" width="11.125" style="25" customWidth="1"/>
    <col min="3591" max="3591" width="9.5" style="25" customWidth="1"/>
    <col min="3592" max="3592" width="8.75" style="25" customWidth="1"/>
    <col min="3593" max="3593" width="11.125" style="25" customWidth="1"/>
    <col min="3594" max="3840" width="9" style="25"/>
    <col min="3841" max="3841" width="8.75" style="25" customWidth="1"/>
    <col min="3842" max="3842" width="5.875" style="25" customWidth="1"/>
    <col min="3843" max="3843" width="13.875" style="25" customWidth="1"/>
    <col min="3844" max="3844" width="8.25" style="25" customWidth="1"/>
    <col min="3845" max="3845" width="12" style="25" customWidth="1"/>
    <col min="3846" max="3846" width="11.125" style="25" customWidth="1"/>
    <col min="3847" max="3847" width="9.5" style="25" customWidth="1"/>
    <col min="3848" max="3848" width="8.75" style="25" customWidth="1"/>
    <col min="3849" max="3849" width="11.125" style="25" customWidth="1"/>
    <col min="3850" max="4096" width="9" style="25"/>
    <col min="4097" max="4097" width="8.75" style="25" customWidth="1"/>
    <col min="4098" max="4098" width="5.875" style="25" customWidth="1"/>
    <col min="4099" max="4099" width="13.875" style="25" customWidth="1"/>
    <col min="4100" max="4100" width="8.25" style="25" customWidth="1"/>
    <col min="4101" max="4101" width="12" style="25" customWidth="1"/>
    <col min="4102" max="4102" width="11.125" style="25" customWidth="1"/>
    <col min="4103" max="4103" width="9.5" style="25" customWidth="1"/>
    <col min="4104" max="4104" width="8.75" style="25" customWidth="1"/>
    <col min="4105" max="4105" width="11.125" style="25" customWidth="1"/>
    <col min="4106" max="4352" width="9" style="25"/>
    <col min="4353" max="4353" width="8.75" style="25" customWidth="1"/>
    <col min="4354" max="4354" width="5.875" style="25" customWidth="1"/>
    <col min="4355" max="4355" width="13.875" style="25" customWidth="1"/>
    <col min="4356" max="4356" width="8.25" style="25" customWidth="1"/>
    <col min="4357" max="4357" width="12" style="25" customWidth="1"/>
    <col min="4358" max="4358" width="11.125" style="25" customWidth="1"/>
    <col min="4359" max="4359" width="9.5" style="25" customWidth="1"/>
    <col min="4360" max="4360" width="8.75" style="25" customWidth="1"/>
    <col min="4361" max="4361" width="11.125" style="25" customWidth="1"/>
    <col min="4362" max="4608" width="9" style="25"/>
    <col min="4609" max="4609" width="8.75" style="25" customWidth="1"/>
    <col min="4610" max="4610" width="5.875" style="25" customWidth="1"/>
    <col min="4611" max="4611" width="13.875" style="25" customWidth="1"/>
    <col min="4612" max="4612" width="8.25" style="25" customWidth="1"/>
    <col min="4613" max="4613" width="12" style="25" customWidth="1"/>
    <col min="4614" max="4614" width="11.125" style="25" customWidth="1"/>
    <col min="4615" max="4615" width="9.5" style="25" customWidth="1"/>
    <col min="4616" max="4616" width="8.75" style="25" customWidth="1"/>
    <col min="4617" max="4617" width="11.125" style="25" customWidth="1"/>
    <col min="4618" max="4864" width="9" style="25"/>
    <col min="4865" max="4865" width="8.75" style="25" customWidth="1"/>
    <col min="4866" max="4866" width="5.875" style="25" customWidth="1"/>
    <col min="4867" max="4867" width="13.875" style="25" customWidth="1"/>
    <col min="4868" max="4868" width="8.25" style="25" customWidth="1"/>
    <col min="4869" max="4869" width="12" style="25" customWidth="1"/>
    <col min="4870" max="4870" width="11.125" style="25" customWidth="1"/>
    <col min="4871" max="4871" width="9.5" style="25" customWidth="1"/>
    <col min="4872" max="4872" width="8.75" style="25" customWidth="1"/>
    <col min="4873" max="4873" width="11.125" style="25" customWidth="1"/>
    <col min="4874" max="5120" width="9" style="25"/>
    <col min="5121" max="5121" width="8.75" style="25" customWidth="1"/>
    <col min="5122" max="5122" width="5.875" style="25" customWidth="1"/>
    <col min="5123" max="5123" width="13.875" style="25" customWidth="1"/>
    <col min="5124" max="5124" width="8.25" style="25" customWidth="1"/>
    <col min="5125" max="5125" width="12" style="25" customWidth="1"/>
    <col min="5126" max="5126" width="11.125" style="25" customWidth="1"/>
    <col min="5127" max="5127" width="9.5" style="25" customWidth="1"/>
    <col min="5128" max="5128" width="8.75" style="25" customWidth="1"/>
    <col min="5129" max="5129" width="11.125" style="25" customWidth="1"/>
    <col min="5130" max="5376" width="9" style="25"/>
    <col min="5377" max="5377" width="8.75" style="25" customWidth="1"/>
    <col min="5378" max="5378" width="5.875" style="25" customWidth="1"/>
    <col min="5379" max="5379" width="13.875" style="25" customWidth="1"/>
    <col min="5380" max="5380" width="8.25" style="25" customWidth="1"/>
    <col min="5381" max="5381" width="12" style="25" customWidth="1"/>
    <col min="5382" max="5382" width="11.125" style="25" customWidth="1"/>
    <col min="5383" max="5383" width="9.5" style="25" customWidth="1"/>
    <col min="5384" max="5384" width="8.75" style="25" customWidth="1"/>
    <col min="5385" max="5385" width="11.125" style="25" customWidth="1"/>
    <col min="5386" max="5632" width="9" style="25"/>
    <col min="5633" max="5633" width="8.75" style="25" customWidth="1"/>
    <col min="5634" max="5634" width="5.875" style="25" customWidth="1"/>
    <col min="5635" max="5635" width="13.875" style="25" customWidth="1"/>
    <col min="5636" max="5636" width="8.25" style="25" customWidth="1"/>
    <col min="5637" max="5637" width="12" style="25" customWidth="1"/>
    <col min="5638" max="5638" width="11.125" style="25" customWidth="1"/>
    <col min="5639" max="5639" width="9.5" style="25" customWidth="1"/>
    <col min="5640" max="5640" width="8.75" style="25" customWidth="1"/>
    <col min="5641" max="5641" width="11.125" style="25" customWidth="1"/>
    <col min="5642" max="5888" width="9" style="25"/>
    <col min="5889" max="5889" width="8.75" style="25" customWidth="1"/>
    <col min="5890" max="5890" width="5.875" style="25" customWidth="1"/>
    <col min="5891" max="5891" width="13.875" style="25" customWidth="1"/>
    <col min="5892" max="5892" width="8.25" style="25" customWidth="1"/>
    <col min="5893" max="5893" width="12" style="25" customWidth="1"/>
    <col min="5894" max="5894" width="11.125" style="25" customWidth="1"/>
    <col min="5895" max="5895" width="9.5" style="25" customWidth="1"/>
    <col min="5896" max="5896" width="8.75" style="25" customWidth="1"/>
    <col min="5897" max="5897" width="11.125" style="25" customWidth="1"/>
    <col min="5898" max="6144" width="9" style="25"/>
    <col min="6145" max="6145" width="8.75" style="25" customWidth="1"/>
    <col min="6146" max="6146" width="5.875" style="25" customWidth="1"/>
    <col min="6147" max="6147" width="13.875" style="25" customWidth="1"/>
    <col min="6148" max="6148" width="8.25" style="25" customWidth="1"/>
    <col min="6149" max="6149" width="12" style="25" customWidth="1"/>
    <col min="6150" max="6150" width="11.125" style="25" customWidth="1"/>
    <col min="6151" max="6151" width="9.5" style="25" customWidth="1"/>
    <col min="6152" max="6152" width="8.75" style="25" customWidth="1"/>
    <col min="6153" max="6153" width="11.125" style="25" customWidth="1"/>
    <col min="6154" max="6400" width="9" style="25"/>
    <col min="6401" max="6401" width="8.75" style="25" customWidth="1"/>
    <col min="6402" max="6402" width="5.875" style="25" customWidth="1"/>
    <col min="6403" max="6403" width="13.875" style="25" customWidth="1"/>
    <col min="6404" max="6404" width="8.25" style="25" customWidth="1"/>
    <col min="6405" max="6405" width="12" style="25" customWidth="1"/>
    <col min="6406" max="6406" width="11.125" style="25" customWidth="1"/>
    <col min="6407" max="6407" width="9.5" style="25" customWidth="1"/>
    <col min="6408" max="6408" width="8.75" style="25" customWidth="1"/>
    <col min="6409" max="6409" width="11.125" style="25" customWidth="1"/>
    <col min="6410" max="6656" width="9" style="25"/>
    <col min="6657" max="6657" width="8.75" style="25" customWidth="1"/>
    <col min="6658" max="6658" width="5.875" style="25" customWidth="1"/>
    <col min="6659" max="6659" width="13.875" style="25" customWidth="1"/>
    <col min="6660" max="6660" width="8.25" style="25" customWidth="1"/>
    <col min="6661" max="6661" width="12" style="25" customWidth="1"/>
    <col min="6662" max="6662" width="11.125" style="25" customWidth="1"/>
    <col min="6663" max="6663" width="9.5" style="25" customWidth="1"/>
    <col min="6664" max="6664" width="8.75" style="25" customWidth="1"/>
    <col min="6665" max="6665" width="11.125" style="25" customWidth="1"/>
    <col min="6666" max="6912" width="9" style="25"/>
    <col min="6913" max="6913" width="8.75" style="25" customWidth="1"/>
    <col min="6914" max="6914" width="5.875" style="25" customWidth="1"/>
    <col min="6915" max="6915" width="13.875" style="25" customWidth="1"/>
    <col min="6916" max="6916" width="8.25" style="25" customWidth="1"/>
    <col min="6917" max="6917" width="12" style="25" customWidth="1"/>
    <col min="6918" max="6918" width="11.125" style="25" customWidth="1"/>
    <col min="6919" max="6919" width="9.5" style="25" customWidth="1"/>
    <col min="6920" max="6920" width="8.75" style="25" customWidth="1"/>
    <col min="6921" max="6921" width="11.125" style="25" customWidth="1"/>
    <col min="6922" max="7168" width="9" style="25"/>
    <col min="7169" max="7169" width="8.75" style="25" customWidth="1"/>
    <col min="7170" max="7170" width="5.875" style="25" customWidth="1"/>
    <col min="7171" max="7171" width="13.875" style="25" customWidth="1"/>
    <col min="7172" max="7172" width="8.25" style="25" customWidth="1"/>
    <col min="7173" max="7173" width="12" style="25" customWidth="1"/>
    <col min="7174" max="7174" width="11.125" style="25" customWidth="1"/>
    <col min="7175" max="7175" width="9.5" style="25" customWidth="1"/>
    <col min="7176" max="7176" width="8.75" style="25" customWidth="1"/>
    <col min="7177" max="7177" width="11.125" style="25" customWidth="1"/>
    <col min="7178" max="7424" width="9" style="25"/>
    <col min="7425" max="7425" width="8.75" style="25" customWidth="1"/>
    <col min="7426" max="7426" width="5.875" style="25" customWidth="1"/>
    <col min="7427" max="7427" width="13.875" style="25" customWidth="1"/>
    <col min="7428" max="7428" width="8.25" style="25" customWidth="1"/>
    <col min="7429" max="7429" width="12" style="25" customWidth="1"/>
    <col min="7430" max="7430" width="11.125" style="25" customWidth="1"/>
    <col min="7431" max="7431" width="9.5" style="25" customWidth="1"/>
    <col min="7432" max="7432" width="8.75" style="25" customWidth="1"/>
    <col min="7433" max="7433" width="11.125" style="25" customWidth="1"/>
    <col min="7434" max="7680" width="9" style="25"/>
    <col min="7681" max="7681" width="8.75" style="25" customWidth="1"/>
    <col min="7682" max="7682" width="5.875" style="25" customWidth="1"/>
    <col min="7683" max="7683" width="13.875" style="25" customWidth="1"/>
    <col min="7684" max="7684" width="8.25" style="25" customWidth="1"/>
    <col min="7685" max="7685" width="12" style="25" customWidth="1"/>
    <col min="7686" max="7686" width="11.125" style="25" customWidth="1"/>
    <col min="7687" max="7687" width="9.5" style="25" customWidth="1"/>
    <col min="7688" max="7688" width="8.75" style="25" customWidth="1"/>
    <col min="7689" max="7689" width="11.125" style="25" customWidth="1"/>
    <col min="7690" max="7936" width="9" style="25"/>
    <col min="7937" max="7937" width="8.75" style="25" customWidth="1"/>
    <col min="7938" max="7938" width="5.875" style="25" customWidth="1"/>
    <col min="7939" max="7939" width="13.875" style="25" customWidth="1"/>
    <col min="7940" max="7940" width="8.25" style="25" customWidth="1"/>
    <col min="7941" max="7941" width="12" style="25" customWidth="1"/>
    <col min="7942" max="7942" width="11.125" style="25" customWidth="1"/>
    <col min="7943" max="7943" width="9.5" style="25" customWidth="1"/>
    <col min="7944" max="7944" width="8.75" style="25" customWidth="1"/>
    <col min="7945" max="7945" width="11.125" style="25" customWidth="1"/>
    <col min="7946" max="8192" width="9" style="25"/>
    <col min="8193" max="8193" width="8.75" style="25" customWidth="1"/>
    <col min="8194" max="8194" width="5.875" style="25" customWidth="1"/>
    <col min="8195" max="8195" width="13.875" style="25" customWidth="1"/>
    <col min="8196" max="8196" width="8.25" style="25" customWidth="1"/>
    <col min="8197" max="8197" width="12" style="25" customWidth="1"/>
    <col min="8198" max="8198" width="11.125" style="25" customWidth="1"/>
    <col min="8199" max="8199" width="9.5" style="25" customWidth="1"/>
    <col min="8200" max="8200" width="8.75" style="25" customWidth="1"/>
    <col min="8201" max="8201" width="11.125" style="25" customWidth="1"/>
    <col min="8202" max="8448" width="9" style="25"/>
    <col min="8449" max="8449" width="8.75" style="25" customWidth="1"/>
    <col min="8450" max="8450" width="5.875" style="25" customWidth="1"/>
    <col min="8451" max="8451" width="13.875" style="25" customWidth="1"/>
    <col min="8452" max="8452" width="8.25" style="25" customWidth="1"/>
    <col min="8453" max="8453" width="12" style="25" customWidth="1"/>
    <col min="8454" max="8454" width="11.125" style="25" customWidth="1"/>
    <col min="8455" max="8455" width="9.5" style="25" customWidth="1"/>
    <col min="8456" max="8456" width="8.75" style="25" customWidth="1"/>
    <col min="8457" max="8457" width="11.125" style="25" customWidth="1"/>
    <col min="8458" max="8704" width="9" style="25"/>
    <col min="8705" max="8705" width="8.75" style="25" customWidth="1"/>
    <col min="8706" max="8706" width="5.875" style="25" customWidth="1"/>
    <col min="8707" max="8707" width="13.875" style="25" customWidth="1"/>
    <col min="8708" max="8708" width="8.25" style="25" customWidth="1"/>
    <col min="8709" max="8709" width="12" style="25" customWidth="1"/>
    <col min="8710" max="8710" width="11.125" style="25" customWidth="1"/>
    <col min="8711" max="8711" width="9.5" style="25" customWidth="1"/>
    <col min="8712" max="8712" width="8.75" style="25" customWidth="1"/>
    <col min="8713" max="8713" width="11.125" style="25" customWidth="1"/>
    <col min="8714" max="8960" width="9" style="25"/>
    <col min="8961" max="8961" width="8.75" style="25" customWidth="1"/>
    <col min="8962" max="8962" width="5.875" style="25" customWidth="1"/>
    <col min="8963" max="8963" width="13.875" style="25" customWidth="1"/>
    <col min="8964" max="8964" width="8.25" style="25" customWidth="1"/>
    <col min="8965" max="8965" width="12" style="25" customWidth="1"/>
    <col min="8966" max="8966" width="11.125" style="25" customWidth="1"/>
    <col min="8967" max="8967" width="9.5" style="25" customWidth="1"/>
    <col min="8968" max="8968" width="8.75" style="25" customWidth="1"/>
    <col min="8969" max="8969" width="11.125" style="25" customWidth="1"/>
    <col min="8970" max="9216" width="9" style="25"/>
    <col min="9217" max="9217" width="8.75" style="25" customWidth="1"/>
    <col min="9218" max="9218" width="5.875" style="25" customWidth="1"/>
    <col min="9219" max="9219" width="13.875" style="25" customWidth="1"/>
    <col min="9220" max="9220" width="8.25" style="25" customWidth="1"/>
    <col min="9221" max="9221" width="12" style="25" customWidth="1"/>
    <col min="9222" max="9222" width="11.125" style="25" customWidth="1"/>
    <col min="9223" max="9223" width="9.5" style="25" customWidth="1"/>
    <col min="9224" max="9224" width="8.75" style="25" customWidth="1"/>
    <col min="9225" max="9225" width="11.125" style="25" customWidth="1"/>
    <col min="9226" max="9472" width="9" style="25"/>
    <col min="9473" max="9473" width="8.75" style="25" customWidth="1"/>
    <col min="9474" max="9474" width="5.875" style="25" customWidth="1"/>
    <col min="9475" max="9475" width="13.875" style="25" customWidth="1"/>
    <col min="9476" max="9476" width="8.25" style="25" customWidth="1"/>
    <col min="9477" max="9477" width="12" style="25" customWidth="1"/>
    <col min="9478" max="9478" width="11.125" style="25" customWidth="1"/>
    <col min="9479" max="9479" width="9.5" style="25" customWidth="1"/>
    <col min="9480" max="9480" width="8.75" style="25" customWidth="1"/>
    <col min="9481" max="9481" width="11.125" style="25" customWidth="1"/>
    <col min="9482" max="9728" width="9" style="25"/>
    <col min="9729" max="9729" width="8.75" style="25" customWidth="1"/>
    <col min="9730" max="9730" width="5.875" style="25" customWidth="1"/>
    <col min="9731" max="9731" width="13.875" style="25" customWidth="1"/>
    <col min="9732" max="9732" width="8.25" style="25" customWidth="1"/>
    <col min="9733" max="9733" width="12" style="25" customWidth="1"/>
    <col min="9734" max="9734" width="11.125" style="25" customWidth="1"/>
    <col min="9735" max="9735" width="9.5" style="25" customWidth="1"/>
    <col min="9736" max="9736" width="8.75" style="25" customWidth="1"/>
    <col min="9737" max="9737" width="11.125" style="25" customWidth="1"/>
    <col min="9738" max="9984" width="9" style="25"/>
    <col min="9985" max="9985" width="8.75" style="25" customWidth="1"/>
    <col min="9986" max="9986" width="5.875" style="25" customWidth="1"/>
    <col min="9987" max="9987" width="13.875" style="25" customWidth="1"/>
    <col min="9988" max="9988" width="8.25" style="25" customWidth="1"/>
    <col min="9989" max="9989" width="12" style="25" customWidth="1"/>
    <col min="9990" max="9990" width="11.125" style="25" customWidth="1"/>
    <col min="9991" max="9991" width="9.5" style="25" customWidth="1"/>
    <col min="9992" max="9992" width="8.75" style="25" customWidth="1"/>
    <col min="9993" max="9993" width="11.125" style="25" customWidth="1"/>
    <col min="9994" max="10240" width="9" style="25"/>
    <col min="10241" max="10241" width="8.75" style="25" customWidth="1"/>
    <col min="10242" max="10242" width="5.875" style="25" customWidth="1"/>
    <col min="10243" max="10243" width="13.875" style="25" customWidth="1"/>
    <col min="10244" max="10244" width="8.25" style="25" customWidth="1"/>
    <col min="10245" max="10245" width="12" style="25" customWidth="1"/>
    <col min="10246" max="10246" width="11.125" style="25" customWidth="1"/>
    <col min="10247" max="10247" width="9.5" style="25" customWidth="1"/>
    <col min="10248" max="10248" width="8.75" style="25" customWidth="1"/>
    <col min="10249" max="10249" width="11.125" style="25" customWidth="1"/>
    <col min="10250" max="10496" width="9" style="25"/>
    <col min="10497" max="10497" width="8.75" style="25" customWidth="1"/>
    <col min="10498" max="10498" width="5.875" style="25" customWidth="1"/>
    <col min="10499" max="10499" width="13.875" style="25" customWidth="1"/>
    <col min="10500" max="10500" width="8.25" style="25" customWidth="1"/>
    <col min="10501" max="10501" width="12" style="25" customWidth="1"/>
    <col min="10502" max="10502" width="11.125" style="25" customWidth="1"/>
    <col min="10503" max="10503" width="9.5" style="25" customWidth="1"/>
    <col min="10504" max="10504" width="8.75" style="25" customWidth="1"/>
    <col min="10505" max="10505" width="11.125" style="25" customWidth="1"/>
    <col min="10506" max="10752" width="9" style="25"/>
    <col min="10753" max="10753" width="8.75" style="25" customWidth="1"/>
    <col min="10754" max="10754" width="5.875" style="25" customWidth="1"/>
    <col min="10755" max="10755" width="13.875" style="25" customWidth="1"/>
    <col min="10756" max="10756" width="8.25" style="25" customWidth="1"/>
    <col min="10757" max="10757" width="12" style="25" customWidth="1"/>
    <col min="10758" max="10758" width="11.125" style="25" customWidth="1"/>
    <col min="10759" max="10759" width="9.5" style="25" customWidth="1"/>
    <col min="10760" max="10760" width="8.75" style="25" customWidth="1"/>
    <col min="10761" max="10761" width="11.125" style="25" customWidth="1"/>
    <col min="10762" max="11008" width="9" style="25"/>
    <col min="11009" max="11009" width="8.75" style="25" customWidth="1"/>
    <col min="11010" max="11010" width="5.875" style="25" customWidth="1"/>
    <col min="11011" max="11011" width="13.875" style="25" customWidth="1"/>
    <col min="11012" max="11012" width="8.25" style="25" customWidth="1"/>
    <col min="11013" max="11013" width="12" style="25" customWidth="1"/>
    <col min="11014" max="11014" width="11.125" style="25" customWidth="1"/>
    <col min="11015" max="11015" width="9.5" style="25" customWidth="1"/>
    <col min="11016" max="11016" width="8.75" style="25" customWidth="1"/>
    <col min="11017" max="11017" width="11.125" style="25" customWidth="1"/>
    <col min="11018" max="11264" width="9" style="25"/>
    <col min="11265" max="11265" width="8.75" style="25" customWidth="1"/>
    <col min="11266" max="11266" width="5.875" style="25" customWidth="1"/>
    <col min="11267" max="11267" width="13.875" style="25" customWidth="1"/>
    <col min="11268" max="11268" width="8.25" style="25" customWidth="1"/>
    <col min="11269" max="11269" width="12" style="25" customWidth="1"/>
    <col min="11270" max="11270" width="11.125" style="25" customWidth="1"/>
    <col min="11271" max="11271" width="9.5" style="25" customWidth="1"/>
    <col min="11272" max="11272" width="8.75" style="25" customWidth="1"/>
    <col min="11273" max="11273" width="11.125" style="25" customWidth="1"/>
    <col min="11274" max="11520" width="9" style="25"/>
    <col min="11521" max="11521" width="8.75" style="25" customWidth="1"/>
    <col min="11522" max="11522" width="5.875" style="25" customWidth="1"/>
    <col min="11523" max="11523" width="13.875" style="25" customWidth="1"/>
    <col min="11524" max="11524" width="8.25" style="25" customWidth="1"/>
    <col min="11525" max="11525" width="12" style="25" customWidth="1"/>
    <col min="11526" max="11526" width="11.125" style="25" customWidth="1"/>
    <col min="11527" max="11527" width="9.5" style="25" customWidth="1"/>
    <col min="11528" max="11528" width="8.75" style="25" customWidth="1"/>
    <col min="11529" max="11529" width="11.125" style="25" customWidth="1"/>
    <col min="11530" max="11776" width="9" style="25"/>
    <col min="11777" max="11777" width="8.75" style="25" customWidth="1"/>
    <col min="11778" max="11778" width="5.875" style="25" customWidth="1"/>
    <col min="11779" max="11779" width="13.875" style="25" customWidth="1"/>
    <col min="11780" max="11780" width="8.25" style="25" customWidth="1"/>
    <col min="11781" max="11781" width="12" style="25" customWidth="1"/>
    <col min="11782" max="11782" width="11.125" style="25" customWidth="1"/>
    <col min="11783" max="11783" width="9.5" style="25" customWidth="1"/>
    <col min="11784" max="11784" width="8.75" style="25" customWidth="1"/>
    <col min="11785" max="11785" width="11.125" style="25" customWidth="1"/>
    <col min="11786" max="12032" width="9" style="25"/>
    <col min="12033" max="12033" width="8.75" style="25" customWidth="1"/>
    <col min="12034" max="12034" width="5.875" style="25" customWidth="1"/>
    <col min="12035" max="12035" width="13.875" style="25" customWidth="1"/>
    <col min="12036" max="12036" width="8.25" style="25" customWidth="1"/>
    <col min="12037" max="12037" width="12" style="25" customWidth="1"/>
    <col min="12038" max="12038" width="11.125" style="25" customWidth="1"/>
    <col min="12039" max="12039" width="9.5" style="25" customWidth="1"/>
    <col min="12040" max="12040" width="8.75" style="25" customWidth="1"/>
    <col min="12041" max="12041" width="11.125" style="25" customWidth="1"/>
    <col min="12042" max="12288" width="9" style="25"/>
    <col min="12289" max="12289" width="8.75" style="25" customWidth="1"/>
    <col min="12290" max="12290" width="5.875" style="25" customWidth="1"/>
    <col min="12291" max="12291" width="13.875" style="25" customWidth="1"/>
    <col min="12292" max="12292" width="8.25" style="25" customWidth="1"/>
    <col min="12293" max="12293" width="12" style="25" customWidth="1"/>
    <col min="12294" max="12294" width="11.125" style="25" customWidth="1"/>
    <col min="12295" max="12295" width="9.5" style="25" customWidth="1"/>
    <col min="12296" max="12296" width="8.75" style="25" customWidth="1"/>
    <col min="12297" max="12297" width="11.125" style="25" customWidth="1"/>
    <col min="12298" max="12544" width="9" style="25"/>
    <col min="12545" max="12545" width="8.75" style="25" customWidth="1"/>
    <col min="12546" max="12546" width="5.875" style="25" customWidth="1"/>
    <col min="12547" max="12547" width="13.875" style="25" customWidth="1"/>
    <col min="12548" max="12548" width="8.25" style="25" customWidth="1"/>
    <col min="12549" max="12549" width="12" style="25" customWidth="1"/>
    <col min="12550" max="12550" width="11.125" style="25" customWidth="1"/>
    <col min="12551" max="12551" width="9.5" style="25" customWidth="1"/>
    <col min="12552" max="12552" width="8.75" style="25" customWidth="1"/>
    <col min="12553" max="12553" width="11.125" style="25" customWidth="1"/>
    <col min="12554" max="12800" width="9" style="25"/>
    <col min="12801" max="12801" width="8.75" style="25" customWidth="1"/>
    <col min="12802" max="12802" width="5.875" style="25" customWidth="1"/>
    <col min="12803" max="12803" width="13.875" style="25" customWidth="1"/>
    <col min="12804" max="12804" width="8.25" style="25" customWidth="1"/>
    <col min="12805" max="12805" width="12" style="25" customWidth="1"/>
    <col min="12806" max="12806" width="11.125" style="25" customWidth="1"/>
    <col min="12807" max="12807" width="9.5" style="25" customWidth="1"/>
    <col min="12808" max="12808" width="8.75" style="25" customWidth="1"/>
    <col min="12809" max="12809" width="11.125" style="25" customWidth="1"/>
    <col min="12810" max="13056" width="9" style="25"/>
    <col min="13057" max="13057" width="8.75" style="25" customWidth="1"/>
    <col min="13058" max="13058" width="5.875" style="25" customWidth="1"/>
    <col min="13059" max="13059" width="13.875" style="25" customWidth="1"/>
    <col min="13060" max="13060" width="8.25" style="25" customWidth="1"/>
    <col min="13061" max="13061" width="12" style="25" customWidth="1"/>
    <col min="13062" max="13062" width="11.125" style="25" customWidth="1"/>
    <col min="13063" max="13063" width="9.5" style="25" customWidth="1"/>
    <col min="13064" max="13064" width="8.75" style="25" customWidth="1"/>
    <col min="13065" max="13065" width="11.125" style="25" customWidth="1"/>
    <col min="13066" max="13312" width="9" style="25"/>
    <col min="13313" max="13313" width="8.75" style="25" customWidth="1"/>
    <col min="13314" max="13314" width="5.875" style="25" customWidth="1"/>
    <col min="13315" max="13315" width="13.875" style="25" customWidth="1"/>
    <col min="13316" max="13316" width="8.25" style="25" customWidth="1"/>
    <col min="13317" max="13317" width="12" style="25" customWidth="1"/>
    <col min="13318" max="13318" width="11.125" style="25" customWidth="1"/>
    <col min="13319" max="13319" width="9.5" style="25" customWidth="1"/>
    <col min="13320" max="13320" width="8.75" style="25" customWidth="1"/>
    <col min="13321" max="13321" width="11.125" style="25" customWidth="1"/>
    <col min="13322" max="13568" width="9" style="25"/>
    <col min="13569" max="13569" width="8.75" style="25" customWidth="1"/>
    <col min="13570" max="13570" width="5.875" style="25" customWidth="1"/>
    <col min="13571" max="13571" width="13.875" style="25" customWidth="1"/>
    <col min="13572" max="13572" width="8.25" style="25" customWidth="1"/>
    <col min="13573" max="13573" width="12" style="25" customWidth="1"/>
    <col min="13574" max="13574" width="11.125" style="25" customWidth="1"/>
    <col min="13575" max="13575" width="9.5" style="25" customWidth="1"/>
    <col min="13576" max="13576" width="8.75" style="25" customWidth="1"/>
    <col min="13577" max="13577" width="11.125" style="25" customWidth="1"/>
    <col min="13578" max="13824" width="9" style="25"/>
    <col min="13825" max="13825" width="8.75" style="25" customWidth="1"/>
    <col min="13826" max="13826" width="5.875" style="25" customWidth="1"/>
    <col min="13827" max="13827" width="13.875" style="25" customWidth="1"/>
    <col min="13828" max="13828" width="8.25" style="25" customWidth="1"/>
    <col min="13829" max="13829" width="12" style="25" customWidth="1"/>
    <col min="13830" max="13830" width="11.125" style="25" customWidth="1"/>
    <col min="13831" max="13831" width="9.5" style="25" customWidth="1"/>
    <col min="13832" max="13832" width="8.75" style="25" customWidth="1"/>
    <col min="13833" max="13833" width="11.125" style="25" customWidth="1"/>
    <col min="13834" max="14080" width="9" style="25"/>
    <col min="14081" max="14081" width="8.75" style="25" customWidth="1"/>
    <col min="14082" max="14082" width="5.875" style="25" customWidth="1"/>
    <col min="14083" max="14083" width="13.875" style="25" customWidth="1"/>
    <col min="14084" max="14084" width="8.25" style="25" customWidth="1"/>
    <col min="14085" max="14085" width="12" style="25" customWidth="1"/>
    <col min="14086" max="14086" width="11.125" style="25" customWidth="1"/>
    <col min="14087" max="14087" width="9.5" style="25" customWidth="1"/>
    <col min="14088" max="14088" width="8.75" style="25" customWidth="1"/>
    <col min="14089" max="14089" width="11.125" style="25" customWidth="1"/>
    <col min="14090" max="14336" width="9" style="25"/>
    <col min="14337" max="14337" width="8.75" style="25" customWidth="1"/>
    <col min="14338" max="14338" width="5.875" style="25" customWidth="1"/>
    <col min="14339" max="14339" width="13.875" style="25" customWidth="1"/>
    <col min="14340" max="14340" width="8.25" style="25" customWidth="1"/>
    <col min="14341" max="14341" width="12" style="25" customWidth="1"/>
    <col min="14342" max="14342" width="11.125" style="25" customWidth="1"/>
    <col min="14343" max="14343" width="9.5" style="25" customWidth="1"/>
    <col min="14344" max="14344" width="8.75" style="25" customWidth="1"/>
    <col min="14345" max="14345" width="11.125" style="25" customWidth="1"/>
    <col min="14346" max="14592" width="9" style="25"/>
    <col min="14593" max="14593" width="8.75" style="25" customWidth="1"/>
    <col min="14594" max="14594" width="5.875" style="25" customWidth="1"/>
    <col min="14595" max="14595" width="13.875" style="25" customWidth="1"/>
    <col min="14596" max="14596" width="8.25" style="25" customWidth="1"/>
    <col min="14597" max="14597" width="12" style="25" customWidth="1"/>
    <col min="14598" max="14598" width="11.125" style="25" customWidth="1"/>
    <col min="14599" max="14599" width="9.5" style="25" customWidth="1"/>
    <col min="14600" max="14600" width="8.75" style="25" customWidth="1"/>
    <col min="14601" max="14601" width="11.125" style="25" customWidth="1"/>
    <col min="14602" max="14848" width="9" style="25"/>
    <col min="14849" max="14849" width="8.75" style="25" customWidth="1"/>
    <col min="14850" max="14850" width="5.875" style="25" customWidth="1"/>
    <col min="14851" max="14851" width="13.875" style="25" customWidth="1"/>
    <col min="14852" max="14852" width="8.25" style="25" customWidth="1"/>
    <col min="14853" max="14853" width="12" style="25" customWidth="1"/>
    <col min="14854" max="14854" width="11.125" style="25" customWidth="1"/>
    <col min="14855" max="14855" width="9.5" style="25" customWidth="1"/>
    <col min="14856" max="14856" width="8.75" style="25" customWidth="1"/>
    <col min="14857" max="14857" width="11.125" style="25" customWidth="1"/>
    <col min="14858" max="15104" width="9" style="25"/>
    <col min="15105" max="15105" width="8.75" style="25" customWidth="1"/>
    <col min="15106" max="15106" width="5.875" style="25" customWidth="1"/>
    <col min="15107" max="15107" width="13.875" style="25" customWidth="1"/>
    <col min="15108" max="15108" width="8.25" style="25" customWidth="1"/>
    <col min="15109" max="15109" width="12" style="25" customWidth="1"/>
    <col min="15110" max="15110" width="11.125" style="25" customWidth="1"/>
    <col min="15111" max="15111" width="9.5" style="25" customWidth="1"/>
    <col min="15112" max="15112" width="8.75" style="25" customWidth="1"/>
    <col min="15113" max="15113" width="11.125" style="25" customWidth="1"/>
    <col min="15114" max="15360" width="9" style="25"/>
    <col min="15361" max="15361" width="8.75" style="25" customWidth="1"/>
    <col min="15362" max="15362" width="5.875" style="25" customWidth="1"/>
    <col min="15363" max="15363" width="13.875" style="25" customWidth="1"/>
    <col min="15364" max="15364" width="8.25" style="25" customWidth="1"/>
    <col min="15365" max="15365" width="12" style="25" customWidth="1"/>
    <col min="15366" max="15366" width="11.125" style="25" customWidth="1"/>
    <col min="15367" max="15367" width="9.5" style="25" customWidth="1"/>
    <col min="15368" max="15368" width="8.75" style="25" customWidth="1"/>
    <col min="15369" max="15369" width="11.125" style="25" customWidth="1"/>
    <col min="15370" max="15616" width="9" style="25"/>
    <col min="15617" max="15617" width="8.75" style="25" customWidth="1"/>
    <col min="15618" max="15618" width="5.875" style="25" customWidth="1"/>
    <col min="15619" max="15619" width="13.875" style="25" customWidth="1"/>
    <col min="15620" max="15620" width="8.25" style="25" customWidth="1"/>
    <col min="15621" max="15621" width="12" style="25" customWidth="1"/>
    <col min="15622" max="15622" width="11.125" style="25" customWidth="1"/>
    <col min="15623" max="15623" width="9.5" style="25" customWidth="1"/>
    <col min="15624" max="15624" width="8.75" style="25" customWidth="1"/>
    <col min="15625" max="15625" width="11.125" style="25" customWidth="1"/>
    <col min="15626" max="15872" width="9" style="25"/>
    <col min="15873" max="15873" width="8.75" style="25" customWidth="1"/>
    <col min="15874" max="15874" width="5.875" style="25" customWidth="1"/>
    <col min="15875" max="15875" width="13.875" style="25" customWidth="1"/>
    <col min="15876" max="15876" width="8.25" style="25" customWidth="1"/>
    <col min="15877" max="15877" width="12" style="25" customWidth="1"/>
    <col min="15878" max="15878" width="11.125" style="25" customWidth="1"/>
    <col min="15879" max="15879" width="9.5" style="25" customWidth="1"/>
    <col min="15880" max="15880" width="8.75" style="25" customWidth="1"/>
    <col min="15881" max="15881" width="11.125" style="25" customWidth="1"/>
    <col min="15882" max="16128" width="9" style="25"/>
    <col min="16129" max="16129" width="8.75" style="25" customWidth="1"/>
    <col min="16130" max="16130" width="5.875" style="25" customWidth="1"/>
    <col min="16131" max="16131" width="13.875" style="25" customWidth="1"/>
    <col min="16132" max="16132" width="8.25" style="25" customWidth="1"/>
    <col min="16133" max="16133" width="12" style="25" customWidth="1"/>
    <col min="16134" max="16134" width="11.125" style="25" customWidth="1"/>
    <col min="16135" max="16135" width="9.5" style="25" customWidth="1"/>
    <col min="16136" max="16136" width="8.75" style="25" customWidth="1"/>
    <col min="16137" max="16137" width="11.125" style="25" customWidth="1"/>
    <col min="16138" max="16384" width="9" style="25"/>
  </cols>
  <sheetData>
    <row r="1" ht="17" customHeight="1" spans="1:9">
      <c r="A1" s="24" t="s">
        <v>313</v>
      </c>
      <c r="I1" s="52"/>
    </row>
    <row r="2" ht="27" customHeight="1" spans="1:9">
      <c r="A2" s="26" t="s">
        <v>314</v>
      </c>
      <c r="B2" s="26"/>
      <c r="C2" s="26"/>
      <c r="D2" s="26"/>
      <c r="E2" s="26"/>
      <c r="F2" s="26"/>
      <c r="G2" s="26"/>
      <c r="H2" s="26"/>
      <c r="I2" s="26"/>
    </row>
    <row r="3" s="23" customFormat="1" ht="27" customHeight="1" spans="1:254">
      <c r="A3" s="27" t="s">
        <v>315</v>
      </c>
      <c r="B3" s="27"/>
      <c r="C3" s="27"/>
      <c r="D3" s="27"/>
      <c r="E3" s="27"/>
      <c r="F3" s="27"/>
      <c r="G3" s="27"/>
      <c r="H3" s="27"/>
      <c r="I3" s="27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</row>
    <row r="4" ht="16" customHeight="1" spans="1:9">
      <c r="A4" s="14" t="s">
        <v>316</v>
      </c>
      <c r="B4" s="28" t="s">
        <v>317</v>
      </c>
      <c r="C4" s="29"/>
      <c r="D4" s="14">
        <v>9940.46</v>
      </c>
      <c r="E4" s="14"/>
      <c r="F4" s="14"/>
      <c r="G4" s="14"/>
      <c r="H4" s="14"/>
      <c r="I4" s="14"/>
    </row>
    <row r="5" ht="17" customHeight="1" spans="1:9">
      <c r="A5" s="14"/>
      <c r="B5" s="14" t="s">
        <v>318</v>
      </c>
      <c r="C5" s="14"/>
      <c r="D5" s="14">
        <v>9940.46</v>
      </c>
      <c r="E5" s="14"/>
      <c r="F5" s="14"/>
      <c r="G5" s="14"/>
      <c r="H5" s="14"/>
      <c r="I5" s="14"/>
    </row>
    <row r="6" ht="18" customHeight="1" spans="1:9">
      <c r="A6" s="14"/>
      <c r="B6" s="14" t="s">
        <v>319</v>
      </c>
      <c r="C6" s="14"/>
      <c r="D6" s="14" t="s">
        <v>320</v>
      </c>
      <c r="E6" s="14"/>
      <c r="F6" s="14"/>
      <c r="G6" s="14"/>
      <c r="H6" s="14"/>
      <c r="I6" s="14"/>
    </row>
    <row r="7" ht="17" customHeight="1" spans="1:9">
      <c r="A7" s="14"/>
      <c r="B7" s="14" t="s">
        <v>321</v>
      </c>
      <c r="C7" s="14"/>
      <c r="D7" s="14" t="s">
        <v>320</v>
      </c>
      <c r="E7" s="14"/>
      <c r="F7" s="14"/>
      <c r="G7" s="14"/>
      <c r="H7" s="14"/>
      <c r="I7" s="14"/>
    </row>
    <row r="8" ht="45" customHeight="1" spans="1:9">
      <c r="A8" s="14" t="s">
        <v>322</v>
      </c>
      <c r="B8" s="30" t="s">
        <v>323</v>
      </c>
      <c r="C8" s="31"/>
      <c r="D8" s="31"/>
      <c r="E8" s="31"/>
      <c r="F8" s="31"/>
      <c r="G8" s="31"/>
      <c r="H8" s="31"/>
      <c r="I8" s="54"/>
    </row>
    <row r="9" spans="1:9">
      <c r="A9" s="32" t="s">
        <v>324</v>
      </c>
      <c r="B9" s="32" t="s">
        <v>325</v>
      </c>
      <c r="C9" s="33"/>
      <c r="D9" s="32" t="s">
        <v>326</v>
      </c>
      <c r="E9" s="14" t="s">
        <v>327</v>
      </c>
      <c r="F9" s="32" t="s">
        <v>328</v>
      </c>
      <c r="G9" s="34"/>
      <c r="H9" s="32" t="s">
        <v>329</v>
      </c>
      <c r="I9" s="33"/>
    </row>
    <row r="10" spans="1:9">
      <c r="A10" s="35"/>
      <c r="B10" s="36"/>
      <c r="C10" s="37"/>
      <c r="D10" s="35"/>
      <c r="E10" s="14"/>
      <c r="F10" s="35"/>
      <c r="G10" s="38"/>
      <c r="H10" s="35"/>
      <c r="I10" s="42"/>
    </row>
    <row r="11" ht="27" customHeight="1" spans="1:9">
      <c r="A11" s="39" t="s">
        <v>330</v>
      </c>
      <c r="B11" s="32" t="s">
        <v>331</v>
      </c>
      <c r="C11" s="33"/>
      <c r="D11" s="14" t="s">
        <v>332</v>
      </c>
      <c r="E11" s="14" t="s">
        <v>332</v>
      </c>
      <c r="F11" s="40">
        <v>0.95</v>
      </c>
      <c r="G11" s="40"/>
      <c r="H11" s="14" t="s">
        <v>333</v>
      </c>
      <c r="I11" s="14"/>
    </row>
    <row r="12" ht="44" customHeight="1" spans="1:9">
      <c r="A12" s="41"/>
      <c r="B12" s="35"/>
      <c r="C12" s="42"/>
      <c r="D12" s="14" t="s">
        <v>334</v>
      </c>
      <c r="E12" s="14" t="s">
        <v>334</v>
      </c>
      <c r="F12" s="40" t="s">
        <v>335</v>
      </c>
      <c r="G12" s="40"/>
      <c r="H12" s="14" t="s">
        <v>336</v>
      </c>
      <c r="I12" s="14"/>
    </row>
    <row r="13" ht="27" customHeight="1" spans="1:9">
      <c r="A13" s="41"/>
      <c r="B13" s="32" t="s">
        <v>337</v>
      </c>
      <c r="C13" s="33"/>
      <c r="D13" s="14" t="s">
        <v>338</v>
      </c>
      <c r="E13" s="14" t="s">
        <v>338</v>
      </c>
      <c r="F13" s="40">
        <v>0.95</v>
      </c>
      <c r="G13" s="40"/>
      <c r="H13" s="14" t="s">
        <v>333</v>
      </c>
      <c r="I13" s="14"/>
    </row>
    <row r="14" ht="27" customHeight="1" spans="1:9">
      <c r="A14" s="41"/>
      <c r="B14" s="36"/>
      <c r="C14" s="37"/>
      <c r="D14" s="14" t="s">
        <v>339</v>
      </c>
      <c r="E14" s="14" t="s">
        <v>339</v>
      </c>
      <c r="F14" s="40" t="s">
        <v>340</v>
      </c>
      <c r="G14" s="40"/>
      <c r="H14" s="14" t="s">
        <v>340</v>
      </c>
      <c r="I14" s="14"/>
    </row>
    <row r="15" ht="27" customHeight="1" spans="1:9">
      <c r="A15" s="41"/>
      <c r="B15" s="32" t="s">
        <v>341</v>
      </c>
      <c r="C15" s="33"/>
      <c r="D15" s="14" t="s">
        <v>342</v>
      </c>
      <c r="E15" s="14" t="s">
        <v>342</v>
      </c>
      <c r="F15" s="40" t="s">
        <v>343</v>
      </c>
      <c r="G15" s="40"/>
      <c r="H15" s="14" t="s">
        <v>344</v>
      </c>
      <c r="I15" s="14"/>
    </row>
    <row r="16" ht="27" customHeight="1" spans="1:9">
      <c r="A16" s="41"/>
      <c r="B16" s="35"/>
      <c r="C16" s="42"/>
      <c r="D16" s="14" t="s">
        <v>338</v>
      </c>
      <c r="E16" s="14" t="s">
        <v>338</v>
      </c>
      <c r="F16" s="40">
        <v>0.95</v>
      </c>
      <c r="G16" s="40"/>
      <c r="H16" s="14" t="s">
        <v>333</v>
      </c>
      <c r="I16" s="14"/>
    </row>
    <row r="17" ht="27" customHeight="1" spans="1:9">
      <c r="A17" s="41"/>
      <c r="B17" s="32" t="s">
        <v>345</v>
      </c>
      <c r="C17" s="33"/>
      <c r="D17" s="14" t="s">
        <v>346</v>
      </c>
      <c r="E17" s="14" t="s">
        <v>346</v>
      </c>
      <c r="F17" s="43">
        <v>0.5647</v>
      </c>
      <c r="G17" s="43"/>
      <c r="H17" s="43">
        <v>0.5647</v>
      </c>
      <c r="I17" s="43"/>
    </row>
    <row r="18" ht="27" customHeight="1" spans="1:9">
      <c r="A18" s="44"/>
      <c r="B18" s="35"/>
      <c r="C18" s="42"/>
      <c r="D18" s="14" t="s">
        <v>347</v>
      </c>
      <c r="E18" s="14" t="s">
        <v>347</v>
      </c>
      <c r="F18" s="40">
        <v>0.95</v>
      </c>
      <c r="G18" s="40"/>
      <c r="H18" s="14" t="s">
        <v>333</v>
      </c>
      <c r="I18" s="14"/>
    </row>
    <row r="19" ht="27" customHeight="1" spans="1:9">
      <c r="A19" s="39" t="s">
        <v>348</v>
      </c>
      <c r="B19" s="32" t="s">
        <v>349</v>
      </c>
      <c r="C19" s="33"/>
      <c r="D19" s="14" t="s">
        <v>350</v>
      </c>
      <c r="E19" s="14" t="s">
        <v>350</v>
      </c>
      <c r="F19" s="40" t="s">
        <v>350</v>
      </c>
      <c r="G19" s="40"/>
      <c r="H19" s="14" t="s">
        <v>350</v>
      </c>
      <c r="I19" s="14"/>
    </row>
    <row r="20" ht="27" customHeight="1" spans="1:9">
      <c r="A20" s="41"/>
      <c r="B20" s="35"/>
      <c r="C20" s="42"/>
      <c r="D20" s="14" t="s">
        <v>350</v>
      </c>
      <c r="E20" s="14" t="s">
        <v>350</v>
      </c>
      <c r="F20" s="40" t="s">
        <v>350</v>
      </c>
      <c r="G20" s="40"/>
      <c r="H20" s="14" t="s">
        <v>350</v>
      </c>
      <c r="I20" s="14"/>
    </row>
    <row r="21" ht="29" customHeight="1" spans="1:9">
      <c r="A21" s="41"/>
      <c r="B21" s="32" t="s">
        <v>351</v>
      </c>
      <c r="C21" s="33"/>
      <c r="D21" s="45" t="s">
        <v>352</v>
      </c>
      <c r="E21" s="45" t="s">
        <v>353</v>
      </c>
      <c r="F21" s="40">
        <v>0.95</v>
      </c>
      <c r="G21" s="40"/>
      <c r="H21" s="14" t="s">
        <v>333</v>
      </c>
      <c r="I21" s="14"/>
    </row>
    <row r="22" ht="27" customHeight="1" spans="1:9">
      <c r="A22" s="41"/>
      <c r="B22" s="35"/>
      <c r="C22" s="42"/>
      <c r="D22" s="14" t="s">
        <v>350</v>
      </c>
      <c r="E22" s="14" t="s">
        <v>350</v>
      </c>
      <c r="F22" s="40" t="s">
        <v>350</v>
      </c>
      <c r="G22" s="40"/>
      <c r="H22" s="14" t="s">
        <v>350</v>
      </c>
      <c r="I22" s="14"/>
    </row>
    <row r="23" ht="27" customHeight="1" spans="1:9">
      <c r="A23" s="41"/>
      <c r="B23" s="32" t="s">
        <v>354</v>
      </c>
      <c r="C23" s="33"/>
      <c r="D23" s="14" t="s">
        <v>350</v>
      </c>
      <c r="E23" s="14" t="s">
        <v>350</v>
      </c>
      <c r="F23" s="40" t="s">
        <v>350</v>
      </c>
      <c r="G23" s="40"/>
      <c r="H23" s="14" t="s">
        <v>350</v>
      </c>
      <c r="I23" s="14"/>
    </row>
    <row r="24" ht="27" customHeight="1" spans="1:9">
      <c r="A24" s="41"/>
      <c r="B24" s="35"/>
      <c r="C24" s="42"/>
      <c r="D24" s="14" t="s">
        <v>350</v>
      </c>
      <c r="E24" s="14" t="s">
        <v>350</v>
      </c>
      <c r="F24" s="40" t="s">
        <v>350</v>
      </c>
      <c r="G24" s="40"/>
      <c r="H24" s="14" t="s">
        <v>350</v>
      </c>
      <c r="I24" s="14"/>
    </row>
    <row r="25" ht="27" customHeight="1" spans="1:9">
      <c r="A25" s="41"/>
      <c r="B25" s="32" t="s">
        <v>355</v>
      </c>
      <c r="C25" s="33"/>
      <c r="D25" s="14" t="s">
        <v>350</v>
      </c>
      <c r="E25" s="14" t="s">
        <v>350</v>
      </c>
      <c r="F25" s="40" t="s">
        <v>350</v>
      </c>
      <c r="G25" s="40"/>
      <c r="H25" s="14" t="s">
        <v>350</v>
      </c>
      <c r="I25" s="14"/>
    </row>
    <row r="26" ht="27" customHeight="1" spans="1:9">
      <c r="A26" s="44"/>
      <c r="B26" s="35"/>
      <c r="C26" s="42"/>
      <c r="D26" s="14" t="s">
        <v>350</v>
      </c>
      <c r="E26" s="14" t="s">
        <v>350</v>
      </c>
      <c r="F26" s="40" t="s">
        <v>350</v>
      </c>
      <c r="G26" s="40"/>
      <c r="H26" s="14" t="s">
        <v>350</v>
      </c>
      <c r="I26" s="14"/>
    </row>
    <row r="27" ht="27" customHeight="1" spans="1:9">
      <c r="A27" s="39" t="s">
        <v>356</v>
      </c>
      <c r="B27" s="32" t="s">
        <v>357</v>
      </c>
      <c r="C27" s="33"/>
      <c r="D27" s="14" t="s">
        <v>358</v>
      </c>
      <c r="E27" s="14" t="s">
        <v>358</v>
      </c>
      <c r="F27" s="40">
        <v>0.95</v>
      </c>
      <c r="G27" s="40"/>
      <c r="H27" s="14" t="s">
        <v>333</v>
      </c>
      <c r="I27" s="14"/>
    </row>
    <row r="28" ht="27" customHeight="1" spans="1:9">
      <c r="A28" s="44"/>
      <c r="B28" s="35"/>
      <c r="C28" s="42"/>
      <c r="D28" s="14" t="s">
        <v>350</v>
      </c>
      <c r="E28" s="14" t="s">
        <v>350</v>
      </c>
      <c r="F28" s="40" t="s">
        <v>350</v>
      </c>
      <c r="G28" s="40"/>
      <c r="H28" s="14" t="s">
        <v>350</v>
      </c>
      <c r="I28" s="14"/>
    </row>
    <row r="29" ht="27" customHeight="1" spans="1:9">
      <c r="A29" s="14" t="s">
        <v>359</v>
      </c>
      <c r="B29" s="46"/>
      <c r="C29" s="47"/>
      <c r="D29" s="47"/>
      <c r="E29" s="47"/>
      <c r="F29" s="47"/>
      <c r="G29" s="47"/>
      <c r="H29" s="46"/>
      <c r="I29" s="46"/>
    </row>
    <row r="30" ht="24" customHeight="1" spans="1:9">
      <c r="A30" s="48" t="s">
        <v>360</v>
      </c>
      <c r="B30" s="49"/>
      <c r="C30" s="49"/>
      <c r="D30" s="48" t="s">
        <v>361</v>
      </c>
      <c r="E30" s="49"/>
      <c r="F30" s="49"/>
      <c r="G30" s="50" t="s">
        <v>362</v>
      </c>
      <c r="H30" s="49"/>
      <c r="I30" s="49"/>
    </row>
    <row r="31" ht="15" spans="1:1">
      <c r="A31" s="51"/>
    </row>
  </sheetData>
  <mergeCells count="67">
    <mergeCell ref="A2:I2"/>
    <mergeCell ref="A3:I3"/>
    <mergeCell ref="B4:C4"/>
    <mergeCell ref="D4:I4"/>
    <mergeCell ref="B5:C5"/>
    <mergeCell ref="D5:I5"/>
    <mergeCell ref="B6:C6"/>
    <mergeCell ref="D6:I6"/>
    <mergeCell ref="B7:C7"/>
    <mergeCell ref="D7:I7"/>
    <mergeCell ref="B8:I8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B29:I29"/>
    <mergeCell ref="A4:A7"/>
    <mergeCell ref="A9:A10"/>
    <mergeCell ref="A11:A18"/>
    <mergeCell ref="A19:A26"/>
    <mergeCell ref="A27:A28"/>
    <mergeCell ref="D9:D10"/>
    <mergeCell ref="E9:E10"/>
    <mergeCell ref="B9:C10"/>
    <mergeCell ref="F9:G10"/>
    <mergeCell ref="H9:I10"/>
    <mergeCell ref="B11:C12"/>
    <mergeCell ref="B13:C14"/>
    <mergeCell ref="B15:C16"/>
    <mergeCell ref="B17:C18"/>
    <mergeCell ref="B19:C20"/>
    <mergeCell ref="B21:C22"/>
    <mergeCell ref="B23:C24"/>
    <mergeCell ref="B25:C26"/>
    <mergeCell ref="B27:C28"/>
  </mergeCells>
  <pageMargins left="0.7" right="0.7" top="0.75" bottom="0.75" header="0.3" footer="0.3"/>
  <pageSetup paperSize="9" scale="75" orientation="portrait"/>
  <headerFooter/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2"/>
  <sheetViews>
    <sheetView view="pageBreakPreview" zoomScale="70" zoomScaleNormal="85" zoomScaleSheetLayoutView="70" topLeftCell="A37" workbookViewId="0">
      <selection activeCell="B45" sqref="B45:E45"/>
    </sheetView>
  </sheetViews>
  <sheetFormatPr defaultColWidth="9" defaultRowHeight="14.25"/>
  <cols>
    <col min="1" max="1" width="10.125" style="1" customWidth="1"/>
    <col min="2" max="2" width="9.875" style="1" customWidth="1"/>
    <col min="3" max="3" width="10.75" style="1" customWidth="1"/>
    <col min="4" max="4" width="9" style="1"/>
    <col min="5" max="5" width="17.675" style="1" customWidth="1"/>
    <col min="6" max="6" width="10" style="1" customWidth="1"/>
    <col min="7" max="7" width="8.225" style="1" customWidth="1"/>
    <col min="8" max="8" width="17.4916666666667" style="1" customWidth="1"/>
    <col min="9" max="9" width="17.3166666666667" style="1" customWidth="1"/>
    <col min="10" max="10" width="18.0333333333333" style="1" customWidth="1"/>
    <col min="11" max="16384" width="9" style="1"/>
  </cols>
  <sheetData>
    <row r="1" ht="22" customHeight="1" spans="1:1">
      <c r="A1" s="1" t="s">
        <v>363</v>
      </c>
    </row>
    <row r="2" ht="27" spans="1:10">
      <c r="A2" s="2" t="s">
        <v>364</v>
      </c>
      <c r="B2" s="2"/>
      <c r="C2" s="2"/>
      <c r="D2" s="2"/>
      <c r="E2" s="2"/>
      <c r="F2" s="2"/>
      <c r="G2" s="2"/>
      <c r="H2" s="2"/>
      <c r="I2" s="2"/>
      <c r="J2" s="2"/>
    </row>
    <row r="3" ht="18.95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27.75" customHeight="1" spans="1:10">
      <c r="A4" s="4" t="s">
        <v>365</v>
      </c>
      <c r="B4" s="5" t="s">
        <v>366</v>
      </c>
      <c r="C4" s="5"/>
      <c r="D4" s="5"/>
      <c r="E4" s="5"/>
      <c r="F4" s="5" t="s">
        <v>367</v>
      </c>
      <c r="G4" s="5"/>
      <c r="H4" s="5">
        <v>2010301</v>
      </c>
      <c r="I4" s="5"/>
      <c r="J4" s="5"/>
    </row>
    <row r="5" ht="27.75" customHeight="1" spans="1:10">
      <c r="A5" s="6" t="s">
        <v>368</v>
      </c>
      <c r="B5" s="7" t="s">
        <v>369</v>
      </c>
      <c r="C5" s="8"/>
      <c r="D5" s="8"/>
      <c r="E5" s="8"/>
      <c r="F5" s="8"/>
      <c r="G5" s="9"/>
      <c r="H5" s="10">
        <v>70</v>
      </c>
      <c r="I5" s="21"/>
      <c r="J5" s="22"/>
    </row>
    <row r="6" ht="27.75" customHeight="1" spans="1:10">
      <c r="A6" s="11"/>
      <c r="B6" s="7" t="s">
        <v>370</v>
      </c>
      <c r="C6" s="8"/>
      <c r="D6" s="8"/>
      <c r="E6" s="8"/>
      <c r="F6" s="8"/>
      <c r="G6" s="9"/>
      <c r="H6" s="10">
        <v>0</v>
      </c>
      <c r="I6" s="21"/>
      <c r="J6" s="22"/>
    </row>
    <row r="7" ht="38.25" customHeight="1" spans="1:10">
      <c r="A7" s="5" t="s">
        <v>322</v>
      </c>
      <c r="B7" s="7" t="s">
        <v>371</v>
      </c>
      <c r="C7" s="8"/>
      <c r="D7" s="8"/>
      <c r="E7" s="8"/>
      <c r="F7" s="8"/>
      <c r="G7" s="8"/>
      <c r="H7" s="8"/>
      <c r="I7" s="8"/>
      <c r="J7" s="9"/>
    </row>
    <row r="8" ht="19.5" customHeight="1" spans="1:10">
      <c r="A8" s="5" t="s">
        <v>372</v>
      </c>
      <c r="B8" s="5" t="s">
        <v>373</v>
      </c>
      <c r="C8" s="5"/>
      <c r="D8" s="5"/>
      <c r="E8" s="5" t="s">
        <v>374</v>
      </c>
      <c r="F8" s="5" t="s">
        <v>375</v>
      </c>
      <c r="G8" s="5"/>
      <c r="H8" s="5" t="s">
        <v>329</v>
      </c>
      <c r="I8" s="5"/>
      <c r="J8" s="5"/>
    </row>
    <row r="9" ht="27.75" customHeight="1" spans="1:10">
      <c r="A9" s="5"/>
      <c r="B9" s="5"/>
      <c r="C9" s="5"/>
      <c r="D9" s="5"/>
      <c r="E9" s="5"/>
      <c r="F9" s="5" t="s">
        <v>328</v>
      </c>
      <c r="G9" s="5"/>
      <c r="H9" s="5" t="s">
        <v>376</v>
      </c>
      <c r="I9" s="5" t="s">
        <v>377</v>
      </c>
      <c r="J9" s="5" t="s">
        <v>378</v>
      </c>
    </row>
    <row r="10" ht="18.75" customHeight="1" spans="1:10">
      <c r="A10" s="5"/>
      <c r="B10" s="6" t="s">
        <v>330</v>
      </c>
      <c r="C10" s="4" t="s">
        <v>379</v>
      </c>
      <c r="D10" s="5" t="s">
        <v>380</v>
      </c>
      <c r="E10" s="5" t="s">
        <v>381</v>
      </c>
      <c r="F10" s="5" t="s">
        <v>382</v>
      </c>
      <c r="G10" s="5"/>
      <c r="H10" s="12" t="s">
        <v>383</v>
      </c>
      <c r="I10" s="12" t="s">
        <v>384</v>
      </c>
      <c r="J10" s="5" t="s">
        <v>383</v>
      </c>
    </row>
    <row r="11" ht="18" customHeight="1" spans="1:10">
      <c r="A11" s="5"/>
      <c r="B11" s="13"/>
      <c r="C11" s="4" t="s">
        <v>385</v>
      </c>
      <c r="D11" s="5" t="s">
        <v>380</v>
      </c>
      <c r="E11" s="5" t="s">
        <v>350</v>
      </c>
      <c r="F11" s="5" t="s">
        <v>350</v>
      </c>
      <c r="G11" s="5"/>
      <c r="H11" s="5" t="s">
        <v>350</v>
      </c>
      <c r="I11" s="5" t="s">
        <v>350</v>
      </c>
      <c r="J11" s="5" t="s">
        <v>350</v>
      </c>
    </row>
    <row r="12" ht="27" spans="1:10">
      <c r="A12" s="5"/>
      <c r="B12" s="13"/>
      <c r="C12" s="4" t="s">
        <v>386</v>
      </c>
      <c r="D12" s="5" t="s">
        <v>380</v>
      </c>
      <c r="E12" s="5" t="s">
        <v>350</v>
      </c>
      <c r="F12" s="5" t="s">
        <v>350</v>
      </c>
      <c r="G12" s="5"/>
      <c r="H12" s="5" t="s">
        <v>350</v>
      </c>
      <c r="I12" s="5" t="s">
        <v>350</v>
      </c>
      <c r="J12" s="5" t="s">
        <v>350</v>
      </c>
    </row>
    <row r="13" ht="45" customHeight="1" spans="1:10">
      <c r="A13" s="5"/>
      <c r="B13" s="13"/>
      <c r="C13" s="4" t="s">
        <v>387</v>
      </c>
      <c r="D13" s="5" t="s">
        <v>380</v>
      </c>
      <c r="E13" s="5" t="s">
        <v>388</v>
      </c>
      <c r="F13" s="5" t="s">
        <v>388</v>
      </c>
      <c r="G13" s="5"/>
      <c r="H13" s="5" t="s">
        <v>389</v>
      </c>
      <c r="I13" s="5" t="s">
        <v>390</v>
      </c>
      <c r="J13" s="5" t="s">
        <v>389</v>
      </c>
    </row>
    <row r="14" ht="24" customHeight="1" spans="1:10">
      <c r="A14" s="5"/>
      <c r="B14" s="11"/>
      <c r="C14" s="4" t="s">
        <v>391</v>
      </c>
      <c r="D14" s="5" t="s">
        <v>380</v>
      </c>
      <c r="E14" s="5" t="s">
        <v>392</v>
      </c>
      <c r="F14" s="5" t="s">
        <v>393</v>
      </c>
      <c r="G14" s="5"/>
      <c r="H14" s="5" t="s">
        <v>394</v>
      </c>
      <c r="I14" s="5" t="s">
        <v>394</v>
      </c>
      <c r="J14" s="5" t="s">
        <v>394</v>
      </c>
    </row>
    <row r="15" ht="27" spans="1:10">
      <c r="A15" s="5"/>
      <c r="B15" s="6" t="s">
        <v>348</v>
      </c>
      <c r="C15" s="4" t="s">
        <v>395</v>
      </c>
      <c r="D15" s="5" t="s">
        <v>380</v>
      </c>
      <c r="E15" s="5" t="s">
        <v>350</v>
      </c>
      <c r="F15" s="5" t="s">
        <v>350</v>
      </c>
      <c r="G15" s="5"/>
      <c r="H15" s="5" t="s">
        <v>350</v>
      </c>
      <c r="I15" s="5" t="s">
        <v>350</v>
      </c>
      <c r="J15" s="5" t="s">
        <v>350</v>
      </c>
    </row>
    <row r="16" ht="50" customHeight="1" spans="1:10">
      <c r="A16" s="5"/>
      <c r="B16" s="13"/>
      <c r="C16" s="4" t="s">
        <v>396</v>
      </c>
      <c r="D16" s="5" t="s">
        <v>380</v>
      </c>
      <c r="E16" s="14" t="s">
        <v>397</v>
      </c>
      <c r="F16" s="5" t="s">
        <v>397</v>
      </c>
      <c r="G16" s="5"/>
      <c r="H16" s="14" t="s">
        <v>397</v>
      </c>
      <c r="I16" s="14" t="s">
        <v>397</v>
      </c>
      <c r="J16" s="14" t="s">
        <v>397</v>
      </c>
    </row>
    <row r="17" ht="27" spans="1:10">
      <c r="A17" s="5"/>
      <c r="B17" s="13"/>
      <c r="C17" s="4" t="s">
        <v>398</v>
      </c>
      <c r="D17" s="5" t="s">
        <v>380</v>
      </c>
      <c r="E17" s="5" t="s">
        <v>350</v>
      </c>
      <c r="F17" s="5" t="s">
        <v>350</v>
      </c>
      <c r="G17" s="5"/>
      <c r="H17" s="5" t="s">
        <v>350</v>
      </c>
      <c r="I17" s="5" t="s">
        <v>350</v>
      </c>
      <c r="J17" s="5" t="s">
        <v>350</v>
      </c>
    </row>
    <row r="18" ht="27" spans="1:10">
      <c r="A18" s="5"/>
      <c r="B18" s="11"/>
      <c r="C18" s="4" t="s">
        <v>399</v>
      </c>
      <c r="D18" s="5" t="s">
        <v>380</v>
      </c>
      <c r="E18" s="5" t="s">
        <v>350</v>
      </c>
      <c r="F18" s="5" t="s">
        <v>350</v>
      </c>
      <c r="G18" s="5"/>
      <c r="H18" s="5" t="s">
        <v>350</v>
      </c>
      <c r="I18" s="5" t="s">
        <v>350</v>
      </c>
      <c r="J18" s="5" t="s">
        <v>350</v>
      </c>
    </row>
    <row r="19" ht="45.95" customHeight="1" spans="1:10">
      <c r="A19" s="5"/>
      <c r="B19" s="5" t="s">
        <v>356</v>
      </c>
      <c r="C19" s="6" t="s">
        <v>400</v>
      </c>
      <c r="D19" s="5" t="s">
        <v>380</v>
      </c>
      <c r="E19" s="5" t="s">
        <v>401</v>
      </c>
      <c r="F19" s="12">
        <v>0.95</v>
      </c>
      <c r="G19" s="5"/>
      <c r="H19" s="5" t="s">
        <v>401</v>
      </c>
      <c r="I19" s="12">
        <v>0.95</v>
      </c>
      <c r="J19" s="5" t="s">
        <v>333</v>
      </c>
    </row>
    <row r="20" ht="75.75" customHeight="1" spans="1:10">
      <c r="A20" s="5" t="s">
        <v>402</v>
      </c>
      <c r="B20" s="15"/>
      <c r="C20" s="15"/>
      <c r="D20" s="15"/>
      <c r="E20" s="15"/>
      <c r="F20" s="15"/>
      <c r="G20" s="15"/>
      <c r="H20" s="15"/>
      <c r="I20" s="15"/>
      <c r="J20" s="15"/>
    </row>
    <row r="21" ht="32" customHeight="1" spans="1:10">
      <c r="A21" s="16" t="s">
        <v>403</v>
      </c>
      <c r="B21" s="17"/>
      <c r="C21" s="17"/>
      <c r="D21" s="18" t="s">
        <v>404</v>
      </c>
      <c r="E21" s="17"/>
      <c r="F21" s="17"/>
      <c r="G21" s="16"/>
      <c r="H21" s="16" t="s">
        <v>362</v>
      </c>
      <c r="I21" s="17"/>
      <c r="J21" s="17"/>
    </row>
    <row r="22" ht="27" customHeight="1" spans="1:10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="1" customFormat="1" ht="27" spans="1:10">
      <c r="A23" s="2" t="s">
        <v>364</v>
      </c>
      <c r="B23" s="2"/>
      <c r="C23" s="2"/>
      <c r="D23" s="2"/>
      <c r="E23" s="2"/>
      <c r="F23" s="2"/>
      <c r="G23" s="2"/>
      <c r="H23" s="2"/>
      <c r="I23" s="2"/>
      <c r="J23" s="2"/>
    </row>
    <row r="24" s="1" customFormat="1" ht="18.95" customHeight="1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="1" customFormat="1" ht="27.75" customHeight="1" spans="1:10">
      <c r="A25" s="4" t="s">
        <v>365</v>
      </c>
      <c r="B25" s="5" t="s">
        <v>405</v>
      </c>
      <c r="C25" s="5"/>
      <c r="D25" s="5"/>
      <c r="E25" s="5"/>
      <c r="F25" s="5" t="s">
        <v>367</v>
      </c>
      <c r="G25" s="5"/>
      <c r="H25" s="5">
        <v>2010302</v>
      </c>
      <c r="I25" s="5"/>
      <c r="J25" s="5"/>
    </row>
    <row r="26" s="1" customFormat="1" ht="27.75" customHeight="1" spans="1:10">
      <c r="A26" s="6" t="s">
        <v>368</v>
      </c>
      <c r="B26" s="7" t="s">
        <v>369</v>
      </c>
      <c r="C26" s="8"/>
      <c r="D26" s="8"/>
      <c r="E26" s="8"/>
      <c r="F26" s="8"/>
      <c r="G26" s="9"/>
      <c r="H26" s="10">
        <v>300</v>
      </c>
      <c r="I26" s="21"/>
      <c r="J26" s="22"/>
    </row>
    <row r="27" s="1" customFormat="1" ht="27.75" customHeight="1" spans="1:10">
      <c r="A27" s="11"/>
      <c r="B27" s="7" t="s">
        <v>370</v>
      </c>
      <c r="C27" s="8"/>
      <c r="D27" s="8"/>
      <c r="E27" s="8"/>
      <c r="F27" s="8"/>
      <c r="G27" s="9"/>
      <c r="H27" s="10">
        <v>0</v>
      </c>
      <c r="I27" s="21"/>
      <c r="J27" s="22"/>
    </row>
    <row r="28" s="1" customFormat="1" ht="38.25" customHeight="1" spans="1:10">
      <c r="A28" s="5" t="s">
        <v>322</v>
      </c>
      <c r="B28" s="20" t="s">
        <v>406</v>
      </c>
      <c r="C28" s="20"/>
      <c r="D28" s="20"/>
      <c r="E28" s="20"/>
      <c r="F28" s="20"/>
      <c r="G28" s="20"/>
      <c r="H28" s="20"/>
      <c r="I28" s="20"/>
      <c r="J28" s="20"/>
    </row>
    <row r="29" s="1" customFormat="1" ht="19.5" customHeight="1" spans="1:10">
      <c r="A29" s="5" t="s">
        <v>372</v>
      </c>
      <c r="B29" s="5" t="s">
        <v>373</v>
      </c>
      <c r="C29" s="5"/>
      <c r="D29" s="5"/>
      <c r="E29" s="5" t="s">
        <v>374</v>
      </c>
      <c r="F29" s="5" t="s">
        <v>375</v>
      </c>
      <c r="G29" s="5"/>
      <c r="H29" s="5" t="s">
        <v>329</v>
      </c>
      <c r="I29" s="5"/>
      <c r="J29" s="5"/>
    </row>
    <row r="30" s="1" customFormat="1" ht="27.75" customHeight="1" spans="1:10">
      <c r="A30" s="5"/>
      <c r="B30" s="5"/>
      <c r="C30" s="5"/>
      <c r="D30" s="5"/>
      <c r="E30" s="5"/>
      <c r="F30" s="5" t="s">
        <v>328</v>
      </c>
      <c r="G30" s="5"/>
      <c r="H30" s="5" t="s">
        <v>376</v>
      </c>
      <c r="I30" s="5" t="s">
        <v>377</v>
      </c>
      <c r="J30" s="5" t="s">
        <v>378</v>
      </c>
    </row>
    <row r="31" s="1" customFormat="1" ht="18.75" customHeight="1" spans="1:10">
      <c r="A31" s="5"/>
      <c r="B31" s="6" t="s">
        <v>330</v>
      </c>
      <c r="C31" s="4" t="s">
        <v>379</v>
      </c>
      <c r="D31" s="5" t="s">
        <v>380</v>
      </c>
      <c r="E31" s="5" t="s">
        <v>407</v>
      </c>
      <c r="F31" s="5" t="s">
        <v>408</v>
      </c>
      <c r="G31" s="5"/>
      <c r="H31" s="12" t="s">
        <v>408</v>
      </c>
      <c r="I31" s="12" t="s">
        <v>408</v>
      </c>
      <c r="J31" s="5" t="s">
        <v>409</v>
      </c>
    </row>
    <row r="32" s="1" customFormat="1" ht="18" customHeight="1" spans="1:10">
      <c r="A32" s="5"/>
      <c r="B32" s="13"/>
      <c r="C32" s="4" t="s">
        <v>385</v>
      </c>
      <c r="D32" s="5" t="s">
        <v>380</v>
      </c>
      <c r="E32" s="5" t="s">
        <v>350</v>
      </c>
      <c r="F32" s="5" t="s">
        <v>350</v>
      </c>
      <c r="G32" s="5"/>
      <c r="H32" s="5" t="s">
        <v>350</v>
      </c>
      <c r="I32" s="5" t="s">
        <v>350</v>
      </c>
      <c r="J32" s="5" t="s">
        <v>350</v>
      </c>
    </row>
    <row r="33" s="1" customFormat="1" ht="27" spans="1:10">
      <c r="A33" s="5"/>
      <c r="B33" s="13"/>
      <c r="C33" s="4" t="s">
        <v>386</v>
      </c>
      <c r="D33" s="5" t="s">
        <v>380</v>
      </c>
      <c r="E33" s="5" t="s">
        <v>350</v>
      </c>
      <c r="F33" s="5" t="s">
        <v>350</v>
      </c>
      <c r="G33" s="5"/>
      <c r="H33" s="5" t="s">
        <v>350</v>
      </c>
      <c r="I33" s="5" t="s">
        <v>350</v>
      </c>
      <c r="J33" s="5" t="s">
        <v>350</v>
      </c>
    </row>
    <row r="34" s="1" customFormat="1" ht="45" customHeight="1" spans="1:10">
      <c r="A34" s="5"/>
      <c r="B34" s="13"/>
      <c r="C34" s="4" t="s">
        <v>387</v>
      </c>
      <c r="D34" s="5" t="s">
        <v>380</v>
      </c>
      <c r="E34" s="5" t="s">
        <v>410</v>
      </c>
      <c r="F34" s="5">
        <v>1</v>
      </c>
      <c r="G34" s="5"/>
      <c r="H34" s="5">
        <v>1</v>
      </c>
      <c r="I34" s="5">
        <v>1</v>
      </c>
      <c r="J34" s="5">
        <v>1</v>
      </c>
    </row>
    <row r="35" s="1" customFormat="1" ht="24" customHeight="1" spans="1:10">
      <c r="A35" s="5"/>
      <c r="B35" s="11"/>
      <c r="C35" s="4" t="s">
        <v>391</v>
      </c>
      <c r="D35" s="5" t="s">
        <v>380</v>
      </c>
      <c r="E35" s="5" t="s">
        <v>392</v>
      </c>
      <c r="F35" s="5" t="s">
        <v>393</v>
      </c>
      <c r="G35" s="5"/>
      <c r="H35" s="5" t="s">
        <v>394</v>
      </c>
      <c r="I35" s="5" t="s">
        <v>394</v>
      </c>
      <c r="J35" s="5" t="s">
        <v>394</v>
      </c>
    </row>
    <row r="36" s="1" customFormat="1" ht="27" spans="1:10">
      <c r="A36" s="5"/>
      <c r="B36" s="6" t="s">
        <v>348</v>
      </c>
      <c r="C36" s="4" t="s">
        <v>395</v>
      </c>
      <c r="D36" s="5" t="s">
        <v>380</v>
      </c>
      <c r="E36" s="5" t="s">
        <v>350</v>
      </c>
      <c r="F36" s="5" t="s">
        <v>350</v>
      </c>
      <c r="G36" s="5"/>
      <c r="H36" s="5" t="s">
        <v>350</v>
      </c>
      <c r="I36" s="5" t="s">
        <v>350</v>
      </c>
      <c r="J36" s="5" t="s">
        <v>350</v>
      </c>
    </row>
    <row r="37" s="1" customFormat="1" ht="27" spans="1:10">
      <c r="A37" s="5"/>
      <c r="B37" s="13"/>
      <c r="C37" s="4" t="s">
        <v>396</v>
      </c>
      <c r="D37" s="5" t="s">
        <v>380</v>
      </c>
      <c r="E37" s="14" t="s">
        <v>411</v>
      </c>
      <c r="F37" s="5" t="s">
        <v>411</v>
      </c>
      <c r="G37" s="5"/>
      <c r="H37" s="14" t="s">
        <v>411</v>
      </c>
      <c r="I37" s="14" t="s">
        <v>411</v>
      </c>
      <c r="J37" s="14" t="s">
        <v>411</v>
      </c>
    </row>
    <row r="38" s="1" customFormat="1" ht="27" spans="1:10">
      <c r="A38" s="5"/>
      <c r="B38" s="13"/>
      <c r="C38" s="4" t="s">
        <v>398</v>
      </c>
      <c r="D38" s="5" t="s">
        <v>380</v>
      </c>
      <c r="E38" s="5" t="s">
        <v>412</v>
      </c>
      <c r="F38" s="5" t="s">
        <v>413</v>
      </c>
      <c r="G38" s="5"/>
      <c r="H38" s="12">
        <v>0.9</v>
      </c>
      <c r="I38" s="12">
        <v>0.9</v>
      </c>
      <c r="J38" s="12">
        <v>0.9</v>
      </c>
    </row>
    <row r="39" s="1" customFormat="1" ht="27" spans="1:10">
      <c r="A39" s="5"/>
      <c r="B39" s="11"/>
      <c r="C39" s="4" t="s">
        <v>399</v>
      </c>
      <c r="D39" s="5" t="s">
        <v>380</v>
      </c>
      <c r="E39" s="5" t="s">
        <v>350</v>
      </c>
      <c r="F39" s="5" t="s">
        <v>350</v>
      </c>
      <c r="G39" s="5"/>
      <c r="H39" s="5" t="s">
        <v>350</v>
      </c>
      <c r="I39" s="5" t="s">
        <v>350</v>
      </c>
      <c r="J39" s="5" t="s">
        <v>350</v>
      </c>
    </row>
    <row r="40" s="1" customFormat="1" ht="45.95" customHeight="1" spans="1:10">
      <c r="A40" s="5"/>
      <c r="B40" s="5" t="s">
        <v>356</v>
      </c>
      <c r="C40" s="6" t="s">
        <v>400</v>
      </c>
      <c r="D40" s="5" t="s">
        <v>380</v>
      </c>
      <c r="E40" s="5" t="s">
        <v>414</v>
      </c>
      <c r="F40" s="12">
        <v>0.9</v>
      </c>
      <c r="G40" s="5"/>
      <c r="H40" s="5" t="s">
        <v>414</v>
      </c>
      <c r="I40" s="12">
        <v>0.9</v>
      </c>
      <c r="J40" s="5" t="s">
        <v>415</v>
      </c>
    </row>
    <row r="41" s="1" customFormat="1" ht="75.75" customHeight="1" spans="1:10">
      <c r="A41" s="5" t="s">
        <v>402</v>
      </c>
      <c r="B41" s="15"/>
      <c r="C41" s="15"/>
      <c r="D41" s="15"/>
      <c r="E41" s="15"/>
      <c r="F41" s="15"/>
      <c r="G41" s="15"/>
      <c r="H41" s="15"/>
      <c r="I41" s="15"/>
      <c r="J41" s="15"/>
    </row>
    <row r="42" s="1" customFormat="1" ht="32" customHeight="1" spans="1:10">
      <c r="A42" s="16" t="s">
        <v>403</v>
      </c>
      <c r="B42" s="17"/>
      <c r="C42" s="17"/>
      <c r="D42" s="18" t="s">
        <v>404</v>
      </c>
      <c r="E42" s="17"/>
      <c r="F42" s="17"/>
      <c r="G42" s="16"/>
      <c r="H42" s="16" t="s">
        <v>362</v>
      </c>
      <c r="I42" s="17"/>
      <c r="J42" s="17"/>
    </row>
    <row r="43" s="1" customFormat="1" ht="27" spans="1:10">
      <c r="A43" s="2" t="s">
        <v>364</v>
      </c>
      <c r="B43" s="2"/>
      <c r="C43" s="2"/>
      <c r="D43" s="2"/>
      <c r="E43" s="2"/>
      <c r="F43" s="2"/>
      <c r="G43" s="2"/>
      <c r="H43" s="2"/>
      <c r="I43" s="2"/>
      <c r="J43" s="2"/>
    </row>
    <row r="44" s="1" customFormat="1" ht="18.95" customHeight="1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="1" customFormat="1" ht="27.75" customHeight="1" spans="1:10">
      <c r="A45" s="4" t="s">
        <v>365</v>
      </c>
      <c r="B45" s="5" t="s">
        <v>416</v>
      </c>
      <c r="C45" s="5"/>
      <c r="D45" s="5"/>
      <c r="E45" s="5"/>
      <c r="F45" s="5" t="s">
        <v>367</v>
      </c>
      <c r="G45" s="5"/>
      <c r="H45" s="5">
        <v>2010302</v>
      </c>
      <c r="I45" s="5"/>
      <c r="J45" s="5"/>
    </row>
    <row r="46" s="1" customFormat="1" ht="27.75" customHeight="1" spans="1:10">
      <c r="A46" s="6" t="s">
        <v>368</v>
      </c>
      <c r="B46" s="7" t="s">
        <v>369</v>
      </c>
      <c r="C46" s="8"/>
      <c r="D46" s="8"/>
      <c r="E46" s="8"/>
      <c r="F46" s="8"/>
      <c r="G46" s="9"/>
      <c r="H46" s="10">
        <v>56</v>
      </c>
      <c r="I46" s="21"/>
      <c r="J46" s="22"/>
    </row>
    <row r="47" s="1" customFormat="1" ht="27.75" customHeight="1" spans="1:10">
      <c r="A47" s="11"/>
      <c r="B47" s="7" t="s">
        <v>370</v>
      </c>
      <c r="C47" s="8"/>
      <c r="D47" s="8"/>
      <c r="E47" s="8"/>
      <c r="F47" s="8"/>
      <c r="G47" s="9"/>
      <c r="H47" s="10">
        <v>0</v>
      </c>
      <c r="I47" s="21"/>
      <c r="J47" s="22"/>
    </row>
    <row r="48" s="1" customFormat="1" ht="38.25" customHeight="1" spans="1:10">
      <c r="A48" s="5" t="s">
        <v>322</v>
      </c>
      <c r="B48" s="20" t="s">
        <v>417</v>
      </c>
      <c r="C48" s="20"/>
      <c r="D48" s="20"/>
      <c r="E48" s="20"/>
      <c r="F48" s="20"/>
      <c r="G48" s="20"/>
      <c r="H48" s="20"/>
      <c r="I48" s="20"/>
      <c r="J48" s="20"/>
    </row>
    <row r="49" s="1" customFormat="1" ht="19.5" customHeight="1" spans="1:10">
      <c r="A49" s="5" t="s">
        <v>372</v>
      </c>
      <c r="B49" s="5" t="s">
        <v>373</v>
      </c>
      <c r="C49" s="5"/>
      <c r="D49" s="5"/>
      <c r="E49" s="5" t="s">
        <v>374</v>
      </c>
      <c r="F49" s="5" t="s">
        <v>375</v>
      </c>
      <c r="G49" s="5"/>
      <c r="H49" s="5" t="s">
        <v>329</v>
      </c>
      <c r="I49" s="5"/>
      <c r="J49" s="5"/>
    </row>
    <row r="50" s="1" customFormat="1" ht="27.75" customHeight="1" spans="1:10">
      <c r="A50" s="5"/>
      <c r="B50" s="5"/>
      <c r="C50" s="5"/>
      <c r="D50" s="5"/>
      <c r="E50" s="5"/>
      <c r="F50" s="5" t="s">
        <v>328</v>
      </c>
      <c r="G50" s="5"/>
      <c r="H50" s="5" t="s">
        <v>376</v>
      </c>
      <c r="I50" s="5" t="s">
        <v>377</v>
      </c>
      <c r="J50" s="5" t="s">
        <v>378</v>
      </c>
    </row>
    <row r="51" s="1" customFormat="1" ht="33" customHeight="1" spans="1:10">
      <c r="A51" s="5"/>
      <c r="B51" s="6" t="s">
        <v>330</v>
      </c>
      <c r="C51" s="4" t="s">
        <v>379</v>
      </c>
      <c r="D51" s="5" t="s">
        <v>380</v>
      </c>
      <c r="E51" s="5" t="s">
        <v>407</v>
      </c>
      <c r="F51" s="5" t="s">
        <v>418</v>
      </c>
      <c r="G51" s="5"/>
      <c r="H51" s="12" t="s">
        <v>418</v>
      </c>
      <c r="I51" s="12" t="s">
        <v>418</v>
      </c>
      <c r="J51" s="5" t="s">
        <v>409</v>
      </c>
    </row>
    <row r="52" s="1" customFormat="1" ht="18" customHeight="1" spans="1:10">
      <c r="A52" s="5"/>
      <c r="B52" s="13"/>
      <c r="C52" s="4" t="s">
        <v>385</v>
      </c>
      <c r="D52" s="5" t="s">
        <v>380</v>
      </c>
      <c r="E52" s="5" t="s">
        <v>350</v>
      </c>
      <c r="F52" s="5" t="s">
        <v>350</v>
      </c>
      <c r="G52" s="5"/>
      <c r="H52" s="5" t="s">
        <v>350</v>
      </c>
      <c r="I52" s="5" t="s">
        <v>350</v>
      </c>
      <c r="J52" s="5" t="s">
        <v>350</v>
      </c>
    </row>
    <row r="53" s="1" customFormat="1" ht="27" spans="1:10">
      <c r="A53" s="5"/>
      <c r="B53" s="13"/>
      <c r="C53" s="4" t="s">
        <v>386</v>
      </c>
      <c r="D53" s="5" t="s">
        <v>380</v>
      </c>
      <c r="E53" s="5" t="s">
        <v>350</v>
      </c>
      <c r="F53" s="5" t="s">
        <v>350</v>
      </c>
      <c r="G53" s="5"/>
      <c r="H53" s="5" t="s">
        <v>350</v>
      </c>
      <c r="I53" s="5" t="s">
        <v>350</v>
      </c>
      <c r="J53" s="5" t="s">
        <v>350</v>
      </c>
    </row>
    <row r="54" s="1" customFormat="1" ht="45" customHeight="1" spans="1:10">
      <c r="A54" s="5"/>
      <c r="B54" s="13"/>
      <c r="C54" s="4" t="s">
        <v>387</v>
      </c>
      <c r="D54" s="5" t="s">
        <v>380</v>
      </c>
      <c r="E54" s="5" t="s">
        <v>410</v>
      </c>
      <c r="F54" s="5" t="s">
        <v>350</v>
      </c>
      <c r="G54" s="5"/>
      <c r="H54" s="5" t="s">
        <v>350</v>
      </c>
      <c r="I54" s="5" t="s">
        <v>350</v>
      </c>
      <c r="J54" s="5" t="s">
        <v>350</v>
      </c>
    </row>
    <row r="55" s="1" customFormat="1" ht="24" customHeight="1" spans="1:10">
      <c r="A55" s="5"/>
      <c r="B55" s="11"/>
      <c r="C55" s="4" t="s">
        <v>391</v>
      </c>
      <c r="D55" s="5" t="s">
        <v>380</v>
      </c>
      <c r="E55" s="5" t="s">
        <v>392</v>
      </c>
      <c r="F55" s="5" t="s">
        <v>419</v>
      </c>
      <c r="G55" s="5"/>
      <c r="H55" s="5" t="s">
        <v>394</v>
      </c>
      <c r="I55" s="5" t="s">
        <v>394</v>
      </c>
      <c r="J55" s="5" t="s">
        <v>394</v>
      </c>
    </row>
    <row r="56" s="1" customFormat="1" ht="27" spans="1:10">
      <c r="A56" s="5"/>
      <c r="B56" s="6" t="s">
        <v>348</v>
      </c>
      <c r="C56" s="4" t="s">
        <v>395</v>
      </c>
      <c r="D56" s="5" t="s">
        <v>380</v>
      </c>
      <c r="E56" s="5" t="s">
        <v>350</v>
      </c>
      <c r="F56" s="5" t="s">
        <v>350</v>
      </c>
      <c r="G56" s="5"/>
      <c r="H56" s="5" t="s">
        <v>350</v>
      </c>
      <c r="I56" s="5" t="s">
        <v>350</v>
      </c>
      <c r="J56" s="5" t="s">
        <v>350</v>
      </c>
    </row>
    <row r="57" s="1" customFormat="1" ht="27" spans="1:10">
      <c r="A57" s="5"/>
      <c r="B57" s="13"/>
      <c r="C57" s="4" t="s">
        <v>396</v>
      </c>
      <c r="D57" s="5" t="s">
        <v>380</v>
      </c>
      <c r="E57" s="14" t="s">
        <v>420</v>
      </c>
      <c r="F57" s="5" t="s">
        <v>420</v>
      </c>
      <c r="G57" s="5"/>
      <c r="H57" s="14" t="s">
        <v>420</v>
      </c>
      <c r="I57" s="14" t="s">
        <v>420</v>
      </c>
      <c r="J57" s="14" t="s">
        <v>420</v>
      </c>
    </row>
    <row r="58" s="1" customFormat="1" ht="27" spans="1:10">
      <c r="A58" s="5"/>
      <c r="B58" s="13"/>
      <c r="C58" s="4" t="s">
        <v>398</v>
      </c>
      <c r="D58" s="5" t="s">
        <v>380</v>
      </c>
      <c r="E58" s="5" t="s">
        <v>350</v>
      </c>
      <c r="F58" s="5" t="s">
        <v>350</v>
      </c>
      <c r="G58" s="5"/>
      <c r="H58" s="5" t="s">
        <v>350</v>
      </c>
      <c r="I58" s="5" t="s">
        <v>350</v>
      </c>
      <c r="J58" s="5" t="s">
        <v>350</v>
      </c>
    </row>
    <row r="59" s="1" customFormat="1" ht="27" spans="1:10">
      <c r="A59" s="5"/>
      <c r="B59" s="11"/>
      <c r="C59" s="4" t="s">
        <v>399</v>
      </c>
      <c r="D59" s="5" t="s">
        <v>380</v>
      </c>
      <c r="E59" s="5" t="s">
        <v>350</v>
      </c>
      <c r="F59" s="5" t="s">
        <v>350</v>
      </c>
      <c r="G59" s="5"/>
      <c r="H59" s="5" t="s">
        <v>350</v>
      </c>
      <c r="I59" s="5" t="s">
        <v>350</v>
      </c>
      <c r="J59" s="5" t="s">
        <v>350</v>
      </c>
    </row>
    <row r="60" s="1" customFormat="1" ht="45.95" customHeight="1" spans="1:10">
      <c r="A60" s="5"/>
      <c r="B60" s="5" t="s">
        <v>356</v>
      </c>
      <c r="C60" s="6" t="s">
        <v>400</v>
      </c>
      <c r="D60" s="5" t="s">
        <v>380</v>
      </c>
      <c r="E60" s="5" t="s">
        <v>401</v>
      </c>
      <c r="F60" s="12">
        <v>0.95</v>
      </c>
      <c r="G60" s="5"/>
      <c r="H60" s="5" t="s">
        <v>401</v>
      </c>
      <c r="I60" s="12">
        <v>0.95</v>
      </c>
      <c r="J60" s="5" t="s">
        <v>333</v>
      </c>
    </row>
    <row r="61" s="1" customFormat="1" ht="75.75" customHeight="1" spans="1:10">
      <c r="A61" s="5" t="s">
        <v>402</v>
      </c>
      <c r="B61" s="15"/>
      <c r="C61" s="15"/>
      <c r="D61" s="15"/>
      <c r="E61" s="15"/>
      <c r="F61" s="15"/>
      <c r="G61" s="15"/>
      <c r="H61" s="15"/>
      <c r="I61" s="15"/>
      <c r="J61" s="15"/>
    </row>
    <row r="62" s="1" customFormat="1" ht="32" customHeight="1" spans="1:10">
      <c r="A62" s="16" t="s">
        <v>403</v>
      </c>
      <c r="B62" s="17"/>
      <c r="C62" s="17"/>
      <c r="D62" s="18" t="s">
        <v>404</v>
      </c>
      <c r="E62" s="17"/>
      <c r="F62" s="17"/>
      <c r="G62" s="16"/>
      <c r="H62" s="16" t="s">
        <v>362</v>
      </c>
      <c r="I62" s="17"/>
      <c r="J62" s="17"/>
    </row>
  </sheetData>
  <mergeCells count="91">
    <mergeCell ref="A2:J2"/>
    <mergeCell ref="A3:J3"/>
    <mergeCell ref="B4:E4"/>
    <mergeCell ref="F4:G4"/>
    <mergeCell ref="H4:J4"/>
    <mergeCell ref="B5:G5"/>
    <mergeCell ref="H5:J5"/>
    <mergeCell ref="B6:G6"/>
    <mergeCell ref="H6:J6"/>
    <mergeCell ref="B7:J7"/>
    <mergeCell ref="F8:G8"/>
    <mergeCell ref="H8:J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B20:J20"/>
    <mergeCell ref="A22:J22"/>
    <mergeCell ref="A23:J23"/>
    <mergeCell ref="A24:J24"/>
    <mergeCell ref="B25:E25"/>
    <mergeCell ref="F25:G25"/>
    <mergeCell ref="H25:J25"/>
    <mergeCell ref="B26:G26"/>
    <mergeCell ref="H26:J26"/>
    <mergeCell ref="B27:G27"/>
    <mergeCell ref="H27:J27"/>
    <mergeCell ref="B28:J28"/>
    <mergeCell ref="F29:G29"/>
    <mergeCell ref="H29:J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1:J41"/>
    <mergeCell ref="A43:J43"/>
    <mergeCell ref="A44:J44"/>
    <mergeCell ref="B45:E45"/>
    <mergeCell ref="F45:G45"/>
    <mergeCell ref="H45:J45"/>
    <mergeCell ref="B46:G46"/>
    <mergeCell ref="H46:J46"/>
    <mergeCell ref="B47:G47"/>
    <mergeCell ref="H47:J47"/>
    <mergeCell ref="B48:J48"/>
    <mergeCell ref="F49:G49"/>
    <mergeCell ref="H49:J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B61:J61"/>
    <mergeCell ref="A5:A6"/>
    <mergeCell ref="A8:A19"/>
    <mergeCell ref="A26:A27"/>
    <mergeCell ref="A29:A40"/>
    <mergeCell ref="A46:A47"/>
    <mergeCell ref="A49:A60"/>
    <mergeCell ref="B10:B14"/>
    <mergeCell ref="B15:B18"/>
    <mergeCell ref="B31:B35"/>
    <mergeCell ref="B36:B39"/>
    <mergeCell ref="B51:B55"/>
    <mergeCell ref="B56:B59"/>
    <mergeCell ref="E8:E9"/>
    <mergeCell ref="E29:E30"/>
    <mergeCell ref="E49:E50"/>
    <mergeCell ref="B8:D9"/>
    <mergeCell ref="B29:D30"/>
    <mergeCell ref="B49:D50"/>
  </mergeCells>
  <pageMargins left="0.75" right="0.75" top="0.98" bottom="0.98" header="0.51" footer="0.51"/>
  <pageSetup paperSize="9" scale="63" fitToHeight="0" orientation="portrait" horizontalDpi="600"/>
  <headerFooter alignWithMargins="0"/>
  <rowBreaks count="2" manualBreakCount="2">
    <brk id="22" max="16383" man="1"/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附表1-1</vt:lpstr>
      <vt:lpstr>附表1-2</vt:lpstr>
      <vt:lpstr>附表1-3</vt:lpstr>
      <vt:lpstr>附表1-4</vt:lpstr>
      <vt:lpstr>附表1-5</vt:lpstr>
      <vt:lpstr>附表1-6</vt:lpstr>
      <vt:lpstr>附表1-7</vt:lpstr>
      <vt:lpstr>附表1-8</vt:lpstr>
      <vt:lpstr>附表1-9</vt:lpstr>
      <vt:lpstr>附表1-10</vt:lpstr>
      <vt:lpstr>附表1-11</vt:lpstr>
      <vt:lpstr>附表1-12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林婧</dc:creator>
  <cp:lastModifiedBy>Administrator</cp:lastModifiedBy>
  <dcterms:created xsi:type="dcterms:W3CDTF">2020-01-09T08:11:00Z</dcterms:created>
  <cp:lastPrinted>2021-02-02T03:07:00Z</cp:lastPrinted>
  <dcterms:modified xsi:type="dcterms:W3CDTF">2021-03-09T07:07:59Z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