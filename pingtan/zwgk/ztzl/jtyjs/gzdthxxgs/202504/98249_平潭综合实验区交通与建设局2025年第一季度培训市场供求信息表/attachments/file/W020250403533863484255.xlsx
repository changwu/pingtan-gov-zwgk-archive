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<sst xmlns="http://schemas.openxmlformats.org/spreadsheetml/2006/main" count="27" uniqueCount="18">
  <si>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平潭综合实验区交通与建设局2025年第一季度培训市场供求信息表</t>
  </si>
  <si>
    <t>填报时间：2025年3月31日</t>
  </si>
  <si>
    <t>名称</t>
  </si>
  <si>
    <t>类型</t>
  </si>
  <si>
    <t>培训车型</t>
  </si>
  <si>
    <t>培训车数量</t>
  </si>
  <si>
    <t>培训能力（每辆培训25人）</t>
  </si>
  <si>
    <t>已培训人数</t>
  </si>
  <si>
    <t>在校未完成培训生员存量</t>
  </si>
  <si>
    <t>鑫龙机动车驾驶员培训有限公司</t>
  </si>
  <si>
    <t>二类</t>
  </si>
  <si>
    <t>小型汽车</t>
  </si>
  <si>
    <t>锦顺机动车驾驶员培训有限公司</t>
  </si>
  <si>
    <t>旺顺动车驾驶员培训有限公司</t>
  </si>
  <si>
    <t>吉诺动车驾驶员培训有限公司</t>
  </si>
  <si>
    <t>三类</t>
  </si>
  <si>
    <t>安裕丰动车驾驶员培训有限公司</t>
  </si>
  <si>
    <t>平潭挺好驾驶员培训有限公司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</si>
</sst>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b/>
      <sz val="18"/>
      <name val="宋体"/>
      <charset val="134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SheetLayoutView="60" workbookViewId="0">
      <selection activeCell="G4" sqref="G4"/>
    </sheetView>
  </sheetViews>
  <sheetFormatPr defaultColWidth="9" defaultRowHeight="14.25" outlineLevelCol="6"/>
  <cols>
    <col min="1" max="1" width="30.625" customWidth="1"/>
    <col min="2" max="2" width="7.625" customWidth="1"/>
    <col min="3" max="3" width="11.75" customWidth="1"/>
    <col min="4" max="4" width="13.5" customWidth="1"/>
    <col min="5" max="5" width="28.875" customWidth="1"/>
    <col min="6" max="6" width="12.375" customWidth="1"/>
    <col min="7" max="7" width="24.625" customWidth="1"/>
  </cols>
  <sheetData>
    <row r="1" ht="48.75" customHeight="1" spans="1:7">
      <c r="A1" s="2" t="s">
        <v>0</v>
      </c>
      <c r="B1" s="2"/>
      <c r="C1" s="2"/>
      <c r="D1" s="2"/>
      <c r="E1" s="2"/>
      <c r="F1" s="2"/>
      <c r="G1" s="2"/>
    </row>
    <row r="2" ht="48.75" customHeight="1" spans="1:7">
      <c r="A2" s="1"/>
      <c r="B2" s="1"/>
      <c r="C2" s="1"/>
      <c r="D2" s="1"/>
      <c r="E2" s="1"/>
      <c r="F2" s="3" t="s">
        <v>1</v>
      </c>
      <c r="G2" s="3"/>
    </row>
    <row r="3" s="1" customFormat="1" ht="38.25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="1" customFormat="1" ht="38.25" customHeight="1" spans="1:7">
      <c r="A4" s="4" t="s">
        <v>9</v>
      </c>
      <c r="B4" s="4" t="s">
        <v>10</v>
      </c>
      <c r="C4" s="4" t="s">
        <v>11</v>
      </c>
      <c r="D4" s="4">
        <v>60</v>
      </c>
      <c r="E4" s="4">
        <f>D4*25</f>
        <v>1500</v>
      </c>
      <c r="F4" s="4">
        <v>150</v>
      </c>
      <c r="G4" s="4">
        <f>1849-F4</f>
        <v>1699</v>
      </c>
    </row>
    <row r="5" s="1" customFormat="1" ht="38.25" customHeight="1" spans="1:7">
      <c r="A5" s="4" t="s">
        <v>12</v>
      </c>
      <c r="B5" s="4" t="s">
        <v>10</v>
      </c>
      <c r="C5" s="4" t="s">
        <v>11</v>
      </c>
      <c r="D5" s="4">
        <v>35</v>
      </c>
      <c r="E5" s="4">
        <f>D5*25</f>
        <v>875</v>
      </c>
      <c r="F5" s="4">
        <v>86</v>
      </c>
      <c r="G5" s="4">
        <f>583-F5</f>
        <v>497</v>
      </c>
    </row>
    <row r="6" s="1" customFormat="1" ht="38.25" customHeight="1" spans="1:7">
      <c r="A6" s="4" t="s">
        <v>13</v>
      </c>
      <c r="B6" s="4" t="s">
        <v>10</v>
      </c>
      <c r="C6" s="4" t="s">
        <v>11</v>
      </c>
      <c r="D6" s="4">
        <v>81</v>
      </c>
      <c r="E6" s="4">
        <f>D6*25</f>
        <v>2025</v>
      </c>
      <c r="F6" s="4">
        <v>391</v>
      </c>
      <c r="G6" s="4">
        <f>2532-F6</f>
        <v>2141</v>
      </c>
    </row>
    <row r="7" s="1" customFormat="1" ht="38.25" customHeight="1" spans="1:7">
      <c r="A7" s="4" t="s">
        <v>14</v>
      </c>
      <c r="B7" s="4" t="s">
        <v>15</v>
      </c>
      <c r="C7" s="4" t="s">
        <v>11</v>
      </c>
      <c r="D7" s="4">
        <v>30</v>
      </c>
      <c r="E7" s="4">
        <f>D7*25</f>
        <v>750</v>
      </c>
      <c r="F7" s="4">
        <v>159</v>
      </c>
      <c r="G7" s="4">
        <f>1206-F7</f>
        <v>1047</v>
      </c>
    </row>
    <row r="8" s="1" customFormat="1" ht="38.25" customHeight="1" spans="1:7">
      <c r="A8" s="4" t="s">
        <v>16</v>
      </c>
      <c r="B8" s="4" t="s">
        <v>15</v>
      </c>
      <c r="C8" s="4" t="s">
        <v>11</v>
      </c>
      <c r="D8" s="4">
        <v>31</v>
      </c>
      <c r="E8" s="4">
        <f>D8*25</f>
        <v>775</v>
      </c>
      <c r="F8" s="4">
        <v>105</v>
      </c>
      <c r="G8" s="4">
        <f>790-F8</f>
        <v>685</v>
      </c>
    </row>
    <row r="9" ht="35" customHeight="1" spans="1:7">
      <c r="A9" s="5" t="s">
        <v>17</v>
      </c>
      <c r="B9" s="6" t="s">
        <v>15</v>
      </c>
      <c r="C9" s="6" t="s">
        <v>11</v>
      </c>
      <c r="D9" s="7">
        <v>30</v>
      </c>
      <c r="E9" s="4">
        <f>D9*25</f>
        <v>750</v>
      </c>
      <c r="F9" s="7">
        <v>205</v>
      </c>
      <c r="G9" s="8">
        <f>594-F9</f>
        <v>389</v>
      </c>
    </row>
  </sheetData>
  <mergeCells count="2">
    <mergeCell ref="A1:G1"/>
    <mergeCell ref="F2:G2"/>
  </mergeCells>
  <printOptions horizontalCentered="1"/>
  <pageMargins left="0.748031496062992" right="0.748031496062992" top="0.984251968503937" bottom="0.984251968503937" header="0.511811023622047" footer="0.511811023622047"/>
  <pageSetup paperSize="9" scale="88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G7" sqref="G7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G7" sqref="G7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李小贝</cp:lastModifiedBy>
  <dcterms:created xsi:type="dcterms:W3CDTF">2016-10-13T01:32:18Z</dcterms:created>
  <cp:lastPrinted>2016-10-13T01:42:02Z</cp:lastPrinted>
  <dcterms:modified xsi:type="dcterms:W3CDTF">2025-04-01T02:22:57Z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D8DC34D2A98F42F788CB302D4BA26770_13</vt:lpwstr>
  </property>
  <property fmtid="{D5CDD505-2E9C-101B-9397-08002B2CF9AE}" pid="3" name="KSOProductBuildVer">
    <vt:lpwstr>2052-12.1.0.20305</vt:lpwstr>
  </property>
</Properties>
</file>