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65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<sst xmlns="http://schemas.openxmlformats.org/spreadsheetml/2006/main" count="19">
  <si>
    <t>平潭综合实验区交通与建设局2025年第二季度驾驶培训市场供求信息表</t>
  </si>
  <si>
    <t>填报单位：平潭综合实验区交通与建设局</t>
  </si>
  <si>
    <t>填表时间：2025年7月1日</t>
  </si>
  <si>
    <t>名称</t>
  </si>
  <si>
    <t>类型</t>
  </si>
  <si>
    <t>培训车型</t>
  </si>
  <si>
    <t>培训车数量</t>
  </si>
  <si>
    <t>培训能力（每辆培训25人）</t>
  </si>
  <si>
    <t>已培训人数</t>
  </si>
  <si>
    <t>在校未完成培训生员存量</t>
  </si>
  <si>
    <t>福建省平潭县鑫龙汽车驾驶培训有限公司</t>
  </si>
  <si>
    <t>二类</t>
  </si>
  <si>
    <t>小型汽车</t>
  </si>
  <si>
    <t>平潭锦顺驾驶培训有限公司</t>
  </si>
  <si>
    <t>平潭县旺顺驾驶员培训有限公司</t>
  </si>
  <si>
    <t>福建省平潭县吉诺驾驶培训有限公司</t>
  </si>
  <si>
    <t>三类</t>
  </si>
  <si>
    <t>平潭县安裕丰汽车驾驶培训有限公司</t>
  </si>
  <si>
    <t>平潭挺好驾驶员培训有限公司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</si>
</sst>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b/>
      <sz val="18"/>
      <name val="宋体"/>
      <charset val="134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2"/>
      <color theme="11"/>
      <name val="宋体"/>
      <charset val="134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2"/>
      <color theme="10"/>
      <name val="宋体"/>
      <charset val="134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0" fillId="7" borderId="9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0" borderId="12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3" borderId="5" applyNumberFormat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9" fillId="20" borderId="13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A1" sqref="A1:G1"/>
    </sheetView>
  </sheetViews>
  <sheetFormatPr defaultColWidth="9" defaultRowHeight="14.25" outlineLevelCol="6"/>
  <cols>
    <col min="1" max="1" width="42.625" customWidth="1"/>
    <col min="2" max="2" width="7.625" customWidth="1"/>
    <col min="3" max="3" width="9.375" customWidth="1"/>
    <col min="4" max="4" width="11.5" customWidth="1"/>
    <col min="5" max="5" width="27.125" customWidth="1"/>
    <col min="6" max="6" width="12.375" customWidth="1"/>
    <col min="7" max="7" width="24.625" customWidth="1"/>
  </cols>
  <sheetData>
    <row r="1" ht="48.75" customHeight="1" spans="1:7">
      <c r="A1" s="2" t="s">
        <v>0</v>
      </c>
      <c r="B1" s="2"/>
      <c r="C1" s="2"/>
      <c r="D1" s="2"/>
      <c r="E1" s="2"/>
      <c r="F1" s="2"/>
      <c r="G1" s="2"/>
    </row>
    <row r="2" ht="48.75" customHeight="1" spans="1:7">
      <c r="A2" s="1" t="s">
        <v>1</v>
      </c>
      <c r="B2" s="1"/>
      <c r="C2" s="1"/>
      <c r="D2" s="1"/>
      <c r="E2" s="1"/>
      <c r="F2" s="3" t="s">
        <v>2</v>
      </c>
      <c r="G2" s="3"/>
    </row>
    <row r="3" s="1" customFormat="1" ht="40" customHeight="1" spans="1: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="1" customFormat="1" ht="40" customHeight="1" spans="1:7">
      <c r="A4" s="4" t="s">
        <v>10</v>
      </c>
      <c r="B4" s="4" t="s">
        <v>11</v>
      </c>
      <c r="C4" s="4" t="s">
        <v>12</v>
      </c>
      <c r="D4" s="4">
        <v>47</v>
      </c>
      <c r="E4" s="4">
        <f t="shared" ref="E4:E9" si="0">D4*25</f>
        <v>1175</v>
      </c>
      <c r="F4" s="4">
        <v>154</v>
      </c>
      <c r="G4" s="4">
        <f>1873-F4</f>
        <v>1719</v>
      </c>
    </row>
    <row r="5" s="1" customFormat="1" ht="40" customHeight="1" spans="1:7">
      <c r="A5" s="4" t="s">
        <v>13</v>
      </c>
      <c r="B5" s="4" t="s">
        <v>11</v>
      </c>
      <c r="C5" s="4" t="s">
        <v>12</v>
      </c>
      <c r="D5" s="4">
        <v>36</v>
      </c>
      <c r="E5" s="4">
        <f t="shared" si="0"/>
        <v>900</v>
      </c>
      <c r="F5" s="4">
        <v>128</v>
      </c>
      <c r="G5" s="4">
        <f>651-F5</f>
        <v>523</v>
      </c>
    </row>
    <row r="6" s="1" customFormat="1" ht="40" customHeight="1" spans="1:7">
      <c r="A6" s="4" t="s">
        <v>14</v>
      </c>
      <c r="B6" s="4" t="s">
        <v>11</v>
      </c>
      <c r="C6" s="4" t="s">
        <v>12</v>
      </c>
      <c r="D6" s="4">
        <v>80</v>
      </c>
      <c r="E6" s="4">
        <f t="shared" si="0"/>
        <v>2000</v>
      </c>
      <c r="F6" s="4">
        <v>496</v>
      </c>
      <c r="G6" s="4">
        <f>2582-F6</f>
        <v>2086</v>
      </c>
    </row>
    <row r="7" s="1" customFormat="1" ht="40" customHeight="1" spans="1:7">
      <c r="A7" s="4" t="s">
        <v>15</v>
      </c>
      <c r="B7" s="4" t="s">
        <v>16</v>
      </c>
      <c r="C7" s="4" t="s">
        <v>12</v>
      </c>
      <c r="D7" s="4">
        <v>30</v>
      </c>
      <c r="E7" s="4">
        <f t="shared" si="0"/>
        <v>750</v>
      </c>
      <c r="F7" s="4">
        <v>214</v>
      </c>
      <c r="G7" s="4">
        <f>1196-F7</f>
        <v>982</v>
      </c>
    </row>
    <row r="8" s="1" customFormat="1" ht="40" customHeight="1" spans="1:7">
      <c r="A8" s="4" t="s">
        <v>17</v>
      </c>
      <c r="B8" s="4" t="s">
        <v>16</v>
      </c>
      <c r="C8" s="4" t="s">
        <v>12</v>
      </c>
      <c r="D8" s="4">
        <v>31</v>
      </c>
      <c r="E8" s="4">
        <f t="shared" si="0"/>
        <v>775</v>
      </c>
      <c r="F8" s="4">
        <v>180</v>
      </c>
      <c r="G8" s="4">
        <f>744-F8</f>
        <v>564</v>
      </c>
    </row>
    <row r="9" ht="40" customHeight="1" spans="1:7">
      <c r="A9" s="4" t="s">
        <v>18</v>
      </c>
      <c r="B9" s="5" t="s">
        <v>16</v>
      </c>
      <c r="C9" s="5" t="s">
        <v>12</v>
      </c>
      <c r="D9" s="5">
        <v>30</v>
      </c>
      <c r="E9" s="4">
        <f t="shared" si="0"/>
        <v>750</v>
      </c>
      <c r="F9" s="5">
        <v>254</v>
      </c>
      <c r="G9" s="6">
        <f>598-F9</f>
        <v>344</v>
      </c>
    </row>
  </sheetData>
  <mergeCells count="2">
    <mergeCell ref="A1:G1"/>
    <mergeCell ref="F2:G2"/>
  </mergeCells>
  <printOptions horizontalCentered="1"/>
  <pageMargins left="0.747916666666667" right="0.747916666666667" top="0.984027777777778" bottom="0.984027777777778" header="0.511805555555556" footer="0.511805555555556"/>
  <pageSetup paperSize="9" scale="88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2016-10-13T01:32:00Z</dcterms:created>
  <cp:lastPrinted>2016-10-13T01:42:00Z</cp:lastPrinted>
  <dcterms:modified xsi:type="dcterms:W3CDTF">2025-07-03T08:50:28Z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8AE4A80846FB4EA9B019D64FBB409F1B_13</vt:lpwstr>
  </property>
  <property fmtid="{D5CDD505-2E9C-101B-9397-08002B2CF9AE}" pid="3" name="KSOProductBuildVer">
    <vt:lpwstr>2052-10.1.0.6876</vt:lpwstr>
  </property>
</Properties>
</file>