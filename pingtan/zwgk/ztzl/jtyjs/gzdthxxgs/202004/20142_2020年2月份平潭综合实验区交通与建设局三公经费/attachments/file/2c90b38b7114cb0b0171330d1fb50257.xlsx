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<sst xmlns="http://schemas.openxmlformats.org/spreadsheetml/2006/main" count="23" uniqueCount="20">
  <si>
    <t>2020年2月平潭综合实验区各单位三公经费统计表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</si>
  <si>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</si>
  <si>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</si>
  <si>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</si>
  <si>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</si>
  <si>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</si>
  <si>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</si>
  <si>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</si>
  <si>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</si>
  <si>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</si>
  <si>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</si>
  <si>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</si>
  <si>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</si>
  <si>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</si>
  <si>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</si>
  <si>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平潭综合实验区人防办</t>
  </si>
  <si>
    <t>合        计</t>
  </si>
  <si>
    <t>处室负责人:</t>
  </si>
  <si>
    <t>复核人:</t>
  </si>
  <si>
    <t>经办人: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</si>
</sst>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 "/>
    <numFmt numFmtId="177" formatCode="0.00_);[Red]\(0.00\)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9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7" fillId="19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3" borderId="12" applyNumberFormat="0" applyFont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2" borderId="11" applyNumberFormat="0" applyAlignment="0" applyProtection="0">
      <alignment vertical="center"/>
    </xf>
    <xf numFmtId="0" fontId="30" fillId="12" borderId="15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31" fillId="0" borderId="0"/>
  </cellStyleXfs>
  <cellXfs count="4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177" fontId="8" fillId="2" borderId="7" xfId="0" applyNumberFormat="1" applyFont="1" applyFill="1" applyBorder="1" applyAlignment="1" applyProtection="1">
      <alignment horizontal="center" vertical="center" shrinkToFit="1"/>
    </xf>
    <xf numFmtId="176" fontId="8" fillId="2" borderId="7" xfId="0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10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7" fontId="8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shrinkToFit="1"/>
    </xf>
    <xf numFmtId="176" fontId="2" fillId="0" borderId="0" xfId="0" applyNumberFormat="1" applyFont="1" applyAlignment="1">
      <alignment horizontal="center"/>
    </xf>
    <xf numFmtId="0" fontId="8" fillId="0" borderId="7" xfId="0" applyNumberFormat="1" applyFont="1" applyBorder="1" applyAlignment="1">
      <alignment horizontal="center" vertical="center" shrinkToFit="1"/>
    </xf>
    <xf numFmtId="0" fontId="7" fillId="0" borderId="7" xfId="0" applyFont="1" applyBorder="1" applyAlignment="1">
      <alignment horizontal="center" vertical="center"/>
    </xf>
    <xf numFmtId="177" fontId="10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"/>
  <sheetViews>
    <sheetView tabSelected="1" workbookViewId="0">
      <selection activeCell="K6" sqref="K6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31" customHeight="1" spans="1:14">
      <c r="A2" s="6" t="s">
        <v>1</v>
      </c>
      <c r="B2" s="6"/>
      <c r="C2" s="6"/>
      <c r="D2" s="7"/>
      <c r="E2" s="7"/>
      <c r="F2" s="7"/>
      <c r="G2" s="7"/>
      <c r="H2" s="7"/>
      <c r="I2" s="32"/>
      <c r="J2" s="32"/>
      <c r="K2" s="32"/>
      <c r="L2" s="6" t="s">
        <v>2</v>
      </c>
      <c r="M2" s="6"/>
      <c r="N2" s="6"/>
    </row>
    <row r="3" s="1" customFormat="1" ht="31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30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42" customHeight="1" spans="1:15">
      <c r="A5" s="20" t="s">
        <v>10</v>
      </c>
      <c r="B5" s="21" t="s">
        <v>11</v>
      </c>
      <c r="C5" s="22">
        <v>14570</v>
      </c>
      <c r="D5" s="22">
        <v>0</v>
      </c>
      <c r="E5" s="22">
        <f>D5-C5</f>
        <v>-14570</v>
      </c>
      <c r="F5" s="22">
        <v>52440</v>
      </c>
      <c r="G5" s="22">
        <v>0</v>
      </c>
      <c r="H5" s="22">
        <f>G5-F5</f>
        <v>-52440</v>
      </c>
      <c r="I5" s="22">
        <v>47014.03</v>
      </c>
      <c r="J5" s="22">
        <v>0</v>
      </c>
      <c r="K5" s="22">
        <f>J5-I5</f>
        <v>-47014.03</v>
      </c>
      <c r="L5" s="33">
        <f>C5+F5+I5</f>
        <v>114024.03</v>
      </c>
      <c r="M5" s="22">
        <f>J5+G5+D5</f>
        <v>0</v>
      </c>
      <c r="N5" s="34">
        <f>M5-L5</f>
        <v>-114024.03</v>
      </c>
      <c r="O5" s="35"/>
    </row>
    <row r="6" s="3" customFormat="1" ht="29" customHeight="1" spans="1:14">
      <c r="A6" s="20" t="s">
        <v>12</v>
      </c>
      <c r="B6" s="21" t="s">
        <v>13</v>
      </c>
      <c r="C6" s="23"/>
      <c r="D6" s="23"/>
      <c r="E6" s="23"/>
      <c r="F6" s="22"/>
      <c r="G6" s="22"/>
      <c r="H6" s="22"/>
      <c r="I6" s="22">
        <v>47396.28</v>
      </c>
      <c r="J6" s="22">
        <v>0</v>
      </c>
      <c r="K6" s="36">
        <f>J6-I6</f>
        <v>-47396.28</v>
      </c>
      <c r="L6" s="22">
        <v>47396.28</v>
      </c>
      <c r="M6" s="22">
        <v>0</v>
      </c>
      <c r="N6" s="36">
        <f>M6-L6</f>
        <v>-47396.28</v>
      </c>
    </row>
    <row r="7" s="3" customFormat="1" ht="39" customHeight="1" spans="1:14">
      <c r="A7" s="20" t="s">
        <v>14</v>
      </c>
      <c r="B7" s="21" t="s">
        <v>15</v>
      </c>
      <c r="C7" s="24">
        <v>0</v>
      </c>
      <c r="D7" s="24">
        <v>0</v>
      </c>
      <c r="E7" s="25">
        <v>0</v>
      </c>
      <c r="F7" s="24">
        <v>0</v>
      </c>
      <c r="G7" s="26">
        <v>1713</v>
      </c>
      <c r="H7" s="25">
        <v>1713</v>
      </c>
      <c r="I7" s="24">
        <v>7854.47</v>
      </c>
      <c r="J7" s="24">
        <v>4553.87</v>
      </c>
      <c r="K7" s="25">
        <v>-3300.6</v>
      </c>
      <c r="L7" s="37">
        <v>7854.47</v>
      </c>
      <c r="M7" s="37">
        <v>6266.87</v>
      </c>
      <c r="N7" s="37">
        <v>-1587.6</v>
      </c>
    </row>
    <row r="8" s="3" customFormat="1" ht="30.75" customHeight="1" spans="1:14">
      <c r="A8" s="20"/>
      <c r="B8" s="19" t="s">
        <v>16</v>
      </c>
      <c r="C8" s="27">
        <f>SUM(C5:C7)</f>
        <v>14570</v>
      </c>
      <c r="D8" s="28">
        <f>SUM(D5:D7)</f>
        <v>0</v>
      </c>
      <c r="E8" s="29">
        <f>D8-C8</f>
        <v>-14570</v>
      </c>
      <c r="F8" s="28">
        <f>SUM(F5:F7)</f>
        <v>52440</v>
      </c>
      <c r="G8" s="28">
        <f>SUM(G5:G7)</f>
        <v>1713</v>
      </c>
      <c r="H8" s="28">
        <f>G8-F8</f>
        <v>-50727</v>
      </c>
      <c r="I8" s="38">
        <f>SUM(I5:I7)</f>
        <v>102264.78</v>
      </c>
      <c r="J8" s="22">
        <f>SUM(J5:J7)</f>
        <v>4553.87</v>
      </c>
      <c r="K8" s="39">
        <f>J8-I8</f>
        <v>-97710.91</v>
      </c>
      <c r="L8" s="38">
        <f>SUM(L5:L7)</f>
        <v>169274.78</v>
      </c>
      <c r="M8" s="22">
        <f>SUM(M5:M7)</f>
        <v>6266.87</v>
      </c>
      <c r="N8" s="28">
        <f>M8-L8</f>
        <v>-163007.91</v>
      </c>
    </row>
    <row r="9" s="3" customFormat="1" ht="21.75" customHeight="1" spans="1:14">
      <c r="A9" s="30" t="s">
        <v>17</v>
      </c>
      <c r="B9" s="30"/>
      <c r="C9" s="4"/>
      <c r="D9"/>
      <c r="E9"/>
      <c r="F9" s="30" t="s">
        <v>18</v>
      </c>
      <c r="G9" s="30"/>
      <c r="H9"/>
      <c r="I9"/>
      <c r="J9" s="40"/>
      <c r="K9" s="40"/>
      <c r="L9" t="s">
        <v>19</v>
      </c>
      <c r="M9" s="41"/>
      <c r="N9" s="41"/>
    </row>
    <row r="10" s="3" customFormat="1" ht="54.75" customHeight="1" spans="1:14">
      <c r="A10" s="31"/>
      <c r="B10" s="31"/>
      <c r="C10" s="31"/>
      <c r="D10" s="31"/>
      <c r="E10" s="31"/>
      <c r="F10" s="31"/>
      <c r="G10" s="31"/>
      <c r="H10" s="31"/>
      <c r="I10"/>
      <c r="J10"/>
      <c r="K10"/>
      <c r="L10"/>
      <c r="M10" s="41"/>
      <c r="N10" s="41"/>
    </row>
    <row r="11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9:B9"/>
    <mergeCell ref="F9:G9"/>
    <mergeCell ref="J9:K9"/>
    <mergeCell ref="M9:N9"/>
    <mergeCell ref="A10:H10"/>
    <mergeCell ref="M10:N10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2020-03-26T02:12:40Z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