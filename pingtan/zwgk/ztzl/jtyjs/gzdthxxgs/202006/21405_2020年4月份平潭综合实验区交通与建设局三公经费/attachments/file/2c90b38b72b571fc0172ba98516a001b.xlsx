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95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<sst xmlns="http://schemas.openxmlformats.org/spreadsheetml/2006/main" count="23" uniqueCount="20">
  <si>
    <t>2020年1-4月平潭综合实验区各单位三公经费统计表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</si>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</sst>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6" fillId="2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29" fillId="15" borderId="15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F5" sqref="F5:H7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13414</v>
      </c>
      <c r="G5" s="22">
        <v>5470</v>
      </c>
      <c r="H5" s="22">
        <f>G5-F5</f>
        <v>-7944</v>
      </c>
      <c r="I5" s="22">
        <v>0</v>
      </c>
      <c r="J5" s="22">
        <v>0</v>
      </c>
      <c r="K5" s="22">
        <f>J5-I5</f>
        <v>0</v>
      </c>
      <c r="L5" s="26">
        <f>C5+F5+I5</f>
        <v>13414</v>
      </c>
      <c r="M5" s="22">
        <f>J5+G5+D5</f>
        <v>5470</v>
      </c>
      <c r="N5" s="27">
        <f>M5-L5</f>
        <v>-7944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6695</v>
      </c>
      <c r="J6" s="22">
        <v>6500</v>
      </c>
      <c r="K6" s="22">
        <f>J6-I6</f>
        <v>-195</v>
      </c>
      <c r="L6" s="26">
        <v>6695</v>
      </c>
      <c r="M6" s="22">
        <f>J6+D6+G6</f>
        <v>6500</v>
      </c>
      <c r="N6" s="27">
        <f>M6-L6</f>
        <v>-195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4694.47</v>
      </c>
      <c r="J7" s="22">
        <v>4553.87</v>
      </c>
      <c r="K7" s="22">
        <f>J7-I7</f>
        <v>-140.6</v>
      </c>
      <c r="L7" s="26">
        <f>F7+I7</f>
        <v>4694.47</v>
      </c>
      <c r="M7" s="22">
        <f>J7+G7</f>
        <v>6266.87</v>
      </c>
      <c r="N7" s="27">
        <f>M7-L7</f>
        <v>1572.4</v>
      </c>
    </row>
    <row r="8" s="3" customFormat="1" ht="30.75" customHeight="1" spans="1:14">
      <c r="A8" s="20"/>
      <c r="B8" s="19" t="s">
        <v>16</v>
      </c>
      <c r="C8" s="22">
        <f>SUM(C5:C7)</f>
        <v>0</v>
      </c>
      <c r="D8" s="22">
        <f>SUM(D5:D7)</f>
        <v>0</v>
      </c>
      <c r="E8" s="22">
        <f>D8-C8</f>
        <v>0</v>
      </c>
      <c r="F8" s="22">
        <f>SUM(F5:F7)</f>
        <v>13414</v>
      </c>
      <c r="G8" s="22">
        <f>SUM(G5:G7)</f>
        <v>7183</v>
      </c>
      <c r="H8" s="22">
        <f>G8-F8</f>
        <v>-6231</v>
      </c>
      <c r="I8" s="22">
        <f>I6+I7</f>
        <v>11389.47</v>
      </c>
      <c r="J8" s="22">
        <f>SUM(J5:J7)</f>
        <v>11053.87</v>
      </c>
      <c r="K8" s="22">
        <f>J8-I8</f>
        <v>-335.600000000002</v>
      </c>
      <c r="L8" s="26">
        <f>SUM(L5:L7)</f>
        <v>24803.47</v>
      </c>
      <c r="M8" s="22">
        <f>SUM(M5:M7)</f>
        <v>18236.87</v>
      </c>
      <c r="N8" s="27">
        <f>M8-L8</f>
        <v>-6566.6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29"/>
      <c r="K9" s="29"/>
      <c r="L9" t="s">
        <v>19</v>
      </c>
      <c r="M9" s="30"/>
      <c r="N9" s="30"/>
    </row>
    <row r="10" s="3" customFormat="1" ht="54.75" customHeight="1" spans="1:14">
      <c r="A10" s="24"/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0"/>
      <c r="N10" s="30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2020-05-25T03:32:31Z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