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40" windowHeight="95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<sst xmlns="http://schemas.openxmlformats.org/spreadsheetml/2006/main" count="23" uniqueCount="20">
  <si>
    <t>2020年1-5月平潭综合实验区各单位三公经费统计表</t>
  </si>
  <si>
    <t>填报处室（盖章):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</si>
  <si>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</si>
  <si>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</si>
  <si>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</si>
  <si>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</si>
  <si>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</si>
  <si>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</si>
  <si>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</si>
  <si>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</si>
  <si>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1</t>
  </si>
  <si>
    <t>平潭综合实验区交通与建设局本级</t>
  </si>
  <si>
    <t>2</t>
  </si>
  <si>
    <t>平潭综合实验区交通与建设局（环岛指挥部）</t>
  </si>
  <si>
    <t>3</t>
  </si>
  <si>
    <t>平潭综合实验区人防办</t>
  </si>
  <si>
    <t>合        计</t>
  </si>
  <si>
    <t>处室负责人:</t>
  </si>
  <si>
    <t>复核人:</t>
  </si>
  <si>
    <t>经办人: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</si>
</sst>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.00_);[Red]\(0.00\)"/>
    <numFmt numFmtId="178" formatCode="0_);[Red]\(0\)"/>
  </numFmts>
  <fonts count="3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4"/>
      <color rgb="FFFF0000"/>
      <name val="仿宋_GB2312"/>
      <charset val="134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  <scheme val="major"/>
    </font>
    <font>
      <sz val="9"/>
      <color theme="1"/>
      <name val="宋体"/>
      <charset val="134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0"/>
      <name val="宋体"/>
      <charset val="134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12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6" fillId="22" borderId="14" applyNumberFormat="0" applyAlignment="0" applyProtection="0">
      <alignment vertical="center"/>
    </xf>
    <xf numFmtId="0" fontId="27" fillId="22" borderId="12" applyNumberFormat="0" applyAlignment="0" applyProtection="0">
      <alignment vertical="center"/>
    </xf>
    <xf numFmtId="0" fontId="28" fillId="31" borderId="15" applyNumberForma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5" fillId="0" borderId="0"/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8" fillId="2" borderId="7" xfId="0" applyNumberFormat="1" applyFont="1" applyFill="1" applyBorder="1" applyAlignment="1">
      <alignment horizontal="center" vertical="center" shrinkToFit="1"/>
    </xf>
    <xf numFmtId="0" fontId="0" fillId="0" borderId="8" xfId="0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78" fontId="8" fillId="2" borderId="7" xfId="0" applyNumberFormat="1" applyFont="1" applyFill="1" applyBorder="1" applyAlignment="1">
      <alignment horizontal="center" vertical="center" shrinkToFit="1"/>
    </xf>
    <xf numFmtId="0" fontId="9" fillId="0" borderId="7" xfId="0" applyNumberFormat="1" applyFont="1" applyBorder="1" applyAlignment="1">
      <alignment horizontal="center" vertical="center" shrinkToFit="1"/>
    </xf>
    <xf numFmtId="176" fontId="2" fillId="0" borderId="0" xfId="0" applyNumberFormat="1" applyFont="1" applyAlignment="1">
      <alignment horizontal="center"/>
    </xf>
    <xf numFmtId="177" fontId="8" fillId="2" borderId="7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M7" sqref="M7"/>
    </sheetView>
  </sheetViews>
  <sheetFormatPr defaultColWidth="17.125" defaultRowHeight="13.5"/>
  <cols>
    <col min="1" max="1" width="5.75" customWidth="1"/>
    <col min="2" max="2" width="17.375" style="4" customWidth="1"/>
    <col min="3" max="3" width="9.5" style="4" customWidth="1"/>
    <col min="4" max="4" width="9.5" customWidth="1"/>
    <col min="5" max="5" width="9.875" customWidth="1"/>
    <col min="6" max="6" width="10.25" customWidth="1"/>
    <col min="7" max="7" width="9.5" customWidth="1"/>
    <col min="8" max="8" width="10.875" customWidth="1"/>
    <col min="9" max="9" width="9.875" customWidth="1"/>
    <col min="10" max="10" width="9.5" customWidth="1"/>
    <col min="11" max="12" width="10.625" customWidth="1"/>
    <col min="13" max="13" width="10.375" customWidth="1"/>
    <col min="14" max="14" width="11.875" customWidth="1"/>
  </cols>
  <sheetData>
    <row r="1" ht="27.7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31" customHeight="1" spans="1:14">
      <c r="A2" s="6" t="s">
        <v>1</v>
      </c>
      <c r="B2" s="6"/>
      <c r="C2" s="6"/>
      <c r="D2" s="7"/>
      <c r="E2" s="7"/>
      <c r="F2" s="7"/>
      <c r="G2" s="7"/>
      <c r="H2" s="7"/>
      <c r="I2" s="25"/>
      <c r="J2" s="25"/>
      <c r="K2" s="25"/>
      <c r="L2" s="6" t="s">
        <v>2</v>
      </c>
      <c r="M2" s="6"/>
      <c r="N2" s="6"/>
    </row>
    <row r="3" s="1" customFormat="1" ht="31" customHeight="1" spans="1:14">
      <c r="A3" s="8" t="s">
        <v>3</v>
      </c>
      <c r="B3" s="9" t="s">
        <v>4</v>
      </c>
      <c r="C3" s="10" t="s">
        <v>5</v>
      </c>
      <c r="D3" s="11"/>
      <c r="E3" s="12"/>
      <c r="F3" s="13" t="s">
        <v>6</v>
      </c>
      <c r="G3" s="14"/>
      <c r="H3" s="15"/>
      <c r="I3" s="10" t="s">
        <v>7</v>
      </c>
      <c r="J3" s="11"/>
      <c r="K3" s="12"/>
      <c r="L3" s="10" t="s">
        <v>8</v>
      </c>
      <c r="M3" s="11"/>
      <c r="N3" s="12"/>
    </row>
    <row r="4" s="1" customFormat="1" ht="30" customHeight="1" spans="1:14">
      <c r="A4" s="16"/>
      <c r="B4" s="17"/>
      <c r="C4" s="18">
        <v>2019</v>
      </c>
      <c r="D4" s="19">
        <v>2020</v>
      </c>
      <c r="E4" s="19" t="s">
        <v>9</v>
      </c>
      <c r="F4" s="18">
        <v>2019</v>
      </c>
      <c r="G4" s="19">
        <v>2020</v>
      </c>
      <c r="H4" s="19" t="s">
        <v>9</v>
      </c>
      <c r="I4" s="18">
        <v>2019</v>
      </c>
      <c r="J4" s="19">
        <v>2020</v>
      </c>
      <c r="K4" s="19" t="s">
        <v>9</v>
      </c>
      <c r="L4" s="18">
        <v>2019</v>
      </c>
      <c r="M4" s="19">
        <v>2020</v>
      </c>
      <c r="N4" s="19" t="s">
        <v>9</v>
      </c>
    </row>
    <row r="5" s="2" customFormat="1" ht="42" customHeight="1" spans="1:15">
      <c r="A5" s="20" t="s">
        <v>10</v>
      </c>
      <c r="B5" s="21" t="s">
        <v>11</v>
      </c>
      <c r="C5" s="22">
        <v>0</v>
      </c>
      <c r="D5" s="22">
        <v>0</v>
      </c>
      <c r="E5" s="22">
        <f>D5-C5</f>
        <v>0</v>
      </c>
      <c r="F5" s="22">
        <v>21647</v>
      </c>
      <c r="G5" s="22">
        <v>9900</v>
      </c>
      <c r="H5" s="22">
        <f>G5-F5</f>
        <v>-11747</v>
      </c>
      <c r="I5" s="22">
        <v>0</v>
      </c>
      <c r="J5" s="22">
        <v>0</v>
      </c>
      <c r="K5" s="22">
        <f>J5-I5</f>
        <v>0</v>
      </c>
      <c r="L5" s="26">
        <f>C5+F5+I5</f>
        <v>21647</v>
      </c>
      <c r="M5" s="22">
        <f>J5+G5+D5</f>
        <v>9900</v>
      </c>
      <c r="N5" s="27">
        <f>M5-L5</f>
        <v>-11747</v>
      </c>
      <c r="O5" s="28"/>
    </row>
    <row r="6" s="3" customFormat="1" ht="29" customHeight="1" spans="1:14">
      <c r="A6" s="20" t="s">
        <v>12</v>
      </c>
      <c r="B6" s="21" t="s">
        <v>13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6695</v>
      </c>
      <c r="J6" s="22">
        <v>10198</v>
      </c>
      <c r="K6" s="22">
        <f>J6-I6</f>
        <v>3503</v>
      </c>
      <c r="L6" s="26">
        <v>6695</v>
      </c>
      <c r="M6" s="22">
        <f>J6+D6+G6</f>
        <v>10198</v>
      </c>
      <c r="N6" s="27">
        <f>M6-L6</f>
        <v>3503</v>
      </c>
    </row>
    <row r="7" s="3" customFormat="1" ht="39" customHeight="1" spans="1:14">
      <c r="A7" s="20" t="s">
        <v>14</v>
      </c>
      <c r="B7" s="21" t="s">
        <v>15</v>
      </c>
      <c r="C7" s="22">
        <v>0</v>
      </c>
      <c r="D7" s="22">
        <v>0</v>
      </c>
      <c r="E7" s="22">
        <v>0</v>
      </c>
      <c r="F7" s="22">
        <v>0</v>
      </c>
      <c r="G7" s="22">
        <v>1713</v>
      </c>
      <c r="H7" s="22">
        <v>1713</v>
      </c>
      <c r="I7" s="22">
        <v>4694.47</v>
      </c>
      <c r="J7" s="22">
        <v>6373.87</v>
      </c>
      <c r="K7" s="22">
        <f>J7-I7</f>
        <v>1679.4</v>
      </c>
      <c r="L7" s="29">
        <f>F7+I7</f>
        <v>4694.47</v>
      </c>
      <c r="M7" s="22">
        <f>J7+G7</f>
        <v>8086.87</v>
      </c>
      <c r="N7" s="27">
        <f>M7-L7</f>
        <v>3392.4</v>
      </c>
    </row>
    <row r="8" s="3" customFormat="1" ht="30.75" customHeight="1" spans="1:14">
      <c r="A8" s="20"/>
      <c r="B8" s="19" t="s">
        <v>16</v>
      </c>
      <c r="C8" s="22">
        <f>SUM(C5:C7)</f>
        <v>0</v>
      </c>
      <c r="D8" s="22">
        <f>SUM(D5:D7)</f>
        <v>0</v>
      </c>
      <c r="E8" s="22">
        <f>D8-C8</f>
        <v>0</v>
      </c>
      <c r="F8" s="22">
        <f>SUM(F5:F7)</f>
        <v>21647</v>
      </c>
      <c r="G8" s="22">
        <f>SUM(G5:G7)</f>
        <v>11613</v>
      </c>
      <c r="H8" s="22">
        <f>G8-F8</f>
        <v>-10034</v>
      </c>
      <c r="I8" s="22">
        <f>I6+I7</f>
        <v>11389.47</v>
      </c>
      <c r="J8" s="22">
        <f>SUM(J5:J7)</f>
        <v>16571.87</v>
      </c>
      <c r="K8" s="22">
        <f>J8-I8</f>
        <v>5182.4</v>
      </c>
      <c r="L8" s="29">
        <f>SUM(L5:L7)</f>
        <v>33036.47</v>
      </c>
      <c r="M8" s="22">
        <f>SUM(M5:M7)</f>
        <v>28184.87</v>
      </c>
      <c r="N8" s="27">
        <f>M8-L8</f>
        <v>-4851.6</v>
      </c>
    </row>
    <row r="9" s="3" customFormat="1" ht="21.75" customHeight="1" spans="1:14">
      <c r="A9" s="23" t="s">
        <v>17</v>
      </c>
      <c r="B9" s="23"/>
      <c r="C9" s="4"/>
      <c r="D9"/>
      <c r="E9"/>
      <c r="F9" s="23" t="s">
        <v>18</v>
      </c>
      <c r="G9" s="23"/>
      <c r="H9"/>
      <c r="I9"/>
      <c r="J9" s="30"/>
      <c r="K9" s="30"/>
      <c r="L9" t="s">
        <v>19</v>
      </c>
      <c r="M9" s="31"/>
      <c r="N9" s="31"/>
    </row>
    <row r="10" s="3" customFormat="1" ht="54.75" customHeight="1" spans="1:14">
      <c r="A10" s="24"/>
      <c r="B10" s="24"/>
      <c r="C10" s="24"/>
      <c r="D10" s="24"/>
      <c r="E10" s="24"/>
      <c r="F10" s="24"/>
      <c r="G10" s="24"/>
      <c r="H10" s="24"/>
      <c r="I10"/>
      <c r="J10"/>
      <c r="K10"/>
      <c r="L10"/>
      <c r="M10" s="31"/>
      <c r="N10" s="31"/>
    </row>
    <row r="11" ht="15.75" customHeight="1"/>
  </sheetData>
  <mergeCells count="16">
    <mergeCell ref="A1:N1"/>
    <mergeCell ref="A2:C2"/>
    <mergeCell ref="I2:K2"/>
    <mergeCell ref="L2:N2"/>
    <mergeCell ref="C3:E3"/>
    <mergeCell ref="F3:H3"/>
    <mergeCell ref="I3:K3"/>
    <mergeCell ref="L3:N3"/>
    <mergeCell ref="A9:B9"/>
    <mergeCell ref="F9:G9"/>
    <mergeCell ref="J9:K9"/>
    <mergeCell ref="M9:N9"/>
    <mergeCell ref="A10:H10"/>
    <mergeCell ref="M10:N10"/>
    <mergeCell ref="A3:A4"/>
    <mergeCell ref="B3:B4"/>
  </mergeCells>
  <pageMargins left="0.15748031496063" right="0" top="0.275590551181102" bottom="0.236220472440945" header="0.354330708661417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5"/>
  <sheetViews>
    <sheetView workbookViewId="0">
      <selection activeCell="C16" sqref="C16"/>
    </sheetView>
  </sheetViews>
  <sheetFormatPr defaultColWidth="9" defaultRowHeight="13.5" outlineLevelRow="4"/>
  <cols>
    <col min="2" max="2" width="11.125" customWidth="1"/>
    <col min="3" max="3" width="43" customWidth="1"/>
    <col min="4" max="4" width="12.25" customWidth="1"/>
    <col min="5" max="5" width="14.625" customWidth="1"/>
  </cols>
  <sheetData>
    <row r="4" ht="21" customHeight="1"/>
    <row r="5" ht="21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dcterms:created xsi:type="dcterms:W3CDTF">2018-01-05T00:20:00Z</dcterms:created>
  <cp:lastPrinted>2019-08-15T02:00:00Z</cp:lastPrinted>
  <dcterms:modified xsi:type="dcterms:W3CDTF">2020-06-24T00:17:32Z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