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<sst xmlns="http://schemas.openxmlformats.org/spreadsheetml/2006/main" count="24" uniqueCount="21">
  <si>
    <t>2020年1-9月平潭综合实验区各单位三公经费统计表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</si>
  <si>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</si>
  <si>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</si>
  <si>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</si>
  <si>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</si>
  <si>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</si>
  <si>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</si>
  <si>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</si>
  <si>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</si>
  <si>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</si>
  <si>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</si>
  <si>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平潭综合实验区交通与建设局本级</t>
  </si>
  <si>
    <t>2</t>
  </si>
  <si>
    <t>平潭综合实验区交通与建设局（环岛指挥部）</t>
  </si>
  <si>
    <t>3</t>
  </si>
  <si>
    <t>平潭综合实验区人防办</t>
  </si>
  <si>
    <t>合        计</t>
  </si>
  <si>
    <t>处室负责人:</t>
  </si>
  <si>
    <t>复核人:</t>
  </si>
  <si>
    <t>经办人:</t>
  </si>
  <si>
    <t>备注：交建局本级2019年公务平台派车费用47014.03元，公务派车费用明细2019年12月才有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</si>
</sst>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);[Red]\(0\)"/>
    <numFmt numFmtId="177" formatCode="0.00_ "/>
    <numFmt numFmtId="178" formatCode="0.00_);[Red]\(0.00\)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0"/>
      <name val="宋体"/>
      <charset val="134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0" fillId="18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30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3" fillId="13" borderId="13" applyNumberFormat="0" applyAlignment="0" applyProtection="0">
      <alignment vertical="center"/>
    </xf>
    <xf numFmtId="0" fontId="18" fillId="13" borderId="11" applyNumberFormat="0" applyAlignment="0" applyProtection="0">
      <alignment vertical="center"/>
    </xf>
    <xf numFmtId="0" fontId="28" fillId="32" borderId="16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4" fillId="0" borderId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6" fontId="8" fillId="2" borderId="7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/>
    </xf>
    <xf numFmtId="178" fontId="8" fillId="2" borderId="7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H6" sqref="H6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9.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31" customHeight="1" spans="1:14">
      <c r="A2" s="6" t="s">
        <v>1</v>
      </c>
      <c r="B2" s="6"/>
      <c r="C2" s="6"/>
      <c r="D2" s="7"/>
      <c r="E2" s="7"/>
      <c r="F2" s="7"/>
      <c r="G2" s="7"/>
      <c r="H2" s="7"/>
      <c r="I2" s="25"/>
      <c r="J2" s="25"/>
      <c r="K2" s="25"/>
      <c r="L2" s="6" t="s">
        <v>2</v>
      </c>
      <c r="M2" s="6"/>
      <c r="N2" s="6"/>
    </row>
    <row r="3" s="1" customFormat="1" ht="31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30" customHeight="1" spans="1:14">
      <c r="A4" s="16"/>
      <c r="B4" s="17"/>
      <c r="C4" s="18">
        <v>2019</v>
      </c>
      <c r="D4" s="19">
        <v>2020</v>
      </c>
      <c r="E4" s="19" t="s">
        <v>9</v>
      </c>
      <c r="F4" s="18">
        <v>2019</v>
      </c>
      <c r="G4" s="19">
        <v>2020</v>
      </c>
      <c r="H4" s="19" t="s">
        <v>9</v>
      </c>
      <c r="I4" s="18">
        <v>2019</v>
      </c>
      <c r="J4" s="19">
        <v>2020</v>
      </c>
      <c r="K4" s="19" t="s">
        <v>9</v>
      </c>
      <c r="L4" s="18">
        <v>2019</v>
      </c>
      <c r="M4" s="19">
        <v>2020</v>
      </c>
      <c r="N4" s="19" t="s">
        <v>9</v>
      </c>
    </row>
    <row r="5" s="2" customFormat="1" ht="42" customHeight="1" spans="1:15">
      <c r="A5" s="20" t="s">
        <v>10</v>
      </c>
      <c r="B5" s="21" t="s">
        <v>11</v>
      </c>
      <c r="C5" s="22">
        <v>14570</v>
      </c>
      <c r="D5" s="22">
        <v>0</v>
      </c>
      <c r="E5" s="22">
        <f>D5-C5</f>
        <v>-14570</v>
      </c>
      <c r="F5" s="22">
        <v>40585</v>
      </c>
      <c r="G5" s="22">
        <v>17843</v>
      </c>
      <c r="H5" s="22">
        <f>G5-F5</f>
        <v>-22742</v>
      </c>
      <c r="I5" s="22">
        <v>0</v>
      </c>
      <c r="J5" s="22">
        <v>20596.25</v>
      </c>
      <c r="K5" s="22">
        <f>J5-I5</f>
        <v>20596.25</v>
      </c>
      <c r="L5" s="26">
        <f>C5+F5+I5</f>
        <v>55155</v>
      </c>
      <c r="M5" s="22">
        <f>J5+G5+D5</f>
        <v>38439.25</v>
      </c>
      <c r="N5" s="27">
        <f>M5-L5</f>
        <v>-16715.75</v>
      </c>
      <c r="O5" s="28"/>
    </row>
    <row r="6" s="3" customFormat="1" ht="29" customHeight="1" spans="1:14">
      <c r="A6" s="20" t="s">
        <v>12</v>
      </c>
      <c r="B6" s="21" t="s">
        <v>13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33341.21</v>
      </c>
      <c r="J6" s="22">
        <v>18359.08</v>
      </c>
      <c r="K6" s="22">
        <f>J6-I6</f>
        <v>-14982.13</v>
      </c>
      <c r="L6" s="26">
        <f>I6</f>
        <v>33341.21</v>
      </c>
      <c r="M6" s="22">
        <f>J6+D6+G6</f>
        <v>18359.08</v>
      </c>
      <c r="N6" s="27">
        <f>M6-L6</f>
        <v>-14982.13</v>
      </c>
    </row>
    <row r="7" s="3" customFormat="1" ht="39" customHeight="1" spans="1:14">
      <c r="A7" s="20" t="s">
        <v>14</v>
      </c>
      <c r="B7" s="21" t="s">
        <v>15</v>
      </c>
      <c r="C7" s="22">
        <v>0</v>
      </c>
      <c r="D7" s="22">
        <v>0</v>
      </c>
      <c r="E7" s="22">
        <v>0</v>
      </c>
      <c r="F7" s="22">
        <v>0</v>
      </c>
      <c r="G7" s="22">
        <v>1713</v>
      </c>
      <c r="H7" s="22">
        <v>1713</v>
      </c>
      <c r="I7" s="22">
        <v>4694.47</v>
      </c>
      <c r="J7" s="22">
        <v>6373.87</v>
      </c>
      <c r="K7" s="22">
        <f>J7-I7</f>
        <v>1679.4</v>
      </c>
      <c r="L7" s="29">
        <f>F7+I7</f>
        <v>4694.47</v>
      </c>
      <c r="M7" s="22">
        <f>J7+G7</f>
        <v>8086.87</v>
      </c>
      <c r="N7" s="27">
        <f>M7-L7</f>
        <v>3392.4</v>
      </c>
    </row>
    <row r="8" s="3" customFormat="1" ht="30.75" customHeight="1" spans="1:14">
      <c r="A8" s="20"/>
      <c r="B8" s="19" t="s">
        <v>16</v>
      </c>
      <c r="C8" s="22">
        <f>SUM(C5:C7)</f>
        <v>14570</v>
      </c>
      <c r="D8" s="22">
        <f>SUM(D5:D7)</f>
        <v>0</v>
      </c>
      <c r="E8" s="22">
        <f>D8-C8</f>
        <v>-14570</v>
      </c>
      <c r="F8" s="22">
        <f>SUM(F5:F7)</f>
        <v>40585</v>
      </c>
      <c r="G8" s="22">
        <f>SUM(G5:G7)</f>
        <v>19556</v>
      </c>
      <c r="H8" s="22">
        <f>G8-F8</f>
        <v>-21029</v>
      </c>
      <c r="I8" s="22">
        <f>I6+I7</f>
        <v>38035.68</v>
      </c>
      <c r="J8" s="22">
        <f>SUM(J5:J7)</f>
        <v>45329.2</v>
      </c>
      <c r="K8" s="22">
        <f>J8-I8</f>
        <v>7293.52</v>
      </c>
      <c r="L8" s="29">
        <f>SUM(L5:L7)</f>
        <v>93190.68</v>
      </c>
      <c r="M8" s="22">
        <f>SUM(M5:M7)</f>
        <v>64885.2</v>
      </c>
      <c r="N8" s="27">
        <f>M8-L8</f>
        <v>-28305.48</v>
      </c>
    </row>
    <row r="9" s="3" customFormat="1" ht="21.75" customHeight="1" spans="1:14">
      <c r="A9" s="23" t="s">
        <v>17</v>
      </c>
      <c r="B9" s="23"/>
      <c r="C9" s="4"/>
      <c r="D9"/>
      <c r="E9"/>
      <c r="F9" s="23" t="s">
        <v>18</v>
      </c>
      <c r="G9" s="23"/>
      <c r="H9"/>
      <c r="I9"/>
      <c r="J9" s="30"/>
      <c r="K9" s="30"/>
      <c r="L9" t="s">
        <v>19</v>
      </c>
      <c r="M9" s="31"/>
      <c r="N9" s="31"/>
    </row>
    <row r="10" s="3" customFormat="1" ht="54.75" customHeight="1" spans="1:14">
      <c r="A10" s="24" t="s">
        <v>20</v>
      </c>
      <c r="B10" s="24"/>
      <c r="C10" s="24"/>
      <c r="D10" s="24"/>
      <c r="E10" s="24"/>
      <c r="F10" s="24"/>
      <c r="G10" s="24"/>
      <c r="H10" s="24"/>
      <c r="I10"/>
      <c r="J10"/>
      <c r="K10"/>
      <c r="L10"/>
      <c r="M10" s="31"/>
      <c r="N10" s="31"/>
    </row>
    <row r="11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9:B9"/>
    <mergeCell ref="F9:G9"/>
    <mergeCell ref="J9:K9"/>
    <mergeCell ref="M9:N9"/>
    <mergeCell ref="A10:H10"/>
    <mergeCell ref="M10:N10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2020-10-16T06:37:55Z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