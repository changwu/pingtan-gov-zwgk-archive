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<sst xmlns="http://schemas.openxmlformats.org/spreadsheetml/2006/main" count="24" uniqueCount="21">
  <si>
    <t>2020年1-11月平潭综合实验区各单位三公经费统计表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</si>
  <si>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</si>
  <si>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</si>
  <si>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</si>
  <si>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</si>
  <si>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</si>
  <si>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</si>
  <si>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</si>
  <si>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</si>
  <si>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</si>
  <si>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</si>
  <si>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</si>
  <si>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</si>
  <si>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</si>
  <si>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</si>
  <si>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</si>
  <si>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</si>
  <si>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</si>
  <si>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</si>
  <si>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</si>
  <si>
    <t>备注：交建局本级2019年公务平台派车费用47014.03元，公务派车费用明细2019年12月才有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</si>
</sst>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176" formatCode="0.00_ "/>
    <numFmt numFmtId="177" formatCode="0_);[Red]\(0\)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8" formatCode="0.00_);[Red]\(0.0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name val="宋体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9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26" fillId="6" borderId="15" applyNumberFormat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7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178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G6" sqref="G6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14570</v>
      </c>
      <c r="D5" s="22">
        <v>0</v>
      </c>
      <c r="E5" s="22">
        <f>D5-C5</f>
        <v>-14570</v>
      </c>
      <c r="F5" s="22">
        <v>52440</v>
      </c>
      <c r="G5" s="22">
        <v>17843</v>
      </c>
      <c r="H5" s="22">
        <f>G5-F5</f>
        <v>-34597</v>
      </c>
      <c r="I5" s="22">
        <v>0</v>
      </c>
      <c r="J5" s="22">
        <v>23227.5</v>
      </c>
      <c r="K5" s="22">
        <f>J5-I5</f>
        <v>23227.5</v>
      </c>
      <c r="L5" s="26">
        <f>C5+F5+I5</f>
        <v>67010</v>
      </c>
      <c r="M5" s="22">
        <f>J5+G5+D5</f>
        <v>41070.5</v>
      </c>
      <c r="N5" s="27">
        <f>M5-L5</f>
        <v>-25939.5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33341.21</v>
      </c>
      <c r="J6" s="22">
        <v>20359.08</v>
      </c>
      <c r="K6" s="22">
        <f>J6-I6</f>
        <v>-12982.13</v>
      </c>
      <c r="L6" s="26">
        <f>I6</f>
        <v>33341.21</v>
      </c>
      <c r="M6" s="22">
        <f>J6+D6+G6</f>
        <v>20359.08</v>
      </c>
      <c r="N6" s="27">
        <f>M6-L6</f>
        <v>-12982.13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7854.47</v>
      </c>
      <c r="J7" s="22">
        <v>6373.87</v>
      </c>
      <c r="K7" s="22">
        <f>J7-I7</f>
        <v>-1480.6</v>
      </c>
      <c r="L7" s="29">
        <f>F7+I7</f>
        <v>7854.47</v>
      </c>
      <c r="M7" s="22">
        <f>J7+G7</f>
        <v>8086.87</v>
      </c>
      <c r="N7" s="27">
        <f>M7-L7</f>
        <v>232.4</v>
      </c>
    </row>
    <row r="8" s="3" customFormat="1" ht="30.75" customHeight="1" spans="1:14">
      <c r="A8" s="20"/>
      <c r="B8" s="19" t="s">
        <v>16</v>
      </c>
      <c r="C8" s="22">
        <f>SUM(C5:C7)</f>
        <v>14570</v>
      </c>
      <c r="D8" s="22">
        <f>SUM(D5:D7)</f>
        <v>0</v>
      </c>
      <c r="E8" s="22">
        <f>D8-C8</f>
        <v>-14570</v>
      </c>
      <c r="F8" s="22">
        <f>SUM(F5:F7)</f>
        <v>52440</v>
      </c>
      <c r="G8" s="22">
        <f>SUM(G5:G7)</f>
        <v>19556</v>
      </c>
      <c r="H8" s="22">
        <f>G8-F8</f>
        <v>-32884</v>
      </c>
      <c r="I8" s="22">
        <f>I6+I7</f>
        <v>41195.68</v>
      </c>
      <c r="J8" s="22">
        <f>SUM(J5:J7)</f>
        <v>49960.45</v>
      </c>
      <c r="K8" s="22">
        <f>J8-I8</f>
        <v>8764.77</v>
      </c>
      <c r="L8" s="29">
        <f>SUM(L5:L7)</f>
        <v>108205.68</v>
      </c>
      <c r="M8" s="22">
        <f>SUM(M5:M7)</f>
        <v>69516.45</v>
      </c>
      <c r="N8" s="27">
        <f>M8-L8</f>
        <v>-38689.23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30"/>
      <c r="K9" s="30"/>
      <c r="L9" t="s">
        <v>19</v>
      </c>
      <c r="M9" s="31"/>
      <c r="N9" s="31"/>
    </row>
    <row r="10" s="3" customFormat="1" ht="54.75" customHeight="1" spans="1:14">
      <c r="A10" s="24" t="s">
        <v>20</v>
      </c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1"/>
      <c r="N10" s="3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2020-12-09T02:46:12Z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