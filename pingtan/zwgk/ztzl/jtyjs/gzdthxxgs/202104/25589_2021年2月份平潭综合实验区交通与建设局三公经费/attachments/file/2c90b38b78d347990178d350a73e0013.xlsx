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<sst xmlns="http://schemas.openxmlformats.org/spreadsheetml/2006/main" count="19" uniqueCount="16">
  <si>
    <t>2021年2月平潭综合实验区各单位三公经费统计表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</si>
  <si>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</si>
  <si>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</si>
  <si>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</si>
  <si>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</si>
  <si>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</si>
  <si>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</si>
  <si>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</si>
  <si>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</si>
  <si>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</si>
  <si>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</si>
  <si>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</si>
  <si>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</si>
  <si>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</si>
  <si>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合        计</t>
  </si>
  <si>
    <t xml:space="preserve">                    处室负责人:                                                            经办：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</si>
</sst>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  <numFmt numFmtId="177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9"/>
      <color theme="1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0"/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0" fontId="8" fillId="0" borderId="7" xfId="0" applyNumberFormat="1" applyFont="1" applyBorder="1" applyAlignment="1">
      <alignment horizontal="center" vertical="center" shrinkToFit="1"/>
    </xf>
    <xf numFmtId="176" fontId="10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A9" sqref="A9:H9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8.62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29"/>
      <c r="J2" s="29"/>
      <c r="K2" s="29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2020</v>
      </c>
      <c r="D4" s="19">
        <v>2021</v>
      </c>
      <c r="E4" s="19" t="s">
        <v>9</v>
      </c>
      <c r="F4" s="18">
        <v>2020</v>
      </c>
      <c r="G4" s="19">
        <v>2021</v>
      </c>
      <c r="H4" s="19" t="s">
        <v>9</v>
      </c>
      <c r="I4" s="18">
        <v>2020</v>
      </c>
      <c r="J4" s="19">
        <v>2021</v>
      </c>
      <c r="K4" s="19" t="s">
        <v>9</v>
      </c>
      <c r="L4" s="18">
        <v>2020</v>
      </c>
      <c r="M4" s="19">
        <v>2021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1713</v>
      </c>
      <c r="G5" s="22">
        <v>2850</v>
      </c>
      <c r="H5" s="22">
        <f>G5-F5</f>
        <v>1137</v>
      </c>
      <c r="I5" s="22">
        <v>4553.87</v>
      </c>
      <c r="J5" s="22">
        <v>1985.5</v>
      </c>
      <c r="K5" s="22">
        <f>J5-I5</f>
        <v>-2568.37</v>
      </c>
      <c r="L5" s="30">
        <f>C5+F5+I5</f>
        <v>6266.87</v>
      </c>
      <c r="M5" s="22">
        <f>J5+G5+D5</f>
        <v>4835.5</v>
      </c>
      <c r="N5" s="31">
        <f>M5-L5</f>
        <v>-1431.37</v>
      </c>
      <c r="O5" s="32"/>
    </row>
    <row r="6" s="3" customFormat="1" ht="30.75" customHeight="1" spans="1:14">
      <c r="A6" s="20" t="s">
        <v>12</v>
      </c>
      <c r="B6" s="21" t="s">
        <v>13</v>
      </c>
      <c r="C6" s="23">
        <v>0</v>
      </c>
      <c r="D6" s="23">
        <v>0</v>
      </c>
      <c r="E6" s="23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33">
        <f>J6-I6</f>
        <v>0</v>
      </c>
      <c r="L6" s="22">
        <v>0</v>
      </c>
      <c r="M6" s="22">
        <v>0</v>
      </c>
      <c r="N6" s="33">
        <f>M6-L6</f>
        <v>0</v>
      </c>
    </row>
    <row r="7" s="3" customFormat="1" ht="30.75" customHeight="1" spans="1:14">
      <c r="A7" s="20"/>
      <c r="B7" s="24" t="s">
        <v>14</v>
      </c>
      <c r="C7" s="25">
        <f>SUM(C5:C6)</f>
        <v>0</v>
      </c>
      <c r="D7" s="26">
        <f>SUM(D5:D6)</f>
        <v>0</v>
      </c>
      <c r="E7" s="27">
        <f>D7-C7</f>
        <v>0</v>
      </c>
      <c r="F7" s="26">
        <f>SUM(F5:F6)</f>
        <v>1713</v>
      </c>
      <c r="G7" s="26">
        <f>SUM(G5:G6)</f>
        <v>2850</v>
      </c>
      <c r="H7" s="26">
        <f>G7-F7</f>
        <v>1137</v>
      </c>
      <c r="I7" s="34">
        <f>SUM(I5:I6)</f>
        <v>4553.87</v>
      </c>
      <c r="J7" s="22">
        <f>SUM(J5:J6)</f>
        <v>1985.5</v>
      </c>
      <c r="K7" s="35">
        <f>J7-I7</f>
        <v>-2568.37</v>
      </c>
      <c r="L7" s="34">
        <f>SUM(L5:L6)</f>
        <v>6266.87</v>
      </c>
      <c r="M7" s="22">
        <f>SUM(M5:M6)</f>
        <v>4835.5</v>
      </c>
      <c r="N7" s="26">
        <f>M7-L7</f>
        <v>-1431.37</v>
      </c>
    </row>
    <row r="8" s="3" customFormat="1" ht="42" customHeight="1" spans="1:14">
      <c r="A8" s="4" t="s">
        <v>15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="3" customFormat="1" ht="54.75" customHeight="1" spans="1:14">
      <c r="A9" s="28"/>
      <c r="B9" s="28"/>
      <c r="C9" s="28"/>
      <c r="D9" s="28"/>
      <c r="E9" s="28"/>
      <c r="F9" s="28"/>
      <c r="G9" s="28"/>
      <c r="H9" s="28"/>
      <c r="I9"/>
      <c r="J9"/>
      <c r="K9"/>
      <c r="L9"/>
      <c r="M9" s="36"/>
      <c r="N9" s="36"/>
    </row>
    <row r="10" ht="15.75" customHeight="1"/>
  </sheetData>
  <mergeCells count="13">
    <mergeCell ref="A1:N1"/>
    <mergeCell ref="A2:C2"/>
    <mergeCell ref="I2:K2"/>
    <mergeCell ref="L2:N2"/>
    <mergeCell ref="C3:E3"/>
    <mergeCell ref="F3:H3"/>
    <mergeCell ref="I3:K3"/>
    <mergeCell ref="L3:N3"/>
    <mergeCell ref="A8:N8"/>
    <mergeCell ref="A9:H9"/>
    <mergeCell ref="M9:N9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2021-03-24T01:00:54Z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AD6160C2D0A4460792CD51E18561FAAD</vt:lpwstr>
  </property>
</Properties>
</file>