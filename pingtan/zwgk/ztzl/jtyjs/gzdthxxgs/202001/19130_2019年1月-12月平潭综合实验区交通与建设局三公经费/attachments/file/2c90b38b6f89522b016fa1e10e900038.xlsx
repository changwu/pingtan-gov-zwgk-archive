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<sst xmlns="http://schemas.openxmlformats.org/spreadsheetml/2006/main" count="41" uniqueCount="38">
  <si>
    <t>2019年1-12月平潭综合实验区各单位三公经费统计表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</si>
  <si>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</si>
  <si>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</si>
  <si>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</si>
  <si>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</si>
  <si>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</si>
  <si>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</si>
  <si>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</si>
  <si>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</si>
  <si>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</si>
  <si>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</si>
  <si>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</si>
  <si>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</si>
  <si>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</si>
  <si>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</si>
  <si>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平潭综合实验区造价站</t>
  </si>
  <si>
    <t>4</t>
  </si>
  <si>
    <t>平潭综合实验区公路局</t>
  </si>
  <si>
    <t>5</t>
  </si>
  <si>
    <t>平潭综合实验区人防办</t>
  </si>
  <si>
    <t>6</t>
  </si>
  <si>
    <t>平潭综合实验区地震办</t>
  </si>
  <si>
    <t>7</t>
  </si>
  <si>
    <t>平潭综合实验区交通与建设工程质量安全监督站</t>
  </si>
  <si>
    <t>8</t>
  </si>
  <si>
    <t>平潭综合实验区邮政业发展与安全中心</t>
  </si>
  <si>
    <t>9</t>
  </si>
  <si>
    <t>平潭综合实验区环卫所</t>
  </si>
  <si>
    <t>10</t>
  </si>
  <si>
    <t>平潭综合实验区村镇建设总站</t>
  </si>
  <si>
    <t>11</t>
  </si>
  <si>
    <t>平潭综合实验区交通运输管理服务中心</t>
  </si>
  <si>
    <t>12</t>
  </si>
  <si>
    <t>平潭综合实验区公用事业服务中心</t>
  </si>
  <si>
    <t>合        计</t>
  </si>
  <si>
    <t>处室负责人:</t>
  </si>
  <si>
    <t>复核人:</t>
  </si>
  <si>
    <t>经办人: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</si>
</sst>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);[Red]\(0.00\)"/>
    <numFmt numFmtId="177" formatCode="0.00_ 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ajor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8" fillId="2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29" fillId="14" borderId="15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0" borderId="0"/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9" fillId="3" borderId="7" xfId="0" applyNumberFormat="1" applyFont="1" applyFill="1" applyBorder="1" applyAlignment="1">
      <alignment horizontal="center" vertical="center" shrinkToFit="1"/>
    </xf>
    <xf numFmtId="177" fontId="9" fillId="3" borderId="7" xfId="0" applyNumberFormat="1" applyFont="1" applyFill="1" applyBorder="1" applyAlignment="1">
      <alignment horizontal="center" vertical="center" shrinkToFit="1"/>
    </xf>
    <xf numFmtId="176" fontId="9" fillId="3" borderId="7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shrinkToFit="1"/>
    </xf>
    <xf numFmtId="0" fontId="10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6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/>
    </xf>
    <xf numFmtId="0" fontId="8" fillId="0" borderId="7" xfId="0" applyNumberFormat="1" applyFont="1" applyBorder="1" applyAlignment="1">
      <alignment horizontal="center" vertical="center" shrinkToFit="1"/>
    </xf>
    <xf numFmtId="177" fontId="9" fillId="0" borderId="7" xfId="0" applyNumberFormat="1" applyFont="1" applyBorder="1" applyAlignment="1">
      <alignment horizontal="center" vertical="center" shrinkToFit="1"/>
    </xf>
    <xf numFmtId="177" fontId="8" fillId="0" borderId="7" xfId="0" applyNumberFormat="1" applyFont="1" applyBorder="1" applyAlignment="1">
      <alignment horizontal="center" vertical="center" shrinkToFit="1"/>
    </xf>
    <xf numFmtId="177" fontId="8" fillId="2" borderId="7" xfId="0" applyNumberFormat="1" applyFont="1" applyFill="1" applyBorder="1" applyAlignment="1">
      <alignment horizontal="center" vertical="center" shrinkToFit="1"/>
    </xf>
    <xf numFmtId="176" fontId="11" fillId="2" borderId="7" xfId="0" applyNumberFormat="1" applyFont="1" applyFill="1" applyBorder="1" applyAlignment="1">
      <alignment horizontal="center" vertical="center" shrinkToFit="1"/>
    </xf>
    <xf numFmtId="0" fontId="11" fillId="0" borderId="7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selection activeCell="M9" sqref="M9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7" customHeight="1" spans="1:14">
      <c r="A2" s="6" t="s">
        <v>1</v>
      </c>
      <c r="B2" s="6"/>
      <c r="C2" s="6"/>
      <c r="D2" s="7"/>
      <c r="E2" s="7"/>
      <c r="F2" s="7"/>
      <c r="G2" s="7"/>
      <c r="H2" s="7"/>
      <c r="I2" s="35"/>
      <c r="J2" s="35"/>
      <c r="K2" s="35"/>
      <c r="L2" s="6" t="s">
        <v>2</v>
      </c>
      <c r="M2" s="6"/>
      <c r="N2" s="6"/>
    </row>
    <row r="3" s="1" customFormat="1" ht="17.25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23.25" customHeight="1" spans="1:14">
      <c r="A4" s="16"/>
      <c r="B4" s="17"/>
      <c r="C4" s="18">
        <v>2018</v>
      </c>
      <c r="D4" s="19">
        <v>2019</v>
      </c>
      <c r="E4" s="19" t="s">
        <v>9</v>
      </c>
      <c r="F4" s="18">
        <v>2018</v>
      </c>
      <c r="G4" s="19">
        <v>2019</v>
      </c>
      <c r="H4" s="19" t="s">
        <v>9</v>
      </c>
      <c r="I4" s="18">
        <v>2018</v>
      </c>
      <c r="J4" s="19">
        <v>2019</v>
      </c>
      <c r="K4" s="19" t="s">
        <v>9</v>
      </c>
      <c r="L4" s="18">
        <v>2018</v>
      </c>
      <c r="M4" s="19">
        <v>2019</v>
      </c>
      <c r="N4" s="19" t="s">
        <v>9</v>
      </c>
    </row>
    <row r="5" s="2" customFormat="1" ht="30.75" customHeight="1" spans="1:15">
      <c r="A5" s="20" t="s">
        <v>10</v>
      </c>
      <c r="B5" s="21" t="s">
        <v>11</v>
      </c>
      <c r="C5" s="22">
        <v>96581</v>
      </c>
      <c r="D5" s="22">
        <v>14570</v>
      </c>
      <c r="E5" s="22">
        <f>D5-C5</f>
        <v>-82011</v>
      </c>
      <c r="F5" s="22">
        <v>53470</v>
      </c>
      <c r="G5" s="22">
        <v>52440</v>
      </c>
      <c r="H5" s="22">
        <f>G5-F5</f>
        <v>-1030</v>
      </c>
      <c r="I5" s="22">
        <v>46458.24</v>
      </c>
      <c r="J5" s="22">
        <v>47014.03</v>
      </c>
      <c r="K5" s="22">
        <f>J5-I5</f>
        <v>555.790000000001</v>
      </c>
      <c r="L5" s="36">
        <f>C5+F5+I5</f>
        <v>196509.24</v>
      </c>
      <c r="M5" s="36">
        <f>D5+G5+J5</f>
        <v>114024.03</v>
      </c>
      <c r="N5" s="37">
        <f>M5-L5</f>
        <v>-82485.21</v>
      </c>
      <c r="O5" s="38"/>
    </row>
    <row r="6" s="2" customFormat="1" ht="30.75" customHeight="1" spans="1:14">
      <c r="A6" s="20" t="s">
        <v>12</v>
      </c>
      <c r="B6" s="21" t="s">
        <v>13</v>
      </c>
      <c r="C6" s="23"/>
      <c r="D6" s="23"/>
      <c r="E6" s="23"/>
      <c r="F6" s="22"/>
      <c r="G6" s="22"/>
      <c r="H6" s="22"/>
      <c r="I6" s="22">
        <v>57965.74</v>
      </c>
      <c r="J6" s="22">
        <v>47396.28</v>
      </c>
      <c r="K6" s="39">
        <f>J6-I6</f>
        <v>-10569.46</v>
      </c>
      <c r="L6" s="22">
        <v>57965.74</v>
      </c>
      <c r="M6" s="22">
        <v>47396.28</v>
      </c>
      <c r="N6" s="39">
        <f>M6-L6</f>
        <v>-10569.46</v>
      </c>
    </row>
    <row r="7" s="2" customFormat="1" ht="30.75" customHeight="1" spans="1:14">
      <c r="A7" s="20" t="s">
        <v>14</v>
      </c>
      <c r="B7" s="21" t="s">
        <v>15</v>
      </c>
      <c r="C7" s="24"/>
      <c r="D7" s="24"/>
      <c r="E7" s="24"/>
      <c r="F7" s="25"/>
      <c r="G7" s="25"/>
      <c r="H7" s="22"/>
      <c r="I7" s="27"/>
      <c r="J7" s="27"/>
      <c r="K7" s="40"/>
      <c r="L7" s="36"/>
      <c r="M7" s="36"/>
      <c r="N7" s="37"/>
    </row>
    <row r="8" s="2" customFormat="1" ht="30.75" customHeight="1" spans="1:14">
      <c r="A8" s="20" t="s">
        <v>16</v>
      </c>
      <c r="B8" s="21" t="s">
        <v>17</v>
      </c>
      <c r="C8" s="24"/>
      <c r="D8" s="24"/>
      <c r="E8" s="24"/>
      <c r="F8" s="26"/>
      <c r="G8" s="27"/>
      <c r="H8" s="26"/>
      <c r="I8" s="26"/>
      <c r="J8" s="27"/>
      <c r="K8" s="40"/>
      <c r="L8" s="36"/>
      <c r="M8" s="36"/>
      <c r="N8" s="40"/>
    </row>
    <row r="9" s="2" customFormat="1" ht="30.75" customHeight="1" spans="1:14">
      <c r="A9" s="20" t="s">
        <v>18</v>
      </c>
      <c r="B9" s="21" t="s">
        <v>19</v>
      </c>
      <c r="C9" s="23"/>
      <c r="D9" s="23"/>
      <c r="E9" s="23"/>
      <c r="F9" s="22">
        <v>5477</v>
      </c>
      <c r="G9" s="22">
        <v>0</v>
      </c>
      <c r="H9" s="22">
        <f>G9-F9</f>
        <v>-5477</v>
      </c>
      <c r="I9" s="22">
        <v>12369</v>
      </c>
      <c r="J9" s="22">
        <v>7854.47</v>
      </c>
      <c r="K9" s="39">
        <f>J9-I9</f>
        <v>-4514.53</v>
      </c>
      <c r="L9" s="36">
        <f t="shared" ref="L9:L16" si="0">C9+F9+I9</f>
        <v>17846</v>
      </c>
      <c r="M9" s="36">
        <f>D9+G9+J9</f>
        <v>7854.47</v>
      </c>
      <c r="N9" s="41">
        <f>M9-L9</f>
        <v>-9991.53</v>
      </c>
    </row>
    <row r="10" s="2" customFormat="1" ht="30.75" customHeight="1" spans="1:14">
      <c r="A10" s="20" t="s">
        <v>20</v>
      </c>
      <c r="B10" s="21" t="s">
        <v>21</v>
      </c>
      <c r="C10" s="23"/>
      <c r="D10" s="23"/>
      <c r="E10" s="23"/>
      <c r="F10" s="22">
        <v>600</v>
      </c>
      <c r="G10" s="22">
        <v>0</v>
      </c>
      <c r="H10" s="22">
        <f>G10-F10</f>
        <v>-600</v>
      </c>
      <c r="I10" s="22"/>
      <c r="J10" s="22"/>
      <c r="K10" s="39"/>
      <c r="L10" s="36">
        <f t="shared" si="0"/>
        <v>600</v>
      </c>
      <c r="M10" s="36">
        <v>0</v>
      </c>
      <c r="N10" s="42">
        <f>M10-L10</f>
        <v>-600</v>
      </c>
    </row>
    <row r="11" s="2" customFormat="1" ht="30.75" customHeight="1" spans="1:14">
      <c r="A11" s="20" t="s">
        <v>22</v>
      </c>
      <c r="B11" s="21" t="s">
        <v>23</v>
      </c>
      <c r="C11" s="28"/>
      <c r="D11" s="28"/>
      <c r="E11" s="28"/>
      <c r="F11" s="22"/>
      <c r="G11" s="22">
        <v>1200</v>
      </c>
      <c r="H11" s="22">
        <f t="shared" ref="H11:H12" si="1">G11-F11</f>
        <v>1200</v>
      </c>
      <c r="I11" s="22">
        <v>109582.52</v>
      </c>
      <c r="J11" s="22">
        <v>111338.8</v>
      </c>
      <c r="K11" s="39">
        <f>J11-I11</f>
        <v>1756.28</v>
      </c>
      <c r="L11" s="36">
        <f t="shared" si="0"/>
        <v>109582.52</v>
      </c>
      <c r="M11" s="36">
        <f>D11+G11+J11</f>
        <v>112538.8</v>
      </c>
      <c r="N11" s="39">
        <f>M11-L11</f>
        <v>2956.28</v>
      </c>
    </row>
    <row r="12" s="2" customFormat="1" ht="30.75" customHeight="1" spans="1:14">
      <c r="A12" s="20" t="s">
        <v>24</v>
      </c>
      <c r="B12" s="21" t="s">
        <v>25</v>
      </c>
      <c r="C12" s="23"/>
      <c r="D12" s="23"/>
      <c r="E12" s="23"/>
      <c r="F12" s="22">
        <v>5392</v>
      </c>
      <c r="G12" s="22">
        <v>1898</v>
      </c>
      <c r="H12" s="22">
        <f t="shared" si="1"/>
        <v>-3494</v>
      </c>
      <c r="I12" s="22"/>
      <c r="J12" s="22"/>
      <c r="K12" s="39"/>
      <c r="L12" s="36">
        <f t="shared" si="0"/>
        <v>5392</v>
      </c>
      <c r="M12" s="36">
        <f>D12+G12+J12</f>
        <v>1898</v>
      </c>
      <c r="N12" s="39">
        <f>M12-L12</f>
        <v>-3494</v>
      </c>
    </row>
    <row r="13" s="2" customFormat="1" ht="30.75" customHeight="1" spans="1:14">
      <c r="A13" s="20" t="s">
        <v>26</v>
      </c>
      <c r="B13" s="21" t="s">
        <v>27</v>
      </c>
      <c r="C13" s="23"/>
      <c r="D13" s="23"/>
      <c r="E13" s="23"/>
      <c r="F13" s="22"/>
      <c r="G13" s="22"/>
      <c r="H13" s="22"/>
      <c r="I13" s="22">
        <v>22655.29</v>
      </c>
      <c r="J13" s="22">
        <v>27839.52</v>
      </c>
      <c r="K13" s="39">
        <f>J13-I13</f>
        <v>5184.23</v>
      </c>
      <c r="L13" s="36">
        <f t="shared" si="0"/>
        <v>22655.29</v>
      </c>
      <c r="M13" s="36">
        <f>D13+G13+J13</f>
        <v>27839.52</v>
      </c>
      <c r="N13" s="41">
        <f>M13-L13</f>
        <v>5184.23</v>
      </c>
    </row>
    <row r="14" s="2" customFormat="1" ht="30.75" customHeight="1" spans="1:14">
      <c r="A14" s="20" t="s">
        <v>28</v>
      </c>
      <c r="B14" s="21" t="s">
        <v>29</v>
      </c>
      <c r="C14" s="23"/>
      <c r="D14" s="23"/>
      <c r="E14" s="23"/>
      <c r="F14" s="22"/>
      <c r="G14" s="22"/>
      <c r="H14" s="22"/>
      <c r="I14" s="22"/>
      <c r="J14" s="22"/>
      <c r="K14" s="39"/>
      <c r="L14" s="36"/>
      <c r="M14" s="36"/>
      <c r="N14" s="41"/>
    </row>
    <row r="15" s="2" customFormat="1" ht="30.75" customHeight="1" spans="1:14">
      <c r="A15" s="20" t="s">
        <v>30</v>
      </c>
      <c r="B15" s="21" t="s">
        <v>31</v>
      </c>
      <c r="C15" s="23"/>
      <c r="D15" s="23"/>
      <c r="E15" s="23"/>
      <c r="F15" s="22">
        <v>1002</v>
      </c>
      <c r="G15" s="22">
        <v>5450</v>
      </c>
      <c r="H15" s="22">
        <f>G15-F15</f>
        <v>4448</v>
      </c>
      <c r="I15" s="22"/>
      <c r="J15" s="22"/>
      <c r="K15" s="39"/>
      <c r="L15" s="36">
        <f t="shared" si="0"/>
        <v>1002</v>
      </c>
      <c r="M15" s="36">
        <f>D15+G15+J15</f>
        <v>5450</v>
      </c>
      <c r="N15" s="41">
        <f>M15-L15</f>
        <v>4448</v>
      </c>
    </row>
    <row r="16" s="2" customFormat="1" ht="30.75" customHeight="1" spans="1:14">
      <c r="A16" s="20" t="s">
        <v>32</v>
      </c>
      <c r="B16" s="21" t="s">
        <v>33</v>
      </c>
      <c r="C16" s="28"/>
      <c r="D16" s="28"/>
      <c r="E16" s="28"/>
      <c r="F16" s="22">
        <v>1290</v>
      </c>
      <c r="G16" s="22">
        <v>1680</v>
      </c>
      <c r="H16" s="22">
        <f>G16-F16</f>
        <v>390</v>
      </c>
      <c r="I16" s="22"/>
      <c r="J16" s="22"/>
      <c r="K16" s="39"/>
      <c r="L16" s="36">
        <f>C16+F16+I16</f>
        <v>1290</v>
      </c>
      <c r="M16" s="36">
        <f>D16+G16+J16</f>
        <v>1680</v>
      </c>
      <c r="N16" s="41">
        <f>M16-L16</f>
        <v>390</v>
      </c>
    </row>
    <row r="17" s="3" customFormat="1" ht="30.75" customHeight="1" spans="1:14">
      <c r="A17" s="20"/>
      <c r="B17" s="29" t="s">
        <v>34</v>
      </c>
      <c r="C17" s="30">
        <f>SUM(C5:C16)</f>
        <v>96581</v>
      </c>
      <c r="D17" s="31">
        <f>SUM(D5:D16)</f>
        <v>14570</v>
      </c>
      <c r="E17" s="32">
        <f>D17-C17</f>
        <v>-82011</v>
      </c>
      <c r="F17" s="31">
        <f>SUM(F5:F16)</f>
        <v>67231</v>
      </c>
      <c r="G17" s="31">
        <f>SUM(G5:G16)</f>
        <v>62668</v>
      </c>
      <c r="H17" s="31">
        <f>G17-F17</f>
        <v>-4563</v>
      </c>
      <c r="I17" s="43">
        <f>SUM(I5:I16)</f>
        <v>249030.79</v>
      </c>
      <c r="J17" s="43">
        <f>SUM(J5:J16)</f>
        <v>241443.1</v>
      </c>
      <c r="K17" s="44">
        <f>J17-I17</f>
        <v>-7587.69</v>
      </c>
      <c r="L17" s="43">
        <f>SUM(L5:L16)</f>
        <v>412842.79</v>
      </c>
      <c r="M17" s="43">
        <f>SUM(M5:M16)</f>
        <v>318681.1</v>
      </c>
      <c r="N17" s="31">
        <f>M17-L17</f>
        <v>-94161.6899999999</v>
      </c>
    </row>
    <row r="18" s="3" customFormat="1" ht="21.75" customHeight="1" spans="1:14">
      <c r="A18" s="33" t="s">
        <v>35</v>
      </c>
      <c r="B18" s="33"/>
      <c r="C18" s="4"/>
      <c r="D18"/>
      <c r="E18"/>
      <c r="F18" s="33" t="s">
        <v>36</v>
      </c>
      <c r="G18" s="33"/>
      <c r="H18"/>
      <c r="I18"/>
      <c r="J18" s="45"/>
      <c r="K18" s="45"/>
      <c r="L18" t="s">
        <v>37</v>
      </c>
      <c r="M18" s="46"/>
      <c r="N18" s="46"/>
    </row>
    <row r="19" s="3" customFormat="1" ht="54.75" customHeight="1" spans="1:14">
      <c r="A19" s="34"/>
      <c r="B19" s="34"/>
      <c r="C19" s="34"/>
      <c r="D19" s="34"/>
      <c r="E19" s="34"/>
      <c r="F19" s="34"/>
      <c r="G19" s="34"/>
      <c r="H19" s="34"/>
      <c r="I19"/>
      <c r="J19"/>
      <c r="K19"/>
      <c r="L19"/>
      <c r="M19" s="46"/>
      <c r="N19" s="46"/>
    </row>
    <row r="20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18:B18"/>
    <mergeCell ref="F18:G18"/>
    <mergeCell ref="J18:K18"/>
    <mergeCell ref="M18:N18"/>
    <mergeCell ref="A19:H19"/>
    <mergeCell ref="M19:N19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2020-01-14T02:39:01Z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