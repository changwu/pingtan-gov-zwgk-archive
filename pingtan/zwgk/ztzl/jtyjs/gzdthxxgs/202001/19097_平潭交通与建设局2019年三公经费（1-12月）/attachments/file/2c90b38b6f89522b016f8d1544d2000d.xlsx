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<sst xmlns="http://schemas.openxmlformats.org/spreadsheetml/2006/main" count="40" uniqueCount="37">
  <si>
    <t>2019年1-12月平潭综合实验区各单位三公经费统计表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</si>
  <si>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</si>
  <si>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</si>
  <si>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</si>
  <si>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</si>
  <si>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</si>
  <si>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</si>
  <si>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</si>
  <si>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</si>
  <si>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</si>
  <si>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</si>
  <si>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</t>
  </si>
  <si>
    <t>2</t>
  </si>
  <si>
    <t>平潭综合实验区造价站</t>
  </si>
  <si>
    <t>3</t>
  </si>
  <si>
    <t>平潭综合实验区公路局</t>
  </si>
  <si>
    <t>4</t>
  </si>
  <si>
    <t>平潭综合实验区人防办</t>
  </si>
  <si>
    <t>5</t>
  </si>
  <si>
    <t>平潭综合实验区地震办</t>
  </si>
  <si>
    <t>6</t>
  </si>
  <si>
    <t>平潭综合实验区交通与建设工程质量安全监督站</t>
  </si>
  <si>
    <t>7</t>
  </si>
  <si>
    <t>平潭综合实验区邮政业发展与安全中心</t>
  </si>
  <si>
    <t>8</t>
  </si>
  <si>
    <t>平潭综合实验区环卫所</t>
  </si>
  <si>
    <t>9</t>
  </si>
  <si>
    <t>平潭综合实验区村镇建设总站</t>
  </si>
  <si>
    <t>10</t>
  </si>
  <si>
    <t>平潭综合实验区交通运输管理服务中心</t>
  </si>
  <si>
    <t>11</t>
  </si>
  <si>
    <t>平潭综合实验区公用事业服务中心</t>
  </si>
  <si>
    <t>合        计</t>
  </si>
  <si>
    <t>处室负责人:</t>
  </si>
  <si>
    <t>复核人:</t>
  </si>
  <si>
    <t>经办人:</t>
  </si>
  <si>
    <t>备注：交建局2018年公车运行费104423.98元（其中本局46458.24元、环岛指挥部57965.74元）
      交建局2019年公车运行费元47396.28(其中环岛指挥部47396.28元）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</si>
</sst>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2" fillId="0" borderId="0"/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10" fillId="3" borderId="7" xfId="0" applyNumberFormat="1" applyFont="1" applyFill="1" applyBorder="1" applyAlignment="1">
      <alignment horizontal="center" vertical="center" shrinkToFit="1"/>
    </xf>
    <xf numFmtId="177" fontId="10" fillId="3" borderId="7" xfId="0" applyNumberFormat="1" applyFont="1" applyFill="1" applyBorder="1" applyAlignment="1">
      <alignment horizontal="center" vertical="center" shrinkToFit="1"/>
    </xf>
    <xf numFmtId="176" fontId="10" fillId="3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2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177" fontId="10" fillId="0" borderId="7" xfId="0" applyNumberFormat="1" applyFont="1" applyBorder="1" applyAlignment="1">
      <alignment horizontal="center" vertical="center" shrinkToFit="1"/>
    </xf>
    <xf numFmtId="0" fontId="8" fillId="0" borderId="7" xfId="0" applyNumberFormat="1" applyFont="1" applyBorder="1" applyAlignment="1">
      <alignment horizontal="center" vertical="center" shrinkToFit="1"/>
    </xf>
    <xf numFmtId="177" fontId="8" fillId="0" borderId="7" xfId="0" applyNumberFormat="1" applyFont="1" applyBorder="1" applyAlignment="1">
      <alignment horizontal="center" vertical="center" shrinkToFit="1"/>
    </xf>
    <xf numFmtId="177" fontId="8" fillId="2" borderId="7" xfId="0" applyNumberFormat="1" applyFont="1" applyFill="1" applyBorder="1" applyAlignment="1">
      <alignment horizontal="center" vertical="center" shrinkToFit="1"/>
    </xf>
    <xf numFmtId="176" fontId="12" fillId="2" borderId="7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G7" sqref="G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36"/>
      <c r="J2" s="36"/>
      <c r="K2" s="36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2018</v>
      </c>
      <c r="D4" s="19">
        <v>2019</v>
      </c>
      <c r="E4" s="19" t="s">
        <v>9</v>
      </c>
      <c r="F4" s="18">
        <v>2018</v>
      </c>
      <c r="G4" s="19">
        <v>2019</v>
      </c>
      <c r="H4" s="19" t="s">
        <v>9</v>
      </c>
      <c r="I4" s="18">
        <v>2018</v>
      </c>
      <c r="J4" s="19">
        <v>2019</v>
      </c>
      <c r="K4" s="19" t="s">
        <v>9</v>
      </c>
      <c r="L4" s="18">
        <v>2018</v>
      </c>
      <c r="M4" s="19">
        <v>2019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96581</v>
      </c>
      <c r="D5" s="22">
        <v>14570</v>
      </c>
      <c r="E5" s="22">
        <f>D5-C5</f>
        <v>-82011</v>
      </c>
      <c r="F5" s="22">
        <v>53470</v>
      </c>
      <c r="G5" s="22">
        <v>52440</v>
      </c>
      <c r="H5" s="22">
        <f>G5-F5</f>
        <v>-1030</v>
      </c>
      <c r="I5" s="22">
        <v>104423.98</v>
      </c>
      <c r="J5" s="22">
        <v>47396.28</v>
      </c>
      <c r="K5" s="22">
        <f>J5-I5</f>
        <v>-57027.7</v>
      </c>
      <c r="L5" s="37">
        <f>C5+F5+I5</f>
        <v>254474.98</v>
      </c>
      <c r="M5" s="37">
        <f>D5+G5+J5</f>
        <v>114406.28</v>
      </c>
      <c r="N5" s="38">
        <f>M5-L5</f>
        <v>-140068.7</v>
      </c>
      <c r="O5" s="39"/>
    </row>
    <row r="6" s="2" customFormat="1" ht="30.75" customHeight="1" spans="1:14">
      <c r="A6" s="23" t="s">
        <v>12</v>
      </c>
      <c r="B6" s="21" t="s">
        <v>13</v>
      </c>
      <c r="C6" s="24"/>
      <c r="D6" s="24"/>
      <c r="E6" s="24"/>
      <c r="F6" s="25"/>
      <c r="G6" s="25"/>
      <c r="H6" s="22"/>
      <c r="I6" s="27"/>
      <c r="J6" s="27"/>
      <c r="K6" s="40"/>
      <c r="L6" s="37"/>
      <c r="M6" s="37"/>
      <c r="N6" s="38"/>
    </row>
    <row r="7" s="2" customFormat="1" ht="30.75" customHeight="1" spans="1:14">
      <c r="A7" s="20" t="s">
        <v>14</v>
      </c>
      <c r="B7" s="21" t="s">
        <v>15</v>
      </c>
      <c r="C7" s="24"/>
      <c r="D7" s="24"/>
      <c r="E7" s="24"/>
      <c r="F7" s="26"/>
      <c r="G7" s="27"/>
      <c r="H7" s="26"/>
      <c r="I7" s="26"/>
      <c r="J7" s="27"/>
      <c r="K7" s="40"/>
      <c r="L7" s="37"/>
      <c r="M7" s="37"/>
      <c r="N7" s="40"/>
    </row>
    <row r="8" s="2" customFormat="1" ht="30.75" customHeight="1" spans="1:14">
      <c r="A8" s="23" t="s">
        <v>16</v>
      </c>
      <c r="B8" s="21" t="s">
        <v>17</v>
      </c>
      <c r="C8" s="28"/>
      <c r="D8" s="28"/>
      <c r="E8" s="28"/>
      <c r="F8" s="22">
        <v>5477</v>
      </c>
      <c r="G8" s="22">
        <v>0</v>
      </c>
      <c r="H8" s="22">
        <f>G8-F8</f>
        <v>-5477</v>
      </c>
      <c r="I8" s="22">
        <v>12369</v>
      </c>
      <c r="J8" s="22">
        <v>7854.47</v>
      </c>
      <c r="K8" s="41">
        <f>J8-I8</f>
        <v>-4514.53</v>
      </c>
      <c r="L8" s="37">
        <f t="shared" ref="L8:L15" si="0">C8+F8+I8</f>
        <v>17846</v>
      </c>
      <c r="M8" s="37">
        <f t="shared" ref="M8:M15" si="1">D8+G8+J8</f>
        <v>7854.47</v>
      </c>
      <c r="N8" s="42">
        <f>M8-L8</f>
        <v>-9991.53</v>
      </c>
    </row>
    <row r="9" s="2" customFormat="1" ht="30.75" customHeight="1" spans="1:14">
      <c r="A9" s="20" t="s">
        <v>18</v>
      </c>
      <c r="B9" s="21" t="s">
        <v>19</v>
      </c>
      <c r="C9" s="28"/>
      <c r="D9" s="28"/>
      <c r="E9" s="28"/>
      <c r="F9" s="22">
        <v>600</v>
      </c>
      <c r="G9" s="22">
        <v>0</v>
      </c>
      <c r="H9" s="22">
        <f>G9-F9</f>
        <v>-600</v>
      </c>
      <c r="I9" s="22"/>
      <c r="J9" s="22"/>
      <c r="K9" s="41"/>
      <c r="L9" s="37">
        <f t="shared" si="0"/>
        <v>600</v>
      </c>
      <c r="M9" s="37">
        <v>0</v>
      </c>
      <c r="N9" s="43">
        <f>M9-L9</f>
        <v>-600</v>
      </c>
    </row>
    <row r="10" s="2" customFormat="1" ht="30.75" customHeight="1" spans="1:14">
      <c r="A10" s="23" t="s">
        <v>20</v>
      </c>
      <c r="B10" s="21" t="s">
        <v>21</v>
      </c>
      <c r="C10" s="29"/>
      <c r="D10" s="29"/>
      <c r="E10" s="29"/>
      <c r="F10" s="22"/>
      <c r="G10" s="22">
        <v>1200</v>
      </c>
      <c r="H10" s="22">
        <f t="shared" ref="H10:H11" si="2">G10-F10</f>
        <v>1200</v>
      </c>
      <c r="I10" s="22">
        <v>109582.52</v>
      </c>
      <c r="J10" s="22">
        <v>111338.8</v>
      </c>
      <c r="K10" s="41">
        <f>J10-I10</f>
        <v>1756.28</v>
      </c>
      <c r="L10" s="37">
        <f t="shared" si="0"/>
        <v>109582.52</v>
      </c>
      <c r="M10" s="37">
        <f>D10+G10+J10</f>
        <v>112538.8</v>
      </c>
      <c r="N10" s="41">
        <f>M10-L10</f>
        <v>2956.28</v>
      </c>
    </row>
    <row r="11" s="2" customFormat="1" ht="30.75" customHeight="1" spans="1:14">
      <c r="A11" s="20" t="s">
        <v>22</v>
      </c>
      <c r="B11" s="21" t="s">
        <v>23</v>
      </c>
      <c r="C11" s="28"/>
      <c r="D11" s="28"/>
      <c r="E11" s="28"/>
      <c r="F11" s="22">
        <v>5392</v>
      </c>
      <c r="G11" s="22">
        <v>1898</v>
      </c>
      <c r="H11" s="22">
        <f t="shared" si="2"/>
        <v>-3494</v>
      </c>
      <c r="I11" s="22"/>
      <c r="J11" s="22"/>
      <c r="K11" s="41"/>
      <c r="L11" s="37">
        <f t="shared" si="0"/>
        <v>5392</v>
      </c>
      <c r="M11" s="37">
        <f t="shared" si="1"/>
        <v>1898</v>
      </c>
      <c r="N11" s="41">
        <f>M11-L11</f>
        <v>-3494</v>
      </c>
    </row>
    <row r="12" s="2" customFormat="1" ht="30.75" customHeight="1" spans="1:14">
      <c r="A12" s="23" t="s">
        <v>24</v>
      </c>
      <c r="B12" s="21" t="s">
        <v>25</v>
      </c>
      <c r="C12" s="28"/>
      <c r="D12" s="28"/>
      <c r="E12" s="28"/>
      <c r="F12" s="22"/>
      <c r="G12" s="22"/>
      <c r="H12" s="22"/>
      <c r="I12" s="22">
        <v>22655.29</v>
      </c>
      <c r="J12" s="22">
        <v>27839.52</v>
      </c>
      <c r="K12" s="41">
        <f>J12-I12</f>
        <v>5184.23</v>
      </c>
      <c r="L12" s="37">
        <f t="shared" si="0"/>
        <v>22655.29</v>
      </c>
      <c r="M12" s="37">
        <f t="shared" si="1"/>
        <v>27839.52</v>
      </c>
      <c r="N12" s="42">
        <f>M12-L12</f>
        <v>5184.23</v>
      </c>
    </row>
    <row r="13" s="2" customFormat="1" ht="30.75" customHeight="1" spans="1:14">
      <c r="A13" s="20" t="s">
        <v>26</v>
      </c>
      <c r="B13" s="21" t="s">
        <v>27</v>
      </c>
      <c r="C13" s="28"/>
      <c r="D13" s="28"/>
      <c r="E13" s="28"/>
      <c r="F13" s="22"/>
      <c r="G13" s="22"/>
      <c r="H13" s="22"/>
      <c r="I13" s="22"/>
      <c r="J13" s="22"/>
      <c r="K13" s="41"/>
      <c r="L13" s="37"/>
      <c r="M13" s="37"/>
      <c r="N13" s="42"/>
    </row>
    <row r="14" s="2" customFormat="1" ht="30.75" customHeight="1" spans="1:14">
      <c r="A14" s="23" t="s">
        <v>28</v>
      </c>
      <c r="B14" s="21" t="s">
        <v>29</v>
      </c>
      <c r="C14" s="28"/>
      <c r="D14" s="28"/>
      <c r="E14" s="28"/>
      <c r="F14" s="22">
        <v>1002</v>
      </c>
      <c r="G14" s="22">
        <v>7250</v>
      </c>
      <c r="H14" s="22">
        <f>G14-F14</f>
        <v>6248</v>
      </c>
      <c r="I14" s="22"/>
      <c r="J14" s="22"/>
      <c r="K14" s="41"/>
      <c r="L14" s="37">
        <f t="shared" si="0"/>
        <v>1002</v>
      </c>
      <c r="M14" s="37">
        <f t="shared" si="1"/>
        <v>7250</v>
      </c>
      <c r="N14" s="42">
        <f t="shared" ref="N14:N16" si="3">M14-L14</f>
        <v>6248</v>
      </c>
    </row>
    <row r="15" s="2" customFormat="1" ht="30.75" customHeight="1" spans="1:14">
      <c r="A15" s="20" t="s">
        <v>30</v>
      </c>
      <c r="B15" s="21" t="s">
        <v>31</v>
      </c>
      <c r="C15" s="29"/>
      <c r="D15" s="29"/>
      <c r="E15" s="29"/>
      <c r="F15" s="22">
        <v>1290</v>
      </c>
      <c r="G15" s="22">
        <v>1680</v>
      </c>
      <c r="H15" s="22">
        <f>G15-F15</f>
        <v>390</v>
      </c>
      <c r="I15" s="22"/>
      <c r="J15" s="22"/>
      <c r="K15" s="41"/>
      <c r="L15" s="37">
        <f t="shared" si="0"/>
        <v>1290</v>
      </c>
      <c r="M15" s="37">
        <f t="shared" si="1"/>
        <v>1680</v>
      </c>
      <c r="N15" s="42">
        <f t="shared" si="3"/>
        <v>390</v>
      </c>
    </row>
    <row r="16" s="3" customFormat="1" ht="30.75" customHeight="1" spans="1:14">
      <c r="A16" s="20"/>
      <c r="B16" s="30" t="s">
        <v>32</v>
      </c>
      <c r="C16" s="31">
        <f>SUM(C5:C15)</f>
        <v>96581</v>
      </c>
      <c r="D16" s="32">
        <f>SUM(D5:D15)</f>
        <v>14570</v>
      </c>
      <c r="E16" s="33">
        <f>D16-C16</f>
        <v>-82011</v>
      </c>
      <c r="F16" s="32">
        <f>SUM(F5:F15)</f>
        <v>67231</v>
      </c>
      <c r="G16" s="32">
        <f>SUM(G5:G15)</f>
        <v>64468</v>
      </c>
      <c r="H16" s="32">
        <f>G16-F16</f>
        <v>-2763</v>
      </c>
      <c r="I16" s="44">
        <f>SUM(I5:I15)</f>
        <v>249030.79</v>
      </c>
      <c r="J16" s="44">
        <f>SUM(J5:J15)</f>
        <v>194429.07</v>
      </c>
      <c r="K16" s="45">
        <f>J16-I16</f>
        <v>-54601.72</v>
      </c>
      <c r="L16" s="44">
        <f>SUM(L5:L15)</f>
        <v>412842.79</v>
      </c>
      <c r="M16" s="44">
        <f>SUM(M5:M15)</f>
        <v>273467.07</v>
      </c>
      <c r="N16" s="32">
        <f t="shared" si="3"/>
        <v>-139375.72</v>
      </c>
    </row>
    <row r="17" s="3" customFormat="1" ht="21.75" customHeight="1" spans="1:14">
      <c r="A17" s="34" t="s">
        <v>33</v>
      </c>
      <c r="B17" s="34"/>
      <c r="C17" s="4"/>
      <c r="D17"/>
      <c r="E17"/>
      <c r="F17" s="34" t="s">
        <v>34</v>
      </c>
      <c r="G17" s="34"/>
      <c r="H17"/>
      <c r="I17"/>
      <c r="J17" s="46"/>
      <c r="K17" s="46"/>
      <c r="L17" t="s">
        <v>35</v>
      </c>
      <c r="M17" s="47"/>
      <c r="N17" s="47"/>
    </row>
    <row r="18" s="3" customFormat="1" ht="54.75" customHeight="1" spans="1:14">
      <c r="A18" s="35" t="s">
        <v>36</v>
      </c>
      <c r="B18" s="35"/>
      <c r="C18" s="35"/>
      <c r="D18" s="35"/>
      <c r="E18" s="35"/>
      <c r="F18" s="35"/>
      <c r="G18" s="35"/>
      <c r="H18" s="35"/>
      <c r="I18"/>
      <c r="J18"/>
      <c r="K18"/>
      <c r="L18"/>
      <c r="M18" s="47"/>
      <c r="N18" s="47"/>
    </row>
    <row r="19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17:B17"/>
    <mergeCell ref="F17:G17"/>
    <mergeCell ref="J17:K17"/>
    <mergeCell ref="M17:N17"/>
    <mergeCell ref="A18:H18"/>
    <mergeCell ref="M18:N18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2020-01-10T01:41:44Z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