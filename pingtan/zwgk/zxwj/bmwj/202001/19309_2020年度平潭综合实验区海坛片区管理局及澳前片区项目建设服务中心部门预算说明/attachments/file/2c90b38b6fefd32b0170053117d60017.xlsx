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 tabRatio="1000" activeTab="11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<sst xmlns="http://schemas.openxmlformats.org/spreadsheetml/2006/main" count="908" uniqueCount="423">
  <si>
    <t>附表5-1</t>
  </si>
  <si>
    <t>2020年度收支预算总表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</si>
  <si>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</si>
  <si>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</si>
  <si>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</si>
  <si>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</si>
  <si>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</si>
  <si>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</si>
  <si>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</si>
  <si>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</si>
  <si>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</si>
  <si>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</si>
  <si>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</si>
  <si>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</si>
  <si>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</si>
  <si>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</si>
  <si>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</si>
  <si>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</si>
  <si>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</si>
  <si>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</si>
  <si>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附表5-2</t>
  </si>
  <si>
    <t>2020年度收入预算总表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</si>
  <si>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</si>
  <si>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</si>
  <si>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</si>
  <si>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</si>
  <si>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</si>
  <si>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</si>
  <si>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</si>
  <si>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</si>
  <si>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</si>
  <si>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</si>
  <si>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05001</t>
  </si>
  <si>
    <t>海坛片区管理局</t>
  </si>
  <si>
    <t>05003</t>
  </si>
  <si>
    <t>澳前片区项目建设服务中心</t>
  </si>
  <si>
    <t>附表5-3</t>
  </si>
  <si>
    <t>2020年度支出预算总表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</si>
  <si>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</si>
  <si>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</si>
  <si>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</si>
  <si>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</si>
  <si>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</si>
  <si>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</si>
  <si>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</si>
  <si>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行政运行</t>
  </si>
  <si>
    <t>森林生态效益补偿</t>
  </si>
  <si>
    <t>对村民委员会和村党支部的补助</t>
  </si>
  <si>
    <t>一般行政管理事务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</si>
  <si>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</si>
  <si>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附表5-4</t>
  </si>
  <si>
    <t>2020年度财政拨款收支预算总表</t>
  </si>
  <si>
    <t xml:space="preserve">    人员支出</t>
  </si>
  <si>
    <t xml:space="preserve">    对个人和家庭补助支出</t>
  </si>
  <si>
    <t xml:space="preserve">    公用支出</t>
  </si>
  <si>
    <t>附表5-5</t>
  </si>
  <si>
    <t>2020年度一般公共预算拨款支出预算表</t>
  </si>
  <si>
    <t>其中：</t>
  </si>
  <si>
    <t>基本支出</t>
  </si>
  <si>
    <t>备注：本表公开到政府支出功能分类项级科目。</t>
  </si>
  <si>
    <t>附表5-6</t>
  </si>
  <si>
    <t>2020年度政府性基金拨款支出预算表</t>
  </si>
  <si>
    <t>本表无数据</t>
  </si>
  <si>
    <t>备注：1.本表公开到政府支出功能分类项级科目。</t>
  </si>
  <si>
    <t xml:space="preserve">      2.没有数据的单位应当列出空表并说明。</t>
  </si>
  <si>
    <t>附表5-7</t>
  </si>
  <si>
    <t>2020年度一般公共预算支出经济分类情况表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</si>
  <si>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</si>
  <si>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</si>
  <si>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</si>
  <si>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</si>
  <si>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</si>
  <si>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</si>
  <si>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</si>
  <si>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</si>
  <si>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</si>
  <si>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</si>
  <si>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</si>
  <si>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</si>
  <si>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</si>
  <si>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</si>
  <si>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</si>
  <si>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</si>
  <si>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</si>
  <si>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</si>
  <si>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</si>
  <si>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</si>
  <si>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</si>
  <si>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</si>
  <si>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附表5-8</t>
  </si>
  <si>
    <t>2020年度一般公共预算基本支出经济分类情况表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</si>
  <si>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</si>
  <si>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</si>
  <si>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</si>
  <si>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</si>
  <si>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</si>
  <si>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</si>
  <si>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</si>
  <si>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</si>
  <si>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</si>
  <si>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</si>
  <si>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</si>
  <si>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</si>
  <si>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</si>
  <si>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</si>
  <si>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</si>
  <si>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</si>
  <si>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</si>
  <si>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</si>
  <si>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</si>
  <si>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</si>
  <si>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</si>
  <si>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</si>
  <si>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</si>
  <si>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</si>
  <si>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</si>
  <si>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</si>
  <si>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</si>
  <si>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</si>
  <si>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</si>
  <si>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</si>
  <si>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</si>
  <si>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</si>
  <si>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</si>
  <si>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</si>
  <si>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</si>
  <si>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</si>
  <si>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</si>
  <si>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</si>
  <si>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</si>
  <si>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</si>
  <si>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</si>
  <si>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</si>
  <si>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</si>
  <si>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</si>
  <si>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</si>
  <si>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</si>
  <si>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</si>
  <si>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</si>
  <si>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</si>
  <si>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</si>
  <si>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</si>
  <si>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</si>
  <si>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</si>
  <si>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</si>
  <si>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</si>
  <si>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</si>
  <si>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</si>
  <si>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</si>
  <si>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</si>
  <si>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</si>
  <si>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</si>
  <si>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</si>
  <si>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</si>
  <si>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</si>
  <si>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</si>
  <si>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</si>
  <si>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</si>
  <si>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</si>
  <si>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</si>
  <si>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</si>
  <si>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</si>
  <si>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</si>
  <si>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</si>
  <si>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</si>
  <si>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</si>
  <si>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</si>
  <si>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</si>
  <si>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</si>
  <si>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</si>
  <si>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</si>
  <si>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</si>
  <si>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</si>
  <si>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</si>
  <si>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</si>
  <si>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</si>
  <si>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</si>
  <si>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</si>
  <si>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</si>
  <si>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</si>
  <si>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</si>
  <si>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</si>
  <si>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</si>
  <si>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</si>
  <si>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</si>
  <si>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</si>
  <si>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</si>
  <si>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</si>
  <si>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</si>
  <si>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</si>
  <si>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</si>
  <si>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</si>
  <si>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</si>
  <si>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</si>
  <si>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</si>
  <si>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</si>
  <si>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</si>
  <si>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</si>
  <si>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</si>
  <si>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</si>
  <si>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</si>
  <si>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</si>
  <si>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</si>
  <si>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</si>
  <si>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</si>
  <si>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</si>
  <si>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</si>
  <si>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</si>
  <si>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</si>
  <si>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</si>
  <si>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</si>
  <si>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</si>
  <si>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</si>
  <si>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</si>
  <si>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</si>
  <si>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</si>
  <si>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</si>
  <si>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</si>
  <si>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</si>
  <si>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</si>
  <si>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</si>
  <si>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</si>
  <si>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</si>
  <si>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</si>
  <si>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</si>
  <si>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</si>
  <si>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</si>
  <si>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</si>
  <si>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</si>
  <si>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</si>
  <si>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</si>
  <si>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</si>
  <si>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</si>
  <si>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</si>
  <si>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</si>
  <si>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</si>
  <si>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</si>
  <si>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</si>
  <si>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</si>
  <si>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</si>
  <si>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</si>
  <si>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</si>
  <si>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</si>
  <si>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</si>
  <si>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</si>
  <si>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</si>
  <si>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</si>
  <si>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</si>
  <si>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</si>
  <si>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</si>
  <si>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</si>
  <si>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</si>
  <si>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</si>
  <si>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</si>
  <si>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</si>
  <si>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</si>
  <si>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</si>
  <si>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</si>
  <si>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</si>
  <si>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</si>
  <si>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</si>
  <si>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</si>
  <si>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</si>
  <si>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</si>
  <si>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</si>
  <si>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</si>
  <si>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</si>
  <si>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</si>
  <si>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</si>
  <si>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</si>
  <si>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附表5-9</t>
  </si>
  <si>
    <t>2020年度一般公共预算“三公”经费支出预算表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</si>
  <si>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</si>
  <si>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</si>
  <si>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</si>
  <si>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</si>
  <si>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</si>
  <si>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</si>
  <si>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</si>
  <si>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附表5-10</t>
  </si>
  <si>
    <t>2020年度部门专项资金管理清单目录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</si>
  <si>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</si>
  <si>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</si>
  <si>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</si>
  <si>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</si>
  <si>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</si>
  <si>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</si>
  <si>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</si>
  <si>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</si>
  <si>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</si>
  <si>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</si>
  <si>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</si>
  <si>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</si>
  <si>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</si>
  <si>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附件2：</t>
  </si>
  <si>
    <t xml:space="preserve">部门业务费绩效目标申报表                             </t>
  </si>
  <si>
    <t>填报单位:（盖章）平潭综合实验区海坛片区管理局</t>
  </si>
  <si>
    <t>项目资金申请（万元）</t>
  </si>
  <si>
    <t xml:space="preserve">资金总额(年度预算按排)： </t>
  </si>
  <si>
    <t>公共财政预算拨款：</t>
  </si>
  <si>
    <t xml:space="preserve">基金预算拨款： </t>
  </si>
  <si>
    <t>其他：</t>
  </si>
  <si>
    <t>总体目标</t>
  </si>
  <si>
    <t>保证海坛片区89名行政干部，28名行政工勤，41名事业干部，15名行政工勤，106名公助临聘三支一扶人员工资正常发放，医社保公积金等正常缴纳</t>
  </si>
  <si>
    <t>一级指标</t>
  </si>
  <si>
    <t>二级指标</t>
  </si>
  <si>
    <t>三级指标</t>
  </si>
  <si>
    <t>指标解释</t>
  </si>
  <si>
    <t>绩效目标值</t>
  </si>
  <si>
    <t>当年度目标</t>
  </si>
  <si>
    <t>产出指标</t>
  </si>
  <si>
    <t>数量指标</t>
  </si>
  <si>
    <t>业务费细化率</t>
  </si>
  <si>
    <t>90%以上</t>
  </si>
  <si>
    <t>保障干部职工人数</t>
  </si>
  <si>
    <t>片区279名人员工资等正常发放</t>
  </si>
  <si>
    <t>质量指标</t>
  </si>
  <si>
    <t>细化项目目标完成情况</t>
  </si>
  <si>
    <t>资金使用合规性</t>
  </si>
  <si>
    <t>资金使用是否合规性</t>
  </si>
  <si>
    <t>按规定使用</t>
  </si>
  <si>
    <t>时效指标</t>
  </si>
  <si>
    <t>支出进度</t>
  </si>
  <si>
    <t>按月发放</t>
  </si>
  <si>
    <t>全部发放完毕</t>
  </si>
  <si>
    <t>项目资金计划完成率</t>
  </si>
  <si>
    <t>完成情况</t>
  </si>
  <si>
    <t>95%以上</t>
  </si>
  <si>
    <t>成本指标</t>
  </si>
  <si>
    <t>人员经费增长率</t>
  </si>
  <si>
    <t>不超过31.72%</t>
  </si>
  <si>
    <t>公用经费增长率</t>
  </si>
  <si>
    <t>不超过5.9%</t>
  </si>
  <si>
    <t>对个人和家庭的补助支出增长率</t>
  </si>
  <si>
    <t>不超过1.2%</t>
  </si>
  <si>
    <t>效益指标</t>
  </si>
  <si>
    <t>经济效益指标</t>
  </si>
  <si>
    <t>∕</t>
  </si>
  <si>
    <t>社会效益指标</t>
  </si>
  <si>
    <t>提升干部职工工作积极的性</t>
  </si>
  <si>
    <t>能否按要求完成各项工作</t>
  </si>
  <si>
    <t>95%%</t>
  </si>
  <si>
    <t>95%以上%</t>
  </si>
  <si>
    <t>生态效益指标</t>
  </si>
  <si>
    <t>可持续影响指标</t>
  </si>
  <si>
    <t>满意度指标</t>
  </si>
  <si>
    <t>服务对象满意度指标</t>
  </si>
  <si>
    <t>主管部门满意度</t>
  </si>
  <si>
    <t>是否满意</t>
  </si>
  <si>
    <t>干部职工满意度</t>
  </si>
  <si>
    <t>备注</t>
  </si>
  <si>
    <r>
      <rPr>
        <sz val="11"/>
        <color theme="1"/>
        <rFont val="宋体"/>
        <charset val="134"/>
      </rPr>
      <t>填报人：</t>
    </r>
    <r>
      <rPr>
        <sz val="11"/>
        <color indexed="8"/>
        <rFont val="Calibri"/>
        <charset val="134"/>
      </rPr>
      <t xml:space="preserve">   </t>
    </r>
  </si>
  <si>
    <r>
      <rPr>
        <sz val="11"/>
        <color theme="1"/>
        <rFont val="宋体"/>
        <charset val="134"/>
      </rPr>
      <t>审核人：</t>
    </r>
    <r>
      <rPr>
        <sz val="11"/>
        <color indexed="8"/>
        <rFont val="Calibri"/>
        <charset val="134"/>
      </rPr>
      <t xml:space="preserve">  </t>
    </r>
  </si>
  <si>
    <t>填报日期：</t>
  </si>
  <si>
    <t>保障村居干部人数</t>
  </si>
  <si>
    <t>保障干部人数</t>
  </si>
  <si>
    <t>村居人员工资等正常发放</t>
  </si>
  <si>
    <t>财政经费投入额</t>
  </si>
  <si>
    <t>1417.24万元</t>
  </si>
  <si>
    <t>1417.24万元以内</t>
  </si>
  <si>
    <t>提升村居干部工作积极性</t>
  </si>
  <si>
    <t>能否提升工作积极性</t>
  </si>
  <si>
    <t>附件1：</t>
  </si>
  <si>
    <t xml:space="preserve">财政支出项目绩效目标申报表                             </t>
  </si>
  <si>
    <t>项目名称</t>
  </si>
  <si>
    <t>党建经费</t>
  </si>
  <si>
    <t>项目分类</t>
  </si>
  <si>
    <r>
      <rPr>
        <sz val="11"/>
        <color theme="1"/>
        <rFont val="宋体"/>
        <charset val="134"/>
      </rPr>
      <t>社会发展专项 □                     部门发展专项 □</t>
    </r>
    <r>
      <rPr>
        <sz val="11"/>
        <color theme="1"/>
        <rFont val="Arial"/>
        <charset val="134"/>
      </rPr>
      <t>√</t>
    </r>
    <r>
      <rPr>
        <sz val="11"/>
        <color theme="1"/>
        <rFont val="宋体"/>
        <charset val="134"/>
      </rPr>
      <t xml:space="preserve">                    其他□    </t>
    </r>
  </si>
  <si>
    <r>
      <rPr>
        <sz val="11"/>
        <color theme="1"/>
        <rFont val="宋体"/>
        <charset val="134"/>
      </rPr>
      <t xml:space="preserve"> </t>
    </r>
    <r>
      <rPr>
        <sz val="11"/>
        <color theme="1"/>
        <rFont val="Arial"/>
        <charset val="134"/>
      </rPr>
      <t>∕</t>
    </r>
  </si>
  <si>
    <t xml:space="preserve"> ∕</t>
  </si>
  <si>
    <t>立项项目编码</t>
  </si>
  <si>
    <t>立项项目名称</t>
  </si>
  <si>
    <t>存续类型</t>
  </si>
  <si>
    <t>延续 □  新增 □</t>
  </si>
  <si>
    <t>项目负责人</t>
  </si>
  <si>
    <t>联系电话</t>
  </si>
  <si>
    <t>项目起止时间</t>
  </si>
  <si>
    <t>2020.1.1-2020.12.31</t>
  </si>
  <si>
    <t>项目概况</t>
  </si>
  <si>
    <t>党的政治建设经费增强组织凝聚力</t>
  </si>
  <si>
    <t>项目立项情况</t>
  </si>
  <si>
    <t>项目立项的依据</t>
  </si>
  <si>
    <t>根据管委会相关文件精神</t>
  </si>
  <si>
    <t>项目申报的可行性</t>
  </si>
  <si>
    <t>符合片区发展实际情况开展专项</t>
  </si>
  <si>
    <t>1000万元</t>
  </si>
  <si>
    <t>项目正常开展，增强组织凝聚力</t>
  </si>
  <si>
    <t>涉及党员数量</t>
  </si>
  <si>
    <t>数量</t>
  </si>
  <si>
    <t>全体党员</t>
  </si>
  <si>
    <t>党建活动完成率</t>
  </si>
  <si>
    <t>是否合格</t>
  </si>
  <si>
    <t>完成时间</t>
  </si>
  <si>
    <t>能否完成</t>
  </si>
  <si>
    <t>2020.12.31</t>
  </si>
  <si>
    <t>项目总费用控制</t>
  </si>
  <si>
    <t>费用控制</t>
  </si>
  <si>
    <t>1000万元以内</t>
  </si>
  <si>
    <t>节约开支，到达预期</t>
  </si>
  <si>
    <t>完成</t>
  </si>
  <si>
    <t>增强党员干部工作积极性</t>
  </si>
  <si>
    <t>积极性</t>
  </si>
  <si>
    <t>有所提升</t>
  </si>
  <si>
    <t>增强组织凝聚力</t>
  </si>
  <si>
    <t>能否增强</t>
  </si>
  <si>
    <t>服务群众满意度</t>
  </si>
  <si>
    <t>应急管理（含安全生产）</t>
  </si>
  <si>
    <t>应急管理正常进行，积极应对突发事件，保证安全生产</t>
  </si>
  <si>
    <t>100万元</t>
  </si>
  <si>
    <t>项目正常开展，安全生产，积极应对突发事件</t>
  </si>
  <si>
    <t>涉及部门数量</t>
  </si>
  <si>
    <t>5个</t>
  </si>
  <si>
    <t>5个以上</t>
  </si>
  <si>
    <t>应急管理及时率</t>
  </si>
  <si>
    <t>是否及时</t>
  </si>
  <si>
    <t>安全生产覆盖率</t>
  </si>
  <si>
    <t>覆盖率</t>
  </si>
  <si>
    <r>
      <rPr>
        <sz val="11"/>
        <color theme="1"/>
        <rFont val="宋体"/>
        <charset val="134"/>
      </rPr>
      <t>95%</t>
    </r>
    <r>
      <rPr>
        <sz val="11"/>
        <color theme="1"/>
        <rFont val="宋体"/>
        <charset val="134"/>
      </rPr>
      <t>以上</t>
    </r>
  </si>
  <si>
    <t>100万元以内</t>
  </si>
  <si>
    <t>保障应急管理及时有效</t>
  </si>
  <si>
    <t>有效率</t>
  </si>
  <si>
    <t>居民生活质量</t>
  </si>
  <si>
    <t>能否提升</t>
  </si>
</sst>
</file>

<file path=xl/styles.xml><?xml version="1.0" encoding="utf-8"?>
<styleSheet xmlns="http://schemas.openxmlformats.org/spreadsheetml/2006/main">
  <numFmts count="21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_-* #,##0.0000_-;\-* #,##0.0000_-;_-* &quot;-&quot;??_-;_-@_-"/>
    <numFmt numFmtId="177" formatCode="_-\¥* #,##0_-;\-\¥* #,##0_-;_-\¥* &quot;-&quot;_-;_-@_-"/>
    <numFmt numFmtId="178" formatCode="_ \¥* #,##0.00_ ;_ \¥* \-#,##0.00_ ;_ \¥* &quot;-&quot;??_ ;_ @_ "/>
    <numFmt numFmtId="179" formatCode="_-* #,##0.00_-;\-* #,##0.00_-;_-* &quot;-&quot;??_-;_-@_-"/>
    <numFmt numFmtId="180" formatCode="0.0"/>
    <numFmt numFmtId="181" formatCode="\$#,##0;\(\$#,##0\)"/>
    <numFmt numFmtId="182" formatCode="\$#,##0.00;\(\$#,##0.00\)"/>
    <numFmt numFmtId="183" formatCode="#,##0.0"/>
    <numFmt numFmtId="184" formatCode="_(&quot;$&quot;* #,##0.00_);_(&quot;$&quot;* \(#,##0.00\);_(&quot;$&quot;* &quot;-&quot;??_);_(@_)"/>
    <numFmt numFmtId="185" formatCode="#,##0;\-#,##0;&quot;-&quot;"/>
    <numFmt numFmtId="186" formatCode="#,##0;\(#,##0\)"/>
    <numFmt numFmtId="187" formatCode="_(* #,##0.00_);_(* \(#,##0.00\);_(* &quot;-&quot;??_);_(@_)"/>
    <numFmt numFmtId="188" formatCode="_-&quot;$&quot;* #,##0_-;\-&quot;$&quot;* #,##0_-;_-&quot;$&quot;* &quot;-&quot;_-;_-@_-"/>
    <numFmt numFmtId="189" formatCode="#,##0.000_ "/>
    <numFmt numFmtId="190" formatCode="#,##0.00_ "/>
    <numFmt numFmtId="191" formatCode="_-* #,##0_-;\-* #,##0_-;_-* &quot;-&quot;_-;_-@_-"/>
    <numFmt numFmtId="192" formatCode="* #,##0.0;* \-#,##0.0;* &quot;&quot;??;@"/>
  </numFmts>
  <fonts count="79">
    <font>
      <sz val="12"/>
      <name val="宋体"/>
      <charset val="134"/>
    </font>
    <font>
      <sz val="11"/>
      <name val="宋体"/>
      <charset val="134"/>
    </font>
    <font>
      <sz val="14"/>
      <color theme="1"/>
      <name val="方正小标宋简体"/>
      <charset val="134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sz val="16"/>
      <name val="方正小标宋_GBK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华文楷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sz val="10"/>
      <color indexed="8"/>
      <name val="宋体"/>
      <charset val="134"/>
    </font>
    <font>
      <sz val="20"/>
      <name val="黑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1"/>
      <color indexed="9"/>
      <name val="宋体"/>
      <charset val="134"/>
    </font>
    <font>
      <sz val="11"/>
      <color theme="1"/>
      <name val="宋体"/>
      <charset val="134"/>
      <scheme val="minor"/>
    </font>
    <font>
      <sz val="11"/>
      <color indexed="10"/>
      <name val="宋体"/>
      <charset val="134"/>
    </font>
    <font>
      <sz val="11"/>
      <color indexed="42"/>
      <name val="宋体"/>
      <charset val="134"/>
    </font>
    <font>
      <b/>
      <sz val="15"/>
      <color indexed="56"/>
      <name val="宋体"/>
      <charset val="134"/>
    </font>
    <font>
      <sz val="11"/>
      <color indexed="52"/>
      <name val="宋体"/>
      <charset val="134"/>
    </font>
    <font>
      <b/>
      <sz val="21"/>
      <name val="楷体_GB2312"/>
      <charset val="134"/>
    </font>
    <font>
      <sz val="11"/>
      <color indexed="20"/>
      <name val="宋体"/>
      <charset val="134"/>
    </font>
    <font>
      <u/>
      <sz val="11"/>
      <color rgb="FF0000FF"/>
      <name val="宋体"/>
      <charset val="0"/>
      <scheme val="minor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11"/>
      <color indexed="52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8"/>
      <color indexed="62"/>
      <name val="宋体"/>
      <charset val="134"/>
    </font>
    <font>
      <b/>
      <sz val="18"/>
      <color indexed="56"/>
      <name val="宋体"/>
      <charset val="134"/>
    </font>
    <font>
      <sz val="12"/>
      <color indexed="20"/>
      <name val="宋体"/>
      <charset val="134"/>
    </font>
    <font>
      <b/>
      <sz val="11"/>
      <color indexed="42"/>
      <name val="宋体"/>
      <charset val="134"/>
    </font>
    <font>
      <sz val="9"/>
      <color indexed="8"/>
      <name val="宋体"/>
      <charset val="134"/>
    </font>
    <font>
      <b/>
      <sz val="18"/>
      <color theme="3"/>
      <name val="宋体"/>
      <charset val="134"/>
      <scheme val="major"/>
    </font>
    <font>
      <b/>
      <sz val="11"/>
      <color indexed="62"/>
      <name val="宋体"/>
      <charset val="134"/>
    </font>
    <font>
      <b/>
      <sz val="12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sz val="8"/>
      <name val="Times New Roman"/>
      <charset val="134"/>
    </font>
    <font>
      <b/>
      <sz val="13"/>
      <color indexed="62"/>
      <name val="宋体"/>
      <charset val="134"/>
    </font>
    <font>
      <u/>
      <sz val="12"/>
      <color indexed="36"/>
      <name val="宋体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12"/>
      <name val="Courier"/>
      <charset val="134"/>
    </font>
    <font>
      <b/>
      <sz val="11"/>
      <color indexed="54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1"/>
      <color indexed="8"/>
      <name val="Calibri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36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3" fillId="7" borderId="18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36" fillId="0" borderId="0" applyFont="0" applyFill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19" fillId="10" borderId="0" applyNumberFormat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42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43" fontId="3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13" borderId="20" applyNumberFormat="0" applyFon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0" fillId="0" borderId="0"/>
    <xf numFmtId="0" fontId="3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1" fillId="0" borderId="0">
      <alignment horizontal="centerContinuous" vertical="center"/>
    </xf>
    <xf numFmtId="0" fontId="0" fillId="0" borderId="0"/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0" fillId="0" borderId="0"/>
    <xf numFmtId="0" fontId="39" fillId="0" borderId="21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/>
    <xf numFmtId="0" fontId="45" fillId="0" borderId="2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2" fillId="5" borderId="0" applyNumberFormat="0" applyBorder="0" applyAlignment="0" applyProtection="0">
      <alignment vertical="center"/>
    </xf>
    <xf numFmtId="0" fontId="0" fillId="0" borderId="0"/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0" fillId="17" borderId="25" applyNumberFormat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0" fillId="0" borderId="0"/>
    <xf numFmtId="0" fontId="35" fillId="11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0" fillId="0" borderId="0">
      <alignment vertical="center"/>
    </xf>
    <xf numFmtId="0" fontId="34" fillId="8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15" borderId="0" applyNumberFormat="0" applyBorder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11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7" borderId="0" applyNumberFormat="0" applyBorder="0" applyAlignment="0" applyProtection="0">
      <alignment vertical="center"/>
    </xf>
    <xf numFmtId="0" fontId="0" fillId="0" borderId="0"/>
    <xf numFmtId="0" fontId="32" fillId="19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36" fillId="0" borderId="0"/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8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4" fillId="11" borderId="19" applyNumberFormat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2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4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3" fillId="7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2" fillId="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36" fillId="0" borderId="0"/>
    <xf numFmtId="0" fontId="0" fillId="0" borderId="0">
      <alignment vertical="center"/>
    </xf>
    <xf numFmtId="0" fontId="54" fillId="11" borderId="19" applyNumberFormat="0" applyAlignment="0" applyProtection="0">
      <alignment vertical="center"/>
    </xf>
    <xf numFmtId="0" fontId="11" fillId="0" borderId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4" fillId="8" borderId="0" applyNumberFormat="0" applyBorder="0" applyAlignment="0" applyProtection="0">
      <alignment vertical="center"/>
    </xf>
    <xf numFmtId="0" fontId="55" fillId="0" borderId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0" fillId="0" borderId="0"/>
    <xf numFmtId="0" fontId="36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0" borderId="0"/>
    <xf numFmtId="0" fontId="3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11" borderId="19" applyNumberForma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/>
    <xf numFmtId="0" fontId="19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8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4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2" fillId="19" borderId="0" applyNumberFormat="0" applyBorder="0" applyAlignment="0" applyProtection="0">
      <alignment vertical="center"/>
    </xf>
    <xf numFmtId="0" fontId="0" fillId="0" borderId="0"/>
    <xf numFmtId="0" fontId="3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/>
    <xf numFmtId="0" fontId="19" fillId="2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48" fillId="20" borderId="18" applyNumberFormat="0" applyAlignment="0" applyProtection="0">
      <alignment vertical="center"/>
    </xf>
    <xf numFmtId="0" fontId="0" fillId="0" borderId="0"/>
    <xf numFmtId="0" fontId="32" fillId="10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2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5" fillId="11" borderId="19" applyNumberFormat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0" fillId="0" borderId="0"/>
    <xf numFmtId="0" fontId="3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42" fillId="15" borderId="0" applyNumberFormat="0" applyBorder="0" applyAlignment="0" applyProtection="0">
      <alignment vertical="center"/>
    </xf>
    <xf numFmtId="0" fontId="0" fillId="0" borderId="0"/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20" borderId="0" applyNumberFormat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38" fillId="10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/>
    <xf numFmtId="0" fontId="20" fillId="0" borderId="0">
      <alignment vertical="center"/>
    </xf>
    <xf numFmtId="0" fontId="0" fillId="0" borderId="0">
      <alignment vertical="center"/>
    </xf>
    <xf numFmtId="0" fontId="20" fillId="0" borderId="0"/>
    <xf numFmtId="0" fontId="0" fillId="0" borderId="0"/>
    <xf numFmtId="0" fontId="32" fillId="26" borderId="0" applyNumberFormat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0" fillId="0" borderId="0"/>
    <xf numFmtId="0" fontId="32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2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35" fillId="11" borderId="19" applyNumberFormat="0" applyAlignment="0" applyProtection="0">
      <alignment vertical="center"/>
    </xf>
    <xf numFmtId="0" fontId="20" fillId="0" borderId="0"/>
    <xf numFmtId="0" fontId="0" fillId="0" borderId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0" borderId="0"/>
    <xf numFmtId="0" fontId="0" fillId="0" borderId="0">
      <alignment vertical="center"/>
    </xf>
    <xf numFmtId="0" fontId="0" fillId="0" borderId="0"/>
    <xf numFmtId="0" fontId="35" fillId="11" borderId="19" applyNumberFormat="0" applyAlignment="0" applyProtection="0">
      <alignment vertical="center"/>
    </xf>
    <xf numFmtId="0" fontId="11" fillId="0" borderId="0"/>
    <xf numFmtId="0" fontId="11" fillId="0" borderId="0"/>
    <xf numFmtId="0" fontId="0" fillId="0" borderId="0"/>
    <xf numFmtId="0" fontId="0" fillId="0" borderId="0"/>
    <xf numFmtId="0" fontId="20" fillId="0" borderId="0"/>
    <xf numFmtId="0" fontId="0" fillId="0" borderId="0"/>
    <xf numFmtId="0" fontId="1" fillId="0" borderId="1">
      <alignment horizontal="distributed" vertical="center" wrapText="1"/>
    </xf>
    <xf numFmtId="0" fontId="0" fillId="0" borderId="0"/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20" fillId="0" borderId="0"/>
    <xf numFmtId="0" fontId="41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" fillId="0" borderId="1">
      <alignment horizontal="distributed" vertical="center" wrapText="1"/>
    </xf>
    <xf numFmtId="0" fontId="0" fillId="0" borderId="0"/>
    <xf numFmtId="0" fontId="0" fillId="13" borderId="20" applyNumberFormat="0" applyFont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0" fillId="0" borderId="0"/>
    <xf numFmtId="0" fontId="38" fillId="10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20" fillId="0" borderId="0"/>
    <xf numFmtId="0" fontId="0" fillId="0" borderId="0"/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36" fillId="0" borderId="0">
      <alignment vertical="center"/>
    </xf>
    <xf numFmtId="0" fontId="0" fillId="0" borderId="0"/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0" fillId="0" borderId="0"/>
    <xf numFmtId="0" fontId="19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9" fillId="0" borderId="21" applyNumberFormat="0" applyFill="0" applyAlignment="0" applyProtection="0">
      <alignment vertical="center"/>
    </xf>
    <xf numFmtId="0" fontId="0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2" fillId="10" borderId="0" applyNumberFormat="0" applyBorder="0" applyAlignment="0" applyProtection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9" fillId="0" borderId="21" applyNumberFormat="0" applyFill="0" applyAlignment="0" applyProtection="0">
      <alignment vertical="center"/>
    </xf>
    <xf numFmtId="0" fontId="0" fillId="0" borderId="0"/>
    <xf numFmtId="0" fontId="3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0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9" fillId="2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/>
    <xf numFmtId="0" fontId="3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" fillId="0" borderId="1">
      <alignment horizontal="distributed" vertical="center" wrapText="1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34" fillId="8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2" fillId="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2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54" fillId="11" borderId="19" applyNumberForma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/>
    <xf numFmtId="0" fontId="37" fillId="0" borderId="0" applyNumberFormat="0" applyFill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8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/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49" fillId="0" borderId="2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/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9" fillId="0" borderId="23" applyNumberFormat="0" applyFill="0" applyAlignment="0" applyProtection="0">
      <alignment vertical="center"/>
    </xf>
    <xf numFmtId="0" fontId="0" fillId="0" borderId="0"/>
    <xf numFmtId="0" fontId="0" fillId="0" borderId="0"/>
    <xf numFmtId="0" fontId="54" fillId="11" borderId="19" applyNumberFormat="0" applyAlignment="0" applyProtection="0">
      <alignment vertical="center"/>
    </xf>
    <xf numFmtId="180" fontId="1" fillId="0" borderId="1">
      <alignment vertical="center"/>
      <protection locked="0"/>
    </xf>
    <xf numFmtId="0" fontId="0" fillId="0" borderId="0">
      <alignment vertical="center"/>
    </xf>
    <xf numFmtId="0" fontId="3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>
      <alignment vertical="center"/>
    </xf>
    <xf numFmtId="0" fontId="49" fillId="0" borderId="23" applyNumberFormat="0" applyFill="0" applyAlignment="0" applyProtection="0">
      <alignment vertical="center"/>
    </xf>
    <xf numFmtId="0" fontId="0" fillId="0" borderId="0"/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6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35" fillId="11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9" fillId="17" borderId="0" applyNumberFormat="0" applyBorder="0" applyAlignment="0" applyProtection="0">
      <alignment vertical="center"/>
    </xf>
    <xf numFmtId="0" fontId="11" fillId="0" borderId="0"/>
    <xf numFmtId="0" fontId="0" fillId="0" borderId="0"/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8" fillId="17" borderId="18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8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66" fillId="0" borderId="2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4" fillId="11" borderId="19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/>
    <xf numFmtId="0" fontId="32" fillId="2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3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8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2" fillId="5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0" fontId="0" fillId="0" borderId="0"/>
    <xf numFmtId="0" fontId="34" fillId="8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19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4" fillId="11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/>
    <xf numFmtId="0" fontId="32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0" fillId="0" borderId="0"/>
    <xf numFmtId="0" fontId="32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64" fillId="0" borderId="2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9" fillId="0" borderId="21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8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34" fillId="8" borderId="0" applyNumberFormat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0" fillId="0" borderId="0">
      <alignment vertical="center"/>
    </xf>
    <xf numFmtId="0" fontId="3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48" fillId="20" borderId="18" applyNumberFormat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7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22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0" fillId="20" borderId="25" applyNumberFormat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7" fillId="0" borderId="0">
      <alignment vertical="center"/>
    </xf>
    <xf numFmtId="0" fontId="32" fillId="23" borderId="0" applyNumberFormat="0" applyBorder="0" applyAlignment="0" applyProtection="0">
      <alignment vertical="center"/>
    </xf>
    <xf numFmtId="0" fontId="0" fillId="0" borderId="0"/>
    <xf numFmtId="0" fontId="32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2" fillId="23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/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0" fontId="42" fillId="15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2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/>
    <xf numFmtId="0" fontId="42" fillId="1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7" fillId="0" borderId="0"/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19" fillId="20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5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8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15" borderId="0" applyNumberFormat="0" applyBorder="0" applyAlignment="0" applyProtection="0">
      <alignment vertical="center"/>
    </xf>
    <xf numFmtId="0" fontId="0" fillId="0" borderId="0"/>
    <xf numFmtId="0" fontId="34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2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3" fillId="7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0" fillId="0" borderId="0"/>
    <xf numFmtId="0" fontId="32" fillId="19" borderId="0" applyNumberFormat="0" applyBorder="0" applyAlignment="0" applyProtection="0">
      <alignment vertical="center"/>
    </xf>
    <xf numFmtId="0" fontId="0" fillId="0" borderId="0"/>
    <xf numFmtId="0" fontId="32" fillId="1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/>
    <xf numFmtId="0" fontId="3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2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0" fontId="62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62" fillId="0" borderId="23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8" fillId="20" borderId="18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1" fillId="0" borderId="0"/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0" fillId="0" borderId="0"/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/>
    <xf numFmtId="0" fontId="32" fillId="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0" fillId="0" borderId="0"/>
    <xf numFmtId="0" fontId="19" fillId="2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70" fillId="0" borderId="30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54" fillId="11" borderId="19" applyNumberFormat="0" applyAlignment="0" applyProtection="0">
      <alignment vertical="center"/>
    </xf>
    <xf numFmtId="180" fontId="1" fillId="0" borderId="1">
      <alignment vertical="center"/>
      <protection locked="0"/>
    </xf>
    <xf numFmtId="0" fontId="19" fillId="15" borderId="0" applyNumberFormat="0" applyBorder="0" applyAlignment="0" applyProtection="0">
      <alignment vertical="center"/>
    </xf>
    <xf numFmtId="0" fontId="36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/>
    <xf numFmtId="0" fontId="38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/>
    <xf numFmtId="0" fontId="38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0" borderId="0"/>
    <xf numFmtId="0" fontId="19" fillId="15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1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0" fillId="0" borderId="0"/>
    <xf numFmtId="0" fontId="19" fillId="13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9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38" fillId="1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8" borderId="0" applyNumberFormat="0" applyBorder="0" applyAlignment="0" applyProtection="0">
      <alignment vertical="center"/>
    </xf>
    <xf numFmtId="0" fontId="47" fillId="0" borderId="0"/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6" fillId="0" borderId="0"/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8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3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6" fillId="0" borderId="0"/>
    <xf numFmtId="0" fontId="51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6" fillId="0" borderId="0"/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6" fillId="0" borderId="0"/>
    <xf numFmtId="0" fontId="19" fillId="20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2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36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0" borderId="0">
      <alignment vertical="center"/>
    </xf>
    <xf numFmtId="1" fontId="11" fillId="0" borderId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0" borderId="0"/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0" borderId="1">
      <alignment horizontal="distributed" vertical="center" wrapText="1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6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37" fontId="71" fillId="0" borderId="0">
      <alignment vertical="center"/>
    </xf>
    <xf numFmtId="0" fontId="19" fillId="7" borderId="0" applyNumberFormat="0" applyBorder="0" applyAlignment="0" applyProtection="0">
      <alignment vertical="center"/>
    </xf>
    <xf numFmtId="37" fontId="71" fillId="0" borderId="0"/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182" fontId="73" fillId="0" borderId="0">
      <alignment vertical="center"/>
    </xf>
    <xf numFmtId="0" fontId="48" fillId="20" borderId="18" applyNumberFormat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9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19" fillId="0" borderId="0"/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74" fillId="0" borderId="0"/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/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39" fillId="0" borderId="2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6" fillId="0" borderId="0"/>
    <xf numFmtId="0" fontId="56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0" fontId="19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10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1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1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49" fillId="0" borderId="23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36" fillId="0" borderId="0"/>
    <xf numFmtId="0" fontId="49" fillId="0" borderId="23" applyNumberFormat="0" applyFill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1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1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0" fillId="0" borderId="0"/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0" borderId="0"/>
    <xf numFmtId="0" fontId="19" fillId="4" borderId="0" applyNumberFormat="0" applyBorder="0" applyAlignment="0" applyProtection="0">
      <alignment vertical="center"/>
    </xf>
    <xf numFmtId="0" fontId="19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19" fillId="22" borderId="0" applyNumberFormat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/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0" fillId="0" borderId="0"/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22" borderId="0" applyNumberFormat="0" applyBorder="0" applyAlignment="0" applyProtection="0">
      <alignment vertical="center"/>
    </xf>
    <xf numFmtId="0" fontId="59" fillId="0" borderId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22" borderId="0" applyNumberFormat="0" applyBorder="0" applyAlignment="0" applyProtection="0">
      <alignment vertical="center"/>
    </xf>
    <xf numFmtId="0" fontId="0" fillId="0" borderId="0"/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34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6" fillId="0" borderId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9" fillId="9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/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/>
    <xf numFmtId="0" fontId="48" fillId="17" borderId="18" applyNumberFormat="0" applyAlignment="0" applyProtection="0">
      <alignment vertical="center"/>
    </xf>
    <xf numFmtId="0" fontId="0" fillId="0" borderId="0"/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36" fillId="0" borderId="0"/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1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/>
    <xf numFmtId="0" fontId="19" fillId="14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36" fillId="0" borderId="0"/>
    <xf numFmtId="0" fontId="19" fillId="7" borderId="0" applyNumberFormat="0" applyBorder="0" applyAlignment="0" applyProtection="0">
      <alignment vertical="center"/>
    </xf>
    <xf numFmtId="0" fontId="19" fillId="0" borderId="0"/>
    <xf numFmtId="0" fontId="19" fillId="14" borderId="0" applyNumberFormat="0" applyBorder="0" applyAlignment="0" applyProtection="0">
      <alignment vertical="center"/>
    </xf>
    <xf numFmtId="0" fontId="47" fillId="0" borderId="0"/>
    <xf numFmtId="0" fontId="19" fillId="7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36" fillId="0" borderId="0"/>
    <xf numFmtId="0" fontId="19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6" fillId="0" borderId="0"/>
    <xf numFmtId="0" fontId="19" fillId="14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19" fillId="14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19" fillId="14" borderId="0" applyNumberFormat="0" applyBorder="0" applyAlignment="0" applyProtection="0">
      <alignment vertical="center"/>
    </xf>
    <xf numFmtId="0" fontId="0" fillId="0" borderId="0"/>
    <xf numFmtId="0" fontId="19" fillId="14" borderId="0" applyNumberFormat="0" applyBorder="0" applyAlignment="0" applyProtection="0">
      <alignment vertical="center"/>
    </xf>
    <xf numFmtId="0" fontId="19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19" fillId="14" borderId="0" applyNumberFormat="0" applyBorder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84" fontId="0" fillId="0" borderId="0" applyFon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0" borderId="0"/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/>
    <xf numFmtId="0" fontId="19" fillId="1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2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/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2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0" fillId="0" borderId="0"/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38" fillId="19" borderId="0" applyNumberFormat="0" applyBorder="0" applyAlignment="0" applyProtection="0">
      <alignment vertical="center"/>
    </xf>
    <xf numFmtId="185" fontId="74" fillId="0" borderId="0" applyFill="0" applyBorder="0" applyAlignment="0"/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19" fillId="0" borderId="0"/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/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6" borderId="0" applyNumberFormat="0" applyBorder="0" applyAlignment="0" applyProtection="0">
      <alignment vertical="center"/>
    </xf>
    <xf numFmtId="0" fontId="0" fillId="0" borderId="0"/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2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/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/>
    <xf numFmtId="0" fontId="45" fillId="0" borderId="24" applyNumberFormat="0" applyFill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186" fontId="73" fillId="0" borderId="0"/>
    <xf numFmtId="0" fontId="0" fillId="0" borderId="0">
      <alignment vertical="center"/>
    </xf>
    <xf numFmtId="0" fontId="38" fillId="10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2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8" fillId="3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8" fillId="3" borderId="0" applyNumberFormat="0" applyBorder="0" applyAlignment="0" applyProtection="0">
      <alignment vertical="center"/>
    </xf>
    <xf numFmtId="0" fontId="0" fillId="0" borderId="0"/>
    <xf numFmtId="0" fontId="38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64" fillId="0" borderId="29" applyNumberFormat="0" applyFill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2" fillId="4" borderId="0" applyNumberFormat="0" applyBorder="0" applyAlignment="0" applyProtection="0">
      <alignment vertical="center"/>
    </xf>
    <xf numFmtId="0" fontId="36" fillId="0" borderId="0"/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2" fillId="4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2" fillId="5" borderId="0" applyNumberFormat="0" applyBorder="0" applyAlignment="0" applyProtection="0">
      <alignment vertical="center"/>
    </xf>
    <xf numFmtId="0" fontId="0" fillId="0" borderId="0"/>
    <xf numFmtId="0" fontId="32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32" fillId="5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2" fillId="5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0" fillId="0" borderId="0"/>
    <xf numFmtId="0" fontId="32" fillId="5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2" fillId="5" borderId="0" applyNumberFormat="0" applyBorder="0" applyAlignment="0" applyProtection="0">
      <alignment vertical="center"/>
    </xf>
    <xf numFmtId="0" fontId="54" fillId="11" borderId="19" applyNumberFormat="0" applyAlignment="0" applyProtection="0">
      <alignment vertical="center"/>
    </xf>
    <xf numFmtId="0" fontId="11" fillId="0" borderId="0"/>
    <xf numFmtId="0" fontId="11" fillId="0" borderId="0"/>
    <xf numFmtId="0" fontId="32" fillId="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54" fillId="11" borderId="19" applyNumberFormat="0" applyAlignment="0" applyProtection="0">
      <alignment vertical="center"/>
    </xf>
    <xf numFmtId="0" fontId="11" fillId="0" borderId="0"/>
    <xf numFmtId="0" fontId="0" fillId="0" borderId="0">
      <alignment vertical="center"/>
    </xf>
    <xf numFmtId="0" fontId="32" fillId="5" borderId="0" applyNumberFormat="0" applyBorder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54" fillId="11" borderId="19" applyNumberFormat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54" fillId="11" borderId="19" applyNumberFormat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54" fillId="11" borderId="19" applyNumberFormat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54" fillId="11" borderId="19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55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55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/>
    <xf numFmtId="0" fontId="32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/>
    <xf numFmtId="2" fontId="60" fillId="0" borderId="0" applyProtection="0"/>
    <xf numFmtId="0" fontId="32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0" fillId="0" borderId="0"/>
    <xf numFmtId="0" fontId="32" fillId="19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64" fillId="0" borderId="29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32" fillId="2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64" fillId="0" borderId="29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0" fillId="0" borderId="0"/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58" fillId="0" borderId="32" applyNumberFormat="0" applyAlignment="0" applyProtection="0">
      <alignment horizontal="left"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0" fillId="0" borderId="0"/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23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0" fillId="0" borderId="0"/>
    <xf numFmtId="0" fontId="32" fillId="7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185" fontId="74" fillId="0" borderId="0" applyFill="0" applyBorder="0" applyAlignment="0">
      <alignment vertical="center"/>
    </xf>
    <xf numFmtId="0" fontId="19" fillId="0" borderId="0">
      <alignment vertical="center"/>
    </xf>
    <xf numFmtId="41" fontId="11" fillId="0" borderId="0" applyFont="0" applyFill="0" applyBorder="0" applyAlignment="0" applyProtection="0"/>
    <xf numFmtId="186" fontId="73" fillId="0" borderId="0">
      <alignment vertical="center"/>
    </xf>
    <xf numFmtId="0" fontId="0" fillId="0" borderId="0">
      <alignment vertical="center"/>
    </xf>
    <xf numFmtId="187" fontId="0" fillId="0" borderId="0" applyFont="0" applyFill="0" applyBorder="0" applyAlignment="0" applyProtection="0">
      <alignment vertical="center"/>
    </xf>
    <xf numFmtId="188" fontId="0" fillId="0" borderId="0" applyFont="0" applyFill="0" applyBorder="0" applyAlignment="0" applyProtection="0">
      <alignment vertical="center"/>
    </xf>
    <xf numFmtId="188" fontId="11" fillId="0" borderId="0" applyFont="0" applyFill="0" applyBorder="0" applyAlignment="0" applyProtection="0"/>
    <xf numFmtId="0" fontId="48" fillId="20" borderId="18" applyNumberFormat="0" applyAlignment="0" applyProtection="0">
      <alignment vertical="center"/>
    </xf>
    <xf numFmtId="182" fontId="73" fillId="0" borderId="0"/>
    <xf numFmtId="0" fontId="48" fillId="17" borderId="18" applyNumberFormat="0" applyAlignment="0" applyProtection="0">
      <alignment vertical="center"/>
    </xf>
    <xf numFmtId="0" fontId="60" fillId="0" borderId="0" applyProtection="0">
      <alignment vertical="center"/>
    </xf>
    <xf numFmtId="0" fontId="60" fillId="0" borderId="0" applyProtection="0"/>
    <xf numFmtId="178" fontId="0" fillId="0" borderId="0" applyFont="0" applyFill="0" applyBorder="0" applyAlignment="0" applyProtection="0"/>
    <xf numFmtId="181" fontId="73" fillId="0" borderId="0">
      <alignment vertical="center"/>
    </xf>
    <xf numFmtId="181" fontId="73" fillId="0" borderId="0"/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60" fillId="0" borderId="0" applyProtection="0">
      <alignment vertical="center"/>
    </xf>
    <xf numFmtId="0" fontId="58" fillId="0" borderId="32" applyNumberFormat="0" applyAlignment="0" applyProtection="0">
      <alignment horizontal="left" vertical="center"/>
    </xf>
    <xf numFmtId="0" fontId="38" fillId="1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8" fillId="0" borderId="9">
      <alignment horizontal="left" vertical="center"/>
    </xf>
    <xf numFmtId="0" fontId="58" fillId="0" borderId="9">
      <alignment horizontal="left" vertical="center"/>
    </xf>
    <xf numFmtId="0" fontId="59" fillId="0" borderId="0" applyProtection="0"/>
    <xf numFmtId="0" fontId="58" fillId="0" borderId="0" applyProtection="0">
      <alignment vertical="center"/>
    </xf>
    <xf numFmtId="0" fontId="58" fillId="0" borderId="0" applyProtection="0"/>
    <xf numFmtId="0" fontId="61" fillId="0" borderId="0">
      <alignment vertical="center"/>
    </xf>
    <xf numFmtId="0" fontId="0" fillId="0" borderId="0"/>
    <xf numFmtId="0" fontId="60" fillId="0" borderId="28" applyProtection="0">
      <alignment vertical="center"/>
    </xf>
    <xf numFmtId="0" fontId="1" fillId="0" borderId="1">
      <alignment horizontal="distributed" vertical="center" wrapText="1"/>
    </xf>
    <xf numFmtId="0" fontId="57" fillId="0" borderId="27" applyNumberFormat="0" applyFill="0" applyAlignment="0" applyProtection="0">
      <alignment vertical="center"/>
    </xf>
    <xf numFmtId="0" fontId="60" fillId="0" borderId="28" applyProtection="0"/>
    <xf numFmtId="0" fontId="54" fillId="11" borderId="19" applyNumberFormat="0" applyAlignment="0" applyProtection="0">
      <alignment vertical="center"/>
    </xf>
    <xf numFmtId="0" fontId="0" fillId="0" borderId="0"/>
    <xf numFmtId="0" fontId="19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42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80" fontId="1" fillId="0" borderId="1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64" fillId="0" borderId="29" applyNumberFormat="0" applyFill="0" applyAlignment="0" applyProtection="0">
      <alignment vertical="center"/>
    </xf>
    <xf numFmtId="0" fontId="64" fillId="0" borderId="29" applyNumberFormat="0" applyFill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64" fillId="0" borderId="29" applyNumberFormat="0" applyFill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0" fillId="0" borderId="0"/>
    <xf numFmtId="0" fontId="39" fillId="0" borderId="21" applyNumberFormat="0" applyFill="0" applyAlignment="0" applyProtection="0">
      <alignment vertical="center"/>
    </xf>
    <xf numFmtId="0" fontId="64" fillId="0" borderId="29" applyNumberFormat="0" applyFill="0" applyAlignment="0" applyProtection="0">
      <alignment vertical="center"/>
    </xf>
    <xf numFmtId="0" fontId="0" fillId="0" borderId="0"/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0" fillId="0" borderId="0"/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0" fillId="0" borderId="0"/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0" fillId="0" borderId="0"/>
    <xf numFmtId="0" fontId="0" fillId="0" borderId="0"/>
    <xf numFmtId="0" fontId="64" fillId="0" borderId="29" applyNumberFormat="0" applyFill="0" applyAlignment="0" applyProtection="0">
      <alignment vertical="center"/>
    </xf>
    <xf numFmtId="0" fontId="64" fillId="0" borderId="29" applyNumberFormat="0" applyFill="0" applyAlignment="0" applyProtection="0">
      <alignment vertical="center"/>
    </xf>
    <xf numFmtId="0" fontId="64" fillId="0" borderId="29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0" fillId="0" borderId="0"/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0" fillId="0" borderId="0"/>
    <xf numFmtId="0" fontId="49" fillId="0" borderId="23" applyNumberFormat="0" applyFill="0" applyAlignment="0" applyProtection="0">
      <alignment vertical="center"/>
    </xf>
    <xf numFmtId="0" fontId="49" fillId="0" borderId="23" applyNumberFormat="0" applyFill="0" applyAlignment="0" applyProtection="0">
      <alignment vertical="center"/>
    </xf>
    <xf numFmtId="0" fontId="0" fillId="0" borderId="0"/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34" fillId="8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5" fillId="0" borderId="24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34" fillId="8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45" fillId="0" borderId="24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0" fontId="45" fillId="0" borderId="24" applyNumberFormat="0" applyFill="0" applyAlignment="0" applyProtection="0">
      <alignment vertical="center"/>
    </xf>
    <xf numFmtId="0" fontId="0" fillId="0" borderId="0"/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57" fillId="0" borderId="27" applyNumberFormat="0" applyFill="0" applyAlignment="0" applyProtection="0">
      <alignment vertical="center"/>
    </xf>
    <xf numFmtId="0" fontId="69" fillId="0" borderId="33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/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44" fillId="0" borderId="0" applyNumberFormat="0" applyFill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/>
    <xf numFmtId="0" fontId="19" fillId="0" borderId="0"/>
    <xf numFmtId="0" fontId="36" fillId="0" borderId="0"/>
    <xf numFmtId="0" fontId="32" fillId="26" borderId="0" applyNumberFormat="0" applyBorder="0" applyAlignment="0" applyProtection="0">
      <alignment vertical="center"/>
    </xf>
    <xf numFmtId="0" fontId="36" fillId="0" borderId="0"/>
    <xf numFmtId="0" fontId="36" fillId="0" borderId="0"/>
    <xf numFmtId="0" fontId="36" fillId="0" borderId="0"/>
    <xf numFmtId="178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178" fontId="0" fillId="0" borderId="0" applyFont="0" applyFill="0" applyBorder="0" applyAlignment="0" applyProtection="0"/>
    <xf numFmtId="0" fontId="36" fillId="0" borderId="0"/>
    <xf numFmtId="0" fontId="17" fillId="0" borderId="2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4" fillId="0" borderId="0"/>
    <xf numFmtId="0" fontId="37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6" fillId="0" borderId="0"/>
    <xf numFmtId="0" fontId="0" fillId="0" borderId="0"/>
    <xf numFmtId="0" fontId="19" fillId="0" borderId="0"/>
    <xf numFmtId="0" fontId="20" fillId="0" borderId="0">
      <alignment vertical="center"/>
    </xf>
    <xf numFmtId="0" fontId="20" fillId="0" borderId="0"/>
    <xf numFmtId="178" fontId="0" fillId="0" borderId="0" applyFont="0" applyFill="0" applyBorder="0" applyAlignment="0" applyProtection="0"/>
    <xf numFmtId="0" fontId="20" fillId="0" borderId="0"/>
    <xf numFmtId="0" fontId="19" fillId="0" borderId="0"/>
    <xf numFmtId="0" fontId="34" fillId="8" borderId="0" applyNumberFormat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54" fillId="11" borderId="19" applyNumberFormat="0" applyAlignment="0" applyProtection="0">
      <alignment vertical="center"/>
    </xf>
    <xf numFmtId="0" fontId="11" fillId="0" borderId="0"/>
    <xf numFmtId="0" fontId="11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6" fillId="0" borderId="0"/>
    <xf numFmtId="0" fontId="36" fillId="0" borderId="0"/>
    <xf numFmtId="0" fontId="0" fillId="0" borderId="0">
      <alignment vertical="center"/>
    </xf>
    <xf numFmtId="0" fontId="19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34" fillId="8" borderId="0" applyNumberFormat="0" applyBorder="0" applyAlignment="0" applyProtection="0">
      <alignment vertical="center"/>
    </xf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36" fillId="0" borderId="0"/>
    <xf numFmtId="0" fontId="19" fillId="0" borderId="0">
      <alignment vertical="center"/>
    </xf>
    <xf numFmtId="0" fontId="36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0" fillId="17" borderId="2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0" fillId="17" borderId="25" applyNumberFormat="0" applyAlignment="0" applyProtection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50" fillId="20" borderId="2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8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7" fillId="0" borderId="26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50" fillId="17" borderId="25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4" fillId="11" borderId="19" applyNumberFormat="0" applyAlignment="0" applyProtection="0">
      <alignment vertical="center"/>
    </xf>
    <xf numFmtId="180" fontId="1" fillId="0" borderId="1">
      <alignment vertical="center"/>
      <protection locked="0"/>
    </xf>
    <xf numFmtId="0" fontId="19" fillId="0" borderId="0"/>
    <xf numFmtId="0" fontId="54" fillId="11" borderId="19" applyNumberFormat="0" applyAlignment="0" applyProtection="0">
      <alignment vertical="center"/>
    </xf>
    <xf numFmtId="0" fontId="0" fillId="0" borderId="0"/>
    <xf numFmtId="0" fontId="36" fillId="0" borderId="0"/>
    <xf numFmtId="0" fontId="0" fillId="0" borderId="0"/>
    <xf numFmtId="0" fontId="19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6" fillId="0" borderId="0"/>
    <xf numFmtId="178" fontId="0" fillId="0" borderId="0" applyFont="0" applyFill="0" applyBorder="0" applyAlignment="0" applyProtection="0"/>
    <xf numFmtId="0" fontId="36" fillId="0" borderId="0"/>
    <xf numFmtId="0" fontId="0" fillId="0" borderId="0">
      <alignment vertical="center"/>
    </xf>
    <xf numFmtId="0" fontId="0" fillId="0" borderId="0"/>
    <xf numFmtId="0" fontId="33" fillId="7" borderId="18" applyNumberFormat="0" applyAlignment="0" applyProtection="0">
      <alignment vertical="center"/>
    </xf>
    <xf numFmtId="0" fontId="0" fillId="0" borderId="0">
      <alignment vertical="center"/>
    </xf>
    <xf numFmtId="0" fontId="33" fillId="7" borderId="18" applyNumberFormat="0" applyAlignment="0" applyProtection="0">
      <alignment vertical="center"/>
    </xf>
    <xf numFmtId="0" fontId="36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2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178" fontId="0" fillId="0" borderId="0" applyFont="0" applyFill="0" applyBorder="0" applyAlignment="0" applyProtection="0"/>
    <xf numFmtId="0" fontId="36" fillId="0" borderId="0">
      <alignment vertical="center"/>
    </xf>
    <xf numFmtId="0" fontId="34" fillId="8" borderId="0" applyNumberFormat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178" fontId="0" fillId="0" borderId="0" applyFont="0" applyFill="0" applyBorder="0" applyAlignment="0" applyProtection="0"/>
    <xf numFmtId="0" fontId="36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178" fontId="0" fillId="0" borderId="0" applyFont="0" applyFill="0" applyBorder="0" applyAlignment="0" applyProtection="0"/>
    <xf numFmtId="0" fontId="36" fillId="0" borderId="0">
      <alignment vertical="center"/>
    </xf>
    <xf numFmtId="0" fontId="34" fillId="8" borderId="0" applyNumberFormat="0" applyBorder="0" applyAlignment="0" applyProtection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0" fillId="0" borderId="0"/>
    <xf numFmtId="0" fontId="0" fillId="0" borderId="0">
      <alignment vertical="center"/>
    </xf>
    <xf numFmtId="0" fontId="47" fillId="0" borderId="0">
      <alignment vertical="center"/>
    </xf>
    <xf numFmtId="0" fontId="3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47" fillId="0" borderId="0">
      <alignment vertical="center"/>
    </xf>
    <xf numFmtId="0" fontId="0" fillId="0" borderId="0"/>
    <xf numFmtId="191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/>
    <xf numFmtId="0" fontId="37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7" fillId="0" borderId="0">
      <alignment vertical="center"/>
    </xf>
    <xf numFmtId="0" fontId="0" fillId="0" borderId="0">
      <alignment vertical="center"/>
    </xf>
    <xf numFmtId="0" fontId="36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0" fillId="0" borderId="0"/>
    <xf numFmtId="0" fontId="47" fillId="0" borderId="0"/>
    <xf numFmtId="0" fontId="0" fillId="0" borderId="0"/>
    <xf numFmtId="0" fontId="19" fillId="0" borderId="0">
      <alignment vertical="center"/>
    </xf>
    <xf numFmtId="0" fontId="47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5" fillId="11" borderId="19" applyNumberFormat="0" applyAlignment="0" applyProtection="0">
      <alignment vertical="center"/>
    </xf>
    <xf numFmtId="0" fontId="0" fillId="0" borderId="0"/>
    <xf numFmtId="0" fontId="32" fillId="19" borderId="0" applyNumberFormat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9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178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36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1" fillId="0" borderId="0"/>
    <xf numFmtId="0" fontId="63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1" fillId="0" borderId="0"/>
    <xf numFmtId="0" fontId="34" fillId="8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/>
    <xf numFmtId="0" fontId="0" fillId="0" borderId="0">
      <alignment vertical="center"/>
    </xf>
    <xf numFmtId="0" fontId="40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78" fontId="0" fillId="0" borderId="0" applyFont="0" applyFill="0" applyBorder="0" applyAlignment="0" applyProtection="0"/>
    <xf numFmtId="0" fontId="0" fillId="0" borderId="0"/>
    <xf numFmtId="178" fontId="0" fillId="0" borderId="0" applyFont="0" applyFill="0" applyBorder="0" applyAlignment="0" applyProtection="0"/>
    <xf numFmtId="0" fontId="19" fillId="0" borderId="0"/>
    <xf numFmtId="0" fontId="0" fillId="0" borderId="0"/>
    <xf numFmtId="0" fontId="0" fillId="0" borderId="0"/>
    <xf numFmtId="0" fontId="48" fillId="17" borderId="18" applyNumberFormat="0" applyAlignment="0" applyProtection="0">
      <alignment vertical="center"/>
    </xf>
    <xf numFmtId="0" fontId="0" fillId="0" borderId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178" fontId="0" fillId="0" borderId="0" applyFont="0" applyFill="0" applyBorder="0" applyAlignment="0" applyProtection="0"/>
    <xf numFmtId="0" fontId="17" fillId="0" borderId="26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0" fontId="48" fillId="20" borderId="18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33" fillId="7" borderId="18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33" fillId="7" borderId="18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48" fillId="20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17" borderId="18" applyNumberFormat="0" applyAlignment="0" applyProtection="0">
      <alignment vertical="center"/>
    </xf>
    <xf numFmtId="0" fontId="48" fillId="20" borderId="18" applyNumberFormat="0" applyAlignment="0" applyProtection="0">
      <alignment vertical="center"/>
    </xf>
    <xf numFmtId="0" fontId="54" fillId="11" borderId="19" applyNumberFormat="0" applyAlignment="0" applyProtection="0">
      <alignment vertical="center"/>
    </xf>
    <xf numFmtId="0" fontId="54" fillId="11" borderId="19" applyNumberFormat="0" applyAlignment="0" applyProtection="0">
      <alignment vertical="center"/>
    </xf>
    <xf numFmtId="0" fontId="54" fillId="11" borderId="19" applyNumberFormat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35" fillId="11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11" borderId="19" applyNumberFormat="0" applyAlignment="0" applyProtection="0">
      <alignment vertical="center"/>
    </xf>
    <xf numFmtId="0" fontId="54" fillId="11" borderId="19" applyNumberFormat="0" applyAlignment="0" applyProtection="0">
      <alignment vertical="center"/>
    </xf>
    <xf numFmtId="0" fontId="54" fillId="11" borderId="19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76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2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8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0" fillId="20" borderId="2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0" fillId="20" borderId="2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0" fillId="17" borderId="2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0" fillId="20" borderId="25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20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50" fillId="17" borderId="25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33" fillId="7" borderId="18" applyNumberFormat="0" applyAlignment="0" applyProtection="0">
      <alignment vertical="center"/>
    </xf>
    <xf numFmtId="0" fontId="33" fillId="7" borderId="18" applyNumberFormat="0" applyAlignment="0" applyProtection="0">
      <alignment vertical="center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0" fontId="68" fillId="0" borderId="0">
      <alignment vertical="center"/>
    </xf>
    <xf numFmtId="0" fontId="68" fillId="0" borderId="0"/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180" fontId="1" fillId="0" borderId="1">
      <alignment vertical="center"/>
      <protection locked="0"/>
    </xf>
    <xf numFmtId="0" fontId="11" fillId="0" borderId="0"/>
    <xf numFmtId="0" fontId="32" fillId="2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19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19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19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19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19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19" fillId="13" borderId="20" applyNumberFormat="0" applyFont="0" applyAlignment="0" applyProtection="0">
      <alignment vertical="center"/>
    </xf>
  </cellStyleXfs>
  <cellXfs count="18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justify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justify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right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" xfId="3490" applyFont="1" applyFill="1" applyBorder="1" applyAlignment="1">
      <alignment horizontal="center" vertical="center" wrapText="1"/>
    </xf>
    <xf numFmtId="10" fontId="3" fillId="0" borderId="1" xfId="349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/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1" xfId="0" applyFont="1" applyBorder="1" applyAlignment="1"/>
    <xf numFmtId="0" fontId="10" fillId="0" borderId="5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/>
    </xf>
    <xf numFmtId="0" fontId="1" fillId="0" borderId="0" xfId="0" applyFont="1" applyAlignment="1">
      <alignment horizontal="right"/>
    </xf>
    <xf numFmtId="0" fontId="0" fillId="0" borderId="0" xfId="3859" applyFont="1" applyAlignment="1">
      <alignment vertical="center"/>
    </xf>
    <xf numFmtId="0" fontId="11" fillId="0" borderId="0" xfId="3859"/>
    <xf numFmtId="0" fontId="7" fillId="0" borderId="0" xfId="3859" applyFont="1" applyAlignment="1">
      <alignment horizontal="center" vertical="center"/>
    </xf>
    <xf numFmtId="0" fontId="12" fillId="0" borderId="0" xfId="3859" applyFont="1" applyBorder="1" applyAlignment="1">
      <alignment vertical="center"/>
    </xf>
    <xf numFmtId="0" fontId="13" fillId="0" borderId="0" xfId="3859" applyFont="1" applyAlignment="1">
      <alignment horizontal="right" vertical="center"/>
    </xf>
    <xf numFmtId="0" fontId="14" fillId="0" borderId="1" xfId="3859" applyFont="1" applyBorder="1" applyAlignment="1">
      <alignment horizontal="center" vertical="center"/>
    </xf>
    <xf numFmtId="0" fontId="13" fillId="0" borderId="1" xfId="3859" applyFont="1" applyBorder="1" applyAlignment="1">
      <alignment vertical="center"/>
    </xf>
    <xf numFmtId="0" fontId="13" fillId="0" borderId="1" xfId="3859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0" fillId="0" borderId="0" xfId="3298" applyFont="1"/>
    <xf numFmtId="0" fontId="11" fillId="0" borderId="0" xfId="3298"/>
    <xf numFmtId="0" fontId="0" fillId="0" borderId="0" xfId="0">
      <alignment vertical="center"/>
    </xf>
    <xf numFmtId="0" fontId="16" fillId="0" borderId="0" xfId="3469" applyFont="1" applyAlignment="1">
      <alignment horizontal="center" vertical="center"/>
    </xf>
    <xf numFmtId="0" fontId="11" fillId="0" borderId="0" xfId="3298" applyAlignment="1">
      <alignment vertical="center"/>
    </xf>
    <xf numFmtId="0" fontId="1" fillId="0" borderId="0" xfId="2318" applyFont="1" applyBorder="1" applyAlignment="1">
      <alignment horizontal="right" vertical="center"/>
    </xf>
    <xf numFmtId="0" fontId="17" fillId="0" borderId="1" xfId="3431" applyFont="1" applyFill="1" applyBorder="1" applyAlignment="1">
      <alignment horizontal="center" vertical="center" wrapText="1"/>
    </xf>
    <xf numFmtId="0" fontId="17" fillId="0" borderId="1" xfId="3431" applyFont="1" applyFill="1" applyBorder="1" applyAlignment="1">
      <alignment horizontal="center" vertical="center"/>
    </xf>
    <xf numFmtId="190" fontId="1" fillId="0" borderId="1" xfId="3492" applyNumberFormat="1" applyFont="1" applyFill="1" applyBorder="1" applyAlignment="1">
      <alignment horizontal="right" vertical="center" wrapText="1"/>
    </xf>
    <xf numFmtId="49" fontId="18" fillId="0" borderId="1" xfId="2157" applyNumberFormat="1" applyFont="1" applyBorder="1" applyAlignment="1">
      <alignment vertical="center"/>
    </xf>
    <xf numFmtId="0" fontId="17" fillId="0" borderId="1" xfId="3431" applyFont="1" applyFill="1" applyBorder="1" applyAlignment="1">
      <alignment horizontal="right" vertical="center" shrinkToFit="1"/>
    </xf>
    <xf numFmtId="49" fontId="1" fillId="0" borderId="1" xfId="2157" applyNumberFormat="1" applyFont="1" applyBorder="1" applyAlignment="1">
      <alignment vertical="center"/>
    </xf>
    <xf numFmtId="0" fontId="19" fillId="0" borderId="1" xfId="3431" applyFont="1" applyFill="1" applyBorder="1" applyAlignment="1">
      <alignment horizontal="right" vertical="center" shrinkToFit="1"/>
    </xf>
    <xf numFmtId="49" fontId="1" fillId="0" borderId="1" xfId="2157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left" vertical="center"/>
    </xf>
    <xf numFmtId="0" fontId="20" fillId="0" borderId="0" xfId="0" applyFont="1" applyAlignment="1">
      <alignment horizontal="right"/>
    </xf>
    <xf numFmtId="0" fontId="21" fillId="2" borderId="0" xfId="0" applyFont="1" applyFill="1" applyBorder="1" applyAlignment="1">
      <alignment horizontal="right" vertical="center"/>
    </xf>
    <xf numFmtId="0" fontId="17" fillId="0" borderId="16" xfId="0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/>
    </xf>
    <xf numFmtId="0" fontId="17" fillId="0" borderId="17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right" vertical="center"/>
    </xf>
    <xf numFmtId="0" fontId="22" fillId="0" borderId="16" xfId="2161" applyFont="1" applyBorder="1" applyAlignment="1">
      <alignment horizontal="left" vertical="center" wrapText="1"/>
    </xf>
    <xf numFmtId="0" fontId="23" fillId="0" borderId="16" xfId="0" applyFont="1" applyFill="1" applyBorder="1" applyAlignment="1">
      <alignment horizontal="right" vertical="center"/>
    </xf>
    <xf numFmtId="0" fontId="9" fillId="0" borderId="16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3727" applyFont="1"/>
    <xf numFmtId="0" fontId="24" fillId="0" borderId="0" xfId="2318" applyFont="1" applyAlignment="1">
      <alignment vertical="center"/>
    </xf>
    <xf numFmtId="0" fontId="7" fillId="0" borderId="0" xfId="3492" applyFont="1" applyAlignment="1">
      <alignment horizontal="center" vertical="center"/>
    </xf>
    <xf numFmtId="0" fontId="0" fillId="0" borderId="0" xfId="2318" applyFont="1" applyBorder="1" applyAlignment="1">
      <alignment vertical="center"/>
    </xf>
    <xf numFmtId="0" fontId="18" fillId="0" borderId="1" xfId="2318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1732" applyFont="1" applyBorder="1" applyAlignment="1">
      <alignment horizontal="center" vertical="center"/>
    </xf>
    <xf numFmtId="0" fontId="1" fillId="0" borderId="1" xfId="3727" applyFont="1" applyBorder="1" applyAlignment="1">
      <alignment horizontal="center"/>
    </xf>
    <xf numFmtId="0" fontId="1" fillId="0" borderId="1" xfId="1732" applyFont="1" applyBorder="1" applyAlignment="1">
      <alignment horizontal="left" vertical="center"/>
    </xf>
    <xf numFmtId="0" fontId="1" fillId="0" borderId="1" xfId="1732" applyFont="1" applyBorder="1" applyAlignment="1">
      <alignment vertical="center"/>
    </xf>
    <xf numFmtId="0" fontId="1" fillId="0" borderId="1" xfId="3804" applyFont="1" applyBorder="1"/>
    <xf numFmtId="49" fontId="1" fillId="0" borderId="1" xfId="1732" applyNumberFormat="1" applyFont="1" applyFill="1" applyBorder="1" applyAlignment="1">
      <alignment horizontal="left" vertical="center"/>
    </xf>
    <xf numFmtId="183" fontId="1" fillId="0" borderId="1" xfId="1732" applyNumberFormat="1" applyFont="1" applyFill="1" applyBorder="1" applyAlignment="1">
      <alignment horizontal="left" vertical="center"/>
    </xf>
    <xf numFmtId="0" fontId="1" fillId="0" borderId="1" xfId="1732" applyFont="1" applyBorder="1"/>
    <xf numFmtId="183" fontId="25" fillId="0" borderId="0" xfId="3798" applyNumberFormat="1" applyFont="1" applyFill="1" applyBorder="1" applyAlignment="1">
      <alignment horizontal="left"/>
    </xf>
    <xf numFmtId="0" fontId="1" fillId="0" borderId="0" xfId="0" applyFont="1">
      <alignment vertical="center"/>
    </xf>
    <xf numFmtId="0" fontId="25" fillId="0" borderId="0" xfId="3798" applyNumberFormat="1" applyFont="1" applyFill="1" applyBorder="1" applyAlignment="1" applyProtection="1">
      <alignment horizontal="left" wrapText="1"/>
    </xf>
    <xf numFmtId="0" fontId="25" fillId="0" borderId="0" xfId="0" applyFont="1" applyAlignment="1">
      <alignment horizontal="left" vertical="center"/>
    </xf>
    <xf numFmtId="0" fontId="1" fillId="0" borderId="1" xfId="3804" applyFont="1" applyBorder="1" applyAlignment="1">
      <alignment horizontal="center"/>
    </xf>
    <xf numFmtId="0" fontId="1" fillId="0" borderId="1" xfId="1732" applyFont="1" applyBorder="1" applyAlignment="1">
      <alignment horizontal="center"/>
    </xf>
    <xf numFmtId="0" fontId="1" fillId="0" borderId="1" xfId="1732" applyFont="1" applyBorder="1" applyAlignment="1">
      <alignment horizontal="center" wrapText="1"/>
    </xf>
    <xf numFmtId="183" fontId="10" fillId="0" borderId="0" xfId="3798" applyNumberFormat="1" applyFont="1" applyFill="1" applyBorder="1" applyAlignment="1">
      <alignment horizontal="left"/>
    </xf>
    <xf numFmtId="0" fontId="10" fillId="0" borderId="0" xfId="3798" applyNumberFormat="1" applyFont="1" applyFill="1" applyBorder="1" applyAlignment="1" applyProtection="1">
      <alignment horizontal="left" wrapText="1"/>
    </xf>
    <xf numFmtId="0" fontId="0" fillId="0" borderId="0" xfId="0" applyFont="1">
      <alignment vertical="center"/>
    </xf>
    <xf numFmtId="0" fontId="7" fillId="0" borderId="0" xfId="3494" applyFont="1" applyAlignment="1">
      <alignment horizontal="center" vertical="center"/>
    </xf>
    <xf numFmtId="0" fontId="0" fillId="0" borderId="0" xfId="3494" applyFont="1"/>
    <xf numFmtId="0" fontId="20" fillId="0" borderId="0" xfId="3494" applyFont="1" applyAlignment="1">
      <alignment horizontal="right" vertical="center"/>
    </xf>
    <xf numFmtId="0" fontId="18" fillId="0" borderId="1" xfId="3494" applyFont="1" applyBorder="1" applyAlignment="1">
      <alignment horizontal="centerContinuous" vertical="center"/>
    </xf>
    <xf numFmtId="0" fontId="18" fillId="0" borderId="1" xfId="3494" applyFont="1" applyBorder="1" applyAlignment="1">
      <alignment horizontal="center" vertical="center"/>
    </xf>
    <xf numFmtId="0" fontId="1" fillId="0" borderId="1" xfId="3494" applyFont="1" applyBorder="1" applyAlignment="1">
      <alignment vertical="center"/>
    </xf>
    <xf numFmtId="190" fontId="1" fillId="0" borderId="1" xfId="3494" applyNumberFormat="1" applyFont="1" applyFill="1" applyBorder="1" applyAlignment="1">
      <alignment horizontal="right" vertical="center" wrapText="1"/>
    </xf>
    <xf numFmtId="190" fontId="1" fillId="0" borderId="1" xfId="3492" applyNumberFormat="1" applyFont="1" applyFill="1" applyBorder="1" applyAlignment="1">
      <alignment horizontal="right" vertical="center"/>
    </xf>
    <xf numFmtId="0" fontId="1" fillId="0" borderId="1" xfId="3494" applyFont="1" applyBorder="1" applyAlignment="1">
      <alignment horizontal="center" vertical="center"/>
    </xf>
    <xf numFmtId="4" fontId="1" fillId="0" borderId="1" xfId="3494" applyNumberFormat="1" applyFont="1" applyFill="1" applyBorder="1" applyAlignment="1">
      <alignment horizontal="right" vertical="center" wrapText="1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49" fontId="29" fillId="0" borderId="1" xfId="0" applyNumberFormat="1" applyFont="1" applyFill="1" applyBorder="1" applyAlignment="1">
      <alignment horizontal="left" vertical="center" wrapText="1"/>
    </xf>
    <xf numFmtId="0" fontId="20" fillId="0" borderId="1" xfId="1732" applyFont="1" applyBorder="1" applyAlignment="1">
      <alignment horizontal="center" vertical="center"/>
    </xf>
    <xf numFmtId="0" fontId="20" fillId="0" borderId="1" xfId="3804" applyFont="1" applyBorder="1" applyAlignment="1">
      <alignment horizontal="center"/>
    </xf>
    <xf numFmtId="190" fontId="29" fillId="0" borderId="1" xfId="0" applyNumberFormat="1" applyFont="1" applyFill="1" applyBorder="1" applyAlignment="1">
      <alignment horizontal="center" vertical="center" wrapText="1"/>
    </xf>
    <xf numFmtId="190" fontId="19" fillId="0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vertical="center"/>
    </xf>
    <xf numFmtId="0" fontId="20" fillId="0" borderId="1" xfId="1732" applyFont="1" applyBorder="1" applyAlignment="1">
      <alignment horizontal="center"/>
    </xf>
    <xf numFmtId="0" fontId="20" fillId="0" borderId="1" xfId="1732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20" fillId="0" borderId="1" xfId="0" applyNumberFormat="1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5" fillId="0" borderId="5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right" vertical="center"/>
    </xf>
    <xf numFmtId="0" fontId="17" fillId="0" borderId="1" xfId="0" applyFont="1" applyBorder="1" applyAlignment="1">
      <alignment horizontal="centerContinuous" vertical="center" wrapText="1"/>
    </xf>
    <xf numFmtId="0" fontId="18" fillId="0" borderId="2" xfId="3799" applyNumberFormat="1" applyFont="1" applyFill="1" applyBorder="1" applyAlignment="1" applyProtection="1">
      <alignment horizontal="center" vertical="center" wrapText="1"/>
    </xf>
    <xf numFmtId="0" fontId="18" fillId="0" borderId="8" xfId="3799" applyNumberFormat="1" applyFont="1" applyFill="1" applyBorder="1" applyAlignment="1" applyProtection="1">
      <alignment horizontal="center" vertical="center" wrapText="1"/>
    </xf>
    <xf numFmtId="4" fontId="19" fillId="0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3488" applyFont="1"/>
    <xf numFmtId="0" fontId="20" fillId="0" borderId="0" xfId="3488" applyFont="1"/>
    <xf numFmtId="49" fontId="20" fillId="0" borderId="0" xfId="3488" applyNumberFormat="1" applyFont="1" applyFill="1" applyAlignment="1" applyProtection="1">
      <alignment horizontal="center" vertical="center"/>
    </xf>
    <xf numFmtId="0" fontId="20" fillId="0" borderId="0" xfId="3488" applyFont="1" applyAlignment="1">
      <alignment horizontal="center" vertical="center" wrapText="1"/>
    </xf>
    <xf numFmtId="192" fontId="20" fillId="0" borderId="0" xfId="3488" applyNumberFormat="1" applyFont="1" applyAlignment="1">
      <alignment horizontal="center" vertical="center"/>
    </xf>
    <xf numFmtId="0" fontId="20" fillId="0" borderId="0" xfId="3488" applyFont="1" applyAlignment="1">
      <alignment horizontal="center" vertical="center"/>
    </xf>
    <xf numFmtId="49" fontId="7" fillId="0" borderId="0" xfId="3488" applyNumberFormat="1" applyFont="1" applyFill="1" applyAlignment="1" applyProtection="1">
      <alignment horizontal="center" vertical="center" wrapText="1"/>
    </xf>
    <xf numFmtId="49" fontId="30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92" fontId="0" fillId="0" borderId="0" xfId="3488" applyNumberFormat="1" applyFont="1" applyAlignment="1">
      <alignment horizontal="center" vertical="center"/>
    </xf>
    <xf numFmtId="0" fontId="1" fillId="0" borderId="7" xfId="3488" applyFont="1" applyBorder="1" applyAlignment="1">
      <alignment horizontal="right" vertical="center"/>
    </xf>
    <xf numFmtId="0" fontId="18" fillId="0" borderId="1" xfId="3488" applyNumberFormat="1" applyFont="1" applyFill="1" applyBorder="1" applyAlignment="1" applyProtection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3799" applyNumberFormat="1" applyFont="1" applyFill="1" applyBorder="1" applyAlignment="1" applyProtection="1">
      <alignment horizontal="center" vertical="center" wrapText="1"/>
    </xf>
    <xf numFmtId="0" fontId="1" fillId="0" borderId="1" xfId="3488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49" fontId="1" fillId="0" borderId="1" xfId="3488" applyNumberFormat="1" applyFont="1" applyFill="1" applyBorder="1" applyAlignment="1">
      <alignment horizontal="left" vertical="center" wrapText="1"/>
    </xf>
    <xf numFmtId="4" fontId="1" fillId="0" borderId="1" xfId="3488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18" fillId="0" borderId="1" xfId="3492" applyFont="1" applyBorder="1" applyAlignment="1">
      <alignment horizontal="centerContinuous" vertical="center"/>
    </xf>
    <xf numFmtId="0" fontId="18" fillId="0" borderId="1" xfId="3492" applyFont="1" applyBorder="1" applyAlignment="1">
      <alignment horizontal="center" vertical="center"/>
    </xf>
    <xf numFmtId="0" fontId="1" fillId="0" borderId="1" xfId="3492" applyFont="1" applyBorder="1" applyAlignment="1">
      <alignment vertical="center"/>
    </xf>
    <xf numFmtId="0" fontId="1" fillId="0" borderId="1" xfId="164" applyFont="1" applyBorder="1" applyAlignment="1">
      <alignment vertical="center"/>
    </xf>
    <xf numFmtId="0" fontId="1" fillId="0" borderId="1" xfId="3492" applyFont="1" applyBorder="1" applyAlignment="1">
      <alignment horizontal="center" vertical="center"/>
    </xf>
    <xf numFmtId="4" fontId="1" fillId="0" borderId="1" xfId="3492" applyNumberFormat="1" applyFont="1" applyFill="1" applyBorder="1" applyAlignment="1">
      <alignment horizontal="right" vertical="center" wrapText="1"/>
    </xf>
    <xf numFmtId="0" fontId="18" fillId="0" borderId="1" xfId="2318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 3 3 2" xfId="16"/>
    <cellStyle name="?鹎%U龡&amp;H齲_x0001_C铣_x0014__x0007__x0001__x0001_ 3" xfId="17"/>
    <cellStyle name="常规 26 2" xfId="18"/>
    <cellStyle name="常规 31 2" xfId="19"/>
    <cellStyle name="40% - 强调文字颜色 3 3 3 2" xfId="20"/>
    <cellStyle name="40% - 强调文字颜色 3" xfId="21" builtinId="39"/>
    <cellStyle name="20% - 强调文字颜色 2 2 3_2015财政决算公开" xfId="22"/>
    <cellStyle name="?鹎%U龡&amp;H齲_x0001_C铣_x0014__x0007__x0001__x0001_ 2 5 2 2" xfId="23"/>
    <cellStyle name="差" xfId="24" builtinId="27"/>
    <cellStyle name="40% - 强调文字颜色 2 5 2 2" xfId="25"/>
    <cellStyle name="?鹎%U龡&amp;H齲_x0001_C铣_x0014__x0007__x0001__x0001_ 3 2 2 6_2015财政决算公开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C11" sqref="C11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76"/>
      <c r="B1" s="176"/>
      <c r="C1" s="176"/>
      <c r="D1" s="176"/>
    </row>
    <row r="2" spans="1:4">
      <c r="A2" s="117" t="s">
        <v>0</v>
      </c>
      <c r="B2" s="66"/>
      <c r="C2" s="66"/>
      <c r="D2" s="66"/>
    </row>
    <row r="3" ht="20.25" spans="1:4">
      <c r="A3" s="96" t="s">
        <v>1</v>
      </c>
      <c r="B3" s="96"/>
      <c r="C3" s="96"/>
      <c r="D3" s="96"/>
    </row>
    <row r="4" spans="1:4">
      <c r="A4" s="177"/>
      <c r="B4" s="177"/>
      <c r="C4" s="177"/>
      <c r="D4" s="178" t="s">
        <v>2</v>
      </c>
    </row>
    <row r="5" ht="20.1" customHeight="1" spans="1:4">
      <c r="A5" s="179" t="s">
        <v>3</v>
      </c>
      <c r="B5" s="179"/>
      <c r="C5" s="179" t="s">
        <v>4</v>
      </c>
      <c r="D5" s="179"/>
    </row>
    <row r="6" ht="20.1" customHeight="1" spans="1:4">
      <c r="A6" s="180" t="s">
        <v>5</v>
      </c>
      <c r="B6" s="180" t="s">
        <v>6</v>
      </c>
      <c r="C6" s="180" t="s">
        <v>7</v>
      </c>
      <c r="D6" s="180" t="s">
        <v>6</v>
      </c>
    </row>
    <row r="7" ht="20.1" customHeight="1" spans="1:4">
      <c r="A7" s="181" t="s">
        <v>8</v>
      </c>
      <c r="B7" s="72">
        <v>7068.19</v>
      </c>
      <c r="C7" s="181" t="s">
        <v>9</v>
      </c>
      <c r="D7" s="125">
        <f>SUM(D8:D10)</f>
        <v>5274.17</v>
      </c>
    </row>
    <row r="8" ht="20.1" customHeight="1" spans="1:4">
      <c r="A8" s="181" t="s">
        <v>10</v>
      </c>
      <c r="B8" s="72"/>
      <c r="C8" s="181" t="s">
        <v>11</v>
      </c>
      <c r="D8" s="72">
        <f>3251.95+86.88</f>
        <v>3338.83</v>
      </c>
    </row>
    <row r="9" ht="20.1" customHeight="1" spans="1:4">
      <c r="A9" s="182" t="s">
        <v>12</v>
      </c>
      <c r="B9" s="72"/>
      <c r="C9" s="181" t="s">
        <v>13</v>
      </c>
      <c r="D9" s="72">
        <f>1052.57</f>
        <v>1052.57</v>
      </c>
    </row>
    <row r="10" ht="20.1" customHeight="1" spans="1:4">
      <c r="A10" s="182" t="s">
        <v>14</v>
      </c>
      <c r="B10" s="72"/>
      <c r="C10" s="181" t="s">
        <v>15</v>
      </c>
      <c r="D10" s="72">
        <f>878.92+3.85</f>
        <v>882.77</v>
      </c>
    </row>
    <row r="11" ht="20.1" customHeight="1" spans="1:4">
      <c r="A11" s="182" t="s">
        <v>16</v>
      </c>
      <c r="B11" s="72"/>
      <c r="C11" s="181" t="s">
        <v>17</v>
      </c>
      <c r="D11" s="72">
        <v>1794.02</v>
      </c>
    </row>
    <row r="12" ht="20.1" customHeight="1" spans="1:4">
      <c r="A12" s="183" t="s">
        <v>18</v>
      </c>
      <c r="B12" s="184">
        <f>B7</f>
        <v>7068.19</v>
      </c>
      <c r="C12" s="183" t="s">
        <v>19</v>
      </c>
      <c r="D12" s="72">
        <v>7068.19</v>
      </c>
    </row>
  </sheetData>
  <mergeCells count="2">
    <mergeCell ref="A1:D1"/>
    <mergeCell ref="A3:D3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E8" sqref="E8"/>
    </sheetView>
  </sheetViews>
  <sheetFormatPr defaultColWidth="9" defaultRowHeight="14.25" outlineLevelCol="7"/>
  <cols>
    <col min="1" max="1" width="10.25" customWidth="1"/>
    <col min="2" max="2" width="18.375" customWidth="1"/>
    <col min="3" max="3" width="10" style="154" customWidth="1"/>
    <col min="4" max="8" width="9.5" style="154" customWidth="1"/>
  </cols>
  <sheetData>
    <row r="1" spans="1:8">
      <c r="A1" s="155" t="s">
        <v>20</v>
      </c>
      <c r="B1" s="156"/>
      <c r="C1" s="157"/>
      <c r="D1" s="158"/>
      <c r="E1" s="158"/>
      <c r="F1" s="159"/>
      <c r="G1" s="160"/>
      <c r="H1" s="160"/>
    </row>
    <row r="2" ht="29.1" customHeight="1" spans="1:8">
      <c r="A2" s="161" t="s">
        <v>21</v>
      </c>
      <c r="B2" s="161"/>
      <c r="C2" s="161"/>
      <c r="D2" s="161"/>
      <c r="E2" s="161"/>
      <c r="F2" s="161"/>
      <c r="G2" s="161"/>
      <c r="H2" s="161"/>
    </row>
    <row r="3" ht="25.5" spans="1:8">
      <c r="A3" s="155"/>
      <c r="B3" s="155"/>
      <c r="C3" s="162"/>
      <c r="D3" s="163"/>
      <c r="E3" s="163"/>
      <c r="F3" s="164"/>
      <c r="G3" s="165" t="s">
        <v>2</v>
      </c>
      <c r="H3" s="165"/>
    </row>
    <row r="4" spans="1:8">
      <c r="A4" s="166" t="s">
        <v>22</v>
      </c>
      <c r="B4" s="166" t="s">
        <v>23</v>
      </c>
      <c r="C4" s="167" t="s">
        <v>24</v>
      </c>
      <c r="D4" s="168"/>
      <c r="E4" s="168"/>
      <c r="F4" s="168"/>
      <c r="G4" s="168"/>
      <c r="H4" s="169"/>
    </row>
    <row r="5" ht="60" customHeight="1" spans="1:8">
      <c r="A5" s="166"/>
      <c r="B5" s="166"/>
      <c r="C5" s="170" t="s">
        <v>25</v>
      </c>
      <c r="D5" s="170" t="s">
        <v>26</v>
      </c>
      <c r="E5" s="170" t="s">
        <v>27</v>
      </c>
      <c r="F5" s="170" t="s">
        <v>28</v>
      </c>
      <c r="G5" s="171" t="s">
        <v>29</v>
      </c>
      <c r="H5" s="170" t="s">
        <v>30</v>
      </c>
    </row>
    <row r="6" ht="20.1" customHeight="1" spans="1:8">
      <c r="A6" s="172" t="s">
        <v>31</v>
      </c>
      <c r="B6" s="172" t="s">
        <v>31</v>
      </c>
      <c r="C6" s="173">
        <v>1</v>
      </c>
      <c r="D6" s="172">
        <v>2</v>
      </c>
      <c r="E6" s="173">
        <v>3</v>
      </c>
      <c r="F6" s="173">
        <v>4</v>
      </c>
      <c r="G6" s="172">
        <v>5</v>
      </c>
      <c r="H6" s="173">
        <v>6</v>
      </c>
    </row>
    <row r="7" ht="20.1" customHeight="1" spans="1:8">
      <c r="A7" s="174" t="s">
        <v>32</v>
      </c>
      <c r="B7" s="174" t="s">
        <v>33</v>
      </c>
      <c r="C7" s="175">
        <v>6977.46</v>
      </c>
      <c r="D7" s="175">
        <v>6977.46</v>
      </c>
      <c r="E7" s="175"/>
      <c r="F7" s="175"/>
      <c r="G7" s="175"/>
      <c r="H7" s="175"/>
    </row>
    <row r="8" ht="27" customHeight="1" spans="1:8">
      <c r="A8" s="174" t="s">
        <v>34</v>
      </c>
      <c r="B8" s="174" t="s">
        <v>35</v>
      </c>
      <c r="C8" s="175">
        <v>90.73</v>
      </c>
      <c r="D8" s="175">
        <v>90.73</v>
      </c>
      <c r="E8" s="175"/>
      <c r="F8" s="175"/>
      <c r="G8" s="175"/>
      <c r="H8" s="175"/>
    </row>
    <row r="9" ht="20.1" customHeight="1" spans="1:8">
      <c r="A9" s="147"/>
      <c r="B9" s="147"/>
      <c r="C9" s="144"/>
      <c r="D9" s="144"/>
      <c r="E9" s="144"/>
      <c r="F9" s="144"/>
      <c r="G9" s="144"/>
      <c r="H9" s="144"/>
    </row>
    <row r="10" ht="20.1" customHeight="1" spans="1:8">
      <c r="A10" s="147"/>
      <c r="B10" s="147"/>
      <c r="C10" s="144"/>
      <c r="D10" s="144"/>
      <c r="E10" s="144"/>
      <c r="F10" s="144"/>
      <c r="G10" s="144"/>
      <c r="H10" s="144"/>
    </row>
    <row r="11" ht="20.1" customHeight="1" spans="1:8">
      <c r="A11" s="147"/>
      <c r="B11" s="147"/>
      <c r="C11" s="144"/>
      <c r="D11" s="144"/>
      <c r="E11" s="144"/>
      <c r="F11" s="144"/>
      <c r="G11" s="144"/>
      <c r="H11" s="144"/>
    </row>
    <row r="12" ht="20.1" customHeight="1" spans="1:8">
      <c r="A12" s="147"/>
      <c r="B12" s="147"/>
      <c r="C12" s="144"/>
      <c r="D12" s="144"/>
      <c r="E12" s="144"/>
      <c r="F12" s="144"/>
      <c r="G12" s="144"/>
      <c r="H12" s="144"/>
    </row>
    <row r="13" ht="20.1" customHeight="1" spans="1:8">
      <c r="A13" s="147"/>
      <c r="B13" s="147"/>
      <c r="C13" s="144"/>
      <c r="D13" s="144"/>
      <c r="E13" s="144"/>
      <c r="F13" s="144"/>
      <c r="G13" s="144"/>
      <c r="H13" s="144"/>
    </row>
    <row r="14" ht="20.1" customHeight="1" spans="1:8">
      <c r="A14" s="147"/>
      <c r="B14" s="147"/>
      <c r="C14" s="144"/>
      <c r="D14" s="144"/>
      <c r="E14" s="144"/>
      <c r="F14" s="144"/>
      <c r="G14" s="144"/>
      <c r="H14" s="144"/>
    </row>
  </sheetData>
  <mergeCells count="5">
    <mergeCell ref="A2:H2"/>
    <mergeCell ref="G3:H3"/>
    <mergeCell ref="C4:H4"/>
    <mergeCell ref="A4:A5"/>
    <mergeCell ref="B4:B5"/>
  </mergeCells>
  <pageMargins left="0.708661417322835" right="0.708661417322835" top="0.748031496062992" bottom="0.748031496062992" header="0.31496062992126" footer="0.31496062992126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workbookViewId="0">
      <selection activeCell="K13" sqref="K13"/>
    </sheetView>
  </sheetViews>
  <sheetFormatPr defaultColWidth="9" defaultRowHeight="14.25"/>
  <cols>
    <col min="1" max="1" width="9" customWidth="1"/>
    <col min="2" max="2" width="12.75" customWidth="1"/>
    <col min="3" max="3" width="9.125" customWidth="1"/>
    <col min="4" max="4" width="10.5" customWidth="1"/>
    <col min="5" max="5" width="6.625" customWidth="1"/>
    <col min="6" max="6" width="8.875" customWidth="1"/>
    <col min="7" max="7" width="8.375" customWidth="1"/>
    <col min="8" max="8" width="7.5" customWidth="1"/>
    <col min="9" max="9" width="7.375" customWidth="1"/>
    <col min="10" max="14" width="9.625" customWidth="1"/>
    <col min="15" max="15" width="9.125" customWidth="1"/>
  </cols>
  <sheetData>
    <row r="1" ht="25.5" spans="1:15">
      <c r="A1" s="128" t="s">
        <v>36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66"/>
      <c r="N1" s="66"/>
      <c r="O1" s="66"/>
    </row>
    <row r="2" ht="20.25" spans="1:15">
      <c r="A2" s="130" t="s">
        <v>37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</row>
    <row r="3" spans="1:15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49" t="s">
        <v>2</v>
      </c>
      <c r="O3" s="149"/>
    </row>
    <row r="4" s="93" customFormat="1" ht="13.5" spans="1:15">
      <c r="A4" s="132" t="s">
        <v>22</v>
      </c>
      <c r="B4" s="132" t="s">
        <v>23</v>
      </c>
      <c r="C4" s="132" t="s">
        <v>38</v>
      </c>
      <c r="D4" s="132" t="s">
        <v>39</v>
      </c>
      <c r="E4" s="132" t="s">
        <v>40</v>
      </c>
      <c r="F4" s="132" t="s">
        <v>41</v>
      </c>
      <c r="G4" s="132" t="s">
        <v>42</v>
      </c>
      <c r="H4" s="132" t="s">
        <v>43</v>
      </c>
      <c r="I4" s="132" t="s">
        <v>44</v>
      </c>
      <c r="J4" s="150" t="s">
        <v>24</v>
      </c>
      <c r="K4" s="150"/>
      <c r="L4" s="150"/>
      <c r="M4" s="150"/>
      <c r="N4" s="150"/>
      <c r="O4" s="150"/>
    </row>
    <row r="5" s="93" customFormat="1" ht="43.15" customHeight="1" spans="1:15">
      <c r="A5" s="133"/>
      <c r="B5" s="133"/>
      <c r="C5" s="133"/>
      <c r="D5" s="133"/>
      <c r="E5" s="133"/>
      <c r="F5" s="133"/>
      <c r="G5" s="133"/>
      <c r="H5" s="133"/>
      <c r="I5" s="133"/>
      <c r="J5" s="132" t="s">
        <v>40</v>
      </c>
      <c r="K5" s="132" t="s">
        <v>26</v>
      </c>
      <c r="L5" s="132" t="s">
        <v>27</v>
      </c>
      <c r="M5" s="132" t="s">
        <v>28</v>
      </c>
      <c r="N5" s="151" t="s">
        <v>29</v>
      </c>
      <c r="O5" s="132" t="s">
        <v>30</v>
      </c>
    </row>
    <row r="6" s="93" customFormat="1" ht="13.5" spans="1:15">
      <c r="A6" s="134"/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52"/>
      <c r="O6" s="134"/>
    </row>
    <row r="7" s="93" customFormat="1" ht="20.1" customHeight="1" spans="1:15">
      <c r="A7" s="135" t="s">
        <v>31</v>
      </c>
      <c r="B7" s="135" t="s">
        <v>31</v>
      </c>
      <c r="C7" s="135" t="s">
        <v>31</v>
      </c>
      <c r="D7" s="135" t="s">
        <v>31</v>
      </c>
      <c r="E7" s="135">
        <v>1</v>
      </c>
      <c r="F7" s="135">
        <v>2</v>
      </c>
      <c r="G7" s="135">
        <v>3</v>
      </c>
      <c r="H7" s="135">
        <v>4</v>
      </c>
      <c r="I7" s="135">
        <v>5</v>
      </c>
      <c r="J7" s="135">
        <v>6</v>
      </c>
      <c r="K7" s="135">
        <v>7</v>
      </c>
      <c r="L7" s="135">
        <v>8</v>
      </c>
      <c r="M7" s="135">
        <v>9</v>
      </c>
      <c r="N7" s="135">
        <v>10</v>
      </c>
      <c r="O7" s="135">
        <v>11</v>
      </c>
    </row>
    <row r="8" s="93" customFormat="1" ht="20.1" customHeight="1" spans="1:15">
      <c r="A8" s="136" t="s">
        <v>32</v>
      </c>
      <c r="B8" s="136" t="s">
        <v>33</v>
      </c>
      <c r="C8" s="137">
        <v>2010301</v>
      </c>
      <c r="D8" s="137" t="s">
        <v>45</v>
      </c>
      <c r="E8" s="138">
        <f>F8+G8+H8+I8</f>
        <v>5602.46</v>
      </c>
      <c r="F8" s="139">
        <v>3251.95</v>
      </c>
      <c r="G8" s="139">
        <v>1052.57</v>
      </c>
      <c r="H8" s="140">
        <v>878.92</v>
      </c>
      <c r="I8" s="139">
        <v>419.02</v>
      </c>
      <c r="J8" s="138">
        <v>5602.46</v>
      </c>
      <c r="K8" s="138">
        <v>5602.46</v>
      </c>
      <c r="L8" s="153"/>
      <c r="M8" s="153"/>
      <c r="N8" s="153"/>
      <c r="O8" s="153"/>
    </row>
    <row r="9" s="93" customFormat="1" ht="26" customHeight="1" spans="1:15">
      <c r="A9" s="141" t="s">
        <v>32</v>
      </c>
      <c r="B9" s="136" t="s">
        <v>33</v>
      </c>
      <c r="C9" s="142">
        <v>2130209</v>
      </c>
      <c r="D9" s="143" t="s">
        <v>46</v>
      </c>
      <c r="E9" s="138">
        <v>100</v>
      </c>
      <c r="F9" s="144"/>
      <c r="G9" s="144"/>
      <c r="H9" s="144"/>
      <c r="I9" s="138">
        <v>100</v>
      </c>
      <c r="J9" s="138">
        <v>100</v>
      </c>
      <c r="K9" s="138">
        <v>100</v>
      </c>
      <c r="L9" s="153"/>
      <c r="M9" s="153"/>
      <c r="N9" s="153"/>
      <c r="O9" s="153"/>
    </row>
    <row r="10" ht="24" customHeight="1" spans="1:15">
      <c r="A10" s="141" t="s">
        <v>32</v>
      </c>
      <c r="B10" s="136" t="s">
        <v>33</v>
      </c>
      <c r="C10" s="142">
        <v>2130705</v>
      </c>
      <c r="D10" s="143" t="s">
        <v>47</v>
      </c>
      <c r="E10" s="138">
        <v>396</v>
      </c>
      <c r="F10" s="144"/>
      <c r="G10" s="144"/>
      <c r="H10" s="144"/>
      <c r="I10" s="138">
        <v>396</v>
      </c>
      <c r="J10" s="138">
        <v>396</v>
      </c>
      <c r="K10" s="138">
        <v>396</v>
      </c>
      <c r="L10" s="147"/>
      <c r="M10" s="147"/>
      <c r="N10" s="147"/>
      <c r="O10" s="147"/>
    </row>
    <row r="11" ht="26" customHeight="1" spans="1:15">
      <c r="A11" s="141" t="s">
        <v>32</v>
      </c>
      <c r="B11" s="136" t="s">
        <v>33</v>
      </c>
      <c r="C11" s="142">
        <v>2010601</v>
      </c>
      <c r="D11" s="143" t="s">
        <v>45</v>
      </c>
      <c r="E11" s="138">
        <v>9</v>
      </c>
      <c r="F11" s="144"/>
      <c r="G11" s="144"/>
      <c r="H11" s="144"/>
      <c r="I11" s="138">
        <v>9</v>
      </c>
      <c r="J11" s="138">
        <v>9</v>
      </c>
      <c r="K11" s="138">
        <v>9</v>
      </c>
      <c r="L11" s="147"/>
      <c r="M11" s="147"/>
      <c r="N11" s="147"/>
      <c r="O11" s="147"/>
    </row>
    <row r="12" ht="27" customHeight="1" spans="1:15">
      <c r="A12" s="141" t="s">
        <v>32</v>
      </c>
      <c r="B12" s="136" t="s">
        <v>33</v>
      </c>
      <c r="C12" s="142">
        <v>2120102</v>
      </c>
      <c r="D12" s="114" t="s">
        <v>48</v>
      </c>
      <c r="E12" s="138">
        <v>870</v>
      </c>
      <c r="F12" s="144"/>
      <c r="G12" s="144"/>
      <c r="H12" s="144"/>
      <c r="I12" s="138">
        <v>870</v>
      </c>
      <c r="J12" s="138">
        <v>870</v>
      </c>
      <c r="K12" s="138">
        <v>870</v>
      </c>
      <c r="L12" s="147"/>
      <c r="M12" s="147"/>
      <c r="N12" s="147"/>
      <c r="O12" s="147"/>
    </row>
    <row r="13" ht="27" customHeight="1" spans="1:15">
      <c r="A13" s="141" t="s">
        <v>34</v>
      </c>
      <c r="B13" s="145" t="s">
        <v>35</v>
      </c>
      <c r="C13" s="137">
        <v>2010301</v>
      </c>
      <c r="D13" s="137" t="s">
        <v>45</v>
      </c>
      <c r="E13" s="146">
        <v>90.73</v>
      </c>
      <c r="F13" s="146">
        <v>86.88</v>
      </c>
      <c r="G13" s="146"/>
      <c r="H13" s="146">
        <v>3.85</v>
      </c>
      <c r="I13" s="144"/>
      <c r="J13" s="146">
        <v>90.73</v>
      </c>
      <c r="K13" s="146">
        <v>90.73</v>
      </c>
      <c r="L13" s="147"/>
      <c r="M13" s="147"/>
      <c r="N13" s="147"/>
      <c r="O13" s="147"/>
    </row>
    <row r="14" ht="24" customHeight="1" spans="1:15">
      <c r="A14" s="141"/>
      <c r="B14" s="145"/>
      <c r="C14" s="137"/>
      <c r="D14" s="137"/>
      <c r="E14" s="146"/>
      <c r="F14" s="144"/>
      <c r="G14" s="144"/>
      <c r="H14" s="144"/>
      <c r="I14" s="144"/>
      <c r="J14" s="146"/>
      <c r="K14" s="146"/>
      <c r="L14" s="147"/>
      <c r="M14" s="147"/>
      <c r="N14" s="147"/>
      <c r="O14" s="147"/>
    </row>
    <row r="15" ht="20.1" customHeight="1" spans="1:15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</row>
    <row r="16" ht="20.1" customHeight="1" spans="1:15">
      <c r="A16" s="147"/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</row>
    <row r="17" ht="20.1" customHeight="1" spans="1:15">
      <c r="A17" s="147"/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</row>
    <row r="18" ht="20.1" customHeight="1" spans="1:15">
      <c r="A18" s="147"/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</row>
    <row r="19" ht="64.9" customHeight="1" spans="1:15">
      <c r="A19" s="148" t="s">
        <v>49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</row>
  </sheetData>
  <mergeCells count="18">
    <mergeCell ref="A2:O2"/>
    <mergeCell ref="N3:O3"/>
    <mergeCell ref="A19:O19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D9" sqref="D9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117" t="s">
        <v>50</v>
      </c>
      <c r="B1" s="66"/>
      <c r="C1" s="66"/>
      <c r="D1" s="66"/>
    </row>
    <row r="2" ht="20.25" spans="1:4">
      <c r="A2" s="118" t="s">
        <v>51</v>
      </c>
      <c r="B2" s="118"/>
      <c r="C2" s="118"/>
      <c r="D2" s="118"/>
    </row>
    <row r="3" spans="1:4">
      <c r="A3" s="119"/>
      <c r="B3" s="119"/>
      <c r="C3" s="119"/>
      <c r="D3" s="120" t="s">
        <v>2</v>
      </c>
    </row>
    <row r="4" s="93" customFormat="1" ht="20.1" customHeight="1" spans="1:4">
      <c r="A4" s="121" t="s">
        <v>3</v>
      </c>
      <c r="B4" s="121"/>
      <c r="C4" s="121" t="s">
        <v>4</v>
      </c>
      <c r="D4" s="121"/>
    </row>
    <row r="5" s="93" customFormat="1" ht="20.1" customHeight="1" spans="1:4">
      <c r="A5" s="122" t="s">
        <v>5</v>
      </c>
      <c r="B5" s="122" t="s">
        <v>6</v>
      </c>
      <c r="C5" s="122" t="s">
        <v>7</v>
      </c>
      <c r="D5" s="122" t="s">
        <v>6</v>
      </c>
    </row>
    <row r="6" s="93" customFormat="1" ht="20.1" customHeight="1" spans="1:4">
      <c r="A6" s="123" t="s">
        <v>8</v>
      </c>
      <c r="B6" s="124">
        <v>7068.19</v>
      </c>
      <c r="C6" s="123" t="s">
        <v>9</v>
      </c>
      <c r="D6" s="125">
        <f>SUM(D7:D9)</f>
        <v>5274.17</v>
      </c>
    </row>
    <row r="7" s="93" customFormat="1" ht="20.1" customHeight="1" spans="1:4">
      <c r="A7" s="123" t="s">
        <v>10</v>
      </c>
      <c r="B7" s="124"/>
      <c r="C7" s="123" t="s">
        <v>52</v>
      </c>
      <c r="D7" s="72">
        <f>3251.95+86.88</f>
        <v>3338.83</v>
      </c>
    </row>
    <row r="8" s="93" customFormat="1" ht="20.1" customHeight="1" spans="1:4">
      <c r="A8" s="123"/>
      <c r="B8" s="124"/>
      <c r="C8" s="123" t="s">
        <v>53</v>
      </c>
      <c r="D8" s="72">
        <f>1052.57</f>
        <v>1052.57</v>
      </c>
    </row>
    <row r="9" s="93" customFormat="1" ht="20.1" customHeight="1" spans="1:4">
      <c r="A9" s="123"/>
      <c r="B9" s="124"/>
      <c r="C9" s="123" t="s">
        <v>54</v>
      </c>
      <c r="D9" s="72">
        <f>878.92+3.85</f>
        <v>882.77</v>
      </c>
    </row>
    <row r="10" s="93" customFormat="1" ht="20.1" customHeight="1" spans="1:4">
      <c r="A10" s="123"/>
      <c r="B10" s="124"/>
      <c r="C10" s="123" t="s">
        <v>17</v>
      </c>
      <c r="D10" s="72">
        <v>1794.02</v>
      </c>
    </row>
    <row r="11" s="93" customFormat="1" ht="20.1" customHeight="1" spans="1:4">
      <c r="A11" s="123"/>
      <c r="B11" s="124"/>
      <c r="C11" s="123"/>
      <c r="D11" s="72"/>
    </row>
    <row r="12" s="93" customFormat="1" ht="20.1" customHeight="1" spans="1:4">
      <c r="A12" s="123"/>
      <c r="B12" s="124"/>
      <c r="C12" s="123"/>
      <c r="D12" s="124"/>
    </row>
    <row r="13" s="93" customFormat="1" ht="20.1" customHeight="1" spans="1:4">
      <c r="A13" s="126" t="s">
        <v>18</v>
      </c>
      <c r="B13" s="127">
        <v>7068.19</v>
      </c>
      <c r="C13" s="126" t="s">
        <v>19</v>
      </c>
      <c r="D13" s="72">
        <f>D6+D10</f>
        <v>7068.19</v>
      </c>
    </row>
  </sheetData>
  <mergeCells count="1">
    <mergeCell ref="A2:D2"/>
  </mergeCells>
  <pageMargins left="0.708661417322835" right="0.708661417322835" top="0.748031496062992" bottom="0.748031496062992" header="0.31496062992126" footer="0.31496062992126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B11" sqref="B11"/>
    </sheetView>
  </sheetViews>
  <sheetFormatPr defaultColWidth="9" defaultRowHeight="14.25" outlineLevelCol="4"/>
  <cols>
    <col min="1" max="1" width="18.875" customWidth="1"/>
    <col min="2" max="2" width="15.375" customWidth="1"/>
    <col min="3" max="3" width="12.5" customWidth="1"/>
    <col min="4" max="4" width="14.125" customWidth="1"/>
    <col min="5" max="5" width="15.875" customWidth="1"/>
  </cols>
  <sheetData>
    <row r="1" spans="1:5">
      <c r="A1" s="94" t="s">
        <v>55</v>
      </c>
      <c r="B1" s="94"/>
      <c r="C1" s="94"/>
      <c r="D1" s="95"/>
      <c r="E1" s="95"/>
    </row>
    <row r="2" ht="20.25" spans="1:5">
      <c r="A2" s="96" t="s">
        <v>56</v>
      </c>
      <c r="B2" s="96"/>
      <c r="C2" s="96"/>
      <c r="D2" s="96"/>
      <c r="E2" s="96"/>
    </row>
    <row r="3" spans="1:5">
      <c r="A3" s="97"/>
      <c r="B3" s="97"/>
      <c r="C3" s="97"/>
      <c r="D3" s="97"/>
      <c r="E3" s="69" t="s">
        <v>2</v>
      </c>
    </row>
    <row r="4" s="93" customFormat="1" ht="20.1" customHeight="1" spans="1:5">
      <c r="A4" s="98" t="s">
        <v>38</v>
      </c>
      <c r="B4" s="98" t="s">
        <v>39</v>
      </c>
      <c r="C4" s="98" t="s">
        <v>40</v>
      </c>
      <c r="D4" s="99" t="s">
        <v>57</v>
      </c>
      <c r="E4" s="99"/>
    </row>
    <row r="5" s="93" customFormat="1" ht="20.1" customHeight="1" spans="1:5">
      <c r="A5" s="98"/>
      <c r="B5" s="98"/>
      <c r="C5" s="98"/>
      <c r="D5" s="185" t="s">
        <v>58</v>
      </c>
      <c r="E5" s="98" t="s">
        <v>44</v>
      </c>
    </row>
    <row r="6" s="93" customFormat="1" ht="20.1" customHeight="1" spans="1:5">
      <c r="A6" s="100" t="s">
        <v>31</v>
      </c>
      <c r="B6" s="100" t="s">
        <v>31</v>
      </c>
      <c r="C6" s="100">
        <v>1</v>
      </c>
      <c r="D6" s="101">
        <v>2</v>
      </c>
      <c r="E6" s="101">
        <v>3</v>
      </c>
    </row>
    <row r="7" s="93" customFormat="1" ht="20.1" customHeight="1" spans="1:5">
      <c r="A7" s="100">
        <v>2010301</v>
      </c>
      <c r="B7" s="100" t="s">
        <v>45</v>
      </c>
      <c r="C7" s="112">
        <f>D7+E7</f>
        <v>5693.19</v>
      </c>
      <c r="D7" s="112">
        <f>4391.4+882.77</f>
        <v>5274.17</v>
      </c>
      <c r="E7" s="112">
        <v>419.02</v>
      </c>
    </row>
    <row r="8" s="93" customFormat="1" ht="20.1" customHeight="1" spans="1:5">
      <c r="A8" s="113">
        <v>2130209</v>
      </c>
      <c r="B8" s="113" t="s">
        <v>46</v>
      </c>
      <c r="C8" s="112">
        <v>100</v>
      </c>
      <c r="D8" s="112"/>
      <c r="E8" s="112">
        <v>100</v>
      </c>
    </row>
    <row r="9" s="93" customFormat="1" ht="31" customHeight="1" spans="1:5">
      <c r="A9" s="113">
        <v>2130705</v>
      </c>
      <c r="B9" s="114" t="s">
        <v>47</v>
      </c>
      <c r="C9" s="112">
        <v>396</v>
      </c>
      <c r="D9" s="112"/>
      <c r="E9" s="112">
        <v>396</v>
      </c>
    </row>
    <row r="10" s="93" customFormat="1" ht="23" customHeight="1" spans="1:5">
      <c r="A10" s="113">
        <v>2010601</v>
      </c>
      <c r="B10" s="113" t="s">
        <v>45</v>
      </c>
      <c r="C10" s="112">
        <v>9</v>
      </c>
      <c r="D10" s="112"/>
      <c r="E10" s="112">
        <v>9</v>
      </c>
    </row>
    <row r="11" s="93" customFormat="1" ht="26" customHeight="1" spans="1:5">
      <c r="A11" s="113">
        <v>2120102</v>
      </c>
      <c r="B11" s="114" t="s">
        <v>48</v>
      </c>
      <c r="C11" s="112">
        <v>870</v>
      </c>
      <c r="D11" s="112"/>
      <c r="E11" s="112">
        <v>870</v>
      </c>
    </row>
    <row r="12" s="93" customFormat="1" ht="30" customHeight="1" spans="1:5">
      <c r="A12" s="113"/>
      <c r="B12" s="114"/>
      <c r="C12" s="112"/>
      <c r="D12" s="112"/>
      <c r="E12" s="112"/>
    </row>
    <row r="13" s="93" customFormat="1" ht="20.1" customHeight="1" spans="1:5">
      <c r="A13" s="107"/>
      <c r="B13" s="107"/>
      <c r="C13" s="107"/>
      <c r="D13" s="104"/>
      <c r="E13" s="104"/>
    </row>
    <row r="14" s="93" customFormat="1" ht="20.1" customHeight="1" spans="1:5">
      <c r="A14" s="104"/>
      <c r="B14" s="104"/>
      <c r="C14" s="104"/>
      <c r="D14" s="104"/>
      <c r="E14" s="104"/>
    </row>
    <row r="15" s="93" customFormat="1" ht="20.1" customHeight="1" spans="1:5">
      <c r="A15" s="104"/>
      <c r="B15" s="104"/>
      <c r="C15" s="104"/>
      <c r="D15" s="104"/>
      <c r="E15" s="104"/>
    </row>
    <row r="16" s="93" customFormat="1" ht="20.1" customHeight="1" spans="1:5">
      <c r="A16" s="104"/>
      <c r="B16" s="104"/>
      <c r="C16" s="104"/>
      <c r="D16" s="104"/>
      <c r="E16" s="104"/>
    </row>
    <row r="17" s="93" customFormat="1" ht="20.1" customHeight="1" spans="1:5">
      <c r="A17" s="104"/>
      <c r="B17" s="104"/>
      <c r="C17" s="104"/>
      <c r="D17" s="104"/>
      <c r="E17" s="104"/>
    </row>
    <row r="18" s="93" customFormat="1" ht="20.1" customHeight="1" spans="1:5">
      <c r="A18" s="104"/>
      <c r="B18" s="104"/>
      <c r="C18" s="104"/>
      <c r="D18" s="104"/>
      <c r="E18" s="104"/>
    </row>
    <row r="19" s="93" customFormat="1" ht="20.1" customHeight="1" spans="1:5">
      <c r="A19" s="104"/>
      <c r="B19" s="104"/>
      <c r="C19" s="104"/>
      <c r="D19" s="104"/>
      <c r="E19" s="104"/>
    </row>
    <row r="20" s="93" customFormat="1" ht="20.1" customHeight="1" spans="1:5">
      <c r="A20" s="104"/>
      <c r="B20" s="104"/>
      <c r="C20" s="104"/>
      <c r="D20" s="104"/>
      <c r="E20" s="104"/>
    </row>
    <row r="21" s="93" customFormat="1" ht="20.1" customHeight="1" spans="1:5">
      <c r="A21" s="104"/>
      <c r="B21" s="104"/>
      <c r="C21" s="104"/>
      <c r="D21" s="104"/>
      <c r="E21" s="104"/>
    </row>
    <row r="22" s="93" customFormat="1" ht="16.5" spans="1:5">
      <c r="A22" s="115" t="s">
        <v>59</v>
      </c>
      <c r="B22" s="115"/>
      <c r="C22" s="115"/>
      <c r="D22" s="115"/>
      <c r="E22" s="115"/>
    </row>
    <row r="23" s="93" customFormat="1" ht="16.5" spans="1:5">
      <c r="A23" s="116"/>
      <c r="B23" s="116"/>
      <c r="C23" s="116"/>
      <c r="D23" s="116"/>
      <c r="E23" s="116"/>
    </row>
  </sheetData>
  <mergeCells count="7">
    <mergeCell ref="A2:E2"/>
    <mergeCell ref="D4:E4"/>
    <mergeCell ref="A22:E22"/>
    <mergeCell ref="A23:E23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A2" sqref="A2:E2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94" t="s">
        <v>60</v>
      </c>
      <c r="B1" s="94"/>
      <c r="C1" s="94"/>
      <c r="D1" s="95"/>
      <c r="E1" s="95"/>
    </row>
    <row r="2" ht="26.45" customHeight="1" spans="1:5">
      <c r="A2" s="96" t="s">
        <v>61</v>
      </c>
      <c r="B2" s="96"/>
      <c r="C2" s="96"/>
      <c r="D2" s="96"/>
      <c r="E2" s="96"/>
    </row>
    <row r="3" spans="1:5">
      <c r="A3" s="97"/>
      <c r="B3" s="97"/>
      <c r="C3" s="97"/>
      <c r="D3" s="97"/>
      <c r="E3" s="69" t="s">
        <v>2</v>
      </c>
    </row>
    <row r="4" s="93" customFormat="1" ht="20.1" customHeight="1" spans="1:5">
      <c r="A4" s="98" t="s">
        <v>38</v>
      </c>
      <c r="B4" s="98" t="s">
        <v>39</v>
      </c>
      <c r="C4" s="98" t="s">
        <v>40</v>
      </c>
      <c r="D4" s="99" t="s">
        <v>57</v>
      </c>
      <c r="E4" s="99"/>
    </row>
    <row r="5" s="93" customFormat="1" ht="20.1" customHeight="1" spans="1:5">
      <c r="A5" s="98"/>
      <c r="B5" s="98"/>
      <c r="C5" s="98"/>
      <c r="D5" s="185" t="s">
        <v>58</v>
      </c>
      <c r="E5" s="98" t="s">
        <v>44</v>
      </c>
    </row>
    <row r="6" s="93" customFormat="1" ht="20.1" customHeight="1" spans="1:5">
      <c r="A6" s="100" t="s">
        <v>31</v>
      </c>
      <c r="B6" s="100" t="s">
        <v>31</v>
      </c>
      <c r="C6" s="100">
        <v>1</v>
      </c>
      <c r="D6" s="101">
        <v>2</v>
      </c>
      <c r="E6" s="101">
        <v>3</v>
      </c>
    </row>
    <row r="7" s="93" customFormat="1" ht="20.1" customHeight="1" spans="1:5">
      <c r="A7" s="102"/>
      <c r="B7" s="103" t="s">
        <v>62</v>
      </c>
      <c r="C7" s="103"/>
      <c r="D7" s="104"/>
      <c r="E7" s="104"/>
    </row>
    <row r="8" s="93" customFormat="1" ht="20.1" customHeight="1" spans="1:5">
      <c r="A8" s="105"/>
      <c r="B8" s="106"/>
      <c r="C8" s="106"/>
      <c r="D8" s="104"/>
      <c r="E8" s="104"/>
    </row>
    <row r="9" s="93" customFormat="1" ht="20.1" customHeight="1" spans="1:5">
      <c r="A9" s="107"/>
      <c r="B9" s="107"/>
      <c r="C9" s="107"/>
      <c r="D9" s="104"/>
      <c r="E9" s="104"/>
    </row>
    <row r="10" s="93" customFormat="1" ht="20.1" customHeight="1" spans="1:5">
      <c r="A10" s="107"/>
      <c r="B10" s="107"/>
      <c r="C10" s="107"/>
      <c r="D10" s="104"/>
      <c r="E10" s="104"/>
    </row>
    <row r="11" s="93" customFormat="1" ht="20.1" customHeight="1" spans="1:5">
      <c r="A11" s="107"/>
      <c r="B11" s="107"/>
      <c r="C11" s="107"/>
      <c r="D11" s="104"/>
      <c r="E11" s="104"/>
    </row>
    <row r="12" s="93" customFormat="1" ht="20.1" customHeight="1" spans="1:5">
      <c r="A12" s="107"/>
      <c r="B12" s="107"/>
      <c r="C12" s="107"/>
      <c r="D12" s="104"/>
      <c r="E12" s="104"/>
    </row>
    <row r="13" s="93" customFormat="1" ht="20.1" customHeight="1" spans="1:5">
      <c r="A13" s="107"/>
      <c r="B13" s="107"/>
      <c r="C13" s="107"/>
      <c r="D13" s="104"/>
      <c r="E13" s="104"/>
    </row>
    <row r="14" s="93" customFormat="1" ht="20.1" customHeight="1" spans="1:5">
      <c r="A14" s="104"/>
      <c r="B14" s="104"/>
      <c r="C14" s="104"/>
      <c r="D14" s="104"/>
      <c r="E14" s="104"/>
    </row>
    <row r="15" s="93" customFormat="1" ht="20.1" customHeight="1" spans="1:5">
      <c r="A15" s="104"/>
      <c r="B15" s="104"/>
      <c r="C15" s="104"/>
      <c r="D15" s="104"/>
      <c r="E15" s="104"/>
    </row>
    <row r="16" s="93" customFormat="1" ht="20.1" customHeight="1" spans="1:5">
      <c r="A16" s="104"/>
      <c r="B16" s="104"/>
      <c r="C16" s="104"/>
      <c r="D16" s="104"/>
      <c r="E16" s="104"/>
    </row>
    <row r="17" s="93" customFormat="1" ht="20.1" customHeight="1" spans="1:5">
      <c r="A17" s="104"/>
      <c r="B17" s="104"/>
      <c r="C17" s="104"/>
      <c r="D17" s="104"/>
      <c r="E17" s="104"/>
    </row>
    <row r="18" s="93" customFormat="1" ht="20.1" customHeight="1" spans="1:5">
      <c r="A18" s="104"/>
      <c r="B18" s="104"/>
      <c r="C18" s="104"/>
      <c r="D18" s="104"/>
      <c r="E18" s="104"/>
    </row>
    <row r="19" s="93" customFormat="1" ht="20.1" customHeight="1" spans="1:5">
      <c r="A19" s="104"/>
      <c r="B19" s="104"/>
      <c r="C19" s="104"/>
      <c r="D19" s="104"/>
      <c r="E19" s="104"/>
    </row>
    <row r="20" s="93" customFormat="1" ht="20.1" customHeight="1" spans="1:5">
      <c r="A20" s="104"/>
      <c r="B20" s="104"/>
      <c r="C20" s="104"/>
      <c r="D20" s="104"/>
      <c r="E20" s="104"/>
    </row>
    <row r="21" s="93" customFormat="1" ht="20.1" customHeight="1" spans="1:5">
      <c r="A21" s="104"/>
      <c r="B21" s="104"/>
      <c r="C21" s="104"/>
      <c r="D21" s="104"/>
      <c r="E21" s="104"/>
    </row>
    <row r="22" s="93" customFormat="1" ht="18.6" customHeight="1" spans="1:5">
      <c r="A22" s="108" t="s">
        <v>63</v>
      </c>
      <c r="B22" s="108"/>
      <c r="C22" s="108"/>
      <c r="D22" s="108"/>
      <c r="E22" s="109"/>
    </row>
    <row r="23" s="93" customFormat="1" ht="18.6" customHeight="1" spans="1:5">
      <c r="A23" s="110" t="s">
        <v>64</v>
      </c>
      <c r="B23" s="110"/>
      <c r="C23" s="110"/>
      <c r="D23" s="110"/>
      <c r="E23" s="109"/>
    </row>
    <row r="24" s="93" customFormat="1" ht="18.6" customHeight="1" spans="1:4">
      <c r="A24" s="111"/>
      <c r="B24" s="111"/>
      <c r="C24" s="111"/>
      <c r="D24" s="111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A5" sqref="A5:B5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81" t="s">
        <v>65</v>
      </c>
      <c r="B1" s="46"/>
      <c r="C1" s="46"/>
    </row>
    <row r="2" ht="37.15" customHeight="1" spans="1:3">
      <c r="A2" s="82" t="s">
        <v>66</v>
      </c>
      <c r="B2" s="82"/>
      <c r="C2" s="82"/>
    </row>
    <row r="3" s="80" customFormat="1" ht="18" customHeight="1" spans="1:3">
      <c r="A3" s="83"/>
      <c r="B3" s="84"/>
      <c r="C3" s="85" t="s">
        <v>2</v>
      </c>
    </row>
    <row r="4" ht="31.5" customHeight="1" spans="1:3">
      <c r="A4" s="86" t="s">
        <v>38</v>
      </c>
      <c r="B4" s="87" t="s">
        <v>39</v>
      </c>
      <c r="C4" s="88" t="s">
        <v>6</v>
      </c>
    </row>
    <row r="5" ht="20.1" customHeight="1" spans="1:3">
      <c r="A5" s="87" t="s">
        <v>67</v>
      </c>
      <c r="B5" s="87" t="s">
        <v>68</v>
      </c>
      <c r="C5" s="89">
        <f>SUM(C6:C12)</f>
        <v>7068.19</v>
      </c>
    </row>
    <row r="6" ht="20.1" customHeight="1" spans="1:3">
      <c r="A6" s="90" t="s">
        <v>69</v>
      </c>
      <c r="B6" s="90" t="s">
        <v>70</v>
      </c>
      <c r="C6" s="72">
        <f>3251.95+86.88</f>
        <v>3338.83</v>
      </c>
    </row>
    <row r="7" ht="20.1" customHeight="1" spans="1:3">
      <c r="A7" s="90" t="s">
        <v>71</v>
      </c>
      <c r="B7" s="90" t="s">
        <v>72</v>
      </c>
      <c r="C7" s="72">
        <f>1052.57</f>
        <v>1052.57</v>
      </c>
    </row>
    <row r="8" ht="20.1" customHeight="1" spans="1:3">
      <c r="A8" s="90" t="s">
        <v>73</v>
      </c>
      <c r="B8" s="90" t="s">
        <v>74</v>
      </c>
      <c r="C8" s="72">
        <f>878.92+3.85</f>
        <v>882.77</v>
      </c>
    </row>
    <row r="9" ht="20.1" customHeight="1" spans="1:3">
      <c r="A9" s="90" t="s">
        <v>75</v>
      </c>
      <c r="B9" s="90" t="s">
        <v>76</v>
      </c>
      <c r="C9" s="91" t="s">
        <v>68</v>
      </c>
    </row>
    <row r="10" ht="20.1" customHeight="1" spans="1:3">
      <c r="A10" s="90" t="s">
        <v>77</v>
      </c>
      <c r="B10" s="90" t="s">
        <v>78</v>
      </c>
      <c r="C10" s="91" t="s">
        <v>68</v>
      </c>
    </row>
    <row r="11" ht="20.1" customHeight="1" spans="1:3">
      <c r="A11" s="90" t="s">
        <v>79</v>
      </c>
      <c r="B11" s="90" t="s">
        <v>80</v>
      </c>
      <c r="C11" s="72">
        <v>1794.02</v>
      </c>
    </row>
    <row r="12" ht="20.1" customHeight="1" spans="1:3">
      <c r="A12" s="90" t="s">
        <v>81</v>
      </c>
      <c r="B12" s="90" t="s">
        <v>82</v>
      </c>
      <c r="C12" s="91" t="s">
        <v>68</v>
      </c>
    </row>
    <row r="13" ht="20.1" customHeight="1" spans="1:3">
      <c r="A13" s="90" t="s">
        <v>83</v>
      </c>
      <c r="B13" s="90" t="s">
        <v>84</v>
      </c>
      <c r="C13" s="91" t="s">
        <v>68</v>
      </c>
    </row>
    <row r="14" ht="20.1" customHeight="1" spans="1:3">
      <c r="A14" s="90" t="s">
        <v>85</v>
      </c>
      <c r="B14" s="90" t="s">
        <v>86</v>
      </c>
      <c r="C14" s="92"/>
    </row>
    <row r="15" ht="20.1" customHeight="1" spans="1:3">
      <c r="A15" s="90" t="s">
        <v>87</v>
      </c>
      <c r="B15" s="90" t="s">
        <v>88</v>
      </c>
      <c r="C15" s="92"/>
    </row>
  </sheetData>
  <mergeCells count="2">
    <mergeCell ref="A2:C2"/>
    <mergeCell ref="A5:B5"/>
  </mergeCells>
  <pageMargins left="0.708661417322835" right="0.708661417322835" top="0.748031496062992" bottom="0.748031496062992" header="0.31496062992126" footer="0.31496062992126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B8" sqref="B8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64" t="s">
        <v>89</v>
      </c>
      <c r="B1" s="65"/>
      <c r="C1" s="66"/>
    </row>
    <row r="2" ht="33.75" customHeight="1" spans="1:3">
      <c r="A2" s="67" t="s">
        <v>90</v>
      </c>
      <c r="B2" s="67"/>
      <c r="C2" s="67"/>
    </row>
    <row r="3" ht="21" customHeight="1" spans="1:3">
      <c r="A3" s="68"/>
      <c r="B3" s="69" t="s">
        <v>2</v>
      </c>
      <c r="C3" s="69"/>
    </row>
    <row r="4" ht="20.1" customHeight="1" spans="1:3">
      <c r="A4" s="70" t="s">
        <v>91</v>
      </c>
      <c r="B4" s="71" t="s">
        <v>39</v>
      </c>
      <c r="C4" s="71" t="s">
        <v>6</v>
      </c>
    </row>
    <row r="5" ht="20.1" customHeight="1" spans="1:3">
      <c r="A5" s="71" t="s">
        <v>67</v>
      </c>
      <c r="B5" s="71" t="s">
        <v>68</v>
      </c>
      <c r="C5" s="72">
        <f>C6+C20+C48+C78</f>
        <v>7068.19</v>
      </c>
    </row>
    <row r="6" s="63" customFormat="1" ht="20.1" customHeight="1" spans="1:3">
      <c r="A6" s="73" t="s">
        <v>69</v>
      </c>
      <c r="B6" s="73" t="s">
        <v>70</v>
      </c>
      <c r="C6" s="74">
        <v>3338.83</v>
      </c>
    </row>
    <row r="7" ht="20.1" customHeight="1" spans="1:3">
      <c r="A7" s="75" t="s">
        <v>92</v>
      </c>
      <c r="B7" s="75" t="s">
        <v>93</v>
      </c>
      <c r="C7" s="76">
        <f>2313.31+62.81</f>
        <v>2376.12</v>
      </c>
    </row>
    <row r="8" ht="20.1" customHeight="1" spans="1:3">
      <c r="A8" s="75" t="s">
        <v>94</v>
      </c>
      <c r="B8" s="75" t="s">
        <v>95</v>
      </c>
      <c r="C8" s="76">
        <f>90+1.71</f>
        <v>91.71</v>
      </c>
    </row>
    <row r="9" ht="20.1" customHeight="1" spans="1:3">
      <c r="A9" s="75" t="s">
        <v>96</v>
      </c>
      <c r="B9" s="75" t="s">
        <v>97</v>
      </c>
      <c r="C9" s="76" t="s">
        <v>68</v>
      </c>
    </row>
    <row r="10" ht="20.1" customHeight="1" spans="1:3">
      <c r="A10" s="75" t="s">
        <v>98</v>
      </c>
      <c r="B10" s="75" t="s">
        <v>99</v>
      </c>
      <c r="C10" s="76" t="s">
        <v>68</v>
      </c>
    </row>
    <row r="11" ht="20.1" customHeight="1" spans="1:3">
      <c r="A11" s="75" t="s">
        <v>100</v>
      </c>
      <c r="B11" s="75" t="s">
        <v>101</v>
      </c>
      <c r="C11" s="76" t="s">
        <v>68</v>
      </c>
    </row>
    <row r="12" ht="20.1" customHeight="1" spans="1:3">
      <c r="A12" s="75" t="s">
        <v>102</v>
      </c>
      <c r="B12" s="75" t="s">
        <v>103</v>
      </c>
      <c r="C12" s="76">
        <f>349.1+10.89</f>
        <v>359.99</v>
      </c>
    </row>
    <row r="13" ht="20.1" customHeight="1" spans="1:3">
      <c r="A13" s="75" t="s">
        <v>104</v>
      </c>
      <c r="B13" s="75" t="s">
        <v>105</v>
      </c>
      <c r="C13" s="76">
        <f>3.05</f>
        <v>3.05</v>
      </c>
    </row>
    <row r="14" ht="20.1" customHeight="1" spans="1:3">
      <c r="A14" s="75" t="s">
        <v>106</v>
      </c>
      <c r="B14" s="75" t="s">
        <v>107</v>
      </c>
      <c r="C14" s="76" t="s">
        <v>68</v>
      </c>
    </row>
    <row r="15" ht="20.1" customHeight="1" spans="1:3">
      <c r="A15" s="75" t="s">
        <v>108</v>
      </c>
      <c r="B15" s="75" t="s">
        <v>109</v>
      </c>
      <c r="C15" s="76">
        <f>98.32+3.07</f>
        <v>101.39</v>
      </c>
    </row>
    <row r="16" ht="20.1" customHeight="1" spans="1:3">
      <c r="A16" s="75" t="s">
        <v>110</v>
      </c>
      <c r="B16" s="75" t="s">
        <v>111</v>
      </c>
      <c r="C16" s="76" t="s">
        <v>68</v>
      </c>
    </row>
    <row r="17" ht="20.1" customHeight="1" spans="1:3">
      <c r="A17" s="75" t="s">
        <v>112</v>
      </c>
      <c r="B17" s="75" t="s">
        <v>113</v>
      </c>
      <c r="C17" s="76">
        <f>344.17+8.4</f>
        <v>352.57</v>
      </c>
    </row>
    <row r="18" ht="20.1" customHeight="1" spans="1:3">
      <c r="A18" s="75" t="s">
        <v>114</v>
      </c>
      <c r="B18" s="75" t="s">
        <v>115</v>
      </c>
      <c r="C18" s="76" t="s">
        <v>68</v>
      </c>
    </row>
    <row r="19" ht="20.1" customHeight="1" spans="1:3">
      <c r="A19" s="75" t="s">
        <v>116</v>
      </c>
      <c r="B19" s="75" t="s">
        <v>117</v>
      </c>
      <c r="C19" s="76">
        <v>54</v>
      </c>
    </row>
    <row r="20" s="63" customFormat="1" ht="20.1" customHeight="1" spans="1:3">
      <c r="A20" s="73" t="s">
        <v>71</v>
      </c>
      <c r="B20" s="73" t="s">
        <v>72</v>
      </c>
      <c r="C20" s="74">
        <v>882.77</v>
      </c>
    </row>
    <row r="21" ht="20.1" customHeight="1" spans="1:3">
      <c r="A21" s="75" t="s">
        <v>118</v>
      </c>
      <c r="B21" s="75" t="s">
        <v>119</v>
      </c>
      <c r="C21" s="76">
        <v>40</v>
      </c>
    </row>
    <row r="22" ht="20.1" customHeight="1" spans="1:3">
      <c r="A22" s="75" t="s">
        <v>120</v>
      </c>
      <c r="B22" s="75" t="s">
        <v>121</v>
      </c>
      <c r="C22" s="76">
        <v>10</v>
      </c>
    </row>
    <row r="23" ht="20.1" customHeight="1" spans="1:3">
      <c r="A23" s="75" t="s">
        <v>122</v>
      </c>
      <c r="B23" s="75" t="s">
        <v>123</v>
      </c>
      <c r="C23" s="76" t="s">
        <v>68</v>
      </c>
    </row>
    <row r="24" ht="20.1" customHeight="1" spans="1:3">
      <c r="A24" s="75" t="s">
        <v>124</v>
      </c>
      <c r="B24" s="77" t="s">
        <v>125</v>
      </c>
      <c r="C24" s="76" t="s">
        <v>68</v>
      </c>
    </row>
    <row r="25" ht="20.1" customHeight="1" spans="1:3">
      <c r="A25" s="75" t="s">
        <v>126</v>
      </c>
      <c r="B25" s="75" t="s">
        <v>127</v>
      </c>
      <c r="C25" s="76">
        <v>5</v>
      </c>
    </row>
    <row r="26" ht="20.1" customHeight="1" spans="1:3">
      <c r="A26" s="75" t="s">
        <v>128</v>
      </c>
      <c r="B26" s="75" t="s">
        <v>129</v>
      </c>
      <c r="C26" s="76">
        <v>40</v>
      </c>
    </row>
    <row r="27" ht="20.1" customHeight="1" spans="1:3">
      <c r="A27" s="75" t="s">
        <v>130</v>
      </c>
      <c r="B27" s="75" t="s">
        <v>131</v>
      </c>
      <c r="C27" s="76">
        <v>54.24</v>
      </c>
    </row>
    <row r="28" ht="20.1" customHeight="1" spans="1:3">
      <c r="A28" s="75" t="s">
        <v>132</v>
      </c>
      <c r="B28" s="75" t="s">
        <v>133</v>
      </c>
      <c r="C28" s="76" t="s">
        <v>68</v>
      </c>
    </row>
    <row r="29" ht="20.1" customHeight="1" spans="1:3">
      <c r="A29" s="75" t="s">
        <v>134</v>
      </c>
      <c r="B29" s="75" t="s">
        <v>135</v>
      </c>
      <c r="C29" s="76">
        <v>100</v>
      </c>
    </row>
    <row r="30" ht="20.1" customHeight="1" spans="1:3">
      <c r="A30" s="75" t="s">
        <v>136</v>
      </c>
      <c r="B30" s="75" t="s">
        <v>137</v>
      </c>
      <c r="C30" s="76">
        <v>100</v>
      </c>
    </row>
    <row r="31" ht="20.1" customHeight="1" spans="1:3">
      <c r="A31" s="75" t="s">
        <v>138</v>
      </c>
      <c r="B31" s="75" t="s">
        <v>139</v>
      </c>
      <c r="C31" s="76" t="s">
        <v>68</v>
      </c>
    </row>
    <row r="32" ht="20.1" customHeight="1" spans="1:3">
      <c r="A32" s="75" t="s">
        <v>140</v>
      </c>
      <c r="B32" s="75" t="s">
        <v>141</v>
      </c>
      <c r="C32" s="76">
        <v>30</v>
      </c>
    </row>
    <row r="33" ht="20.1" customHeight="1" spans="1:3">
      <c r="A33" s="75" t="s">
        <v>142</v>
      </c>
      <c r="B33" s="75" t="s">
        <v>143</v>
      </c>
      <c r="C33" s="76" t="s">
        <v>68</v>
      </c>
    </row>
    <row r="34" ht="20.1" customHeight="1" spans="1:3">
      <c r="A34" s="75" t="s">
        <v>144</v>
      </c>
      <c r="B34" s="75" t="s">
        <v>145</v>
      </c>
      <c r="C34" s="76">
        <v>5</v>
      </c>
    </row>
    <row r="35" ht="20.1" customHeight="1" spans="1:3">
      <c r="A35" s="75" t="s">
        <v>146</v>
      </c>
      <c r="B35" s="75" t="s">
        <v>147</v>
      </c>
      <c r="C35" s="76">
        <v>10</v>
      </c>
    </row>
    <row r="36" ht="20.1" customHeight="1" spans="1:3">
      <c r="A36" s="75" t="s">
        <v>148</v>
      </c>
      <c r="B36" s="75" t="s">
        <v>149</v>
      </c>
      <c r="C36" s="76"/>
    </row>
    <row r="37" ht="20.1" customHeight="1" spans="1:3">
      <c r="A37" s="75" t="s">
        <v>150</v>
      </c>
      <c r="B37" s="75" t="s">
        <v>151</v>
      </c>
      <c r="C37" s="76" t="s">
        <v>68</v>
      </c>
    </row>
    <row r="38" ht="20.1" customHeight="1" spans="1:3">
      <c r="A38" s="75" t="s">
        <v>152</v>
      </c>
      <c r="B38" s="75" t="s">
        <v>153</v>
      </c>
      <c r="C38" s="76" t="s">
        <v>68</v>
      </c>
    </row>
    <row r="39" ht="20.1" customHeight="1" spans="1:3">
      <c r="A39" s="75" t="s">
        <v>154</v>
      </c>
      <c r="B39" s="75" t="s">
        <v>155</v>
      </c>
      <c r="C39" s="76" t="s">
        <v>68</v>
      </c>
    </row>
    <row r="40" ht="20.1" customHeight="1" spans="1:3">
      <c r="A40" s="75" t="s">
        <v>156</v>
      </c>
      <c r="B40" s="75" t="s">
        <v>157</v>
      </c>
      <c r="C40" s="76">
        <v>20</v>
      </c>
    </row>
    <row r="41" ht="20.1" customHeight="1" spans="1:3">
      <c r="A41" s="75" t="s">
        <v>158</v>
      </c>
      <c r="B41" s="75" t="s">
        <v>159</v>
      </c>
      <c r="C41" s="76">
        <v>30</v>
      </c>
    </row>
    <row r="42" ht="20.1" customHeight="1" spans="1:3">
      <c r="A42" s="75" t="s">
        <v>160</v>
      </c>
      <c r="B42" s="75" t="s">
        <v>161</v>
      </c>
      <c r="C42" s="76">
        <v>59.34</v>
      </c>
    </row>
    <row r="43" ht="20.1" customHeight="1" spans="1:3">
      <c r="A43" s="75" t="s">
        <v>162</v>
      </c>
      <c r="B43" s="75" t="s">
        <v>163</v>
      </c>
      <c r="C43" s="76" t="s">
        <v>68</v>
      </c>
    </row>
    <row r="44" ht="20.1" customHeight="1" spans="1:3">
      <c r="A44" s="75" t="s">
        <v>164</v>
      </c>
      <c r="B44" s="75" t="s">
        <v>165</v>
      </c>
      <c r="C44" s="76">
        <v>22.8</v>
      </c>
    </row>
    <row r="45" ht="20.1" customHeight="1" spans="1:3">
      <c r="A45" s="75" t="s">
        <v>166</v>
      </c>
      <c r="B45" s="75" t="s">
        <v>167</v>
      </c>
      <c r="C45" s="76">
        <v>84.91</v>
      </c>
    </row>
    <row r="46" ht="20.1" customHeight="1" spans="1:3">
      <c r="A46" s="75" t="s">
        <v>168</v>
      </c>
      <c r="B46" s="75" t="s">
        <v>169</v>
      </c>
      <c r="C46" s="76" t="s">
        <v>68</v>
      </c>
    </row>
    <row r="47" ht="20.1" customHeight="1" spans="1:3">
      <c r="A47" s="75" t="s">
        <v>170</v>
      </c>
      <c r="B47" s="75" t="s">
        <v>171</v>
      </c>
      <c r="C47" s="76">
        <v>271.48</v>
      </c>
    </row>
    <row r="48" s="63" customFormat="1" ht="20.1" customHeight="1" spans="1:3">
      <c r="A48" s="73" t="s">
        <v>73</v>
      </c>
      <c r="B48" s="73" t="s">
        <v>74</v>
      </c>
      <c r="C48" s="74">
        <v>1052.57</v>
      </c>
    </row>
    <row r="49" ht="20.1" customHeight="1" spans="1:3">
      <c r="A49" s="75" t="s">
        <v>172</v>
      </c>
      <c r="B49" s="75" t="s">
        <v>173</v>
      </c>
      <c r="C49" s="76"/>
    </row>
    <row r="50" ht="20.1" customHeight="1" spans="1:3">
      <c r="A50" s="75" t="s">
        <v>174</v>
      </c>
      <c r="B50" s="75" t="s">
        <v>175</v>
      </c>
      <c r="C50" s="76"/>
    </row>
    <row r="51" ht="20.1" customHeight="1" spans="1:3">
      <c r="A51" s="75" t="s">
        <v>176</v>
      </c>
      <c r="B51" s="75" t="s">
        <v>177</v>
      </c>
      <c r="C51" s="76"/>
    </row>
    <row r="52" ht="20.1" customHeight="1" spans="1:3">
      <c r="A52" s="75" t="s">
        <v>178</v>
      </c>
      <c r="B52" s="75" t="s">
        <v>179</v>
      </c>
      <c r="C52" s="76"/>
    </row>
    <row r="53" ht="20.1" customHeight="1" spans="1:3">
      <c r="A53" s="75" t="s">
        <v>180</v>
      </c>
      <c r="B53" s="75" t="s">
        <v>181</v>
      </c>
      <c r="C53" s="76"/>
    </row>
    <row r="54" ht="20.1" customHeight="1" spans="1:3">
      <c r="A54" s="75" t="s">
        <v>182</v>
      </c>
      <c r="B54" s="75" t="s">
        <v>183</v>
      </c>
      <c r="C54" s="76" t="s">
        <v>68</v>
      </c>
    </row>
    <row r="55" ht="20.1" customHeight="1" spans="1:3">
      <c r="A55" s="75" t="s">
        <v>184</v>
      </c>
      <c r="B55" s="75" t="s">
        <v>185</v>
      </c>
      <c r="C55" s="76" t="s">
        <v>68</v>
      </c>
    </row>
    <row r="56" ht="20.1" customHeight="1" spans="1:3">
      <c r="A56" s="75" t="s">
        <v>186</v>
      </c>
      <c r="B56" s="75" t="s">
        <v>187</v>
      </c>
      <c r="C56" s="76" t="s">
        <v>68</v>
      </c>
    </row>
    <row r="57" ht="20.1" customHeight="1" spans="1:3">
      <c r="A57" s="75" t="s">
        <v>188</v>
      </c>
      <c r="B57" s="75" t="s">
        <v>189</v>
      </c>
      <c r="C57" s="76" t="s">
        <v>68</v>
      </c>
    </row>
    <row r="58" ht="20.1" customHeight="1" spans="1:3">
      <c r="A58" s="75" t="s">
        <v>190</v>
      </c>
      <c r="B58" s="75" t="s">
        <v>191</v>
      </c>
      <c r="C58" s="76" t="s">
        <v>68</v>
      </c>
    </row>
    <row r="59" ht="20.1" customHeight="1" spans="1:3">
      <c r="A59" s="75" t="s">
        <v>192</v>
      </c>
      <c r="B59" s="75" t="s">
        <v>193</v>
      </c>
      <c r="C59" s="76">
        <f>1052.57</f>
        <v>1052.57</v>
      </c>
    </row>
    <row r="60" s="63" customFormat="1" ht="20.1" customHeight="1" spans="1:3">
      <c r="A60" s="73" t="s">
        <v>75</v>
      </c>
      <c r="B60" s="73" t="s">
        <v>76</v>
      </c>
      <c r="C60" s="74" t="s">
        <v>68</v>
      </c>
    </row>
    <row r="61" ht="20.1" customHeight="1" spans="1:3">
      <c r="A61" s="75" t="s">
        <v>194</v>
      </c>
      <c r="B61" s="75" t="s">
        <v>195</v>
      </c>
      <c r="C61" s="76" t="s">
        <v>68</v>
      </c>
    </row>
    <row r="62" ht="20.1" customHeight="1" spans="1:3">
      <c r="A62" s="75" t="s">
        <v>196</v>
      </c>
      <c r="B62" s="75" t="s">
        <v>197</v>
      </c>
      <c r="C62" s="76" t="s">
        <v>68</v>
      </c>
    </row>
    <row r="63" ht="20.1" customHeight="1" spans="1:3">
      <c r="A63" s="75" t="s">
        <v>198</v>
      </c>
      <c r="B63" s="75" t="s">
        <v>199</v>
      </c>
      <c r="C63" s="76" t="s">
        <v>68</v>
      </c>
    </row>
    <row r="64" ht="20.1" customHeight="1" spans="1:3">
      <c r="A64" s="75" t="s">
        <v>200</v>
      </c>
      <c r="B64" s="75" t="s">
        <v>201</v>
      </c>
      <c r="C64" s="76" t="s">
        <v>68</v>
      </c>
    </row>
    <row r="65" s="63" customFormat="1" ht="20.1" customHeight="1" spans="1:3">
      <c r="A65" s="73" t="s">
        <v>77</v>
      </c>
      <c r="B65" s="73" t="s">
        <v>78</v>
      </c>
      <c r="C65" s="74" t="s">
        <v>68</v>
      </c>
    </row>
    <row r="66" ht="20.1" customHeight="1" spans="1:3">
      <c r="A66" s="75" t="s">
        <v>202</v>
      </c>
      <c r="B66" s="75" t="s">
        <v>203</v>
      </c>
      <c r="C66" s="76" t="s">
        <v>68</v>
      </c>
    </row>
    <row r="67" ht="20.1" customHeight="1" spans="1:3">
      <c r="A67" s="75" t="s">
        <v>204</v>
      </c>
      <c r="B67" s="75" t="s">
        <v>205</v>
      </c>
      <c r="C67" s="76" t="s">
        <v>68</v>
      </c>
    </row>
    <row r="68" ht="20.1" customHeight="1" spans="1:3">
      <c r="A68" s="75" t="s">
        <v>206</v>
      </c>
      <c r="B68" s="75" t="s">
        <v>207</v>
      </c>
      <c r="C68" s="76" t="s">
        <v>68</v>
      </c>
    </row>
    <row r="69" ht="20.1" customHeight="1" spans="1:3">
      <c r="A69" s="75" t="s">
        <v>208</v>
      </c>
      <c r="B69" s="75" t="s">
        <v>209</v>
      </c>
      <c r="C69" s="76" t="s">
        <v>68</v>
      </c>
    </row>
    <row r="70" ht="20.1" customHeight="1" spans="1:3">
      <c r="A70" s="75" t="s">
        <v>210</v>
      </c>
      <c r="B70" s="75" t="s">
        <v>211</v>
      </c>
      <c r="C70" s="76" t="s">
        <v>68</v>
      </c>
    </row>
    <row r="71" ht="20.1" customHeight="1" spans="1:3">
      <c r="A71" s="75" t="s">
        <v>212</v>
      </c>
      <c r="B71" s="75" t="s">
        <v>213</v>
      </c>
      <c r="C71" s="76" t="s">
        <v>68</v>
      </c>
    </row>
    <row r="72" ht="20.1" customHeight="1" spans="1:3">
      <c r="A72" s="75" t="s">
        <v>214</v>
      </c>
      <c r="B72" s="75" t="s">
        <v>215</v>
      </c>
      <c r="C72" s="76" t="s">
        <v>68</v>
      </c>
    </row>
    <row r="73" ht="20.1" customHeight="1" spans="1:3">
      <c r="A73" s="75" t="s">
        <v>216</v>
      </c>
      <c r="B73" s="75" t="s">
        <v>217</v>
      </c>
      <c r="C73" s="76" t="s">
        <v>68</v>
      </c>
    </row>
    <row r="74" ht="20.1" customHeight="1" spans="1:3">
      <c r="A74" s="75" t="s">
        <v>218</v>
      </c>
      <c r="B74" s="75" t="s">
        <v>219</v>
      </c>
      <c r="C74" s="76" t="s">
        <v>68</v>
      </c>
    </row>
    <row r="75" ht="20.1" customHeight="1" spans="1:3">
      <c r="A75" s="75" t="s">
        <v>220</v>
      </c>
      <c r="B75" s="75" t="s">
        <v>221</v>
      </c>
      <c r="C75" s="76" t="s">
        <v>68</v>
      </c>
    </row>
    <row r="76" ht="20.1" customHeight="1" spans="1:3">
      <c r="A76" s="75" t="s">
        <v>222</v>
      </c>
      <c r="B76" s="75" t="s">
        <v>223</v>
      </c>
      <c r="C76" s="76" t="s">
        <v>68</v>
      </c>
    </row>
    <row r="77" ht="20.1" customHeight="1" spans="1:3">
      <c r="A77" s="75" t="s">
        <v>224</v>
      </c>
      <c r="B77" s="75" t="s">
        <v>225</v>
      </c>
      <c r="C77" s="76" t="s">
        <v>68</v>
      </c>
    </row>
    <row r="78" s="63" customFormat="1" ht="20.1" customHeight="1" spans="1:3">
      <c r="A78" s="73" t="s">
        <v>79</v>
      </c>
      <c r="B78" s="73" t="s">
        <v>80</v>
      </c>
      <c r="C78" s="74">
        <v>1794.02</v>
      </c>
    </row>
    <row r="79" ht="20.1" customHeight="1" spans="1:3">
      <c r="A79" s="75" t="s">
        <v>226</v>
      </c>
      <c r="B79" s="75" t="s">
        <v>203</v>
      </c>
      <c r="C79" s="76" t="s">
        <v>68</v>
      </c>
    </row>
    <row r="80" ht="20.1" customHeight="1" spans="1:3">
      <c r="A80" s="75" t="s">
        <v>227</v>
      </c>
      <c r="B80" s="75" t="s">
        <v>205</v>
      </c>
      <c r="C80" s="76" t="s">
        <v>68</v>
      </c>
    </row>
    <row r="81" ht="20.1" customHeight="1" spans="1:3">
      <c r="A81" s="75" t="s">
        <v>228</v>
      </c>
      <c r="B81" s="75" t="s">
        <v>207</v>
      </c>
      <c r="C81" s="76" t="s">
        <v>68</v>
      </c>
    </row>
    <row r="82" ht="20.1" customHeight="1" spans="1:3">
      <c r="A82" s="75" t="s">
        <v>229</v>
      </c>
      <c r="B82" s="75" t="s">
        <v>209</v>
      </c>
      <c r="C82" s="78"/>
    </row>
    <row r="83" ht="20.1" customHeight="1" spans="1:3">
      <c r="A83" s="75" t="s">
        <v>230</v>
      </c>
      <c r="B83" s="75" t="s">
        <v>211</v>
      </c>
      <c r="C83" s="78"/>
    </row>
    <row r="84" ht="20.1" customHeight="1" spans="1:3">
      <c r="A84" s="75" t="s">
        <v>231</v>
      </c>
      <c r="B84" s="75" t="s">
        <v>213</v>
      </c>
      <c r="C84" s="78"/>
    </row>
    <row r="85" ht="20.1" customHeight="1" spans="1:3">
      <c r="A85" s="75" t="s">
        <v>232</v>
      </c>
      <c r="B85" s="75" t="s">
        <v>215</v>
      </c>
      <c r="C85" s="78"/>
    </row>
    <row r="86" ht="20.1" customHeight="1" spans="1:3">
      <c r="A86" s="75" t="s">
        <v>233</v>
      </c>
      <c r="B86" s="75" t="s">
        <v>234</v>
      </c>
      <c r="C86" s="78"/>
    </row>
    <row r="87" ht="20.1" customHeight="1" spans="1:3">
      <c r="A87" s="75" t="s">
        <v>235</v>
      </c>
      <c r="B87" s="75" t="s">
        <v>236</v>
      </c>
      <c r="C87" s="78"/>
    </row>
    <row r="88" ht="20.1" customHeight="1" spans="1:3">
      <c r="A88" s="75" t="s">
        <v>237</v>
      </c>
      <c r="B88" s="75" t="s">
        <v>238</v>
      </c>
      <c r="C88" s="78"/>
    </row>
    <row r="89" ht="30" customHeight="1" spans="1:3">
      <c r="A89" s="75" t="s">
        <v>239</v>
      </c>
      <c r="B89" s="77" t="s">
        <v>240</v>
      </c>
      <c r="C89" s="78"/>
    </row>
    <row r="90" ht="20.1" customHeight="1" spans="1:3">
      <c r="A90" s="75" t="s">
        <v>241</v>
      </c>
      <c r="B90" s="75" t="s">
        <v>217</v>
      </c>
      <c r="C90" s="78"/>
    </row>
    <row r="91" ht="20.1" customHeight="1" spans="1:3">
      <c r="A91" s="75" t="s">
        <v>242</v>
      </c>
      <c r="B91" s="75" t="s">
        <v>219</v>
      </c>
      <c r="C91" s="78"/>
    </row>
    <row r="92" ht="20.1" customHeight="1" spans="1:3">
      <c r="A92" s="75" t="s">
        <v>243</v>
      </c>
      <c r="B92" s="75" t="s">
        <v>221</v>
      </c>
      <c r="C92" s="78"/>
    </row>
    <row r="93" ht="20.1" customHeight="1" spans="1:3">
      <c r="A93" s="75" t="s">
        <v>244</v>
      </c>
      <c r="B93" s="75" t="s">
        <v>223</v>
      </c>
      <c r="C93" s="78"/>
    </row>
    <row r="94" ht="20.1" customHeight="1" spans="1:3">
      <c r="A94" s="75" t="s">
        <v>245</v>
      </c>
      <c r="B94" s="75" t="s">
        <v>246</v>
      </c>
      <c r="C94" s="78">
        <v>1794.02</v>
      </c>
    </row>
    <row r="95" s="63" customFormat="1" ht="20.1" customHeight="1" spans="1:3">
      <c r="A95" s="73" t="s">
        <v>81</v>
      </c>
      <c r="B95" s="73" t="s">
        <v>82</v>
      </c>
      <c r="C95" s="79"/>
    </row>
    <row r="96" ht="20.1" customHeight="1" spans="1:3">
      <c r="A96" s="75" t="s">
        <v>247</v>
      </c>
      <c r="B96" s="75" t="s">
        <v>248</v>
      </c>
      <c r="C96" s="78"/>
    </row>
    <row r="97" ht="20.1" customHeight="1" spans="1:3">
      <c r="A97" s="75" t="s">
        <v>249</v>
      </c>
      <c r="B97" s="75" t="s">
        <v>250</v>
      </c>
      <c r="C97" s="78"/>
    </row>
    <row r="98" s="63" customFormat="1" ht="20.1" customHeight="1" spans="1:3">
      <c r="A98" s="73" t="s">
        <v>83</v>
      </c>
      <c r="B98" s="73" t="s">
        <v>84</v>
      </c>
      <c r="C98" s="79"/>
    </row>
    <row r="99" ht="20.1" customHeight="1" spans="1:3">
      <c r="A99" s="75" t="s">
        <v>251</v>
      </c>
      <c r="B99" s="75" t="s">
        <v>248</v>
      </c>
      <c r="C99" s="78"/>
    </row>
    <row r="100" ht="20.1" customHeight="1" spans="1:3">
      <c r="A100" s="75" t="s">
        <v>252</v>
      </c>
      <c r="B100" s="75" t="s">
        <v>253</v>
      </c>
      <c r="C100" s="78"/>
    </row>
    <row r="101" ht="20.1" customHeight="1" spans="1:3">
      <c r="A101" s="75" t="s">
        <v>254</v>
      </c>
      <c r="B101" s="75" t="s">
        <v>255</v>
      </c>
      <c r="C101" s="78"/>
    </row>
    <row r="102" ht="20.1" customHeight="1" spans="1:3">
      <c r="A102" s="75" t="s">
        <v>256</v>
      </c>
      <c r="B102" s="75" t="s">
        <v>257</v>
      </c>
      <c r="C102" s="78"/>
    </row>
    <row r="103" ht="20.1" customHeight="1" spans="1:3">
      <c r="A103" s="75" t="s">
        <v>258</v>
      </c>
      <c r="B103" s="75" t="s">
        <v>250</v>
      </c>
      <c r="C103" s="78"/>
    </row>
    <row r="104" s="63" customFormat="1" ht="20.1" customHeight="1" spans="1:3">
      <c r="A104" s="73" t="s">
        <v>85</v>
      </c>
      <c r="B104" s="73" t="s">
        <v>86</v>
      </c>
      <c r="C104" s="79"/>
    </row>
    <row r="105" ht="20.1" customHeight="1" spans="1:3">
      <c r="A105" s="75" t="s">
        <v>259</v>
      </c>
      <c r="B105" s="75" t="s">
        <v>260</v>
      </c>
      <c r="C105" s="78"/>
    </row>
    <row r="106" ht="20.1" customHeight="1" spans="1:3">
      <c r="A106" s="75" t="s">
        <v>261</v>
      </c>
      <c r="B106" s="75" t="s">
        <v>262</v>
      </c>
      <c r="C106" s="78"/>
    </row>
    <row r="107" s="63" customFormat="1" ht="20.1" customHeight="1" spans="1:3">
      <c r="A107" s="73" t="s">
        <v>87</v>
      </c>
      <c r="B107" s="73" t="s">
        <v>88</v>
      </c>
      <c r="C107" s="79"/>
    </row>
    <row r="108" ht="20.1" customHeight="1" spans="1:3">
      <c r="A108" s="75" t="s">
        <v>263</v>
      </c>
      <c r="B108" s="75" t="s">
        <v>264</v>
      </c>
      <c r="C108" s="78"/>
    </row>
    <row r="109" ht="20.1" customHeight="1" spans="1:3">
      <c r="A109" s="75" t="s">
        <v>265</v>
      </c>
      <c r="B109" s="75" t="s">
        <v>266</v>
      </c>
      <c r="C109" s="78"/>
    </row>
    <row r="110" ht="20.1" customHeight="1" spans="1:3">
      <c r="A110" s="75" t="s">
        <v>267</v>
      </c>
      <c r="B110" s="75" t="s">
        <v>268</v>
      </c>
      <c r="C110" s="78"/>
    </row>
    <row r="111" ht="20.1" customHeight="1" spans="1:3">
      <c r="A111" s="75" t="s">
        <v>269</v>
      </c>
      <c r="B111" s="75" t="s">
        <v>88</v>
      </c>
      <c r="C111" s="78"/>
    </row>
  </sheetData>
  <mergeCells count="3">
    <mergeCell ref="A2:C2"/>
    <mergeCell ref="B3:C3"/>
    <mergeCell ref="A5:B5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E27" sqref="E27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54" t="s">
        <v>270</v>
      </c>
      <c r="B1" s="55"/>
    </row>
    <row r="2" ht="28.5" customHeight="1" spans="1:2">
      <c r="A2" s="56" t="s">
        <v>271</v>
      </c>
      <c r="B2" s="56"/>
    </row>
    <row r="3" ht="18" customHeight="1" spans="1:2">
      <c r="A3" s="57"/>
      <c r="B3" s="58" t="s">
        <v>2</v>
      </c>
    </row>
    <row r="4" ht="20.1" customHeight="1" spans="1:2">
      <c r="A4" s="59" t="s">
        <v>272</v>
      </c>
      <c r="B4" s="59" t="s">
        <v>6</v>
      </c>
    </row>
    <row r="5" ht="20.1" customHeight="1" spans="1:2">
      <c r="A5" s="59" t="s">
        <v>40</v>
      </c>
      <c r="B5" s="60">
        <v>32.8</v>
      </c>
    </row>
    <row r="6" ht="20.1" customHeight="1" spans="1:2">
      <c r="A6" s="60" t="s">
        <v>273</v>
      </c>
      <c r="B6" s="60"/>
    </row>
    <row r="7" ht="20.1" customHeight="1" spans="1:2">
      <c r="A7" s="60" t="s">
        <v>274</v>
      </c>
      <c r="B7" s="60">
        <v>10</v>
      </c>
    </row>
    <row r="8" ht="20.1" customHeight="1" spans="1:2">
      <c r="A8" s="60" t="s">
        <v>275</v>
      </c>
      <c r="B8" s="60">
        <v>22.8</v>
      </c>
    </row>
    <row r="9" ht="20.1" customHeight="1" spans="1:2">
      <c r="A9" s="61" t="s">
        <v>276</v>
      </c>
      <c r="B9" s="60">
        <v>22.8</v>
      </c>
    </row>
    <row r="10" ht="20.1" customHeight="1" spans="1:2">
      <c r="A10" s="61" t="s">
        <v>277</v>
      </c>
      <c r="B10" s="60"/>
    </row>
    <row r="11" ht="46.5" customHeight="1" spans="1:2">
      <c r="A11" s="62" t="s">
        <v>278</v>
      </c>
      <c r="B11" s="62"/>
    </row>
  </sheetData>
  <mergeCells count="2">
    <mergeCell ref="A2:B2"/>
    <mergeCell ref="A11:B11"/>
  </mergeCells>
  <pageMargins left="0.708661417322835" right="0.708661417322835" top="0.748031496062992" bottom="0.748031496062992" header="0.31496062992126" footer="0.31496062992126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G8" sqref="G8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44" t="s">
        <v>279</v>
      </c>
    </row>
    <row r="2" ht="26.25" customHeight="1" spans="1:11">
      <c r="A2" s="45" t="s">
        <v>280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ht="23.25" customHeight="1" spans="1:11">
      <c r="A3" s="46"/>
      <c r="B3" s="46"/>
      <c r="C3" s="46"/>
      <c r="D3" s="46"/>
      <c r="E3" s="46"/>
      <c r="F3" s="46"/>
      <c r="G3" s="46"/>
      <c r="H3" s="46"/>
      <c r="I3" s="46"/>
      <c r="J3" s="46"/>
      <c r="K3" s="53" t="s">
        <v>2</v>
      </c>
    </row>
    <row r="4" ht="20.1" customHeight="1" spans="1:11">
      <c r="A4" s="47" t="s">
        <v>281</v>
      </c>
      <c r="B4" s="47" t="s">
        <v>282</v>
      </c>
      <c r="C4" s="47" t="s">
        <v>283</v>
      </c>
      <c r="D4" s="47" t="s">
        <v>284</v>
      </c>
      <c r="E4" s="47" t="s">
        <v>285</v>
      </c>
      <c r="F4" s="47" t="s">
        <v>286</v>
      </c>
      <c r="G4" s="47" t="s">
        <v>287</v>
      </c>
      <c r="H4" s="48" t="s">
        <v>288</v>
      </c>
      <c r="I4" s="48"/>
      <c r="J4" s="48"/>
      <c r="K4" s="47" t="s">
        <v>289</v>
      </c>
    </row>
    <row r="5" ht="36.75" customHeight="1" spans="1:11">
      <c r="A5" s="49"/>
      <c r="B5" s="49"/>
      <c r="C5" s="49"/>
      <c r="D5" s="49"/>
      <c r="E5" s="49"/>
      <c r="F5" s="49"/>
      <c r="G5" s="49"/>
      <c r="H5" s="48" t="s">
        <v>290</v>
      </c>
      <c r="I5" s="48" t="s">
        <v>291</v>
      </c>
      <c r="J5" s="48" t="s">
        <v>292</v>
      </c>
      <c r="K5" s="49"/>
    </row>
    <row r="6" ht="20.1" customHeight="1" spans="1:11">
      <c r="A6" s="50" t="s">
        <v>62</v>
      </c>
      <c r="B6" s="50"/>
      <c r="C6" s="50"/>
      <c r="D6" s="50"/>
      <c r="E6" s="50"/>
      <c r="F6" s="50"/>
      <c r="G6" s="50"/>
      <c r="H6" s="50"/>
      <c r="I6" s="50"/>
      <c r="J6" s="50"/>
      <c r="K6" s="50"/>
    </row>
    <row r="7" ht="20.1" customHeight="1" spans="1:11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</row>
    <row r="8" ht="20.1" customHeight="1" spans="1:1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</row>
    <row r="9" ht="20.1" customHeight="1" spans="1:11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</row>
    <row r="10" ht="20.1" customHeight="1" spans="1:1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</row>
    <row r="11" ht="20.1" customHeight="1" spans="1:11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</row>
    <row r="12" ht="20.1" customHeight="1" spans="1:1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</row>
    <row r="13" ht="20.1" customHeight="1" spans="1:1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</row>
    <row r="14" ht="184.15" customHeight="1" spans="1:11">
      <c r="A14" s="51" t="s">
        <v>293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8661417322835" right="0.708661417322835" top="0.748031496062992" bottom="0.748031496062992" header="0.31496062992126" footer="0.31496062992126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62"/>
  <sheetViews>
    <sheetView workbookViewId="0">
      <selection activeCell="L34" sqref="L34"/>
    </sheetView>
  </sheetViews>
  <sheetFormatPr defaultColWidth="9" defaultRowHeight="14.25"/>
  <cols>
    <col min="1" max="1" width="11.125" customWidth="1"/>
    <col min="2" max="2" width="11.5" customWidth="1"/>
    <col min="3" max="3" width="5.375" customWidth="1"/>
    <col min="4" max="4" width="30.75" customWidth="1"/>
  </cols>
  <sheetData>
    <row r="1" spans="1:9">
      <c r="A1" s="2" t="s">
        <v>294</v>
      </c>
      <c r="B1" s="2"/>
      <c r="C1" s="2"/>
      <c r="D1" s="2"/>
      <c r="E1" s="2"/>
      <c r="F1" s="2"/>
      <c r="G1" s="2"/>
      <c r="H1" s="2"/>
      <c r="I1" s="39"/>
    </row>
    <row r="2" ht="18.75" spans="1:9">
      <c r="A2" s="3" t="s">
        <v>295</v>
      </c>
      <c r="B2" s="3"/>
      <c r="C2" s="3"/>
      <c r="D2" s="3"/>
      <c r="E2" s="3"/>
      <c r="F2" s="3"/>
      <c r="G2" s="3"/>
      <c r="H2" s="3"/>
      <c r="I2" s="3"/>
    </row>
    <row r="3" spans="1:9">
      <c r="A3" s="4" t="s">
        <v>296</v>
      </c>
      <c r="B3" s="4"/>
      <c r="C3" s="4"/>
      <c r="D3" s="4"/>
      <c r="E3" s="4"/>
      <c r="F3" s="4"/>
      <c r="G3" s="4"/>
      <c r="H3" s="4"/>
      <c r="I3" s="4"/>
    </row>
    <row r="4" spans="1:9">
      <c r="A4" s="5" t="s">
        <v>297</v>
      </c>
      <c r="B4" s="17" t="s">
        <v>298</v>
      </c>
      <c r="C4" s="18"/>
      <c r="D4" s="5">
        <v>5565.62</v>
      </c>
      <c r="E4" s="5"/>
      <c r="F4" s="5"/>
      <c r="G4" s="5"/>
      <c r="H4" s="5"/>
      <c r="I4" s="5"/>
    </row>
    <row r="5" spans="1:9">
      <c r="A5" s="5"/>
      <c r="B5" s="5" t="s">
        <v>299</v>
      </c>
      <c r="C5" s="5"/>
      <c r="D5" s="5">
        <v>5565.62</v>
      </c>
      <c r="E5" s="5"/>
      <c r="F5" s="5"/>
      <c r="G5" s="5"/>
      <c r="H5" s="5"/>
      <c r="I5" s="5"/>
    </row>
    <row r="6" spans="1:9">
      <c r="A6" s="5"/>
      <c r="B6" s="5" t="s">
        <v>300</v>
      </c>
      <c r="C6" s="5"/>
      <c r="D6" s="5"/>
      <c r="E6" s="5"/>
      <c r="F6" s="5"/>
      <c r="G6" s="5"/>
      <c r="H6" s="5"/>
      <c r="I6" s="5"/>
    </row>
    <row r="7" spans="1:9">
      <c r="A7" s="5"/>
      <c r="B7" s="5" t="s">
        <v>301</v>
      </c>
      <c r="C7" s="5"/>
      <c r="D7" s="5"/>
      <c r="E7" s="5"/>
      <c r="F7" s="5"/>
      <c r="G7" s="5"/>
      <c r="H7" s="5"/>
      <c r="I7" s="5"/>
    </row>
    <row r="8" spans="1:9">
      <c r="A8" s="5" t="s">
        <v>302</v>
      </c>
      <c r="B8" s="7" t="s">
        <v>303</v>
      </c>
      <c r="C8" s="19"/>
      <c r="D8" s="19"/>
      <c r="E8" s="19"/>
      <c r="F8" s="19"/>
      <c r="G8" s="19"/>
      <c r="H8" s="19"/>
      <c r="I8" s="33"/>
    </row>
    <row r="9" spans="1:9">
      <c r="A9" s="20" t="s">
        <v>304</v>
      </c>
      <c r="B9" s="20" t="s">
        <v>305</v>
      </c>
      <c r="C9" s="21"/>
      <c r="D9" s="20" t="s">
        <v>306</v>
      </c>
      <c r="E9" s="5" t="s">
        <v>307</v>
      </c>
      <c r="F9" s="20" t="s">
        <v>308</v>
      </c>
      <c r="G9" s="23"/>
      <c r="H9" s="20" t="s">
        <v>309</v>
      </c>
      <c r="I9" s="21"/>
    </row>
    <row r="10" spans="1:9">
      <c r="A10" s="24"/>
      <c r="B10" s="25"/>
      <c r="C10" s="26"/>
      <c r="D10" s="24"/>
      <c r="E10" s="5"/>
      <c r="F10" s="24"/>
      <c r="G10" s="27"/>
      <c r="H10" s="24"/>
      <c r="I10" s="29"/>
    </row>
    <row r="11" ht="27" spans="1:9">
      <c r="A11" s="6" t="s">
        <v>310</v>
      </c>
      <c r="B11" s="20" t="s">
        <v>311</v>
      </c>
      <c r="C11" s="21"/>
      <c r="D11" s="42" t="s">
        <v>312</v>
      </c>
      <c r="E11" s="42" t="s">
        <v>312</v>
      </c>
      <c r="F11" s="32">
        <v>0.9</v>
      </c>
      <c r="G11" s="5"/>
      <c r="H11" s="5" t="s">
        <v>313</v>
      </c>
      <c r="I11" s="5"/>
    </row>
    <row r="12" ht="27" spans="1:9">
      <c r="A12" s="28"/>
      <c r="B12" s="24"/>
      <c r="C12" s="29"/>
      <c r="D12" s="42" t="s">
        <v>314</v>
      </c>
      <c r="E12" s="42" t="s">
        <v>314</v>
      </c>
      <c r="F12" s="5" t="s">
        <v>315</v>
      </c>
      <c r="G12" s="5"/>
      <c r="H12" s="5" t="s">
        <v>315</v>
      </c>
      <c r="I12" s="5"/>
    </row>
    <row r="13" ht="40.5" spans="1:9">
      <c r="A13" s="28"/>
      <c r="B13" s="20" t="s">
        <v>316</v>
      </c>
      <c r="C13" s="21"/>
      <c r="D13" s="5" t="s">
        <v>317</v>
      </c>
      <c r="E13" s="5" t="s">
        <v>317</v>
      </c>
      <c r="F13" s="32">
        <v>0.9</v>
      </c>
      <c r="G13" s="5"/>
      <c r="H13" s="5" t="s">
        <v>313</v>
      </c>
      <c r="I13" s="5"/>
    </row>
    <row r="14" ht="40.5" spans="1:9">
      <c r="A14" s="28"/>
      <c r="B14" s="25"/>
      <c r="C14" s="26"/>
      <c r="D14" s="5" t="s">
        <v>318</v>
      </c>
      <c r="E14" s="5" t="s">
        <v>319</v>
      </c>
      <c r="F14" s="5" t="s">
        <v>320</v>
      </c>
      <c r="G14" s="5"/>
      <c r="H14" s="5" t="s">
        <v>320</v>
      </c>
      <c r="I14" s="5"/>
    </row>
    <row r="15" spans="1:9">
      <c r="A15" s="28"/>
      <c r="B15" s="20" t="s">
        <v>321</v>
      </c>
      <c r="C15" s="21"/>
      <c r="D15" s="5" t="s">
        <v>322</v>
      </c>
      <c r="E15" s="5" t="s">
        <v>322</v>
      </c>
      <c r="F15" s="5" t="s">
        <v>323</v>
      </c>
      <c r="G15" s="5"/>
      <c r="H15" s="5" t="s">
        <v>324</v>
      </c>
      <c r="I15" s="5"/>
    </row>
    <row r="16" spans="1:9">
      <c r="A16" s="28"/>
      <c r="B16" s="24"/>
      <c r="C16" s="29"/>
      <c r="D16" s="5" t="s">
        <v>325</v>
      </c>
      <c r="E16" s="5" t="s">
        <v>326</v>
      </c>
      <c r="F16" s="32">
        <v>0.95</v>
      </c>
      <c r="G16" s="5"/>
      <c r="H16" s="5" t="s">
        <v>327</v>
      </c>
      <c r="I16" s="5"/>
    </row>
    <row r="17" ht="27" spans="1:9">
      <c r="A17" s="28"/>
      <c r="B17" s="20" t="s">
        <v>328</v>
      </c>
      <c r="C17" s="21"/>
      <c r="D17" s="5" t="s">
        <v>329</v>
      </c>
      <c r="E17" s="5" t="s">
        <v>329</v>
      </c>
      <c r="F17" s="43">
        <v>0.3172</v>
      </c>
      <c r="G17" s="43"/>
      <c r="H17" s="42" t="s">
        <v>330</v>
      </c>
      <c r="I17" s="42"/>
    </row>
    <row r="18" ht="27" spans="1:9">
      <c r="A18" s="28"/>
      <c r="B18" s="25"/>
      <c r="C18" s="26"/>
      <c r="D18" s="42" t="s">
        <v>331</v>
      </c>
      <c r="E18" s="42" t="s">
        <v>331</v>
      </c>
      <c r="F18" s="43">
        <v>0.059</v>
      </c>
      <c r="G18" s="43"/>
      <c r="H18" s="42" t="s">
        <v>332</v>
      </c>
      <c r="I18" s="42"/>
    </row>
    <row r="19" ht="54" spans="1:9">
      <c r="A19" s="28"/>
      <c r="B19" s="25"/>
      <c r="C19" s="26"/>
      <c r="D19" s="42" t="s">
        <v>333</v>
      </c>
      <c r="E19" s="42" t="s">
        <v>333</v>
      </c>
      <c r="F19" s="43">
        <v>0.012</v>
      </c>
      <c r="G19" s="43"/>
      <c r="H19" s="42" t="s">
        <v>334</v>
      </c>
      <c r="I19" s="42"/>
    </row>
    <row r="20" spans="1:9">
      <c r="A20" s="6" t="s">
        <v>335</v>
      </c>
      <c r="B20" s="20" t="s">
        <v>336</v>
      </c>
      <c r="C20" s="21"/>
      <c r="D20" s="13" t="s">
        <v>337</v>
      </c>
      <c r="E20" s="13" t="s">
        <v>337</v>
      </c>
      <c r="F20" s="5" t="s">
        <v>337</v>
      </c>
      <c r="G20" s="5"/>
      <c r="H20" s="5" t="s">
        <v>337</v>
      </c>
      <c r="I20" s="5"/>
    </row>
    <row r="21" spans="1:9">
      <c r="A21" s="28"/>
      <c r="B21" s="24"/>
      <c r="C21" s="29"/>
      <c r="D21" s="13" t="s">
        <v>337</v>
      </c>
      <c r="E21" s="13" t="s">
        <v>337</v>
      </c>
      <c r="F21" s="5" t="s">
        <v>337</v>
      </c>
      <c r="G21" s="5"/>
      <c r="H21" s="5" t="s">
        <v>337</v>
      </c>
      <c r="I21" s="5"/>
    </row>
    <row r="22" ht="40.5" spans="1:9">
      <c r="A22" s="28"/>
      <c r="B22" s="20" t="s">
        <v>338</v>
      </c>
      <c r="C22" s="21"/>
      <c r="D22" s="5" t="s">
        <v>339</v>
      </c>
      <c r="E22" s="5" t="s">
        <v>340</v>
      </c>
      <c r="F22" s="32" t="s">
        <v>341</v>
      </c>
      <c r="G22" s="5"/>
      <c r="H22" s="32" t="s">
        <v>342</v>
      </c>
      <c r="I22" s="5"/>
    </row>
    <row r="23" spans="1:9">
      <c r="A23" s="28"/>
      <c r="B23" s="24"/>
      <c r="C23" s="29"/>
      <c r="D23" s="13" t="s">
        <v>337</v>
      </c>
      <c r="E23" s="13" t="s">
        <v>337</v>
      </c>
      <c r="F23" s="5" t="s">
        <v>337</v>
      </c>
      <c r="G23" s="5"/>
      <c r="H23" s="5" t="s">
        <v>337</v>
      </c>
      <c r="I23" s="5"/>
    </row>
    <row r="24" spans="1:9">
      <c r="A24" s="28"/>
      <c r="B24" s="20" t="s">
        <v>343</v>
      </c>
      <c r="C24" s="21"/>
      <c r="D24" s="13" t="s">
        <v>337</v>
      </c>
      <c r="E24" s="13" t="s">
        <v>337</v>
      </c>
      <c r="F24" s="5" t="s">
        <v>337</v>
      </c>
      <c r="G24" s="5"/>
      <c r="H24" s="5" t="s">
        <v>337</v>
      </c>
      <c r="I24" s="5"/>
    </row>
    <row r="25" spans="1:9">
      <c r="A25" s="28"/>
      <c r="B25" s="24"/>
      <c r="C25" s="29"/>
      <c r="D25" s="13" t="s">
        <v>337</v>
      </c>
      <c r="E25" s="13" t="s">
        <v>337</v>
      </c>
      <c r="F25" s="5" t="s">
        <v>337</v>
      </c>
      <c r="G25" s="5"/>
      <c r="H25" s="5" t="s">
        <v>337</v>
      </c>
      <c r="I25" s="5"/>
    </row>
    <row r="26" spans="1:9">
      <c r="A26" s="28"/>
      <c r="B26" s="20" t="s">
        <v>344</v>
      </c>
      <c r="C26" s="21"/>
      <c r="D26" s="13" t="s">
        <v>337</v>
      </c>
      <c r="E26" s="13" t="s">
        <v>337</v>
      </c>
      <c r="F26" s="5" t="s">
        <v>337</v>
      </c>
      <c r="G26" s="5"/>
      <c r="H26" s="5" t="s">
        <v>337</v>
      </c>
      <c r="I26" s="5"/>
    </row>
    <row r="27" spans="1:9">
      <c r="A27" s="12"/>
      <c r="B27" s="24"/>
      <c r="C27" s="29"/>
      <c r="D27" s="13" t="s">
        <v>337</v>
      </c>
      <c r="E27" s="13" t="s">
        <v>337</v>
      </c>
      <c r="F27" s="5" t="s">
        <v>337</v>
      </c>
      <c r="G27" s="5"/>
      <c r="H27" s="5" t="s">
        <v>337</v>
      </c>
      <c r="I27" s="5"/>
    </row>
    <row r="28" spans="1:9">
      <c r="A28" s="6" t="s">
        <v>345</v>
      </c>
      <c r="B28" s="20" t="s">
        <v>346</v>
      </c>
      <c r="C28" s="21"/>
      <c r="D28" s="5" t="s">
        <v>347</v>
      </c>
      <c r="E28" s="5" t="s">
        <v>348</v>
      </c>
      <c r="F28" s="32">
        <v>0.95</v>
      </c>
      <c r="G28" s="5"/>
      <c r="H28" s="5" t="s">
        <v>327</v>
      </c>
      <c r="I28" s="5"/>
    </row>
    <row r="29" spans="1:9">
      <c r="A29" s="12"/>
      <c r="B29" s="24"/>
      <c r="C29" s="29"/>
      <c r="D29" s="5" t="s">
        <v>349</v>
      </c>
      <c r="E29" s="5" t="s">
        <v>348</v>
      </c>
      <c r="F29" s="32">
        <v>0.95</v>
      </c>
      <c r="G29" s="5"/>
      <c r="H29" s="5" t="s">
        <v>327</v>
      </c>
      <c r="I29" s="5"/>
    </row>
    <row r="30" spans="1:9">
      <c r="A30" s="5" t="s">
        <v>350</v>
      </c>
      <c r="B30" s="12"/>
      <c r="C30" s="5"/>
      <c r="D30" s="5"/>
      <c r="E30" s="5"/>
      <c r="F30" s="5"/>
      <c r="G30" s="5"/>
      <c r="H30" s="12"/>
      <c r="I30" s="12"/>
    </row>
    <row r="31" ht="15" spans="1:9">
      <c r="A31" s="36" t="s">
        <v>351</v>
      </c>
      <c r="B31" s="37"/>
      <c r="C31" s="37"/>
      <c r="D31" s="36" t="s">
        <v>352</v>
      </c>
      <c r="E31" s="37"/>
      <c r="F31" s="37"/>
      <c r="G31" s="38" t="s">
        <v>353</v>
      </c>
      <c r="H31" s="37"/>
      <c r="I31" s="37"/>
    </row>
    <row r="33" spans="1:9">
      <c r="A33" s="2" t="s">
        <v>294</v>
      </c>
      <c r="B33" s="2"/>
      <c r="C33" s="2"/>
      <c r="D33" s="2"/>
      <c r="E33" s="2"/>
      <c r="F33" s="2"/>
      <c r="G33" s="2"/>
      <c r="H33" s="2"/>
      <c r="I33" s="39"/>
    </row>
    <row r="34" ht="18.75" spans="1:9">
      <c r="A34" s="3" t="s">
        <v>295</v>
      </c>
      <c r="B34" s="3"/>
      <c r="C34" s="3"/>
      <c r="D34" s="3"/>
      <c r="E34" s="3"/>
      <c r="F34" s="3"/>
      <c r="G34" s="3"/>
      <c r="H34" s="3"/>
      <c r="I34" s="3"/>
    </row>
    <row r="35" spans="1:9">
      <c r="A35" s="4" t="s">
        <v>296</v>
      </c>
      <c r="B35" s="4"/>
      <c r="C35" s="4"/>
      <c r="D35" s="4"/>
      <c r="E35" s="4"/>
      <c r="F35" s="4"/>
      <c r="G35" s="4"/>
      <c r="H35" s="4"/>
      <c r="I35" s="4"/>
    </row>
    <row r="36" spans="1:9">
      <c r="A36" s="5" t="s">
        <v>297</v>
      </c>
      <c r="B36" s="17" t="s">
        <v>298</v>
      </c>
      <c r="C36" s="18"/>
      <c r="D36" s="5">
        <v>1417.24</v>
      </c>
      <c r="E36" s="5"/>
      <c r="F36" s="5"/>
      <c r="G36" s="5"/>
      <c r="H36" s="5"/>
      <c r="I36" s="5"/>
    </row>
    <row r="37" spans="1:9">
      <c r="A37" s="5"/>
      <c r="B37" s="5" t="s">
        <v>299</v>
      </c>
      <c r="C37" s="5"/>
      <c r="D37" s="5">
        <v>1417.24</v>
      </c>
      <c r="E37" s="5"/>
      <c r="F37" s="5"/>
      <c r="G37" s="5"/>
      <c r="H37" s="5"/>
      <c r="I37" s="5"/>
    </row>
    <row r="38" spans="1:9">
      <c r="A38" s="5"/>
      <c r="B38" s="5" t="s">
        <v>300</v>
      </c>
      <c r="C38" s="5"/>
      <c r="D38" s="5"/>
      <c r="E38" s="5"/>
      <c r="F38" s="5"/>
      <c r="G38" s="5"/>
      <c r="H38" s="5"/>
      <c r="I38" s="5"/>
    </row>
    <row r="39" spans="1:9">
      <c r="A39" s="5"/>
      <c r="B39" s="5" t="s">
        <v>301</v>
      </c>
      <c r="C39" s="5"/>
      <c r="D39" s="5"/>
      <c r="E39" s="5"/>
      <c r="F39" s="5"/>
      <c r="G39" s="5"/>
      <c r="H39" s="5"/>
      <c r="I39" s="5"/>
    </row>
    <row r="40" spans="1:9">
      <c r="A40" s="5" t="s">
        <v>302</v>
      </c>
      <c r="B40" s="7" t="s">
        <v>303</v>
      </c>
      <c r="C40" s="19"/>
      <c r="D40" s="19"/>
      <c r="E40" s="19"/>
      <c r="F40" s="19"/>
      <c r="G40" s="19"/>
      <c r="H40" s="19"/>
      <c r="I40" s="33"/>
    </row>
    <row r="41" spans="1:9">
      <c r="A41" s="20" t="s">
        <v>304</v>
      </c>
      <c r="B41" s="20" t="s">
        <v>305</v>
      </c>
      <c r="C41" s="21"/>
      <c r="D41" s="20" t="s">
        <v>306</v>
      </c>
      <c r="E41" s="5" t="s">
        <v>307</v>
      </c>
      <c r="F41" s="20" t="s">
        <v>308</v>
      </c>
      <c r="G41" s="23"/>
      <c r="H41" s="20" t="s">
        <v>309</v>
      </c>
      <c r="I41" s="21"/>
    </row>
    <row r="42" spans="1:9">
      <c r="A42" s="24"/>
      <c r="B42" s="25"/>
      <c r="C42" s="26"/>
      <c r="D42" s="24"/>
      <c r="E42" s="5"/>
      <c r="F42" s="24"/>
      <c r="G42" s="27"/>
      <c r="H42" s="24"/>
      <c r="I42" s="29"/>
    </row>
    <row r="43" ht="27" spans="1:9">
      <c r="A43" s="6" t="s">
        <v>310</v>
      </c>
      <c r="B43" s="20" t="s">
        <v>311</v>
      </c>
      <c r="C43" s="21"/>
      <c r="D43" s="42" t="s">
        <v>312</v>
      </c>
      <c r="E43" s="42" t="s">
        <v>312</v>
      </c>
      <c r="F43" s="32">
        <v>0.9</v>
      </c>
      <c r="G43" s="5"/>
      <c r="H43" s="5" t="s">
        <v>313</v>
      </c>
      <c r="I43" s="5"/>
    </row>
    <row r="44" ht="27" spans="1:9">
      <c r="A44" s="28"/>
      <c r="B44" s="24"/>
      <c r="C44" s="29"/>
      <c r="D44" s="42" t="s">
        <v>354</v>
      </c>
      <c r="E44" s="42" t="s">
        <v>355</v>
      </c>
      <c r="F44" s="5" t="s">
        <v>356</v>
      </c>
      <c r="G44" s="5"/>
      <c r="H44" s="5" t="s">
        <v>356</v>
      </c>
      <c r="I44" s="5"/>
    </row>
    <row r="45" ht="40.5" spans="1:9">
      <c r="A45" s="28"/>
      <c r="B45" s="20" t="s">
        <v>316</v>
      </c>
      <c r="C45" s="21"/>
      <c r="D45" s="5" t="s">
        <v>317</v>
      </c>
      <c r="E45" s="5" t="s">
        <v>317</v>
      </c>
      <c r="F45" s="32">
        <v>0.9</v>
      </c>
      <c r="G45" s="5"/>
      <c r="H45" s="5" t="s">
        <v>313</v>
      </c>
      <c r="I45" s="5"/>
    </row>
    <row r="46" ht="40.5" spans="1:9">
      <c r="A46" s="28"/>
      <c r="B46" s="25"/>
      <c r="C46" s="26"/>
      <c r="D46" s="5" t="s">
        <v>318</v>
      </c>
      <c r="E46" s="5" t="s">
        <v>319</v>
      </c>
      <c r="F46" s="5" t="s">
        <v>320</v>
      </c>
      <c r="G46" s="5"/>
      <c r="H46" s="5" t="s">
        <v>320</v>
      </c>
      <c r="I46" s="5"/>
    </row>
    <row r="47" spans="1:9">
      <c r="A47" s="28"/>
      <c r="B47" s="20" t="s">
        <v>321</v>
      </c>
      <c r="C47" s="21"/>
      <c r="D47" s="5" t="s">
        <v>322</v>
      </c>
      <c r="E47" s="5" t="s">
        <v>322</v>
      </c>
      <c r="F47" s="5" t="s">
        <v>323</v>
      </c>
      <c r="G47" s="5"/>
      <c r="H47" s="5" t="s">
        <v>324</v>
      </c>
      <c r="I47" s="5"/>
    </row>
    <row r="48" spans="1:9">
      <c r="A48" s="28"/>
      <c r="B48" s="24"/>
      <c r="C48" s="29"/>
      <c r="D48" s="5" t="s">
        <v>325</v>
      </c>
      <c r="E48" s="5" t="s">
        <v>326</v>
      </c>
      <c r="F48" s="32">
        <v>0.95</v>
      </c>
      <c r="G48" s="5"/>
      <c r="H48" s="5" t="s">
        <v>327</v>
      </c>
      <c r="I48" s="5"/>
    </row>
    <row r="49" ht="27" spans="1:9">
      <c r="A49" s="28"/>
      <c r="B49" s="20" t="s">
        <v>328</v>
      </c>
      <c r="C49" s="21"/>
      <c r="D49" s="5" t="s">
        <v>357</v>
      </c>
      <c r="E49" s="5" t="s">
        <v>357</v>
      </c>
      <c r="F49" s="43" t="s">
        <v>358</v>
      </c>
      <c r="G49" s="43"/>
      <c r="H49" s="42" t="s">
        <v>359</v>
      </c>
      <c r="I49" s="42"/>
    </row>
    <row r="50" spans="1:9">
      <c r="A50" s="28"/>
      <c r="B50" s="25"/>
      <c r="C50" s="26"/>
      <c r="D50" s="13" t="s">
        <v>337</v>
      </c>
      <c r="E50" s="13" t="s">
        <v>337</v>
      </c>
      <c r="F50" s="5" t="s">
        <v>337</v>
      </c>
      <c r="G50" s="5"/>
      <c r="H50" s="5" t="s">
        <v>337</v>
      </c>
      <c r="I50" s="5"/>
    </row>
    <row r="51" spans="1:9">
      <c r="A51" s="6" t="s">
        <v>335</v>
      </c>
      <c r="B51" s="20" t="s">
        <v>336</v>
      </c>
      <c r="C51" s="21"/>
      <c r="D51" s="13" t="s">
        <v>337</v>
      </c>
      <c r="E51" s="13" t="s">
        <v>337</v>
      </c>
      <c r="F51" s="5" t="s">
        <v>337</v>
      </c>
      <c r="G51" s="5"/>
      <c r="H51" s="5" t="s">
        <v>337</v>
      </c>
      <c r="I51" s="5"/>
    </row>
    <row r="52" spans="1:9">
      <c r="A52" s="28"/>
      <c r="B52" s="24"/>
      <c r="C52" s="29"/>
      <c r="D52" s="13" t="s">
        <v>337</v>
      </c>
      <c r="E52" s="13" t="s">
        <v>337</v>
      </c>
      <c r="F52" s="5" t="s">
        <v>337</v>
      </c>
      <c r="G52" s="5"/>
      <c r="H52" s="5" t="s">
        <v>337</v>
      </c>
      <c r="I52" s="5"/>
    </row>
    <row r="53" ht="40.5" spans="1:9">
      <c r="A53" s="28"/>
      <c r="B53" s="20" t="s">
        <v>338</v>
      </c>
      <c r="C53" s="21"/>
      <c r="D53" s="5" t="s">
        <v>360</v>
      </c>
      <c r="E53" s="5" t="s">
        <v>361</v>
      </c>
      <c r="F53" s="32">
        <v>1</v>
      </c>
      <c r="G53" s="5"/>
      <c r="H53" s="32">
        <v>1</v>
      </c>
      <c r="I53" s="5"/>
    </row>
    <row r="54" spans="1:9">
      <c r="A54" s="28"/>
      <c r="B54" s="24"/>
      <c r="C54" s="29"/>
      <c r="D54" s="13" t="s">
        <v>337</v>
      </c>
      <c r="E54" s="13" t="s">
        <v>337</v>
      </c>
      <c r="F54" s="5" t="s">
        <v>337</v>
      </c>
      <c r="G54" s="5"/>
      <c r="H54" s="5" t="s">
        <v>337</v>
      </c>
      <c r="I54" s="5"/>
    </row>
    <row r="55" spans="1:9">
      <c r="A55" s="28"/>
      <c r="B55" s="20" t="s">
        <v>343</v>
      </c>
      <c r="C55" s="21"/>
      <c r="D55" s="13" t="s">
        <v>337</v>
      </c>
      <c r="E55" s="13" t="s">
        <v>337</v>
      </c>
      <c r="F55" s="5" t="s">
        <v>337</v>
      </c>
      <c r="G55" s="5"/>
      <c r="H55" s="5" t="s">
        <v>337</v>
      </c>
      <c r="I55" s="5"/>
    </row>
    <row r="56" spans="1:9">
      <c r="A56" s="28"/>
      <c r="B56" s="24"/>
      <c r="C56" s="29"/>
      <c r="D56" s="13" t="s">
        <v>337</v>
      </c>
      <c r="E56" s="13" t="s">
        <v>337</v>
      </c>
      <c r="F56" s="5" t="s">
        <v>337</v>
      </c>
      <c r="G56" s="5"/>
      <c r="H56" s="5" t="s">
        <v>337</v>
      </c>
      <c r="I56" s="5"/>
    </row>
    <row r="57" spans="1:9">
      <c r="A57" s="28"/>
      <c r="B57" s="20" t="s">
        <v>344</v>
      </c>
      <c r="C57" s="21"/>
      <c r="D57" s="13" t="s">
        <v>337</v>
      </c>
      <c r="E57" s="13" t="s">
        <v>337</v>
      </c>
      <c r="F57" s="5" t="s">
        <v>337</v>
      </c>
      <c r="G57" s="5"/>
      <c r="H57" s="5" t="s">
        <v>337</v>
      </c>
      <c r="I57" s="5"/>
    </row>
    <row r="58" spans="1:9">
      <c r="A58" s="12"/>
      <c r="B58" s="24"/>
      <c r="C58" s="29"/>
      <c r="D58" s="13" t="s">
        <v>337</v>
      </c>
      <c r="E58" s="13" t="s">
        <v>337</v>
      </c>
      <c r="F58" s="5" t="s">
        <v>337</v>
      </c>
      <c r="G58" s="5"/>
      <c r="H58" s="5" t="s">
        <v>337</v>
      </c>
      <c r="I58" s="5"/>
    </row>
    <row r="59" spans="1:9">
      <c r="A59" s="6" t="s">
        <v>345</v>
      </c>
      <c r="B59" s="20" t="s">
        <v>346</v>
      </c>
      <c r="C59" s="21"/>
      <c r="D59" s="5" t="s">
        <v>347</v>
      </c>
      <c r="E59" s="5" t="s">
        <v>348</v>
      </c>
      <c r="F59" s="32">
        <v>0.95</v>
      </c>
      <c r="G59" s="5"/>
      <c r="H59" s="5" t="s">
        <v>327</v>
      </c>
      <c r="I59" s="5"/>
    </row>
    <row r="60" spans="1:9">
      <c r="A60" s="12"/>
      <c r="B60" s="24"/>
      <c r="C60" s="29"/>
      <c r="D60" s="5" t="s">
        <v>349</v>
      </c>
      <c r="E60" s="5" t="s">
        <v>348</v>
      </c>
      <c r="F60" s="32">
        <v>0.95</v>
      </c>
      <c r="G60" s="5"/>
      <c r="H60" s="5" t="s">
        <v>327</v>
      </c>
      <c r="I60" s="5"/>
    </row>
    <row r="61" spans="1:9">
      <c r="A61" s="5" t="s">
        <v>350</v>
      </c>
      <c r="B61" s="12"/>
      <c r="C61" s="5"/>
      <c r="D61" s="5"/>
      <c r="E61" s="5"/>
      <c r="F61" s="5"/>
      <c r="G61" s="5"/>
      <c r="H61" s="12"/>
      <c r="I61" s="12"/>
    </row>
    <row r="62" ht="15" spans="1:9">
      <c r="A62" s="36" t="s">
        <v>351</v>
      </c>
      <c r="B62" s="37"/>
      <c r="C62" s="37"/>
      <c r="D62" s="36" t="s">
        <v>352</v>
      </c>
      <c r="E62" s="37"/>
      <c r="F62" s="37"/>
      <c r="G62" s="38" t="s">
        <v>353</v>
      </c>
      <c r="H62" s="37"/>
      <c r="I62" s="37"/>
    </row>
  </sheetData>
  <mergeCells count="136">
    <mergeCell ref="A2:I2"/>
    <mergeCell ref="A3:I3"/>
    <mergeCell ref="B4:C4"/>
    <mergeCell ref="D4:I4"/>
    <mergeCell ref="B5:C5"/>
    <mergeCell ref="D5:I5"/>
    <mergeCell ref="B6:C6"/>
    <mergeCell ref="D6:I6"/>
    <mergeCell ref="B7:C7"/>
    <mergeCell ref="D7:I7"/>
    <mergeCell ref="B8:I8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  <mergeCell ref="F19:G19"/>
    <mergeCell ref="H19:I19"/>
    <mergeCell ref="F20:G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B30:I30"/>
    <mergeCell ref="A34:I34"/>
    <mergeCell ref="A35:I35"/>
    <mergeCell ref="B36:C36"/>
    <mergeCell ref="D36:I36"/>
    <mergeCell ref="B37:C37"/>
    <mergeCell ref="D37:I37"/>
    <mergeCell ref="B38:C38"/>
    <mergeCell ref="D38:I38"/>
    <mergeCell ref="B39:C39"/>
    <mergeCell ref="D39:I39"/>
    <mergeCell ref="B40:I40"/>
    <mergeCell ref="F43:G43"/>
    <mergeCell ref="H43:I43"/>
    <mergeCell ref="F44:G44"/>
    <mergeCell ref="H44:I44"/>
    <mergeCell ref="F45:G45"/>
    <mergeCell ref="H45:I45"/>
    <mergeCell ref="F46:G46"/>
    <mergeCell ref="H46:I46"/>
    <mergeCell ref="F47:G47"/>
    <mergeCell ref="H47:I47"/>
    <mergeCell ref="F48:G48"/>
    <mergeCell ref="H48:I48"/>
    <mergeCell ref="F49:G49"/>
    <mergeCell ref="H49:I49"/>
    <mergeCell ref="F50:G50"/>
    <mergeCell ref="H50:I50"/>
    <mergeCell ref="F51:G51"/>
    <mergeCell ref="H51:I51"/>
    <mergeCell ref="F52:G52"/>
    <mergeCell ref="H52:I52"/>
    <mergeCell ref="F53:G53"/>
    <mergeCell ref="H53:I53"/>
    <mergeCell ref="F54:G54"/>
    <mergeCell ref="H54:I54"/>
    <mergeCell ref="F55:G55"/>
    <mergeCell ref="H55:I55"/>
    <mergeCell ref="F56:G56"/>
    <mergeCell ref="H56:I56"/>
    <mergeCell ref="F57:G57"/>
    <mergeCell ref="H57:I57"/>
    <mergeCell ref="F58:G58"/>
    <mergeCell ref="H58:I58"/>
    <mergeCell ref="F59:G59"/>
    <mergeCell ref="H59:I59"/>
    <mergeCell ref="F60:G60"/>
    <mergeCell ref="H60:I60"/>
    <mergeCell ref="B61:I61"/>
    <mergeCell ref="A4:A7"/>
    <mergeCell ref="A9:A10"/>
    <mergeCell ref="A11:A19"/>
    <mergeCell ref="A20:A27"/>
    <mergeCell ref="A28:A29"/>
    <mergeCell ref="A36:A39"/>
    <mergeCell ref="A41:A42"/>
    <mergeCell ref="A43:A50"/>
    <mergeCell ref="A51:A58"/>
    <mergeCell ref="A59:A60"/>
    <mergeCell ref="D9:D10"/>
    <mergeCell ref="D41:D42"/>
    <mergeCell ref="E9:E10"/>
    <mergeCell ref="E41:E42"/>
    <mergeCell ref="B9:C10"/>
    <mergeCell ref="F9:G10"/>
    <mergeCell ref="H9:I10"/>
    <mergeCell ref="B11:C12"/>
    <mergeCell ref="B13:C14"/>
    <mergeCell ref="B15:C16"/>
    <mergeCell ref="B17:C19"/>
    <mergeCell ref="B20:C21"/>
    <mergeCell ref="B22:C23"/>
    <mergeCell ref="B24:C25"/>
    <mergeCell ref="B26:C27"/>
    <mergeCell ref="B28:C29"/>
    <mergeCell ref="B41:C42"/>
    <mergeCell ref="F41:G42"/>
    <mergeCell ref="H41:I42"/>
    <mergeCell ref="B43:C44"/>
    <mergeCell ref="B45:C46"/>
    <mergeCell ref="B47:C48"/>
    <mergeCell ref="B49:C50"/>
    <mergeCell ref="B51:C52"/>
    <mergeCell ref="B53:C54"/>
    <mergeCell ref="B55:C56"/>
    <mergeCell ref="B57:C58"/>
    <mergeCell ref="B59:C60"/>
  </mergeCells>
  <pageMargins left="0.708661417322835" right="0.708661417322835" top="0.748031496062992" bottom="0.748031496062992" header="0.31496062992126" footer="0.31496062992126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81"/>
  <sheetViews>
    <sheetView tabSelected="1" topLeftCell="A13" workbookViewId="0">
      <selection activeCell="F75" sqref="F75:G75"/>
    </sheetView>
  </sheetViews>
  <sheetFormatPr defaultColWidth="8.125" defaultRowHeight="31.5" customHeight="1"/>
  <cols>
    <col min="1" max="1" width="14.375" style="1" customWidth="1"/>
    <col min="2" max="2" width="14.25" style="1" customWidth="1"/>
    <col min="3" max="3" width="9" style="1" customWidth="1"/>
    <col min="4" max="4" width="21.75" style="1" customWidth="1"/>
    <col min="5" max="5" width="8.625" style="1" customWidth="1"/>
    <col min="6" max="6" width="6" style="1" customWidth="1"/>
    <col min="7" max="16384" width="8.125" style="1"/>
  </cols>
  <sheetData>
    <row r="1" ht="20" customHeight="1" spans="1:9">
      <c r="A1" s="2" t="s">
        <v>362</v>
      </c>
      <c r="B1" s="2"/>
      <c r="C1" s="2"/>
      <c r="D1" s="2"/>
      <c r="E1" s="2"/>
      <c r="F1" s="2"/>
      <c r="G1" s="2"/>
      <c r="H1" s="2"/>
      <c r="I1" s="39"/>
    </row>
    <row r="2" ht="26" customHeight="1" spans="1:9">
      <c r="A2" s="3" t="s">
        <v>363</v>
      </c>
      <c r="B2" s="3"/>
      <c r="C2" s="3"/>
      <c r="D2" s="3"/>
      <c r="E2" s="3"/>
      <c r="F2" s="3"/>
      <c r="G2" s="3"/>
      <c r="H2" s="3"/>
      <c r="I2" s="3"/>
    </row>
    <row r="3" ht="19" customHeight="1" spans="1:9">
      <c r="A3" s="4" t="s">
        <v>296</v>
      </c>
      <c r="B3" s="4"/>
      <c r="C3" s="4"/>
      <c r="D3" s="4"/>
      <c r="E3" s="4"/>
      <c r="F3" s="4"/>
      <c r="G3" s="4"/>
      <c r="H3" s="4"/>
      <c r="I3" s="4"/>
    </row>
    <row r="4" customHeight="1" spans="1:9">
      <c r="A4" s="5" t="s">
        <v>364</v>
      </c>
      <c r="B4" s="6" t="s">
        <v>365</v>
      </c>
      <c r="C4" s="6"/>
      <c r="D4" s="6"/>
      <c r="E4" s="6"/>
      <c r="F4" s="6"/>
      <c r="G4" s="6"/>
      <c r="H4" s="6"/>
      <c r="I4" s="6"/>
    </row>
    <row r="5" ht="29" customHeight="1" spans="1:9">
      <c r="A5" s="7" t="s">
        <v>366</v>
      </c>
      <c r="B5" s="8" t="s">
        <v>367</v>
      </c>
      <c r="C5" s="9"/>
      <c r="D5" s="9"/>
      <c r="E5" s="9"/>
      <c r="F5" s="9"/>
      <c r="G5" s="9"/>
      <c r="H5" s="9"/>
      <c r="I5" s="40"/>
    </row>
    <row r="6" ht="18" customHeight="1" spans="1:9">
      <c r="A6" s="7"/>
      <c r="B6" s="10"/>
      <c r="C6" s="11"/>
      <c r="D6" s="11"/>
      <c r="E6" s="11"/>
      <c r="F6" s="11"/>
      <c r="G6" s="11"/>
      <c r="H6" s="11"/>
      <c r="I6" s="41"/>
    </row>
    <row r="7" ht="28" customHeight="1" spans="1:9">
      <c r="A7" s="5" t="s">
        <v>38</v>
      </c>
      <c r="B7" s="12" t="s">
        <v>368</v>
      </c>
      <c r="C7" s="12"/>
      <c r="D7" s="12" t="s">
        <v>39</v>
      </c>
      <c r="E7" s="12"/>
      <c r="F7" s="12"/>
      <c r="G7" s="12" t="s">
        <v>369</v>
      </c>
      <c r="H7" s="12"/>
      <c r="I7" s="12"/>
    </row>
    <row r="8" ht="26" customHeight="1" spans="1:9">
      <c r="A8" s="5" t="s">
        <v>370</v>
      </c>
      <c r="B8" s="12" t="s">
        <v>368</v>
      </c>
      <c r="C8" s="12"/>
      <c r="D8" s="5" t="s">
        <v>371</v>
      </c>
      <c r="E8" s="5"/>
      <c r="F8" s="5"/>
      <c r="G8" s="5" t="s">
        <v>369</v>
      </c>
      <c r="H8" s="5"/>
      <c r="I8" s="5"/>
    </row>
    <row r="9" ht="27" customHeight="1" spans="1:9">
      <c r="A9" s="5" t="s">
        <v>372</v>
      </c>
      <c r="B9" s="5" t="s">
        <v>373</v>
      </c>
      <c r="C9" s="5"/>
      <c r="D9" s="5" t="s">
        <v>374</v>
      </c>
      <c r="E9" s="5"/>
      <c r="F9" s="5"/>
      <c r="G9" s="13" t="s">
        <v>337</v>
      </c>
      <c r="H9" s="5" t="s">
        <v>375</v>
      </c>
      <c r="I9" s="13" t="s">
        <v>337</v>
      </c>
    </row>
    <row r="10" customHeight="1" spans="1:9">
      <c r="A10" s="5" t="s">
        <v>376</v>
      </c>
      <c r="B10" s="14" t="s">
        <v>377</v>
      </c>
      <c r="C10" s="14"/>
      <c r="D10" s="14"/>
      <c r="E10" s="14"/>
      <c r="F10" s="14"/>
      <c r="G10" s="14"/>
      <c r="H10" s="14"/>
      <c r="I10" s="14"/>
    </row>
    <row r="11" customHeight="1" spans="1:9">
      <c r="A11" s="15" t="s">
        <v>378</v>
      </c>
      <c r="B11" s="16" t="s">
        <v>379</v>
      </c>
      <c r="C11" s="16"/>
      <c r="D11" s="16"/>
      <c r="E11" s="16"/>
      <c r="F11" s="16"/>
      <c r="G11" s="16"/>
      <c r="H11" s="16"/>
      <c r="I11" s="16"/>
    </row>
    <row r="12" customHeight="1" spans="1:9">
      <c r="A12" s="6" t="s">
        <v>380</v>
      </c>
      <c r="B12" s="5" t="s">
        <v>381</v>
      </c>
      <c r="C12" s="5"/>
      <c r="D12" s="5" t="s">
        <v>382</v>
      </c>
      <c r="E12" s="5"/>
      <c r="F12" s="5"/>
      <c r="G12" s="5"/>
      <c r="H12" s="5"/>
      <c r="I12" s="5"/>
    </row>
    <row r="13" customHeight="1" spans="1:9">
      <c r="A13" s="12"/>
      <c r="B13" s="5" t="s">
        <v>383</v>
      </c>
      <c r="C13" s="5"/>
      <c r="D13" s="6" t="s">
        <v>384</v>
      </c>
      <c r="E13" s="6"/>
      <c r="F13" s="6"/>
      <c r="G13" s="6"/>
      <c r="H13" s="6"/>
      <c r="I13" s="6"/>
    </row>
    <row r="14" customHeight="1" spans="1:9">
      <c r="A14" s="5" t="s">
        <v>297</v>
      </c>
      <c r="B14" s="17" t="s">
        <v>298</v>
      </c>
      <c r="C14" s="18"/>
      <c r="D14" s="5" t="s">
        <v>385</v>
      </c>
      <c r="E14" s="5"/>
      <c r="F14" s="5"/>
      <c r="G14" s="5"/>
      <c r="H14" s="5"/>
      <c r="I14" s="5"/>
    </row>
    <row r="15" customHeight="1" spans="1:9">
      <c r="A15" s="5"/>
      <c r="B15" s="5" t="s">
        <v>299</v>
      </c>
      <c r="C15" s="5"/>
      <c r="D15" s="5" t="s">
        <v>385</v>
      </c>
      <c r="E15" s="5"/>
      <c r="F15" s="5"/>
      <c r="G15" s="5"/>
      <c r="H15" s="5"/>
      <c r="I15" s="5"/>
    </row>
    <row r="16" customHeight="1" spans="1:9">
      <c r="A16" s="5"/>
      <c r="B16" s="5" t="s">
        <v>300</v>
      </c>
      <c r="C16" s="5"/>
      <c r="D16" s="5"/>
      <c r="E16" s="5"/>
      <c r="F16" s="5"/>
      <c r="G16" s="5"/>
      <c r="H16" s="5"/>
      <c r="I16" s="5"/>
    </row>
    <row r="17" ht="30" customHeight="1" spans="1:9">
      <c r="A17" s="5"/>
      <c r="B17" s="5" t="s">
        <v>301</v>
      </c>
      <c r="C17" s="5"/>
      <c r="D17" s="5"/>
      <c r="E17" s="5"/>
      <c r="F17" s="5"/>
      <c r="G17" s="5"/>
      <c r="H17" s="5"/>
      <c r="I17" s="5"/>
    </row>
    <row r="18" customHeight="1" spans="1:9">
      <c r="A18" s="5" t="s">
        <v>302</v>
      </c>
      <c r="B18" s="7" t="s">
        <v>386</v>
      </c>
      <c r="C18" s="19"/>
      <c r="D18" s="19"/>
      <c r="E18" s="19"/>
      <c r="F18" s="19"/>
      <c r="G18" s="19"/>
      <c r="H18" s="19"/>
      <c r="I18" s="33"/>
    </row>
    <row r="19" customHeight="1" spans="1:9">
      <c r="A19" s="20" t="s">
        <v>304</v>
      </c>
      <c r="B19" s="20" t="s">
        <v>305</v>
      </c>
      <c r="C19" s="21"/>
      <c r="D19" s="22" t="s">
        <v>306</v>
      </c>
      <c r="E19" s="5" t="s">
        <v>307</v>
      </c>
      <c r="F19" s="20" t="s">
        <v>308</v>
      </c>
      <c r="G19" s="23"/>
      <c r="H19" s="20" t="s">
        <v>309</v>
      </c>
      <c r="I19" s="21"/>
    </row>
    <row r="20" ht="17" customHeight="1" spans="1:9">
      <c r="A20" s="24"/>
      <c r="B20" s="25"/>
      <c r="C20" s="26"/>
      <c r="D20" s="22"/>
      <c r="E20" s="5"/>
      <c r="F20" s="24"/>
      <c r="G20" s="27"/>
      <c r="H20" s="24"/>
      <c r="I20" s="29"/>
    </row>
    <row r="21" customHeight="1" spans="1:9">
      <c r="A21" s="6" t="s">
        <v>310</v>
      </c>
      <c r="B21" s="20" t="s">
        <v>311</v>
      </c>
      <c r="C21" s="21"/>
      <c r="D21" s="5" t="s">
        <v>387</v>
      </c>
      <c r="E21" s="5" t="s">
        <v>388</v>
      </c>
      <c r="F21" s="5" t="s">
        <v>389</v>
      </c>
      <c r="G21" s="5"/>
      <c r="H21" s="5" t="s">
        <v>389</v>
      </c>
      <c r="I21" s="5"/>
    </row>
    <row r="22" customHeight="1" spans="1:9">
      <c r="A22" s="28"/>
      <c r="B22" s="24"/>
      <c r="C22" s="29"/>
      <c r="D22" s="13" t="s">
        <v>337</v>
      </c>
      <c r="E22" s="13" t="s">
        <v>337</v>
      </c>
      <c r="F22" s="30" t="s">
        <v>337</v>
      </c>
      <c r="G22" s="31"/>
      <c r="H22" s="30" t="s">
        <v>337</v>
      </c>
      <c r="I22" s="31"/>
    </row>
    <row r="23" customHeight="1" spans="1:9">
      <c r="A23" s="28"/>
      <c r="B23" s="20" t="s">
        <v>316</v>
      </c>
      <c r="C23" s="21"/>
      <c r="D23" s="5" t="s">
        <v>390</v>
      </c>
      <c r="E23" s="5" t="s">
        <v>391</v>
      </c>
      <c r="F23" s="32">
        <v>0.95</v>
      </c>
      <c r="G23" s="5"/>
      <c r="H23" s="5" t="s">
        <v>327</v>
      </c>
      <c r="I23" s="5"/>
    </row>
    <row r="24" customHeight="1" spans="1:9">
      <c r="A24" s="28"/>
      <c r="B24" s="25"/>
      <c r="C24" s="26"/>
      <c r="D24" s="13" t="s">
        <v>337</v>
      </c>
      <c r="E24" s="13" t="s">
        <v>337</v>
      </c>
      <c r="F24" s="30" t="s">
        <v>337</v>
      </c>
      <c r="G24" s="31"/>
      <c r="H24" s="30" t="s">
        <v>337</v>
      </c>
      <c r="I24" s="31"/>
    </row>
    <row r="25" customHeight="1" spans="1:9">
      <c r="A25" s="28"/>
      <c r="B25" s="20" t="s">
        <v>321</v>
      </c>
      <c r="C25" s="21"/>
      <c r="D25" s="5" t="s">
        <v>392</v>
      </c>
      <c r="E25" s="5" t="s">
        <v>393</v>
      </c>
      <c r="F25" s="5" t="s">
        <v>394</v>
      </c>
      <c r="G25" s="5"/>
      <c r="H25" s="5" t="s">
        <v>394</v>
      </c>
      <c r="I25" s="5"/>
    </row>
    <row r="26" customHeight="1" spans="1:9">
      <c r="A26" s="28"/>
      <c r="B26" s="24"/>
      <c r="C26" s="29"/>
      <c r="D26" s="13" t="s">
        <v>337</v>
      </c>
      <c r="E26" s="13" t="s">
        <v>337</v>
      </c>
      <c r="F26" s="30" t="s">
        <v>337</v>
      </c>
      <c r="G26" s="31"/>
      <c r="H26" s="30" t="s">
        <v>337</v>
      </c>
      <c r="I26" s="31"/>
    </row>
    <row r="27" customHeight="1" spans="1:9">
      <c r="A27" s="28"/>
      <c r="B27" s="20" t="s">
        <v>328</v>
      </c>
      <c r="C27" s="21"/>
      <c r="D27" s="5" t="s">
        <v>395</v>
      </c>
      <c r="E27" s="5" t="s">
        <v>396</v>
      </c>
      <c r="F27" s="5" t="s">
        <v>385</v>
      </c>
      <c r="G27" s="5"/>
      <c r="H27" s="5" t="s">
        <v>397</v>
      </c>
      <c r="I27" s="5"/>
    </row>
    <row r="28" customHeight="1" spans="1:9">
      <c r="A28" s="12"/>
      <c r="B28" s="24"/>
      <c r="C28" s="29"/>
      <c r="D28" s="13" t="s">
        <v>337</v>
      </c>
      <c r="E28" s="13" t="s">
        <v>337</v>
      </c>
      <c r="F28" s="30" t="s">
        <v>337</v>
      </c>
      <c r="G28" s="31"/>
      <c r="H28" s="30" t="s">
        <v>337</v>
      </c>
      <c r="I28" s="31"/>
    </row>
    <row r="29" ht="41" customHeight="1" spans="1:9">
      <c r="A29" s="6" t="s">
        <v>335</v>
      </c>
      <c r="B29" s="20" t="s">
        <v>336</v>
      </c>
      <c r="C29" s="21"/>
      <c r="D29" s="5" t="s">
        <v>398</v>
      </c>
      <c r="E29" s="5" t="s">
        <v>398</v>
      </c>
      <c r="F29" s="7" t="s">
        <v>398</v>
      </c>
      <c r="G29" s="33"/>
      <c r="H29" s="7" t="s">
        <v>399</v>
      </c>
      <c r="I29" s="31"/>
    </row>
    <row r="30" customHeight="1" spans="1:9">
      <c r="A30" s="28"/>
      <c r="B30" s="24"/>
      <c r="C30" s="29"/>
      <c r="D30" s="13" t="s">
        <v>337</v>
      </c>
      <c r="E30" s="13" t="s">
        <v>337</v>
      </c>
      <c r="F30" s="30" t="s">
        <v>337</v>
      </c>
      <c r="G30" s="31"/>
      <c r="H30" s="30" t="s">
        <v>337</v>
      </c>
      <c r="I30" s="31"/>
    </row>
    <row r="31" customHeight="1" spans="1:9">
      <c r="A31" s="28"/>
      <c r="B31" s="20" t="s">
        <v>338</v>
      </c>
      <c r="C31" s="21"/>
      <c r="D31" s="5" t="s">
        <v>400</v>
      </c>
      <c r="E31" s="5" t="s">
        <v>401</v>
      </c>
      <c r="F31" s="5" t="s">
        <v>402</v>
      </c>
      <c r="G31" s="5"/>
      <c r="H31" s="5" t="s">
        <v>402</v>
      </c>
      <c r="I31" s="5"/>
    </row>
    <row r="32" customHeight="1" spans="1:9">
      <c r="A32" s="28"/>
      <c r="B32" s="24"/>
      <c r="C32" s="29"/>
      <c r="D32" s="5" t="s">
        <v>403</v>
      </c>
      <c r="E32" s="5" t="s">
        <v>404</v>
      </c>
      <c r="F32" s="7" t="s">
        <v>399</v>
      </c>
      <c r="G32" s="31"/>
      <c r="H32" s="7" t="s">
        <v>399</v>
      </c>
      <c r="I32" s="31"/>
    </row>
    <row r="33" customHeight="1" spans="1:9">
      <c r="A33" s="28"/>
      <c r="B33" s="20" t="s">
        <v>343</v>
      </c>
      <c r="C33" s="21"/>
      <c r="D33" s="13" t="s">
        <v>337</v>
      </c>
      <c r="E33" s="13" t="s">
        <v>337</v>
      </c>
      <c r="F33" s="30" t="s">
        <v>337</v>
      </c>
      <c r="G33" s="31"/>
      <c r="H33" s="30" t="s">
        <v>337</v>
      </c>
      <c r="I33" s="31"/>
    </row>
    <row r="34" customHeight="1" spans="1:9">
      <c r="A34" s="28"/>
      <c r="B34" s="24"/>
      <c r="C34" s="29"/>
      <c r="D34" s="13" t="s">
        <v>337</v>
      </c>
      <c r="E34" s="13" t="s">
        <v>337</v>
      </c>
      <c r="F34" s="30" t="s">
        <v>337</v>
      </c>
      <c r="G34" s="31"/>
      <c r="H34" s="30" t="s">
        <v>337</v>
      </c>
      <c r="I34" s="31"/>
    </row>
    <row r="35" customHeight="1" spans="1:9">
      <c r="A35" s="28"/>
      <c r="B35" s="20" t="s">
        <v>344</v>
      </c>
      <c r="C35" s="21"/>
      <c r="D35" s="13" t="s">
        <v>337</v>
      </c>
      <c r="E35" s="13" t="s">
        <v>337</v>
      </c>
      <c r="F35" s="30" t="s">
        <v>337</v>
      </c>
      <c r="G35" s="31"/>
      <c r="H35" s="30" t="s">
        <v>337</v>
      </c>
      <c r="I35" s="31"/>
    </row>
    <row r="36" customHeight="1" spans="1:9">
      <c r="A36" s="12"/>
      <c r="B36" s="24"/>
      <c r="C36" s="29"/>
      <c r="D36" s="13" t="s">
        <v>337</v>
      </c>
      <c r="E36" s="13" t="s">
        <v>337</v>
      </c>
      <c r="F36" s="30" t="s">
        <v>337</v>
      </c>
      <c r="G36" s="31"/>
      <c r="H36" s="30" t="s">
        <v>337</v>
      </c>
      <c r="I36" s="31"/>
    </row>
    <row r="37" customHeight="1" spans="1:9">
      <c r="A37" s="6" t="s">
        <v>345</v>
      </c>
      <c r="B37" s="20" t="s">
        <v>346</v>
      </c>
      <c r="C37" s="21"/>
      <c r="D37" s="5" t="s">
        <v>347</v>
      </c>
      <c r="E37" s="5" t="s">
        <v>348</v>
      </c>
      <c r="F37" s="32">
        <v>0.95</v>
      </c>
      <c r="G37" s="5"/>
      <c r="H37" s="5" t="s">
        <v>327</v>
      </c>
      <c r="I37" s="5"/>
    </row>
    <row r="38" customHeight="1" spans="1:9">
      <c r="A38" s="12"/>
      <c r="B38" s="24"/>
      <c r="C38" s="29"/>
      <c r="D38" s="5" t="s">
        <v>405</v>
      </c>
      <c r="E38" s="5" t="s">
        <v>348</v>
      </c>
      <c r="F38" s="32">
        <v>0.95</v>
      </c>
      <c r="G38" s="5"/>
      <c r="H38" s="5" t="s">
        <v>327</v>
      </c>
      <c r="I38" s="5"/>
    </row>
    <row r="39" ht="27" customHeight="1" spans="1:9">
      <c r="A39" s="5" t="s">
        <v>350</v>
      </c>
      <c r="B39" s="34"/>
      <c r="C39" s="35"/>
      <c r="D39" s="35"/>
      <c r="E39" s="35"/>
      <c r="F39" s="35"/>
      <c r="G39" s="35"/>
      <c r="H39" s="34"/>
      <c r="I39" s="34"/>
    </row>
    <row r="40" customHeight="1" spans="1:9">
      <c r="A40" s="36" t="s">
        <v>351</v>
      </c>
      <c r="B40" s="37"/>
      <c r="C40" s="37"/>
      <c r="D40" s="36" t="s">
        <v>352</v>
      </c>
      <c r="E40" s="37"/>
      <c r="F40" s="37"/>
      <c r="G40" s="38" t="s">
        <v>353</v>
      </c>
      <c r="H40" s="37"/>
      <c r="I40" s="37"/>
    </row>
    <row r="42" ht="23" customHeight="1" spans="1:9">
      <c r="A42" s="2" t="s">
        <v>362</v>
      </c>
      <c r="B42" s="2"/>
      <c r="C42" s="2"/>
      <c r="D42" s="2"/>
      <c r="E42" s="2"/>
      <c r="F42" s="2"/>
      <c r="G42" s="2"/>
      <c r="H42" s="2"/>
      <c r="I42" s="39"/>
    </row>
    <row r="43" ht="29" customHeight="1" spans="1:9">
      <c r="A43" s="3" t="s">
        <v>363</v>
      </c>
      <c r="B43" s="3"/>
      <c r="C43" s="3"/>
      <c r="D43" s="3"/>
      <c r="E43" s="3"/>
      <c r="F43" s="3"/>
      <c r="G43" s="3"/>
      <c r="H43" s="3"/>
      <c r="I43" s="3"/>
    </row>
    <row r="44" customHeight="1" spans="1:9">
      <c r="A44" s="4" t="s">
        <v>296</v>
      </c>
      <c r="B44" s="4"/>
      <c r="C44" s="4"/>
      <c r="D44" s="4"/>
      <c r="E44" s="4"/>
      <c r="F44" s="4"/>
      <c r="G44" s="4"/>
      <c r="H44" s="4"/>
      <c r="I44" s="4"/>
    </row>
    <row r="45" customHeight="1" spans="1:9">
      <c r="A45" s="5" t="s">
        <v>364</v>
      </c>
      <c r="B45" s="6" t="s">
        <v>406</v>
      </c>
      <c r="C45" s="6"/>
      <c r="D45" s="6"/>
      <c r="E45" s="6"/>
      <c r="F45" s="6"/>
      <c r="G45" s="6"/>
      <c r="H45" s="6"/>
      <c r="I45" s="6"/>
    </row>
    <row r="46" customHeight="1" spans="1:9">
      <c r="A46" s="7" t="s">
        <v>366</v>
      </c>
      <c r="B46" s="8" t="s">
        <v>367</v>
      </c>
      <c r="C46" s="9"/>
      <c r="D46" s="9"/>
      <c r="E46" s="9"/>
      <c r="F46" s="9"/>
      <c r="G46" s="9"/>
      <c r="H46" s="9"/>
      <c r="I46" s="40"/>
    </row>
    <row r="47" customHeight="1" spans="1:9">
      <c r="A47" s="7"/>
      <c r="B47" s="10"/>
      <c r="C47" s="11"/>
      <c r="D47" s="11"/>
      <c r="E47" s="11"/>
      <c r="F47" s="11"/>
      <c r="G47" s="11"/>
      <c r="H47" s="11"/>
      <c r="I47" s="41"/>
    </row>
    <row r="48" customHeight="1" spans="1:9">
      <c r="A48" s="5" t="s">
        <v>38</v>
      </c>
      <c r="B48" s="12" t="s">
        <v>368</v>
      </c>
      <c r="C48" s="12"/>
      <c r="D48" s="12" t="s">
        <v>39</v>
      </c>
      <c r="E48" s="12"/>
      <c r="F48" s="12"/>
      <c r="G48" s="12" t="s">
        <v>369</v>
      </c>
      <c r="H48" s="12"/>
      <c r="I48" s="12"/>
    </row>
    <row r="49" customHeight="1" spans="1:9">
      <c r="A49" s="5" t="s">
        <v>370</v>
      </c>
      <c r="B49" s="12" t="s">
        <v>368</v>
      </c>
      <c r="C49" s="12"/>
      <c r="D49" s="5" t="s">
        <v>371</v>
      </c>
      <c r="E49" s="5"/>
      <c r="F49" s="5"/>
      <c r="G49" s="5" t="s">
        <v>369</v>
      </c>
      <c r="H49" s="5"/>
      <c r="I49" s="5"/>
    </row>
    <row r="50" customHeight="1" spans="1:9">
      <c r="A50" s="5" t="s">
        <v>372</v>
      </c>
      <c r="B50" s="5" t="s">
        <v>373</v>
      </c>
      <c r="C50" s="5"/>
      <c r="D50" s="5" t="s">
        <v>374</v>
      </c>
      <c r="E50" s="5"/>
      <c r="F50" s="5"/>
      <c r="G50" s="13" t="s">
        <v>337</v>
      </c>
      <c r="H50" s="5" t="s">
        <v>375</v>
      </c>
      <c r="I50" s="13" t="s">
        <v>337</v>
      </c>
    </row>
    <row r="51" customHeight="1" spans="1:9">
      <c r="A51" s="5" t="s">
        <v>376</v>
      </c>
      <c r="B51" s="14" t="s">
        <v>377</v>
      </c>
      <c r="C51" s="14"/>
      <c r="D51" s="14"/>
      <c r="E51" s="14"/>
      <c r="F51" s="14"/>
      <c r="G51" s="14"/>
      <c r="H51" s="14"/>
      <c r="I51" s="14"/>
    </row>
    <row r="52" customHeight="1" spans="1:9">
      <c r="A52" s="15" t="s">
        <v>378</v>
      </c>
      <c r="B52" s="16" t="s">
        <v>407</v>
      </c>
      <c r="C52" s="16"/>
      <c r="D52" s="16"/>
      <c r="E52" s="16"/>
      <c r="F52" s="16"/>
      <c r="G52" s="16"/>
      <c r="H52" s="16"/>
      <c r="I52" s="16"/>
    </row>
    <row r="53" customHeight="1" spans="1:9">
      <c r="A53" s="6" t="s">
        <v>380</v>
      </c>
      <c r="B53" s="5" t="s">
        <v>381</v>
      </c>
      <c r="C53" s="5"/>
      <c r="D53" s="5" t="s">
        <v>382</v>
      </c>
      <c r="E53" s="5"/>
      <c r="F53" s="5"/>
      <c r="G53" s="5"/>
      <c r="H53" s="5"/>
      <c r="I53" s="5"/>
    </row>
    <row r="54" customHeight="1" spans="1:9">
      <c r="A54" s="12"/>
      <c r="B54" s="5" t="s">
        <v>383</v>
      </c>
      <c r="C54" s="5"/>
      <c r="D54" s="6" t="s">
        <v>384</v>
      </c>
      <c r="E54" s="6"/>
      <c r="F54" s="6"/>
      <c r="G54" s="6"/>
      <c r="H54" s="6"/>
      <c r="I54" s="6"/>
    </row>
    <row r="55" customHeight="1" spans="1:9">
      <c r="A55" s="5" t="s">
        <v>297</v>
      </c>
      <c r="B55" s="17" t="s">
        <v>298</v>
      </c>
      <c r="C55" s="18"/>
      <c r="D55" s="5" t="s">
        <v>408</v>
      </c>
      <c r="E55" s="5"/>
      <c r="F55" s="5"/>
      <c r="G55" s="5"/>
      <c r="H55" s="5"/>
      <c r="I55" s="5"/>
    </row>
    <row r="56" customHeight="1" spans="1:9">
      <c r="A56" s="5"/>
      <c r="B56" s="5" t="s">
        <v>299</v>
      </c>
      <c r="C56" s="5"/>
      <c r="D56" s="5" t="s">
        <v>408</v>
      </c>
      <c r="E56" s="5"/>
      <c r="F56" s="5"/>
      <c r="G56" s="5"/>
      <c r="H56" s="5"/>
      <c r="I56" s="5"/>
    </row>
    <row r="57" customHeight="1" spans="1:9">
      <c r="A57" s="5"/>
      <c r="B57" s="5" t="s">
        <v>300</v>
      </c>
      <c r="C57" s="5"/>
      <c r="D57" s="5"/>
      <c r="E57" s="5"/>
      <c r="F57" s="5"/>
      <c r="G57" s="5"/>
      <c r="H57" s="5"/>
      <c r="I57" s="5"/>
    </row>
    <row r="58" customHeight="1" spans="1:9">
      <c r="A58" s="5"/>
      <c r="B58" s="5" t="s">
        <v>301</v>
      </c>
      <c r="C58" s="5"/>
      <c r="D58" s="5"/>
      <c r="E58" s="5"/>
      <c r="F58" s="5"/>
      <c r="G58" s="5"/>
      <c r="H58" s="5"/>
      <c r="I58" s="5"/>
    </row>
    <row r="59" customHeight="1" spans="1:9">
      <c r="A59" s="5" t="s">
        <v>302</v>
      </c>
      <c r="B59" s="7" t="s">
        <v>409</v>
      </c>
      <c r="C59" s="19"/>
      <c r="D59" s="19"/>
      <c r="E59" s="19"/>
      <c r="F59" s="19"/>
      <c r="G59" s="19"/>
      <c r="H59" s="19"/>
      <c r="I59" s="33"/>
    </row>
    <row r="60" customHeight="1" spans="1:9">
      <c r="A60" s="20" t="s">
        <v>304</v>
      </c>
      <c r="B60" s="20" t="s">
        <v>305</v>
      </c>
      <c r="C60" s="21"/>
      <c r="D60" s="22" t="s">
        <v>306</v>
      </c>
      <c r="E60" s="5" t="s">
        <v>307</v>
      </c>
      <c r="F60" s="20" t="s">
        <v>308</v>
      </c>
      <c r="G60" s="23"/>
      <c r="H60" s="20" t="s">
        <v>309</v>
      </c>
      <c r="I60" s="21"/>
    </row>
    <row r="61" customHeight="1" spans="1:9">
      <c r="A61" s="24"/>
      <c r="B61" s="25"/>
      <c r="C61" s="26"/>
      <c r="D61" s="22"/>
      <c r="E61" s="5"/>
      <c r="F61" s="24"/>
      <c r="G61" s="27"/>
      <c r="H61" s="24"/>
      <c r="I61" s="29"/>
    </row>
    <row r="62" customHeight="1" spans="1:9">
      <c r="A62" s="6" t="s">
        <v>310</v>
      </c>
      <c r="B62" s="20" t="s">
        <v>311</v>
      </c>
      <c r="C62" s="21"/>
      <c r="D62" s="5" t="s">
        <v>410</v>
      </c>
      <c r="E62" s="5" t="s">
        <v>388</v>
      </c>
      <c r="F62" s="5" t="s">
        <v>411</v>
      </c>
      <c r="G62" s="5"/>
      <c r="H62" s="5" t="s">
        <v>412</v>
      </c>
      <c r="I62" s="5"/>
    </row>
    <row r="63" customHeight="1" spans="1:9">
      <c r="A63" s="28"/>
      <c r="B63" s="24"/>
      <c r="C63" s="29"/>
      <c r="D63" s="13" t="s">
        <v>337</v>
      </c>
      <c r="E63" s="13" t="s">
        <v>337</v>
      </c>
      <c r="F63" s="30" t="s">
        <v>337</v>
      </c>
      <c r="G63" s="31"/>
      <c r="H63" s="30" t="s">
        <v>337</v>
      </c>
      <c r="I63" s="31"/>
    </row>
    <row r="64" customHeight="1" spans="1:9">
      <c r="A64" s="28"/>
      <c r="B64" s="20" t="s">
        <v>316</v>
      </c>
      <c r="C64" s="21"/>
      <c r="D64" s="5" t="s">
        <v>413</v>
      </c>
      <c r="E64" s="5" t="s">
        <v>414</v>
      </c>
      <c r="F64" s="32">
        <v>0.95</v>
      </c>
      <c r="G64" s="5"/>
      <c r="H64" s="5" t="s">
        <v>327</v>
      </c>
      <c r="I64" s="5"/>
    </row>
    <row r="65" customHeight="1" spans="1:9">
      <c r="A65" s="28"/>
      <c r="B65" s="25"/>
      <c r="C65" s="26"/>
      <c r="D65" s="5" t="s">
        <v>415</v>
      </c>
      <c r="E65" s="5" t="s">
        <v>416</v>
      </c>
      <c r="F65" s="32">
        <v>0.95</v>
      </c>
      <c r="G65" s="5"/>
      <c r="H65" s="32" t="s">
        <v>417</v>
      </c>
      <c r="I65" s="5"/>
    </row>
    <row r="66" customHeight="1" spans="1:9">
      <c r="A66" s="28"/>
      <c r="B66" s="20" t="s">
        <v>321</v>
      </c>
      <c r="C66" s="21"/>
      <c r="D66" s="5" t="s">
        <v>392</v>
      </c>
      <c r="E66" s="5" t="s">
        <v>393</v>
      </c>
      <c r="F66" s="5" t="s">
        <v>394</v>
      </c>
      <c r="G66" s="5"/>
      <c r="H66" s="5" t="s">
        <v>394</v>
      </c>
      <c r="I66" s="5"/>
    </row>
    <row r="67" customHeight="1" spans="1:9">
      <c r="A67" s="28"/>
      <c r="B67" s="24"/>
      <c r="C67" s="29"/>
      <c r="D67" s="13" t="s">
        <v>337</v>
      </c>
      <c r="E67" s="13" t="s">
        <v>337</v>
      </c>
      <c r="F67" s="30" t="s">
        <v>337</v>
      </c>
      <c r="G67" s="31"/>
      <c r="H67" s="30" t="s">
        <v>337</v>
      </c>
      <c r="I67" s="31"/>
    </row>
    <row r="68" customHeight="1" spans="1:9">
      <c r="A68" s="28"/>
      <c r="B68" s="20" t="s">
        <v>328</v>
      </c>
      <c r="C68" s="21"/>
      <c r="D68" s="5" t="s">
        <v>395</v>
      </c>
      <c r="E68" s="5" t="s">
        <v>396</v>
      </c>
      <c r="F68" s="5" t="s">
        <v>408</v>
      </c>
      <c r="G68" s="5"/>
      <c r="H68" s="5" t="s">
        <v>418</v>
      </c>
      <c r="I68" s="5"/>
    </row>
    <row r="69" customHeight="1" spans="1:9">
      <c r="A69" s="12"/>
      <c r="B69" s="24"/>
      <c r="C69" s="29"/>
      <c r="D69" s="13" t="s">
        <v>337</v>
      </c>
      <c r="E69" s="13" t="s">
        <v>337</v>
      </c>
      <c r="F69" s="30" t="s">
        <v>337</v>
      </c>
      <c r="G69" s="31"/>
      <c r="H69" s="30" t="s">
        <v>337</v>
      </c>
      <c r="I69" s="31"/>
    </row>
    <row r="70" customHeight="1" spans="1:9">
      <c r="A70" s="6" t="s">
        <v>335</v>
      </c>
      <c r="B70" s="20" t="s">
        <v>336</v>
      </c>
      <c r="C70" s="21"/>
      <c r="D70" s="13" t="s">
        <v>337</v>
      </c>
      <c r="E70" s="13" t="s">
        <v>337</v>
      </c>
      <c r="F70" s="30" t="s">
        <v>337</v>
      </c>
      <c r="G70" s="31"/>
      <c r="H70" s="30" t="s">
        <v>337</v>
      </c>
      <c r="I70" s="31"/>
    </row>
    <row r="71" customHeight="1" spans="1:9">
      <c r="A71" s="28"/>
      <c r="B71" s="24"/>
      <c r="C71" s="29"/>
      <c r="D71" s="13" t="s">
        <v>337</v>
      </c>
      <c r="E71" s="13" t="s">
        <v>337</v>
      </c>
      <c r="F71" s="30" t="s">
        <v>337</v>
      </c>
      <c r="G71" s="31"/>
      <c r="H71" s="30" t="s">
        <v>337</v>
      </c>
      <c r="I71" s="31"/>
    </row>
    <row r="72" customHeight="1" spans="1:9">
      <c r="A72" s="28"/>
      <c r="B72" s="20" t="s">
        <v>338</v>
      </c>
      <c r="C72" s="21"/>
      <c r="D72" s="5" t="s">
        <v>419</v>
      </c>
      <c r="E72" s="5" t="s">
        <v>420</v>
      </c>
      <c r="F72" s="32">
        <v>0.95</v>
      </c>
      <c r="G72" s="5"/>
      <c r="H72" s="5" t="s">
        <v>327</v>
      </c>
      <c r="I72" s="5"/>
    </row>
    <row r="73" customHeight="1" spans="1:9">
      <c r="A73" s="28"/>
      <c r="B73" s="24"/>
      <c r="C73" s="29"/>
      <c r="D73" s="5" t="s">
        <v>421</v>
      </c>
      <c r="E73" s="5" t="s">
        <v>422</v>
      </c>
      <c r="F73" s="7" t="s">
        <v>402</v>
      </c>
      <c r="G73" s="31"/>
      <c r="H73" s="7" t="s">
        <v>402</v>
      </c>
      <c r="I73" s="31"/>
    </row>
    <row r="74" customHeight="1" spans="1:9">
      <c r="A74" s="28"/>
      <c r="B74" s="20" t="s">
        <v>343</v>
      </c>
      <c r="C74" s="21"/>
      <c r="D74" s="13" t="s">
        <v>337</v>
      </c>
      <c r="E74" s="13" t="s">
        <v>337</v>
      </c>
      <c r="F74" s="30" t="s">
        <v>337</v>
      </c>
      <c r="G74" s="31"/>
      <c r="H74" s="30" t="s">
        <v>337</v>
      </c>
      <c r="I74" s="31"/>
    </row>
    <row r="75" customHeight="1" spans="1:9">
      <c r="A75" s="28"/>
      <c r="B75" s="24"/>
      <c r="C75" s="29"/>
      <c r="D75" s="13" t="s">
        <v>337</v>
      </c>
      <c r="E75" s="13" t="s">
        <v>337</v>
      </c>
      <c r="F75" s="30" t="s">
        <v>337</v>
      </c>
      <c r="G75" s="31"/>
      <c r="H75" s="30" t="s">
        <v>337</v>
      </c>
      <c r="I75" s="31"/>
    </row>
    <row r="76" customHeight="1" spans="1:9">
      <c r="A76" s="28"/>
      <c r="B76" s="20" t="s">
        <v>344</v>
      </c>
      <c r="C76" s="21"/>
      <c r="D76" s="13" t="s">
        <v>337</v>
      </c>
      <c r="E76" s="13" t="s">
        <v>337</v>
      </c>
      <c r="F76" s="30" t="s">
        <v>337</v>
      </c>
      <c r="G76" s="31"/>
      <c r="H76" s="30" t="s">
        <v>337</v>
      </c>
      <c r="I76" s="31"/>
    </row>
    <row r="77" customHeight="1" spans="1:9">
      <c r="A77" s="12"/>
      <c r="B77" s="24"/>
      <c r="C77" s="29"/>
      <c r="D77" s="13" t="s">
        <v>337</v>
      </c>
      <c r="E77" s="13" t="s">
        <v>337</v>
      </c>
      <c r="F77" s="30" t="s">
        <v>337</v>
      </c>
      <c r="G77" s="31"/>
      <c r="H77" s="30" t="s">
        <v>337</v>
      </c>
      <c r="I77" s="31"/>
    </row>
    <row r="78" customHeight="1" spans="1:9">
      <c r="A78" s="6" t="s">
        <v>345</v>
      </c>
      <c r="B78" s="20" t="s">
        <v>346</v>
      </c>
      <c r="C78" s="21"/>
      <c r="D78" s="5" t="s">
        <v>347</v>
      </c>
      <c r="E78" s="5" t="s">
        <v>348</v>
      </c>
      <c r="F78" s="32">
        <v>0.95</v>
      </c>
      <c r="G78" s="5"/>
      <c r="H78" s="5" t="s">
        <v>327</v>
      </c>
      <c r="I78" s="5"/>
    </row>
    <row r="79" customHeight="1" spans="1:9">
      <c r="A79" s="12"/>
      <c r="B79" s="24"/>
      <c r="C79" s="29"/>
      <c r="D79" s="5" t="s">
        <v>405</v>
      </c>
      <c r="E79" s="5" t="s">
        <v>348</v>
      </c>
      <c r="F79" s="32">
        <v>0.95</v>
      </c>
      <c r="G79" s="5"/>
      <c r="H79" s="5" t="s">
        <v>327</v>
      </c>
      <c r="I79" s="5"/>
    </row>
    <row r="80" customHeight="1" spans="1:9">
      <c r="A80" s="5" t="s">
        <v>350</v>
      </c>
      <c r="B80" s="34"/>
      <c r="C80" s="35"/>
      <c r="D80" s="35"/>
      <c r="E80" s="35"/>
      <c r="F80" s="35"/>
      <c r="G80" s="35"/>
      <c r="H80" s="34"/>
      <c r="I80" s="34"/>
    </row>
    <row r="81" customHeight="1" spans="1:9">
      <c r="A81" s="36" t="s">
        <v>351</v>
      </c>
      <c r="B81" s="37"/>
      <c r="C81" s="37"/>
      <c r="D81" s="36" t="s">
        <v>352</v>
      </c>
      <c r="E81" s="37"/>
      <c r="F81" s="37"/>
      <c r="G81" s="38" t="s">
        <v>353</v>
      </c>
      <c r="H81" s="37"/>
      <c r="I81" s="37"/>
    </row>
  </sheetData>
  <mergeCells count="170">
    <mergeCell ref="A2:I2"/>
    <mergeCell ref="A3:I3"/>
    <mergeCell ref="B4:I4"/>
    <mergeCell ref="B7:C7"/>
    <mergeCell ref="D7:F7"/>
    <mergeCell ref="G7:I7"/>
    <mergeCell ref="B8:C8"/>
    <mergeCell ref="D8:F8"/>
    <mergeCell ref="G8:I8"/>
    <mergeCell ref="B9:C9"/>
    <mergeCell ref="D9:F9"/>
    <mergeCell ref="B10:I10"/>
    <mergeCell ref="B11:I11"/>
    <mergeCell ref="B12:C12"/>
    <mergeCell ref="D12:I12"/>
    <mergeCell ref="B13:C13"/>
    <mergeCell ref="D13:I13"/>
    <mergeCell ref="B14:C14"/>
    <mergeCell ref="D14:I14"/>
    <mergeCell ref="B15:C15"/>
    <mergeCell ref="D15:I15"/>
    <mergeCell ref="B16:C16"/>
    <mergeCell ref="D16:I16"/>
    <mergeCell ref="B17:C17"/>
    <mergeCell ref="D17:I17"/>
    <mergeCell ref="B18:I18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F30:G30"/>
    <mergeCell ref="H30:I30"/>
    <mergeCell ref="F31:G31"/>
    <mergeCell ref="H31:I31"/>
    <mergeCell ref="F32:G32"/>
    <mergeCell ref="H32:I32"/>
    <mergeCell ref="F33:G33"/>
    <mergeCell ref="H33:I33"/>
    <mergeCell ref="F34:G34"/>
    <mergeCell ref="H34:I34"/>
    <mergeCell ref="F35:G35"/>
    <mergeCell ref="H35:I35"/>
    <mergeCell ref="F36:G36"/>
    <mergeCell ref="H36:I36"/>
    <mergeCell ref="F37:G37"/>
    <mergeCell ref="H37:I37"/>
    <mergeCell ref="F38:G38"/>
    <mergeCell ref="H38:I38"/>
    <mergeCell ref="B39:I39"/>
    <mergeCell ref="A43:I43"/>
    <mergeCell ref="A44:I44"/>
    <mergeCell ref="B45:I45"/>
    <mergeCell ref="B48:C48"/>
    <mergeCell ref="D48:F48"/>
    <mergeCell ref="G48:I48"/>
    <mergeCell ref="B49:C49"/>
    <mergeCell ref="D49:F49"/>
    <mergeCell ref="G49:I49"/>
    <mergeCell ref="B50:C50"/>
    <mergeCell ref="D50:F50"/>
    <mergeCell ref="B51:I51"/>
    <mergeCell ref="B52:I52"/>
    <mergeCell ref="B53:C53"/>
    <mergeCell ref="D53:I53"/>
    <mergeCell ref="B54:C54"/>
    <mergeCell ref="D54:I54"/>
    <mergeCell ref="B55:C55"/>
    <mergeCell ref="D55:I55"/>
    <mergeCell ref="B56:C56"/>
    <mergeCell ref="D56:I56"/>
    <mergeCell ref="B57:C57"/>
    <mergeCell ref="D57:I57"/>
    <mergeCell ref="B58:C58"/>
    <mergeCell ref="D58:I58"/>
    <mergeCell ref="B59:I59"/>
    <mergeCell ref="F62:G62"/>
    <mergeCell ref="H62:I62"/>
    <mergeCell ref="F63:G63"/>
    <mergeCell ref="H63:I63"/>
    <mergeCell ref="F64:G64"/>
    <mergeCell ref="H64:I64"/>
    <mergeCell ref="F65:G65"/>
    <mergeCell ref="H65:I65"/>
    <mergeCell ref="F66:G66"/>
    <mergeCell ref="H66:I66"/>
    <mergeCell ref="F67:G67"/>
    <mergeCell ref="H67:I67"/>
    <mergeCell ref="F68:G68"/>
    <mergeCell ref="H68:I68"/>
    <mergeCell ref="F69:G69"/>
    <mergeCell ref="H69:I69"/>
    <mergeCell ref="F70:G70"/>
    <mergeCell ref="H70:I70"/>
    <mergeCell ref="F71:G71"/>
    <mergeCell ref="H71:I71"/>
    <mergeCell ref="F72:G72"/>
    <mergeCell ref="H72:I72"/>
    <mergeCell ref="F73:G73"/>
    <mergeCell ref="H73:I73"/>
    <mergeCell ref="F74:G74"/>
    <mergeCell ref="H74:I74"/>
    <mergeCell ref="F75:G75"/>
    <mergeCell ref="H75:I75"/>
    <mergeCell ref="F76:G76"/>
    <mergeCell ref="H76:I76"/>
    <mergeCell ref="F77:G77"/>
    <mergeCell ref="H77:I77"/>
    <mergeCell ref="F78:G78"/>
    <mergeCell ref="H78:I78"/>
    <mergeCell ref="F79:G79"/>
    <mergeCell ref="H79:I79"/>
    <mergeCell ref="B80:I80"/>
    <mergeCell ref="A5:A6"/>
    <mergeCell ref="A12:A13"/>
    <mergeCell ref="A14:A17"/>
    <mergeCell ref="A19:A20"/>
    <mergeCell ref="A21:A28"/>
    <mergeCell ref="A29:A36"/>
    <mergeCell ref="A37:A38"/>
    <mergeCell ref="A46:A47"/>
    <mergeCell ref="A53:A54"/>
    <mergeCell ref="A55:A58"/>
    <mergeCell ref="A60:A61"/>
    <mergeCell ref="A62:A69"/>
    <mergeCell ref="A70:A77"/>
    <mergeCell ref="A78:A79"/>
    <mergeCell ref="D19:D20"/>
    <mergeCell ref="D60:D61"/>
    <mergeCell ref="E19:E20"/>
    <mergeCell ref="E60:E61"/>
    <mergeCell ref="B5:I6"/>
    <mergeCell ref="B19:C20"/>
    <mergeCell ref="F19:G20"/>
    <mergeCell ref="H19:I20"/>
    <mergeCell ref="B21:C22"/>
    <mergeCell ref="B23:C24"/>
    <mergeCell ref="B25:C26"/>
    <mergeCell ref="B27:C28"/>
    <mergeCell ref="B29:C30"/>
    <mergeCell ref="B31:C32"/>
    <mergeCell ref="B33:C34"/>
    <mergeCell ref="B35:C36"/>
    <mergeCell ref="B37:C38"/>
    <mergeCell ref="B46:I47"/>
    <mergeCell ref="B60:C61"/>
    <mergeCell ref="F60:G61"/>
    <mergeCell ref="H60:I61"/>
    <mergeCell ref="B62:C63"/>
    <mergeCell ref="B64:C65"/>
    <mergeCell ref="B66:C67"/>
    <mergeCell ref="B68:C69"/>
    <mergeCell ref="B70:C71"/>
    <mergeCell ref="B72:C73"/>
    <mergeCell ref="B74:C75"/>
    <mergeCell ref="B76:C77"/>
    <mergeCell ref="B78:C79"/>
  </mergeCells>
  <pageMargins left="0.708661417322835" right="0.708661417322835" top="0.748031496062992" bottom="0.748031496062992" header="0.31496062992126" footer="0.31496062992126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金灬色</cp:lastModifiedBy>
  <dcterms:created xsi:type="dcterms:W3CDTF">2008-01-10T09:59:00Z</dcterms:created>
  <cp:lastPrinted>2018-01-19T08:43:00Z</cp:lastPrinted>
  <dcterms:modified xsi:type="dcterms:W3CDTF">2020-01-31T02:17:56Z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