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710"/>
  </bookViews>
  <sheets>
    <sheet name="Sheet1" sheetId="1" r:id="rId1"/>
  </sheets>
  <definedNames>
    <definedName name="_xlnm.Print_Area" localSheetId="0">Sheet1!$A$1:$K$79</definedName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<sst xmlns="http://schemas.openxmlformats.org/spreadsheetml/2006/main" count="160" uniqueCount="149">
  <si>
    <t>附件2</t>
  </si>
  <si>
    <t>苏平片区第二轮各村疫苗接种任务分配表</t>
  </si>
  <si>
    <t>序号</t>
  </si>
  <si>
    <t>村别</t>
  </si>
  <si>
    <t>户籍数</t>
  </si>
  <si>
    <t>18周岁以上户籍人员数</t>
  </si>
  <si>
    <t>第一轮苏平户籍在平潭接种人数</t>
  </si>
  <si>
    <t xml:space="preserve">
第二轮应接种总任务数
</t>
  </si>
  <si>
    <t>在平潭  疫苗接种      总任务数</t>
  </si>
  <si>
    <t>7.1-7.14接种数</t>
  </si>
  <si>
    <t>具体
责任人
（包村）</t>
  </si>
  <si>
    <t>处室
领导</t>
  </si>
  <si>
    <t>包片
领导</t>
  </si>
  <si>
    <t>苏澳片</t>
  </si>
  <si>
    <t>苏澳村</t>
  </si>
  <si>
    <t>吴仕均</t>
  </si>
  <si>
    <t>林和文</t>
  </si>
  <si>
    <t>王谋良</t>
  </si>
  <si>
    <t>齐富村</t>
  </si>
  <si>
    <t>郭孝龙</t>
  </si>
  <si>
    <t>和平村</t>
  </si>
  <si>
    <t xml:space="preserve">卢孝龙    </t>
  </si>
  <si>
    <t>紫霞村</t>
  </si>
  <si>
    <t xml:space="preserve">翁  岚      </t>
  </si>
  <si>
    <t>斗门村</t>
  </si>
  <si>
    <t>林孔宁</t>
  </si>
  <si>
    <t>梧峰村</t>
  </si>
  <si>
    <t xml:space="preserve">高  攀       </t>
  </si>
  <si>
    <t>西楼村</t>
  </si>
  <si>
    <t>高诚雄</t>
  </si>
  <si>
    <t>友谊村</t>
  </si>
  <si>
    <t>陈  玲</t>
  </si>
  <si>
    <t>钟门村</t>
  </si>
  <si>
    <t xml:space="preserve">林  超      </t>
  </si>
  <si>
    <t>龙头村</t>
  </si>
  <si>
    <t xml:space="preserve">吴正喜    </t>
  </si>
  <si>
    <t>合计</t>
  </si>
  <si>
    <t>民主村</t>
  </si>
  <si>
    <t xml:space="preserve">王建明    </t>
  </si>
  <si>
    <t>俞育龙</t>
  </si>
  <si>
    <t>先进村</t>
  </si>
  <si>
    <t xml:space="preserve">施华顺    </t>
  </si>
  <si>
    <t>南海村</t>
  </si>
  <si>
    <t xml:space="preserve">陈碧钦    </t>
  </si>
  <si>
    <t>五一村</t>
  </si>
  <si>
    <t>林忠富</t>
  </si>
  <si>
    <t>下苏澳村</t>
  </si>
  <si>
    <t xml:space="preserve">林谋钦    </t>
  </si>
  <si>
    <t>红旗村</t>
  </si>
  <si>
    <t xml:space="preserve">林祺添    </t>
  </si>
  <si>
    <t>斗魁村</t>
  </si>
  <si>
    <t>郑声强</t>
  </si>
  <si>
    <t>看澳村</t>
  </si>
  <si>
    <t>丁祥文</t>
  </si>
  <si>
    <t>平原片</t>
  </si>
  <si>
    <t>剑湖村</t>
  </si>
  <si>
    <t>王向龙</t>
  </si>
  <si>
    <t>郑应昌</t>
  </si>
  <si>
    <t>欧阳志为</t>
  </si>
  <si>
    <t>上攀村</t>
  </si>
  <si>
    <t>潘丽钦</t>
  </si>
  <si>
    <t>榕山村</t>
  </si>
  <si>
    <t>李  玮</t>
  </si>
  <si>
    <t>梧凤村</t>
  </si>
  <si>
    <t>陈  彪</t>
  </si>
  <si>
    <t>燎原村</t>
  </si>
  <si>
    <t>凤美村</t>
  </si>
  <si>
    <t>杨晓忠</t>
  </si>
  <si>
    <t>山显美村</t>
  </si>
  <si>
    <t xml:space="preserve">林智忠    </t>
  </si>
  <si>
    <t>江楼村</t>
  </si>
  <si>
    <t xml:space="preserve">郑辉旺
李  娟   </t>
  </si>
  <si>
    <t>潘玉平</t>
  </si>
  <si>
    <t>王娇</t>
  </si>
  <si>
    <t>平原村</t>
  </si>
  <si>
    <t xml:space="preserve">吴兆敏    </t>
  </si>
  <si>
    <t>瓦瑶村</t>
  </si>
  <si>
    <t>魏远斌</t>
  </si>
  <si>
    <t>当盛村</t>
  </si>
  <si>
    <t xml:space="preserve">陈  岚      </t>
  </si>
  <si>
    <t>红卫村</t>
  </si>
  <si>
    <t>方  谊</t>
  </si>
  <si>
    <t>梧凤楼村</t>
  </si>
  <si>
    <t xml:space="preserve">刘清芳    </t>
  </si>
  <si>
    <t>半山村</t>
  </si>
  <si>
    <t>王强平</t>
  </si>
  <si>
    <t>大练片</t>
  </si>
  <si>
    <t>渔限村</t>
  </si>
  <si>
    <t>刘孟瑜</t>
  </si>
  <si>
    <t>张  立</t>
  </si>
  <si>
    <t>韩祥平</t>
  </si>
  <si>
    <t>月举村</t>
  </si>
  <si>
    <t>围东村</t>
  </si>
  <si>
    <t>东礁村</t>
  </si>
  <si>
    <t>李云桂</t>
  </si>
  <si>
    <t>立新村</t>
  </si>
  <si>
    <t>西礁村</t>
  </si>
  <si>
    <t>秀礁村</t>
  </si>
  <si>
    <t>许祥龙</t>
  </si>
  <si>
    <t>瑞洋村</t>
  </si>
  <si>
    <t>舍仁宫村</t>
  </si>
  <si>
    <t>白青片</t>
  </si>
  <si>
    <t>玉堂村</t>
  </si>
  <si>
    <t>林性忠</t>
  </si>
  <si>
    <t>王玲玲</t>
  </si>
  <si>
    <t>潘杰</t>
  </si>
  <si>
    <t>南盘村</t>
  </si>
  <si>
    <t>东占村</t>
  </si>
  <si>
    <t>林鸿飞</t>
  </si>
  <si>
    <t>招康村</t>
  </si>
  <si>
    <t>周小华</t>
  </si>
  <si>
    <t>国彩村</t>
  </si>
  <si>
    <t xml:space="preserve">潘晓萍
高  葳     </t>
  </si>
  <si>
    <t>丰田村</t>
  </si>
  <si>
    <t>陈  柱</t>
  </si>
  <si>
    <t>吕振南</t>
  </si>
  <si>
    <t>白沙村</t>
  </si>
  <si>
    <t xml:space="preserve">林瑞珍 </t>
  </si>
  <si>
    <t>白胜村</t>
  </si>
  <si>
    <t xml:space="preserve">刘敏敏  </t>
  </si>
  <si>
    <t>青峰村</t>
  </si>
  <si>
    <t xml:space="preserve">杨长艳     </t>
  </si>
  <si>
    <t>岱峰村</t>
  </si>
  <si>
    <t>林  财</t>
  </si>
  <si>
    <t>屿头乡</t>
  </si>
  <si>
    <t>屿北</t>
  </si>
  <si>
    <t>高文峰</t>
  </si>
  <si>
    <t>潘宏春</t>
  </si>
  <si>
    <t>何盈</t>
  </si>
  <si>
    <t>屿南</t>
  </si>
  <si>
    <t>施玲娟</t>
  </si>
  <si>
    <t>玉瑶</t>
  </si>
  <si>
    <t>何亮亮</t>
  </si>
  <si>
    <t>后垱</t>
  </si>
  <si>
    <t>俞裕庭</t>
  </si>
  <si>
    <t>田下</t>
  </si>
  <si>
    <t>冯铁</t>
  </si>
  <si>
    <t>东贵</t>
  </si>
  <si>
    <t>林学密</t>
  </si>
  <si>
    <t>王春姬</t>
  </si>
  <si>
    <t>东金</t>
  </si>
  <si>
    <t>林华松</t>
  </si>
  <si>
    <t>东珠</t>
  </si>
  <si>
    <t>吴心志</t>
  </si>
  <si>
    <t>乐屿</t>
  </si>
  <si>
    <t>俞文</t>
  </si>
  <si>
    <t>旺宾</t>
  </si>
  <si>
    <t>陈诚辉</t>
  </si>
  <si>
    <t>片区合计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</si>
</sst>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4"/>
      <name val="黑体"/>
      <charset val="134"/>
    </font>
    <font>
      <sz val="24"/>
      <color rgb="FF000000"/>
      <name val="方正小标宋简体"/>
      <charset val="134"/>
    </font>
    <font>
      <sz val="16"/>
      <color rgb="FF000000"/>
      <name val="黑体"/>
      <charset val="134"/>
    </font>
    <font>
      <sz val="16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1" borderId="1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7" borderId="15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12" borderId="14" applyNumberFormat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23" borderId="1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"/>
  <sheetViews>
    <sheetView tabSelected="1" view="pageBreakPreview" zoomScaleNormal="115" workbookViewId="0">
      <selection activeCell="F3" sqref="F3"/>
    </sheetView>
  </sheetViews>
  <sheetFormatPr defaultColWidth="9" defaultRowHeight="13.5"/>
  <cols>
    <col min="1" max="1" width="13" style="1" customWidth="1"/>
    <col min="2" max="2" width="15.8" style="1" customWidth="1"/>
    <col min="3" max="3" width="11.55" style="1" customWidth="1"/>
    <col min="4" max="4" width="19.225" style="1" customWidth="1"/>
    <col min="5" max="5" width="15.6416666666667" style="3" customWidth="1"/>
    <col min="6" max="6" width="13.1416666666667" style="4" customWidth="1"/>
    <col min="7" max="7" width="13.45" style="5" customWidth="1"/>
    <col min="8" max="8" width="13.45" style="5" hidden="1" customWidth="1"/>
    <col min="9" max="9" width="15.3" style="1" customWidth="1"/>
    <col min="10" max="10" width="16.975" style="1" customWidth="1"/>
    <col min="11" max="11" width="17.825" style="1" customWidth="1"/>
    <col min="12" max="16384" width="9" style="1"/>
  </cols>
  <sheetData>
    <row r="1" ht="21" customHeight="1" spans="1:1">
      <c r="A1" s="6" t="s">
        <v>0</v>
      </c>
    </row>
    <row r="2" s="1" customFormat="1" ht="31.5" spans="1:11">
      <c r="A2" s="7" t="s">
        <v>1</v>
      </c>
      <c r="B2" s="7"/>
      <c r="C2" s="7"/>
      <c r="D2" s="7"/>
      <c r="E2" s="7"/>
      <c r="F2" s="8"/>
      <c r="G2" s="8"/>
      <c r="H2" s="8"/>
      <c r="I2" s="7"/>
      <c r="J2" s="7"/>
      <c r="K2" s="7"/>
    </row>
    <row r="3" s="1" customFormat="1" ht="87" customHeight="1" spans="1:1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9" t="s">
        <v>10</v>
      </c>
      <c r="J3" s="9" t="s">
        <v>11</v>
      </c>
      <c r="K3" s="9" t="s">
        <v>12</v>
      </c>
    </row>
    <row r="4" s="1" customFormat="1" ht="20.25" spans="1:11">
      <c r="A4" s="11" t="s">
        <v>13</v>
      </c>
      <c r="B4" s="11"/>
      <c r="C4" s="11"/>
      <c r="D4" s="11"/>
      <c r="E4" s="11"/>
      <c r="F4" s="12"/>
      <c r="G4" s="12"/>
      <c r="H4" s="12"/>
      <c r="I4" s="11"/>
      <c r="J4" s="11"/>
      <c r="K4" s="11"/>
    </row>
    <row r="5" s="1" customFormat="1" ht="20.1" customHeight="1" spans="1:11">
      <c r="A5" s="13">
        <v>1</v>
      </c>
      <c r="B5" s="14" t="s">
        <v>14</v>
      </c>
      <c r="C5" s="15">
        <v>3361</v>
      </c>
      <c r="D5" s="15">
        <v>2660</v>
      </c>
      <c r="E5" s="15">
        <v>498</v>
      </c>
      <c r="F5" s="16">
        <f>D5-E5</f>
        <v>2162</v>
      </c>
      <c r="G5" s="17">
        <f>F5*50%+1</f>
        <v>1082</v>
      </c>
      <c r="H5" s="17">
        <v>118</v>
      </c>
      <c r="I5" s="15" t="s">
        <v>15</v>
      </c>
      <c r="J5" s="15" t="s">
        <v>16</v>
      </c>
      <c r="K5" s="15" t="s">
        <v>17</v>
      </c>
    </row>
    <row r="6" s="1" customFormat="1" ht="20.1" customHeight="1" spans="1:11">
      <c r="A6" s="13">
        <v>2</v>
      </c>
      <c r="B6" s="18" t="s">
        <v>18</v>
      </c>
      <c r="C6" s="19">
        <v>1138</v>
      </c>
      <c r="D6" s="19">
        <v>872</v>
      </c>
      <c r="E6" s="19">
        <v>204</v>
      </c>
      <c r="F6" s="16">
        <f t="shared" ref="F6:F16" si="0">D6-E6</f>
        <v>668</v>
      </c>
      <c r="G6" s="17">
        <f t="shared" ref="G6:G24" si="1">F6*50%+1</f>
        <v>335</v>
      </c>
      <c r="H6" s="20">
        <v>16</v>
      </c>
      <c r="I6" s="19" t="s">
        <v>19</v>
      </c>
      <c r="J6" s="15"/>
      <c r="K6" s="15"/>
    </row>
    <row r="7" s="1" customFormat="1" ht="20.1" customHeight="1" spans="1:11">
      <c r="A7" s="13">
        <v>3</v>
      </c>
      <c r="B7" s="14" t="s">
        <v>20</v>
      </c>
      <c r="C7" s="15">
        <v>3001</v>
      </c>
      <c r="D7" s="15">
        <v>2360</v>
      </c>
      <c r="E7" s="15">
        <v>689</v>
      </c>
      <c r="F7" s="16">
        <f t="shared" si="0"/>
        <v>1671</v>
      </c>
      <c r="G7" s="17">
        <f t="shared" si="1"/>
        <v>836.5</v>
      </c>
      <c r="H7" s="17">
        <v>150</v>
      </c>
      <c r="I7" s="15" t="s">
        <v>21</v>
      </c>
      <c r="J7" s="15"/>
      <c r="K7" s="15"/>
    </row>
    <row r="8" s="1" customFormat="1" ht="20.1" customHeight="1" spans="1:11">
      <c r="A8" s="13">
        <v>4</v>
      </c>
      <c r="B8" s="14" t="s">
        <v>22</v>
      </c>
      <c r="C8" s="15">
        <v>1913</v>
      </c>
      <c r="D8" s="15">
        <v>1474</v>
      </c>
      <c r="E8" s="15">
        <v>357</v>
      </c>
      <c r="F8" s="16">
        <f t="shared" si="0"/>
        <v>1117</v>
      </c>
      <c r="G8" s="17">
        <f t="shared" si="1"/>
        <v>559.5</v>
      </c>
      <c r="H8" s="17">
        <v>56</v>
      </c>
      <c r="I8" s="15" t="s">
        <v>23</v>
      </c>
      <c r="J8" s="15"/>
      <c r="K8" s="15"/>
    </row>
    <row r="9" s="1" customFormat="1" ht="20.1" customHeight="1" spans="1:11">
      <c r="A9" s="13">
        <v>5</v>
      </c>
      <c r="B9" s="14" t="s">
        <v>24</v>
      </c>
      <c r="C9" s="15">
        <v>1612</v>
      </c>
      <c r="D9" s="15">
        <v>1256</v>
      </c>
      <c r="E9" s="15">
        <v>222</v>
      </c>
      <c r="F9" s="16">
        <f t="shared" si="0"/>
        <v>1034</v>
      </c>
      <c r="G9" s="17">
        <f t="shared" si="1"/>
        <v>518</v>
      </c>
      <c r="H9" s="17">
        <v>38</v>
      </c>
      <c r="I9" s="15" t="s">
        <v>25</v>
      </c>
      <c r="J9" s="15"/>
      <c r="K9" s="15"/>
    </row>
    <row r="10" s="1" customFormat="1" ht="20.1" customHeight="1" spans="1:11">
      <c r="A10" s="13">
        <v>6</v>
      </c>
      <c r="B10" s="14" t="s">
        <v>26</v>
      </c>
      <c r="C10" s="15">
        <v>3529</v>
      </c>
      <c r="D10" s="15">
        <v>2720</v>
      </c>
      <c r="E10" s="15">
        <v>522</v>
      </c>
      <c r="F10" s="16">
        <f t="shared" si="0"/>
        <v>2198</v>
      </c>
      <c r="G10" s="17">
        <f t="shared" si="1"/>
        <v>1100</v>
      </c>
      <c r="H10" s="17">
        <v>108</v>
      </c>
      <c r="I10" s="15" t="s">
        <v>27</v>
      </c>
      <c r="J10" s="15"/>
      <c r="K10" s="15"/>
    </row>
    <row r="11" s="1" customFormat="1" ht="20.1" customHeight="1" spans="1:11">
      <c r="A11" s="13">
        <v>7</v>
      </c>
      <c r="B11" s="14" t="s">
        <v>28</v>
      </c>
      <c r="C11" s="15">
        <v>1501</v>
      </c>
      <c r="D11" s="15">
        <v>1134</v>
      </c>
      <c r="E11" s="15">
        <v>233</v>
      </c>
      <c r="F11" s="16">
        <f t="shared" si="0"/>
        <v>901</v>
      </c>
      <c r="G11" s="17">
        <f t="shared" si="1"/>
        <v>451.5</v>
      </c>
      <c r="H11" s="17">
        <v>35</v>
      </c>
      <c r="I11" s="15" t="s">
        <v>29</v>
      </c>
      <c r="J11" s="15"/>
      <c r="K11" s="15"/>
    </row>
    <row r="12" s="1" customFormat="1" ht="20.1" customHeight="1" spans="1:11">
      <c r="A12" s="13">
        <v>8</v>
      </c>
      <c r="B12" s="14" t="s">
        <v>30</v>
      </c>
      <c r="C12" s="15">
        <v>2283</v>
      </c>
      <c r="D12" s="15">
        <v>1804</v>
      </c>
      <c r="E12" s="15">
        <v>479</v>
      </c>
      <c r="F12" s="16">
        <f t="shared" si="0"/>
        <v>1325</v>
      </c>
      <c r="G12" s="17">
        <f t="shared" si="1"/>
        <v>663.5</v>
      </c>
      <c r="H12" s="17">
        <v>64</v>
      </c>
      <c r="I12" s="15" t="s">
        <v>31</v>
      </c>
      <c r="J12" s="15"/>
      <c r="K12" s="15"/>
    </row>
    <row r="13" s="1" customFormat="1" ht="20.1" customHeight="1" spans="1:11">
      <c r="A13" s="13">
        <v>9</v>
      </c>
      <c r="B13" s="14" t="s">
        <v>32</v>
      </c>
      <c r="C13" s="15">
        <v>3204</v>
      </c>
      <c r="D13" s="15">
        <v>2478</v>
      </c>
      <c r="E13" s="15">
        <v>675</v>
      </c>
      <c r="F13" s="16">
        <f t="shared" si="0"/>
        <v>1803</v>
      </c>
      <c r="G13" s="17">
        <f t="shared" si="1"/>
        <v>902.5</v>
      </c>
      <c r="H13" s="17">
        <v>72</v>
      </c>
      <c r="I13" s="15" t="s">
        <v>33</v>
      </c>
      <c r="J13" s="15"/>
      <c r="K13" s="15"/>
    </row>
    <row r="14" s="1" customFormat="1" ht="20.1" customHeight="1" spans="1:11">
      <c r="A14" s="13">
        <v>10</v>
      </c>
      <c r="B14" s="21" t="s">
        <v>34</v>
      </c>
      <c r="C14" s="22">
        <v>810</v>
      </c>
      <c r="D14" s="22">
        <v>614</v>
      </c>
      <c r="E14" s="22">
        <v>123</v>
      </c>
      <c r="F14" s="16">
        <f t="shared" si="0"/>
        <v>491</v>
      </c>
      <c r="G14" s="17">
        <f t="shared" si="1"/>
        <v>246.5</v>
      </c>
      <c r="H14" s="23">
        <v>26</v>
      </c>
      <c r="I14" s="22" t="s">
        <v>35</v>
      </c>
      <c r="J14" s="15"/>
      <c r="K14" s="15"/>
    </row>
    <row r="15" s="1" customFormat="1" ht="20.1" customHeight="1" spans="1:11">
      <c r="A15" s="13" t="s">
        <v>36</v>
      </c>
      <c r="B15" s="21"/>
      <c r="C15" s="22">
        <f>SUM(C5:C14)</f>
        <v>22352</v>
      </c>
      <c r="D15" s="22">
        <f>SUM(D5:D14)</f>
        <v>17372</v>
      </c>
      <c r="E15" s="22">
        <f>SUM(E5:E14)</f>
        <v>4002</v>
      </c>
      <c r="F15" s="16">
        <f t="shared" si="0"/>
        <v>13370</v>
      </c>
      <c r="G15" s="17">
        <f t="shared" si="1"/>
        <v>6686</v>
      </c>
      <c r="H15" s="23">
        <f>SUM(H5:H14)</f>
        <v>683</v>
      </c>
      <c r="I15" s="22"/>
      <c r="J15" s="15"/>
      <c r="K15" s="15"/>
    </row>
    <row r="16" s="1" customFormat="1" ht="20.1" customHeight="1" spans="1:11">
      <c r="A16" s="24">
        <v>1</v>
      </c>
      <c r="B16" s="14" t="s">
        <v>37</v>
      </c>
      <c r="C16" s="15">
        <v>2077</v>
      </c>
      <c r="D16" s="15">
        <v>1618</v>
      </c>
      <c r="E16" s="15">
        <v>349</v>
      </c>
      <c r="F16" s="16">
        <f t="shared" si="0"/>
        <v>1269</v>
      </c>
      <c r="G16" s="17">
        <f t="shared" si="1"/>
        <v>635.5</v>
      </c>
      <c r="H16" s="17">
        <v>59</v>
      </c>
      <c r="I16" s="15" t="s">
        <v>38</v>
      </c>
      <c r="J16" s="22" t="s">
        <v>39</v>
      </c>
      <c r="K16" s="28" t="s">
        <v>17</v>
      </c>
    </row>
    <row r="17" s="1" customFormat="1" ht="20.1" customHeight="1" spans="1:11">
      <c r="A17" s="24">
        <v>2</v>
      </c>
      <c r="B17" s="18" t="s">
        <v>40</v>
      </c>
      <c r="C17" s="19">
        <v>4819</v>
      </c>
      <c r="D17" s="19">
        <v>3746</v>
      </c>
      <c r="E17" s="19">
        <v>857</v>
      </c>
      <c r="F17" s="16">
        <f t="shared" ref="F17:F24" si="2">D17-E17</f>
        <v>2889</v>
      </c>
      <c r="G17" s="17">
        <f t="shared" si="1"/>
        <v>1445.5</v>
      </c>
      <c r="H17" s="20">
        <v>88</v>
      </c>
      <c r="I17" s="19" t="s">
        <v>41</v>
      </c>
      <c r="J17" s="28"/>
      <c r="K17" s="28"/>
    </row>
    <row r="18" s="1" customFormat="1" ht="20.1" customHeight="1" spans="1:11">
      <c r="A18" s="24">
        <v>3</v>
      </c>
      <c r="B18" s="14" t="s">
        <v>42</v>
      </c>
      <c r="C18" s="15">
        <v>632</v>
      </c>
      <c r="D18" s="15">
        <v>505</v>
      </c>
      <c r="E18" s="15">
        <v>125</v>
      </c>
      <c r="F18" s="16">
        <f t="shared" si="2"/>
        <v>380</v>
      </c>
      <c r="G18" s="17">
        <f t="shared" si="1"/>
        <v>191</v>
      </c>
      <c r="H18" s="17">
        <v>14</v>
      </c>
      <c r="I18" s="15" t="s">
        <v>43</v>
      </c>
      <c r="J18" s="28"/>
      <c r="K18" s="28"/>
    </row>
    <row r="19" s="1" customFormat="1" ht="20.1" customHeight="1" spans="1:11">
      <c r="A19" s="24">
        <v>4</v>
      </c>
      <c r="B19" s="14" t="s">
        <v>44</v>
      </c>
      <c r="C19" s="15">
        <v>2164</v>
      </c>
      <c r="D19" s="15">
        <v>1692</v>
      </c>
      <c r="E19" s="15">
        <v>440</v>
      </c>
      <c r="F19" s="16">
        <f t="shared" si="2"/>
        <v>1252</v>
      </c>
      <c r="G19" s="17">
        <f t="shared" si="1"/>
        <v>627</v>
      </c>
      <c r="H19" s="17">
        <v>47</v>
      </c>
      <c r="I19" s="15" t="s">
        <v>45</v>
      </c>
      <c r="J19" s="28"/>
      <c r="K19" s="28"/>
    </row>
    <row r="20" s="1" customFormat="1" ht="20.1" customHeight="1" spans="1:11">
      <c r="A20" s="24">
        <v>5</v>
      </c>
      <c r="B20" s="14" t="s">
        <v>46</v>
      </c>
      <c r="C20" s="15">
        <v>1265</v>
      </c>
      <c r="D20" s="15">
        <v>985</v>
      </c>
      <c r="E20" s="15">
        <v>238</v>
      </c>
      <c r="F20" s="16">
        <f t="shared" si="2"/>
        <v>747</v>
      </c>
      <c r="G20" s="17">
        <f t="shared" si="1"/>
        <v>374.5</v>
      </c>
      <c r="H20" s="17">
        <v>29</v>
      </c>
      <c r="I20" s="15" t="s">
        <v>47</v>
      </c>
      <c r="J20" s="28"/>
      <c r="K20" s="28"/>
    </row>
    <row r="21" s="1" customFormat="1" ht="20.1" customHeight="1" spans="1:11">
      <c r="A21" s="24">
        <v>6</v>
      </c>
      <c r="B21" s="14" t="s">
        <v>48</v>
      </c>
      <c r="C21" s="15">
        <v>967</v>
      </c>
      <c r="D21" s="15">
        <v>748</v>
      </c>
      <c r="E21" s="15">
        <v>204</v>
      </c>
      <c r="F21" s="16">
        <f t="shared" si="2"/>
        <v>544</v>
      </c>
      <c r="G21" s="17">
        <f t="shared" si="1"/>
        <v>273</v>
      </c>
      <c r="H21" s="17">
        <v>16</v>
      </c>
      <c r="I21" s="15" t="s">
        <v>49</v>
      </c>
      <c r="J21" s="28"/>
      <c r="K21" s="28"/>
    </row>
    <row r="22" s="1" customFormat="1" ht="20.1" customHeight="1" spans="1:11">
      <c r="A22" s="24">
        <v>7</v>
      </c>
      <c r="B22" s="21" t="s">
        <v>50</v>
      </c>
      <c r="C22" s="22">
        <v>1855</v>
      </c>
      <c r="D22" s="22">
        <v>1441</v>
      </c>
      <c r="E22" s="22">
        <v>370</v>
      </c>
      <c r="F22" s="16">
        <f t="shared" si="2"/>
        <v>1071</v>
      </c>
      <c r="G22" s="17">
        <f t="shared" si="1"/>
        <v>536.5</v>
      </c>
      <c r="H22" s="23">
        <v>50</v>
      </c>
      <c r="I22" s="22" t="s">
        <v>51</v>
      </c>
      <c r="J22" s="28"/>
      <c r="K22" s="28"/>
    </row>
    <row r="23" s="1" customFormat="1" ht="20.1" customHeight="1" spans="1:11">
      <c r="A23" s="24">
        <v>8</v>
      </c>
      <c r="B23" s="14" t="s">
        <v>52</v>
      </c>
      <c r="C23" s="15">
        <v>2099</v>
      </c>
      <c r="D23" s="15">
        <v>1620</v>
      </c>
      <c r="E23" s="15">
        <v>435</v>
      </c>
      <c r="F23" s="16">
        <f t="shared" si="2"/>
        <v>1185</v>
      </c>
      <c r="G23" s="17">
        <f t="shared" si="1"/>
        <v>593.5</v>
      </c>
      <c r="H23" s="17">
        <v>72</v>
      </c>
      <c r="I23" s="15" t="s">
        <v>53</v>
      </c>
      <c r="J23" s="28"/>
      <c r="K23" s="28"/>
    </row>
    <row r="24" s="1" customFormat="1" ht="20.1" customHeight="1" spans="1:11">
      <c r="A24" s="24" t="s">
        <v>36</v>
      </c>
      <c r="B24" s="14"/>
      <c r="C24" s="15">
        <f>SUM(C16:C23)</f>
        <v>15878</v>
      </c>
      <c r="D24" s="15">
        <f>SUM(D16:D23)</f>
        <v>12355</v>
      </c>
      <c r="E24" s="15">
        <f>SUM(E16:E23)</f>
        <v>3018</v>
      </c>
      <c r="F24" s="16">
        <f t="shared" si="2"/>
        <v>9337</v>
      </c>
      <c r="G24" s="17">
        <f t="shared" si="1"/>
        <v>4669.5</v>
      </c>
      <c r="H24" s="17">
        <f>SUM(H16:H23)</f>
        <v>375</v>
      </c>
      <c r="I24" s="15"/>
      <c r="J24" s="28"/>
      <c r="K24" s="28"/>
    </row>
    <row r="25" s="1" customFormat="1" ht="20.1" customHeight="1" spans="1:11">
      <c r="A25" s="11" t="s">
        <v>54</v>
      </c>
      <c r="B25" s="11"/>
      <c r="C25" s="11"/>
      <c r="D25" s="11"/>
      <c r="E25" s="25"/>
      <c r="F25" s="12"/>
      <c r="G25" s="12"/>
      <c r="H25" s="12"/>
      <c r="I25" s="11"/>
      <c r="J25" s="11"/>
      <c r="K25" s="11"/>
    </row>
    <row r="26" s="1" customFormat="1" ht="20.1" customHeight="1" spans="1:11">
      <c r="A26" s="13">
        <v>1</v>
      </c>
      <c r="B26" s="18" t="s">
        <v>55</v>
      </c>
      <c r="C26" s="19">
        <v>1340</v>
      </c>
      <c r="D26" s="19">
        <v>1026</v>
      </c>
      <c r="E26" s="19">
        <v>199</v>
      </c>
      <c r="F26" s="16">
        <f>D26-E26</f>
        <v>827</v>
      </c>
      <c r="G26" s="20">
        <f>F26*50%+1</f>
        <v>414.5</v>
      </c>
      <c r="H26" s="26">
        <v>36</v>
      </c>
      <c r="I26" s="16" t="s">
        <v>56</v>
      </c>
      <c r="J26" s="15" t="s">
        <v>57</v>
      </c>
      <c r="K26" s="15" t="s">
        <v>58</v>
      </c>
    </row>
    <row r="27" s="1" customFormat="1" ht="20.1" customHeight="1" spans="1:11">
      <c r="A27" s="13">
        <v>2</v>
      </c>
      <c r="B27" s="14" t="s">
        <v>59</v>
      </c>
      <c r="C27" s="15">
        <v>2163</v>
      </c>
      <c r="D27" s="19">
        <v>1691</v>
      </c>
      <c r="E27" s="15">
        <v>372</v>
      </c>
      <c r="F27" s="16">
        <f t="shared" ref="F27:F34" si="3">D27-E27</f>
        <v>1319</v>
      </c>
      <c r="G27" s="20">
        <f t="shared" ref="G27:G41" si="4">F27*50%+1</f>
        <v>660.5</v>
      </c>
      <c r="H27" s="26">
        <v>42</v>
      </c>
      <c r="I27" s="34" t="s">
        <v>60</v>
      </c>
      <c r="J27" s="15"/>
      <c r="K27" s="15"/>
    </row>
    <row r="28" s="1" customFormat="1" ht="20.1" customHeight="1" spans="1:11">
      <c r="A28" s="13">
        <v>3</v>
      </c>
      <c r="B28" s="14" t="s">
        <v>61</v>
      </c>
      <c r="C28" s="15">
        <v>1245</v>
      </c>
      <c r="D28" s="19">
        <v>951</v>
      </c>
      <c r="E28" s="15">
        <v>228</v>
      </c>
      <c r="F28" s="16">
        <f t="shared" si="3"/>
        <v>723</v>
      </c>
      <c r="G28" s="20">
        <f t="shared" si="4"/>
        <v>362.5</v>
      </c>
      <c r="H28" s="26">
        <v>33</v>
      </c>
      <c r="I28" s="34" t="s">
        <v>62</v>
      </c>
      <c r="J28" s="15"/>
      <c r="K28" s="15"/>
    </row>
    <row r="29" s="1" customFormat="1" ht="20.1" customHeight="1" spans="1:11">
      <c r="A29" s="13">
        <v>4</v>
      </c>
      <c r="B29" s="14" t="s">
        <v>63</v>
      </c>
      <c r="C29" s="15">
        <v>2248</v>
      </c>
      <c r="D29" s="19">
        <v>1759</v>
      </c>
      <c r="E29" s="15">
        <v>397</v>
      </c>
      <c r="F29" s="16">
        <f t="shared" si="3"/>
        <v>1362</v>
      </c>
      <c r="G29" s="20">
        <f t="shared" si="4"/>
        <v>682</v>
      </c>
      <c r="H29" s="26">
        <v>46</v>
      </c>
      <c r="I29" s="34" t="s">
        <v>64</v>
      </c>
      <c r="J29" s="15"/>
      <c r="K29" s="15"/>
    </row>
    <row r="30" s="1" customFormat="1" ht="20.1" customHeight="1" spans="1:11">
      <c r="A30" s="13">
        <v>5</v>
      </c>
      <c r="B30" s="14" t="s">
        <v>65</v>
      </c>
      <c r="C30" s="15">
        <v>4547</v>
      </c>
      <c r="D30" s="19">
        <v>3445</v>
      </c>
      <c r="E30" s="15">
        <v>759</v>
      </c>
      <c r="F30" s="16">
        <f t="shared" si="3"/>
        <v>2686</v>
      </c>
      <c r="G30" s="20">
        <f t="shared" si="4"/>
        <v>1344</v>
      </c>
      <c r="H30" s="26">
        <v>143</v>
      </c>
      <c r="I30" s="34" t="s">
        <v>57</v>
      </c>
      <c r="J30" s="15"/>
      <c r="K30" s="15"/>
    </row>
    <row r="31" s="1" customFormat="1" ht="20.1" customHeight="1" spans="1:11">
      <c r="A31" s="13">
        <v>6</v>
      </c>
      <c r="B31" s="14" t="s">
        <v>66</v>
      </c>
      <c r="C31" s="15">
        <v>2118</v>
      </c>
      <c r="D31" s="19">
        <v>1671</v>
      </c>
      <c r="E31" s="15">
        <v>453</v>
      </c>
      <c r="F31" s="16">
        <f t="shared" si="3"/>
        <v>1218</v>
      </c>
      <c r="G31" s="20">
        <f t="shared" si="4"/>
        <v>610</v>
      </c>
      <c r="H31" s="26">
        <v>37</v>
      </c>
      <c r="I31" s="34" t="s">
        <v>67</v>
      </c>
      <c r="J31" s="15"/>
      <c r="K31" s="15"/>
    </row>
    <row r="32" s="1" customFormat="1" ht="20.1" customHeight="1" spans="1:11">
      <c r="A32" s="13">
        <v>7</v>
      </c>
      <c r="B32" s="21" t="s">
        <v>68</v>
      </c>
      <c r="C32" s="22">
        <v>1993</v>
      </c>
      <c r="D32" s="15">
        <v>1536</v>
      </c>
      <c r="E32" s="22">
        <v>340</v>
      </c>
      <c r="F32" s="16">
        <f t="shared" si="3"/>
        <v>1196</v>
      </c>
      <c r="G32" s="20">
        <f t="shared" si="4"/>
        <v>599</v>
      </c>
      <c r="H32" s="17">
        <v>40</v>
      </c>
      <c r="I32" s="35" t="s">
        <v>69</v>
      </c>
      <c r="J32" s="15"/>
      <c r="K32" s="15"/>
    </row>
    <row r="33" s="1" customFormat="1" ht="20.1" customHeight="1" spans="1:11">
      <c r="A33" s="24" t="s">
        <v>36</v>
      </c>
      <c r="B33" s="14"/>
      <c r="C33" s="15">
        <f>SUM(C26:C32)</f>
        <v>15654</v>
      </c>
      <c r="D33" s="19">
        <f>SUM(D26:D32)</f>
        <v>12079</v>
      </c>
      <c r="E33" s="15">
        <f>SUM(E26:E32)</f>
        <v>2748</v>
      </c>
      <c r="F33" s="16">
        <f t="shared" si="3"/>
        <v>9331</v>
      </c>
      <c r="G33" s="20">
        <f t="shared" si="4"/>
        <v>4666.5</v>
      </c>
      <c r="H33" s="17">
        <f>SUM(H26:H32)</f>
        <v>377</v>
      </c>
      <c r="I33" s="34"/>
      <c r="J33" s="15"/>
      <c r="K33" s="15"/>
    </row>
    <row r="34" s="1" customFormat="1" ht="46" customHeight="1" spans="1:11">
      <c r="A34" s="13">
        <v>1</v>
      </c>
      <c r="B34" s="18" t="s">
        <v>70</v>
      </c>
      <c r="C34" s="19">
        <v>3686</v>
      </c>
      <c r="D34" s="19">
        <v>2859</v>
      </c>
      <c r="E34" s="19">
        <v>657</v>
      </c>
      <c r="F34" s="16">
        <f t="shared" si="3"/>
        <v>2202</v>
      </c>
      <c r="G34" s="20">
        <f t="shared" si="4"/>
        <v>1102</v>
      </c>
      <c r="H34" s="20">
        <v>115</v>
      </c>
      <c r="I34" s="19" t="s">
        <v>71</v>
      </c>
      <c r="J34" s="36" t="s">
        <v>72</v>
      </c>
      <c r="K34" s="15" t="s">
        <v>73</v>
      </c>
    </row>
    <row r="35" s="1" customFormat="1" ht="20.1" customHeight="1" spans="1:11">
      <c r="A35" s="13">
        <v>2</v>
      </c>
      <c r="B35" s="14" t="s">
        <v>74</v>
      </c>
      <c r="C35" s="15">
        <v>2318</v>
      </c>
      <c r="D35" s="19">
        <v>1808</v>
      </c>
      <c r="E35" s="15">
        <v>390</v>
      </c>
      <c r="F35" s="16">
        <f t="shared" ref="F35:F41" si="5">D35-E35</f>
        <v>1418</v>
      </c>
      <c r="G35" s="20">
        <f t="shared" si="4"/>
        <v>710</v>
      </c>
      <c r="H35" s="17">
        <v>83</v>
      </c>
      <c r="I35" s="15" t="s">
        <v>75</v>
      </c>
      <c r="J35" s="36"/>
      <c r="K35" s="15"/>
    </row>
    <row r="36" s="1" customFormat="1" ht="20.1" customHeight="1" spans="1:11">
      <c r="A36" s="13">
        <v>3</v>
      </c>
      <c r="B36" s="14" t="s">
        <v>76</v>
      </c>
      <c r="C36" s="15">
        <v>849</v>
      </c>
      <c r="D36" s="19">
        <v>649</v>
      </c>
      <c r="E36" s="15">
        <v>149</v>
      </c>
      <c r="F36" s="16">
        <f t="shared" si="5"/>
        <v>500</v>
      </c>
      <c r="G36" s="20">
        <f t="shared" si="4"/>
        <v>251</v>
      </c>
      <c r="H36" s="17">
        <v>27</v>
      </c>
      <c r="I36" s="15" t="s">
        <v>77</v>
      </c>
      <c r="J36" s="36"/>
      <c r="K36" s="15"/>
    </row>
    <row r="37" s="1" customFormat="1" ht="20.1" customHeight="1" spans="1:11">
      <c r="A37" s="13">
        <v>4</v>
      </c>
      <c r="B37" s="14" t="s">
        <v>78</v>
      </c>
      <c r="C37" s="15">
        <v>1104</v>
      </c>
      <c r="D37" s="19">
        <v>842</v>
      </c>
      <c r="E37" s="15">
        <v>164</v>
      </c>
      <c r="F37" s="16">
        <f t="shared" si="5"/>
        <v>678</v>
      </c>
      <c r="G37" s="20">
        <f t="shared" si="4"/>
        <v>340</v>
      </c>
      <c r="H37" s="17">
        <v>17</v>
      </c>
      <c r="I37" s="15" t="s">
        <v>79</v>
      </c>
      <c r="J37" s="36"/>
      <c r="K37" s="15"/>
    </row>
    <row r="38" s="1" customFormat="1" ht="20.1" customHeight="1" spans="1:11">
      <c r="A38" s="13">
        <v>5</v>
      </c>
      <c r="B38" s="14" t="s">
        <v>80</v>
      </c>
      <c r="C38" s="15">
        <v>1456</v>
      </c>
      <c r="D38" s="19">
        <v>1163</v>
      </c>
      <c r="E38" s="15">
        <v>257</v>
      </c>
      <c r="F38" s="16">
        <f t="shared" si="5"/>
        <v>906</v>
      </c>
      <c r="G38" s="20">
        <f t="shared" si="4"/>
        <v>454</v>
      </c>
      <c r="H38" s="17">
        <v>35</v>
      </c>
      <c r="I38" s="15" t="s">
        <v>81</v>
      </c>
      <c r="J38" s="36"/>
      <c r="K38" s="15"/>
    </row>
    <row r="39" s="1" customFormat="1" ht="20.1" customHeight="1" spans="1:11">
      <c r="A39" s="13">
        <v>6</v>
      </c>
      <c r="B39" s="21" t="s">
        <v>82</v>
      </c>
      <c r="C39" s="22">
        <v>813</v>
      </c>
      <c r="D39" s="15">
        <v>626</v>
      </c>
      <c r="E39" s="22">
        <v>141</v>
      </c>
      <c r="F39" s="16">
        <f t="shared" si="5"/>
        <v>485</v>
      </c>
      <c r="G39" s="20">
        <f t="shared" si="4"/>
        <v>243.5</v>
      </c>
      <c r="H39" s="17">
        <v>12</v>
      </c>
      <c r="I39" s="22" t="s">
        <v>83</v>
      </c>
      <c r="J39" s="36"/>
      <c r="K39" s="15"/>
    </row>
    <row r="40" s="1" customFormat="1" ht="20.1" customHeight="1" spans="1:11">
      <c r="A40" s="13">
        <v>7</v>
      </c>
      <c r="B40" s="14" t="s">
        <v>84</v>
      </c>
      <c r="C40" s="15">
        <v>1083</v>
      </c>
      <c r="D40" s="15">
        <v>849</v>
      </c>
      <c r="E40" s="22">
        <v>287</v>
      </c>
      <c r="F40" s="16">
        <f t="shared" si="5"/>
        <v>562</v>
      </c>
      <c r="G40" s="20">
        <f t="shared" si="4"/>
        <v>282</v>
      </c>
      <c r="H40" s="17">
        <v>16</v>
      </c>
      <c r="I40" s="15" t="s">
        <v>85</v>
      </c>
      <c r="J40" s="36"/>
      <c r="K40" s="15"/>
    </row>
    <row r="41" s="1" customFormat="1" ht="20.1" customHeight="1" spans="1:11">
      <c r="A41" s="24" t="s">
        <v>36</v>
      </c>
      <c r="B41" s="14"/>
      <c r="C41" s="15">
        <f>SUM(C34:C40)</f>
        <v>11309</v>
      </c>
      <c r="D41" s="19">
        <f>SUM(D34:D40)</f>
        <v>8796</v>
      </c>
      <c r="E41" s="15">
        <f>SUM(E34:E40)</f>
        <v>2045</v>
      </c>
      <c r="F41" s="16">
        <f t="shared" si="5"/>
        <v>6751</v>
      </c>
      <c r="G41" s="20">
        <f t="shared" si="4"/>
        <v>3376.5</v>
      </c>
      <c r="H41" s="20">
        <f>SUM(H34:H40)</f>
        <v>305</v>
      </c>
      <c r="I41" s="15"/>
      <c r="J41" s="36"/>
      <c r="K41" s="15"/>
    </row>
    <row r="42" s="1" customFormat="1" ht="20.1" customHeight="1" spans="1:11">
      <c r="A42" s="11" t="s">
        <v>86</v>
      </c>
      <c r="B42" s="11"/>
      <c r="C42" s="11"/>
      <c r="D42" s="11"/>
      <c r="E42" s="11"/>
      <c r="F42" s="12"/>
      <c r="G42" s="12"/>
      <c r="H42" s="12"/>
      <c r="I42" s="11"/>
      <c r="J42" s="11"/>
      <c r="K42" s="11"/>
    </row>
    <row r="43" s="1" customFormat="1" ht="20.1" customHeight="1" spans="1:11">
      <c r="A43" s="24">
        <v>1</v>
      </c>
      <c r="B43" s="18" t="s">
        <v>87</v>
      </c>
      <c r="C43" s="19">
        <v>1718</v>
      </c>
      <c r="D43" s="19">
        <v>1339</v>
      </c>
      <c r="E43" s="19">
        <v>152</v>
      </c>
      <c r="F43" s="16">
        <f>D43-E43</f>
        <v>1187</v>
      </c>
      <c r="G43" s="20">
        <f>F43*50%+1</f>
        <v>594.5</v>
      </c>
      <c r="H43" s="17">
        <v>27</v>
      </c>
      <c r="I43" s="35" t="s">
        <v>88</v>
      </c>
      <c r="J43" s="37" t="s">
        <v>89</v>
      </c>
      <c r="K43" s="38" t="s">
        <v>90</v>
      </c>
    </row>
    <row r="44" s="1" customFormat="1" ht="20.1" customHeight="1" spans="1:11">
      <c r="A44" s="24">
        <v>2</v>
      </c>
      <c r="B44" s="14" t="s">
        <v>91</v>
      </c>
      <c r="C44" s="15">
        <v>1594</v>
      </c>
      <c r="D44" s="19">
        <v>1234</v>
      </c>
      <c r="E44" s="15">
        <v>163</v>
      </c>
      <c r="F44" s="16">
        <f t="shared" ref="F44:F52" si="6">D44-E44</f>
        <v>1071</v>
      </c>
      <c r="G44" s="20">
        <f t="shared" ref="G44:G52" si="7">F44*50%+1</f>
        <v>536.5</v>
      </c>
      <c r="H44" s="17">
        <v>21</v>
      </c>
      <c r="I44" s="39"/>
      <c r="J44" s="37"/>
      <c r="K44" s="40"/>
    </row>
    <row r="45" s="1" customFormat="1" ht="20.1" customHeight="1" spans="1:11">
      <c r="A45" s="24">
        <v>3</v>
      </c>
      <c r="B45" s="14" t="s">
        <v>92</v>
      </c>
      <c r="C45" s="15">
        <v>1919</v>
      </c>
      <c r="D45" s="19">
        <v>1518</v>
      </c>
      <c r="E45" s="15">
        <v>298</v>
      </c>
      <c r="F45" s="16">
        <f t="shared" si="6"/>
        <v>1220</v>
      </c>
      <c r="G45" s="20">
        <f t="shared" si="7"/>
        <v>611</v>
      </c>
      <c r="H45" s="17">
        <v>41</v>
      </c>
      <c r="I45" s="16"/>
      <c r="J45" s="37"/>
      <c r="K45" s="40"/>
    </row>
    <row r="46" s="1" customFormat="1" ht="20.1" customHeight="1" spans="1:11">
      <c r="A46" s="24">
        <v>4</v>
      </c>
      <c r="B46" s="14" t="s">
        <v>93</v>
      </c>
      <c r="C46" s="15">
        <v>891</v>
      </c>
      <c r="D46" s="19">
        <v>713</v>
      </c>
      <c r="E46" s="15">
        <v>68</v>
      </c>
      <c r="F46" s="16">
        <f t="shared" si="6"/>
        <v>645</v>
      </c>
      <c r="G46" s="20">
        <f t="shared" si="7"/>
        <v>323.5</v>
      </c>
      <c r="H46" s="17">
        <v>14</v>
      </c>
      <c r="I46" s="39" t="s">
        <v>94</v>
      </c>
      <c r="J46" s="37"/>
      <c r="K46" s="40"/>
    </row>
    <row r="47" s="1" customFormat="1" ht="20.1" customHeight="1" spans="1:11">
      <c r="A47" s="24">
        <v>5</v>
      </c>
      <c r="B47" s="14" t="s">
        <v>95</v>
      </c>
      <c r="C47" s="15">
        <v>1106</v>
      </c>
      <c r="D47" s="19">
        <v>914</v>
      </c>
      <c r="E47" s="15">
        <v>157</v>
      </c>
      <c r="F47" s="16">
        <f t="shared" si="6"/>
        <v>757</v>
      </c>
      <c r="G47" s="20">
        <f t="shared" si="7"/>
        <v>379.5</v>
      </c>
      <c r="H47" s="17">
        <v>15</v>
      </c>
      <c r="I47" s="39"/>
      <c r="J47" s="37"/>
      <c r="K47" s="40"/>
    </row>
    <row r="48" s="1" customFormat="1" ht="20.1" customHeight="1" spans="1:11">
      <c r="A48" s="24">
        <v>6</v>
      </c>
      <c r="B48" s="14" t="s">
        <v>96</v>
      </c>
      <c r="C48" s="15">
        <v>959</v>
      </c>
      <c r="D48" s="19">
        <v>778</v>
      </c>
      <c r="E48" s="15">
        <v>36</v>
      </c>
      <c r="F48" s="16">
        <f t="shared" si="6"/>
        <v>742</v>
      </c>
      <c r="G48" s="20">
        <f t="shared" si="7"/>
        <v>372</v>
      </c>
      <c r="H48" s="17">
        <v>0</v>
      </c>
      <c r="I48" s="16"/>
      <c r="J48" s="37"/>
      <c r="K48" s="40"/>
    </row>
    <row r="49" s="1" customFormat="1" ht="20.1" customHeight="1" spans="1:11">
      <c r="A49" s="24">
        <v>7</v>
      </c>
      <c r="B49" s="21" t="s">
        <v>97</v>
      </c>
      <c r="C49" s="22">
        <v>687</v>
      </c>
      <c r="D49" s="15">
        <v>568</v>
      </c>
      <c r="E49" s="22">
        <v>73</v>
      </c>
      <c r="F49" s="16">
        <f t="shared" si="6"/>
        <v>495</v>
      </c>
      <c r="G49" s="20">
        <f t="shared" si="7"/>
        <v>248.5</v>
      </c>
      <c r="H49" s="17">
        <v>8</v>
      </c>
      <c r="I49" s="15" t="s">
        <v>98</v>
      </c>
      <c r="J49" s="37"/>
      <c r="K49" s="40"/>
    </row>
    <row r="50" s="1" customFormat="1" ht="20.1" customHeight="1" spans="1:11">
      <c r="A50" s="24">
        <v>8</v>
      </c>
      <c r="B50" s="14" t="s">
        <v>99</v>
      </c>
      <c r="C50" s="15">
        <v>589</v>
      </c>
      <c r="D50" s="15">
        <v>472</v>
      </c>
      <c r="E50" s="15">
        <v>79</v>
      </c>
      <c r="F50" s="16">
        <f t="shared" si="6"/>
        <v>393</v>
      </c>
      <c r="G50" s="20">
        <f t="shared" si="7"/>
        <v>197.5</v>
      </c>
      <c r="H50" s="17">
        <v>13</v>
      </c>
      <c r="I50" s="15"/>
      <c r="J50" s="37"/>
      <c r="K50" s="40"/>
    </row>
    <row r="51" s="1" customFormat="1" ht="20.1" customHeight="1" spans="1:11">
      <c r="A51" s="27">
        <v>9</v>
      </c>
      <c r="B51" s="21" t="s">
        <v>100</v>
      </c>
      <c r="C51" s="22">
        <v>755</v>
      </c>
      <c r="D51" s="15">
        <v>587</v>
      </c>
      <c r="E51" s="28">
        <v>131</v>
      </c>
      <c r="F51" s="16">
        <f t="shared" si="6"/>
        <v>456</v>
      </c>
      <c r="G51" s="20">
        <f t="shared" si="7"/>
        <v>229</v>
      </c>
      <c r="H51" s="17">
        <v>11</v>
      </c>
      <c r="I51" s="15"/>
      <c r="J51" s="37"/>
      <c r="K51" s="40"/>
    </row>
    <row r="52" s="1" customFormat="1" ht="20.1" customHeight="1" spans="1:11">
      <c r="A52" s="24" t="s">
        <v>36</v>
      </c>
      <c r="B52" s="14"/>
      <c r="C52" s="15">
        <f>SUM(C43:C51)</f>
        <v>10218</v>
      </c>
      <c r="D52" s="19">
        <f>SUM(D43:D51)</f>
        <v>8123</v>
      </c>
      <c r="E52" s="15">
        <f>SUM(E43:E51)</f>
        <v>1157</v>
      </c>
      <c r="F52" s="16">
        <f t="shared" si="6"/>
        <v>6966</v>
      </c>
      <c r="G52" s="20">
        <f t="shared" si="7"/>
        <v>3484</v>
      </c>
      <c r="H52" s="20">
        <f>SUM(H43:H51)</f>
        <v>150</v>
      </c>
      <c r="I52" s="15"/>
      <c r="J52" s="37"/>
      <c r="K52" s="40"/>
    </row>
    <row r="53" s="1" customFormat="1" ht="20.1" customHeight="1" spans="1:11">
      <c r="A53" s="29" t="s">
        <v>101</v>
      </c>
      <c r="B53" s="25"/>
      <c r="C53" s="25"/>
      <c r="D53" s="25"/>
      <c r="E53" s="11"/>
      <c r="F53" s="30"/>
      <c r="G53" s="30"/>
      <c r="H53" s="30"/>
      <c r="I53" s="25"/>
      <c r="J53" s="25"/>
      <c r="K53" s="41"/>
    </row>
    <row r="54" s="1" customFormat="1" ht="20.1" customHeight="1" spans="1:11">
      <c r="A54" s="13">
        <v>1</v>
      </c>
      <c r="B54" s="18" t="s">
        <v>102</v>
      </c>
      <c r="C54" s="13">
        <v>1595</v>
      </c>
      <c r="D54" s="24">
        <v>1255</v>
      </c>
      <c r="E54" s="13">
        <v>289</v>
      </c>
      <c r="F54" s="16">
        <f>D54-E54</f>
        <v>966</v>
      </c>
      <c r="G54" s="31">
        <f t="shared" ref="G54:G65" si="8">F54*50%+1</f>
        <v>484</v>
      </c>
      <c r="H54" s="31">
        <v>48</v>
      </c>
      <c r="I54" s="19" t="s">
        <v>103</v>
      </c>
      <c r="J54" s="37" t="s">
        <v>104</v>
      </c>
      <c r="K54" s="37" t="s">
        <v>105</v>
      </c>
    </row>
    <row r="55" s="1" customFormat="1" ht="20.1" customHeight="1" spans="1:11">
      <c r="A55" s="13">
        <v>2</v>
      </c>
      <c r="B55" s="14" t="s">
        <v>106</v>
      </c>
      <c r="C55" s="24">
        <v>1272</v>
      </c>
      <c r="D55" s="24">
        <v>946</v>
      </c>
      <c r="E55" s="24">
        <v>282</v>
      </c>
      <c r="F55" s="16">
        <f t="shared" ref="F55:F65" si="9">D55-E55</f>
        <v>664</v>
      </c>
      <c r="G55" s="31">
        <f t="shared" si="8"/>
        <v>333</v>
      </c>
      <c r="H55" s="31">
        <v>30</v>
      </c>
      <c r="I55" s="15"/>
      <c r="J55" s="37"/>
      <c r="K55" s="37"/>
    </row>
    <row r="56" s="1" customFormat="1" ht="20.1" customHeight="1" spans="1:11">
      <c r="A56" s="13">
        <v>3</v>
      </c>
      <c r="B56" s="14" t="s">
        <v>107</v>
      </c>
      <c r="C56" s="15">
        <v>3043</v>
      </c>
      <c r="D56" s="15">
        <v>2439</v>
      </c>
      <c r="E56" s="15">
        <v>521</v>
      </c>
      <c r="F56" s="16">
        <f t="shared" si="9"/>
        <v>1918</v>
      </c>
      <c r="G56" s="31">
        <f t="shared" si="8"/>
        <v>960</v>
      </c>
      <c r="H56" s="31">
        <v>91</v>
      </c>
      <c r="I56" s="15" t="s">
        <v>108</v>
      </c>
      <c r="J56" s="37"/>
      <c r="K56" s="37"/>
    </row>
    <row r="57" s="1" customFormat="1" ht="20.1" customHeight="1" spans="1:11">
      <c r="A57" s="13">
        <v>4</v>
      </c>
      <c r="B57" s="14" t="s">
        <v>109</v>
      </c>
      <c r="C57" s="14">
        <v>916</v>
      </c>
      <c r="D57" s="14">
        <v>721</v>
      </c>
      <c r="E57" s="14">
        <v>177</v>
      </c>
      <c r="F57" s="16">
        <f t="shared" si="9"/>
        <v>544</v>
      </c>
      <c r="G57" s="31">
        <f t="shared" si="8"/>
        <v>273</v>
      </c>
      <c r="H57" s="31">
        <v>17</v>
      </c>
      <c r="I57" s="15" t="s">
        <v>110</v>
      </c>
      <c r="J57" s="37"/>
      <c r="K57" s="37"/>
    </row>
    <row r="58" s="1" customFormat="1" ht="57" customHeight="1" spans="1:11">
      <c r="A58" s="24">
        <v>5</v>
      </c>
      <c r="B58" s="21" t="s">
        <v>111</v>
      </c>
      <c r="C58" s="22">
        <v>3426</v>
      </c>
      <c r="D58" s="15">
        <v>2732</v>
      </c>
      <c r="E58" s="22">
        <v>592</v>
      </c>
      <c r="F58" s="16">
        <f t="shared" si="9"/>
        <v>2140</v>
      </c>
      <c r="G58" s="31">
        <f t="shared" si="8"/>
        <v>1071</v>
      </c>
      <c r="H58" s="31">
        <v>93</v>
      </c>
      <c r="I58" s="15" t="s">
        <v>112</v>
      </c>
      <c r="J58" s="37"/>
      <c r="K58" s="37"/>
    </row>
    <row r="59" s="1" customFormat="1" ht="20.1" customHeight="1" spans="1:11">
      <c r="A59" s="24" t="s">
        <v>36</v>
      </c>
      <c r="B59" s="14"/>
      <c r="C59" s="15">
        <f>SUM(C54:C58)</f>
        <v>10252</v>
      </c>
      <c r="D59" s="15">
        <f>SUM(D54:D58)</f>
        <v>8093</v>
      </c>
      <c r="E59" s="15">
        <f>SUM(E54:E58)</f>
        <v>1861</v>
      </c>
      <c r="F59" s="16">
        <f t="shared" si="9"/>
        <v>6232</v>
      </c>
      <c r="G59" s="31">
        <f t="shared" si="8"/>
        <v>3117</v>
      </c>
      <c r="H59" s="31">
        <f>SUM(H54:H58)</f>
        <v>279</v>
      </c>
      <c r="I59" s="42"/>
      <c r="J59" s="37"/>
      <c r="K59" s="37"/>
    </row>
    <row r="60" s="1" customFormat="1" ht="20.1" customHeight="1" spans="1:11">
      <c r="A60" s="24">
        <v>1</v>
      </c>
      <c r="B60" s="14" t="s">
        <v>113</v>
      </c>
      <c r="C60" s="24">
        <v>851</v>
      </c>
      <c r="D60" s="24">
        <v>662</v>
      </c>
      <c r="E60" s="24">
        <v>191</v>
      </c>
      <c r="F60" s="15">
        <f t="shared" si="9"/>
        <v>471</v>
      </c>
      <c r="G60" s="32">
        <f t="shared" si="8"/>
        <v>236.5</v>
      </c>
      <c r="H60" s="32">
        <v>11</v>
      </c>
      <c r="I60" s="15" t="s">
        <v>114</v>
      </c>
      <c r="J60" s="37" t="s">
        <v>115</v>
      </c>
      <c r="K60" s="37" t="s">
        <v>105</v>
      </c>
    </row>
    <row r="61" s="1" customFormat="1" ht="20.25" spans="1:11">
      <c r="A61" s="13">
        <v>2</v>
      </c>
      <c r="B61" s="14" t="s">
        <v>116</v>
      </c>
      <c r="C61" s="24">
        <v>2034</v>
      </c>
      <c r="D61" s="13">
        <v>1625</v>
      </c>
      <c r="E61" s="24">
        <v>491</v>
      </c>
      <c r="F61" s="16">
        <f t="shared" si="9"/>
        <v>1134</v>
      </c>
      <c r="G61" s="32">
        <f t="shared" si="8"/>
        <v>568</v>
      </c>
      <c r="H61" s="33">
        <v>42</v>
      </c>
      <c r="I61" s="34" t="s">
        <v>117</v>
      </c>
      <c r="J61" s="37"/>
      <c r="K61" s="37"/>
    </row>
    <row r="62" s="1" customFormat="1" ht="20.25" spans="1:11">
      <c r="A62" s="13">
        <v>3</v>
      </c>
      <c r="B62" s="14" t="s">
        <v>118</v>
      </c>
      <c r="C62" s="24">
        <v>2433</v>
      </c>
      <c r="D62" s="13">
        <v>1914</v>
      </c>
      <c r="E62" s="24">
        <v>518</v>
      </c>
      <c r="F62" s="16">
        <f t="shared" si="9"/>
        <v>1396</v>
      </c>
      <c r="G62" s="32">
        <f t="shared" si="8"/>
        <v>699</v>
      </c>
      <c r="H62" s="33">
        <v>50</v>
      </c>
      <c r="I62" s="34" t="s">
        <v>119</v>
      </c>
      <c r="J62" s="37"/>
      <c r="K62" s="37"/>
    </row>
    <row r="63" s="1" customFormat="1" ht="20.25" spans="1:11">
      <c r="A63" s="13">
        <v>4</v>
      </c>
      <c r="B63" s="14" t="s">
        <v>120</v>
      </c>
      <c r="C63" s="24">
        <v>2216</v>
      </c>
      <c r="D63" s="13">
        <v>1796</v>
      </c>
      <c r="E63" s="24">
        <v>477</v>
      </c>
      <c r="F63" s="16">
        <f t="shared" si="9"/>
        <v>1319</v>
      </c>
      <c r="G63" s="32">
        <f t="shared" si="8"/>
        <v>660.5</v>
      </c>
      <c r="H63" s="33">
        <v>66</v>
      </c>
      <c r="I63" s="34" t="s">
        <v>121</v>
      </c>
      <c r="J63" s="37"/>
      <c r="K63" s="37"/>
    </row>
    <row r="64" s="1" customFormat="1" ht="20.25" spans="1:11">
      <c r="A64" s="13">
        <v>5</v>
      </c>
      <c r="B64" s="14" t="s">
        <v>122</v>
      </c>
      <c r="C64" s="15">
        <v>1326</v>
      </c>
      <c r="D64" s="19">
        <v>1069</v>
      </c>
      <c r="E64" s="15">
        <v>252</v>
      </c>
      <c r="F64" s="16">
        <f t="shared" si="9"/>
        <v>817</v>
      </c>
      <c r="G64" s="32">
        <f t="shared" si="8"/>
        <v>409.5</v>
      </c>
      <c r="H64" s="33">
        <v>15</v>
      </c>
      <c r="I64" s="34" t="s">
        <v>123</v>
      </c>
      <c r="J64" s="37"/>
      <c r="K64" s="37"/>
    </row>
    <row r="65" s="1" customFormat="1" ht="20.25" spans="1:11">
      <c r="A65" s="24" t="s">
        <v>36</v>
      </c>
      <c r="B65" s="14"/>
      <c r="C65" s="15">
        <f>SUM(C60:C64)</f>
        <v>8860</v>
      </c>
      <c r="D65" s="19">
        <f>SUM(D60:D64)</f>
        <v>7066</v>
      </c>
      <c r="E65" s="15">
        <f>SUM(E60:E64)</f>
        <v>1929</v>
      </c>
      <c r="F65" s="16">
        <f t="shared" si="9"/>
        <v>5137</v>
      </c>
      <c r="G65" s="32">
        <f t="shared" si="8"/>
        <v>2569.5</v>
      </c>
      <c r="H65" s="33">
        <f>SUM(H60:H64)</f>
        <v>184</v>
      </c>
      <c r="I65" s="34"/>
      <c r="J65" s="37"/>
      <c r="K65" s="37"/>
    </row>
    <row r="66" s="1" customFormat="1" ht="20" customHeight="1" spans="1:11">
      <c r="A66" s="29" t="s">
        <v>124</v>
      </c>
      <c r="B66" s="25"/>
      <c r="C66" s="25"/>
      <c r="D66" s="25"/>
      <c r="E66" s="25"/>
      <c r="F66" s="25"/>
      <c r="G66" s="30"/>
      <c r="H66" s="30"/>
      <c r="I66" s="25"/>
      <c r="J66" s="25"/>
      <c r="K66" s="41"/>
    </row>
    <row r="67" s="2" customFormat="1" ht="22" customHeight="1" spans="1:11">
      <c r="A67" s="14">
        <v>1</v>
      </c>
      <c r="B67" s="14" t="s">
        <v>125</v>
      </c>
      <c r="C67" s="14">
        <v>1821</v>
      </c>
      <c r="D67" s="14">
        <v>1377</v>
      </c>
      <c r="E67" s="14">
        <v>260</v>
      </c>
      <c r="F67" s="32">
        <f>D67-E67</f>
        <v>1117</v>
      </c>
      <c r="G67" s="43">
        <f>F67*50%+1</f>
        <v>559.5</v>
      </c>
      <c r="H67" s="43">
        <v>7</v>
      </c>
      <c r="I67" s="14" t="s">
        <v>126</v>
      </c>
      <c r="J67" s="14" t="s">
        <v>127</v>
      </c>
      <c r="K67" s="14" t="s">
        <v>128</v>
      </c>
    </row>
    <row r="68" s="2" customFormat="1" ht="22" customHeight="1" spans="1:11">
      <c r="A68" s="14">
        <v>2</v>
      </c>
      <c r="B68" s="14" t="s">
        <v>129</v>
      </c>
      <c r="C68" s="14">
        <v>3859</v>
      </c>
      <c r="D68" s="14">
        <v>2858</v>
      </c>
      <c r="E68" s="14">
        <v>517</v>
      </c>
      <c r="F68" s="32">
        <f t="shared" ref="F68:F79" si="10">D68-E68</f>
        <v>2341</v>
      </c>
      <c r="G68" s="43">
        <f t="shared" ref="G68:G79" si="11">F68*50%+1</f>
        <v>1171.5</v>
      </c>
      <c r="H68" s="43">
        <v>8</v>
      </c>
      <c r="I68" s="14" t="s">
        <v>130</v>
      </c>
      <c r="J68" s="14"/>
      <c r="K68" s="14"/>
    </row>
    <row r="69" s="2" customFormat="1" ht="22" customHeight="1" spans="1:11">
      <c r="A69" s="14">
        <v>3</v>
      </c>
      <c r="B69" s="14" t="s">
        <v>131</v>
      </c>
      <c r="C69" s="14">
        <v>1981</v>
      </c>
      <c r="D69" s="14">
        <v>1537</v>
      </c>
      <c r="E69" s="14">
        <v>225</v>
      </c>
      <c r="F69" s="32">
        <f t="shared" si="10"/>
        <v>1312</v>
      </c>
      <c r="G69" s="43">
        <f t="shared" si="11"/>
        <v>657</v>
      </c>
      <c r="H69" s="43">
        <v>4</v>
      </c>
      <c r="I69" s="14" t="s">
        <v>132</v>
      </c>
      <c r="J69" s="14"/>
      <c r="K69" s="14"/>
    </row>
    <row r="70" s="2" customFormat="1" ht="22" customHeight="1" spans="1:11">
      <c r="A70" s="14">
        <v>4</v>
      </c>
      <c r="B70" s="14" t="s">
        <v>133</v>
      </c>
      <c r="C70" s="14">
        <v>1254</v>
      </c>
      <c r="D70" s="14">
        <v>963</v>
      </c>
      <c r="E70" s="14">
        <v>198</v>
      </c>
      <c r="F70" s="32">
        <f t="shared" si="10"/>
        <v>765</v>
      </c>
      <c r="G70" s="43">
        <f t="shared" si="11"/>
        <v>383.5</v>
      </c>
      <c r="H70" s="43">
        <v>3</v>
      </c>
      <c r="I70" s="14" t="s">
        <v>134</v>
      </c>
      <c r="J70" s="14"/>
      <c r="K70" s="14"/>
    </row>
    <row r="71" ht="22" customHeight="1" spans="1:11">
      <c r="A71" s="14">
        <v>5</v>
      </c>
      <c r="B71" s="14" t="s">
        <v>135</v>
      </c>
      <c r="C71" s="14">
        <v>2049</v>
      </c>
      <c r="D71" s="14">
        <v>1590</v>
      </c>
      <c r="E71" s="14">
        <v>302</v>
      </c>
      <c r="F71" s="32">
        <f t="shared" si="10"/>
        <v>1288</v>
      </c>
      <c r="G71" s="43">
        <f t="shared" si="11"/>
        <v>645</v>
      </c>
      <c r="H71" s="43">
        <v>5</v>
      </c>
      <c r="I71" s="14" t="s">
        <v>136</v>
      </c>
      <c r="J71" s="14"/>
      <c r="K71" s="14"/>
    </row>
    <row r="72" s="1" customFormat="1" ht="22" customHeight="1" spans="1:11">
      <c r="A72" s="14" t="s">
        <v>36</v>
      </c>
      <c r="B72" s="14"/>
      <c r="C72" s="14">
        <f>SUM(C67:C71)</f>
        <v>10964</v>
      </c>
      <c r="D72" s="14">
        <f>SUM(D67:D71)</f>
        <v>8325</v>
      </c>
      <c r="E72" s="14">
        <f>SUM(E67:E71)</f>
        <v>1502</v>
      </c>
      <c r="F72" s="32">
        <f t="shared" si="10"/>
        <v>6823</v>
      </c>
      <c r="G72" s="43">
        <f t="shared" si="11"/>
        <v>3412.5</v>
      </c>
      <c r="H72" s="43">
        <f>SUM(H67:H71)</f>
        <v>27</v>
      </c>
      <c r="I72" s="14"/>
      <c r="J72" s="14"/>
      <c r="K72" s="14"/>
    </row>
    <row r="73" ht="22" customHeight="1" spans="1:11">
      <c r="A73" s="14">
        <v>1</v>
      </c>
      <c r="B73" s="14" t="s">
        <v>137</v>
      </c>
      <c r="C73" s="14">
        <v>1512</v>
      </c>
      <c r="D73" s="14">
        <v>1192</v>
      </c>
      <c r="E73" s="14">
        <v>277</v>
      </c>
      <c r="F73" s="32">
        <f t="shared" si="10"/>
        <v>915</v>
      </c>
      <c r="G73" s="43">
        <f t="shared" si="11"/>
        <v>458.5</v>
      </c>
      <c r="H73" s="43">
        <v>2</v>
      </c>
      <c r="I73" s="14" t="s">
        <v>138</v>
      </c>
      <c r="J73" s="14" t="s">
        <v>139</v>
      </c>
      <c r="K73" s="14"/>
    </row>
    <row r="74" ht="22" customHeight="1" spans="1:11">
      <c r="A74" s="14">
        <v>2</v>
      </c>
      <c r="B74" s="14" t="s">
        <v>140</v>
      </c>
      <c r="C74" s="14">
        <v>1049</v>
      </c>
      <c r="D74" s="14">
        <v>837</v>
      </c>
      <c r="E74" s="14">
        <v>194</v>
      </c>
      <c r="F74" s="32">
        <f t="shared" si="10"/>
        <v>643</v>
      </c>
      <c r="G74" s="43">
        <f t="shared" si="11"/>
        <v>322.5</v>
      </c>
      <c r="H74" s="43">
        <v>6</v>
      </c>
      <c r="I74" s="14" t="s">
        <v>141</v>
      </c>
      <c r="J74" s="14"/>
      <c r="K74" s="14"/>
    </row>
    <row r="75" ht="22" customHeight="1" spans="1:11">
      <c r="A75" s="14">
        <v>3</v>
      </c>
      <c r="B75" s="14" t="s">
        <v>142</v>
      </c>
      <c r="C75" s="14">
        <v>1365</v>
      </c>
      <c r="D75" s="14">
        <v>1078</v>
      </c>
      <c r="E75" s="14">
        <v>248</v>
      </c>
      <c r="F75" s="32">
        <f t="shared" si="10"/>
        <v>830</v>
      </c>
      <c r="G75" s="43">
        <f t="shared" si="11"/>
        <v>416</v>
      </c>
      <c r="H75" s="43">
        <v>5</v>
      </c>
      <c r="I75" s="14" t="s">
        <v>143</v>
      </c>
      <c r="J75" s="14"/>
      <c r="K75" s="14"/>
    </row>
    <row r="76" ht="22" customHeight="1" spans="1:11">
      <c r="A76" s="14">
        <v>4</v>
      </c>
      <c r="B76" s="14" t="s">
        <v>144</v>
      </c>
      <c r="C76" s="14">
        <v>499</v>
      </c>
      <c r="D76" s="14">
        <v>387</v>
      </c>
      <c r="E76" s="14">
        <v>71</v>
      </c>
      <c r="F76" s="32">
        <f t="shared" si="10"/>
        <v>316</v>
      </c>
      <c r="G76" s="43">
        <f t="shared" si="11"/>
        <v>159</v>
      </c>
      <c r="H76" s="43">
        <v>1</v>
      </c>
      <c r="I76" s="14" t="s">
        <v>145</v>
      </c>
      <c r="J76" s="14"/>
      <c r="K76" s="14"/>
    </row>
    <row r="77" ht="22" customHeight="1" spans="1:11">
      <c r="A77" s="14">
        <v>5</v>
      </c>
      <c r="B77" s="14" t="s">
        <v>146</v>
      </c>
      <c r="C77" s="14">
        <v>2681</v>
      </c>
      <c r="D77" s="14">
        <v>2057</v>
      </c>
      <c r="E77" s="14">
        <v>410</v>
      </c>
      <c r="F77" s="32">
        <f t="shared" si="10"/>
        <v>1647</v>
      </c>
      <c r="G77" s="43">
        <f t="shared" si="11"/>
        <v>824.5</v>
      </c>
      <c r="H77" s="43">
        <v>4</v>
      </c>
      <c r="I77" s="14" t="s">
        <v>147</v>
      </c>
      <c r="J77" s="14"/>
      <c r="K77" s="14"/>
    </row>
    <row r="78" ht="22" customHeight="1" spans="1:11">
      <c r="A78" s="24" t="s">
        <v>36</v>
      </c>
      <c r="B78" s="14"/>
      <c r="C78" s="14">
        <f>SUM(C73:C77)</f>
        <v>7106</v>
      </c>
      <c r="D78" s="14">
        <f>SUM(D73:D77)</f>
        <v>5551</v>
      </c>
      <c r="E78" s="14">
        <f>SUM(E73:E77)</f>
        <v>1200</v>
      </c>
      <c r="F78" s="32">
        <f t="shared" si="10"/>
        <v>4351</v>
      </c>
      <c r="G78" s="43">
        <f t="shared" si="11"/>
        <v>2176.5</v>
      </c>
      <c r="H78" s="43">
        <f>SUM(H73:H77)</f>
        <v>18</v>
      </c>
      <c r="I78" s="14"/>
      <c r="J78" s="14"/>
      <c r="K78" s="14"/>
    </row>
    <row r="79" ht="22" customHeight="1" spans="1:11">
      <c r="A79" s="44" t="s">
        <v>148</v>
      </c>
      <c r="B79" s="45"/>
      <c r="C79" s="14">
        <v>112593</v>
      </c>
      <c r="D79" s="14">
        <f>D78+D72+D65+D59+D52+D41+D33+D24+D15</f>
        <v>87760</v>
      </c>
      <c r="E79" s="14">
        <f>E78+E72+E65+E59+E52+E41+E33+E24+E15</f>
        <v>19462</v>
      </c>
      <c r="F79" s="32">
        <f t="shared" si="10"/>
        <v>68298</v>
      </c>
      <c r="G79" s="43">
        <f t="shared" si="11"/>
        <v>34150</v>
      </c>
      <c r="H79" s="43">
        <f>H78+H72+H65+H59+H52+H41+H33+H24+H15</f>
        <v>2398</v>
      </c>
      <c r="I79" s="14"/>
      <c r="J79" s="14"/>
      <c r="K79" s="14"/>
    </row>
  </sheetData>
  <mergeCells count="27">
    <mergeCell ref="A2:K2"/>
    <mergeCell ref="A4:K4"/>
    <mergeCell ref="A25:K25"/>
    <mergeCell ref="A42:K42"/>
    <mergeCell ref="A53:K53"/>
    <mergeCell ref="A66:K66"/>
    <mergeCell ref="I43:I45"/>
    <mergeCell ref="I46:I48"/>
    <mergeCell ref="I49:I51"/>
    <mergeCell ref="I54:I55"/>
    <mergeCell ref="J5:J15"/>
    <mergeCell ref="J16:J24"/>
    <mergeCell ref="J26:J33"/>
    <mergeCell ref="J34:J41"/>
    <mergeCell ref="J43:J52"/>
    <mergeCell ref="J54:J59"/>
    <mergeCell ref="J60:J65"/>
    <mergeCell ref="J67:J72"/>
    <mergeCell ref="J73:J79"/>
    <mergeCell ref="K5:K15"/>
    <mergeCell ref="K16:K24"/>
    <mergeCell ref="K26:K33"/>
    <mergeCell ref="K34:K41"/>
    <mergeCell ref="K43:K52"/>
    <mergeCell ref="K54:K59"/>
    <mergeCell ref="K60:K65"/>
    <mergeCell ref="K67:K79"/>
  </mergeCells>
  <pageMargins left="0.393055555555556" right="0.236111111111111" top="0.432638888888889" bottom="0.984027777777778" header="0.511805555555556" footer="0.156944444444444"/>
  <pageSetup paperSize="9" scale="65" orientation="portrait" horizontalDpi="600"/>
  <headerFooter/>
  <rowBreaks count="1" manualBreakCount="1">
    <brk id="5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2021-06-15T10:46:00Z</dcterms:created>
  <dcterms:modified xsi:type="dcterms:W3CDTF">2021-07-20T09:29:15Z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E75D6C05545B4198B951BD6273578B48</vt:lpwstr>
  </property>
  <property fmtid="{D5CDD505-2E9C-101B-9397-08002B2CF9AE}" pid="3" name="KSOProductBuildVer">
    <vt:lpwstr>2052-11.1.0.10577</vt:lpwstr>
  </property>
</Properties>
</file>