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  <sheet name="Sheet4" sheetId="7" r:id="rId3"/>
    <sheet name="Sheet5" sheetId="5" r:id="rId4"/>
  </sheets>
  <definedNames>
    <definedName name="_xlnm._FilterDatabase" localSheetId="0" hidden="1">Sheet1!$A$3:$P$17</definedName>
    <definedName name="_xlnm.Print_Titles" localSheetId="0">Sheet1!$3:$4</definedName>
  </definedNames>
  <calcPr calcId="144525"/>
</workbook>
</file>

<file path=xl/sharedStrings.xml><?xml version="1.0" encoding="utf-8"?>
<sst xmlns="http://schemas.openxmlformats.org/spreadsheetml/2006/main" count="161" uniqueCount="68">
  <si>
    <t>附件：</t>
  </si>
  <si>
    <t>苏平片区2021年第二阶段征迁任务一览表</t>
  </si>
  <si>
    <t>序号</t>
  </si>
  <si>
    <t>项目名称</t>
  </si>
  <si>
    <t>村别</t>
  </si>
  <si>
    <t>土地（亩）</t>
  </si>
  <si>
    <t>房屋（座）</t>
  </si>
  <si>
    <t>坟墓（宗）</t>
  </si>
  <si>
    <t>任务下达时间</t>
  </si>
  <si>
    <t>完成
时限</t>
  </si>
  <si>
    <t>责任领导</t>
  </si>
  <si>
    <t>任务数</t>
  </si>
  <si>
    <t>累计完成</t>
  </si>
  <si>
    <t>交地情况</t>
  </si>
  <si>
    <t>签约</t>
  </si>
  <si>
    <t>拆除</t>
  </si>
  <si>
    <t>迁移</t>
  </si>
  <si>
    <t>包片领导</t>
  </si>
  <si>
    <t>包村领导</t>
  </si>
  <si>
    <t>北部生态廊道工程项目三期工程</t>
  </si>
  <si>
    <t>龙头村</t>
  </si>
  <si>
    <t>1月22日</t>
  </si>
  <si>
    <t>8月20日前</t>
  </si>
  <si>
    <t>郭为建
15396083456
王谋良
13799926928</t>
  </si>
  <si>
    <t>吴正喜15859169666</t>
  </si>
  <si>
    <t>环白青生态廊道（第三期）</t>
  </si>
  <si>
    <t>青峰村</t>
  </si>
  <si>
    <t>何  盈
13075874790
欧阳志为
13665022070</t>
  </si>
  <si>
    <t>杨长艳13960893928</t>
  </si>
  <si>
    <t>国彩村</t>
  </si>
  <si>
    <t>潘晓萍13774586885
高  葳18558816881</t>
  </si>
  <si>
    <t>岱峰村</t>
  </si>
  <si>
    <t>林  财13706071231</t>
  </si>
  <si>
    <t>白胜村</t>
  </si>
  <si>
    <t>刘敏敏15715909777</t>
  </si>
  <si>
    <t>东占村</t>
  </si>
  <si>
    <t>林鸿飞13859060769</t>
  </si>
  <si>
    <t>大练旅游环岛路</t>
  </si>
  <si>
    <t>渔限村</t>
  </si>
  <si>
    <t>韩祥平
13706996788</t>
  </si>
  <si>
    <t>李云桂13509372838</t>
  </si>
  <si>
    <t>大练生活垃圾转运站项目</t>
  </si>
  <si>
    <t>月举村</t>
  </si>
  <si>
    <t>刘孟瑜15606937999</t>
  </si>
  <si>
    <t>海峡恋岛项目</t>
  </si>
  <si>
    <t>瑞洋村</t>
  </si>
  <si>
    <t>合计</t>
  </si>
  <si>
    <t>苏平片区2021年第一阶段征迁任务一览表</t>
  </si>
  <si>
    <t>（数据更新至2021年6月3日止）</t>
  </si>
  <si>
    <t>苏平片区2021年第一阶段征迁任务分解表</t>
  </si>
  <si>
    <t>4月10日</t>
  </si>
  <si>
    <t>俞兆善
13850182806</t>
  </si>
  <si>
    <t>大富田水库防汛路工程</t>
  </si>
  <si>
    <t>梧峰村</t>
  </si>
  <si>
    <t xml:space="preserve"> </t>
  </si>
  <si>
    <t>高 攀15005977999</t>
  </si>
  <si>
    <t>平潭海峡二桥二线补征地</t>
  </si>
  <si>
    <t>环白青生态廊道</t>
  </si>
  <si>
    <t>11月15日</t>
  </si>
  <si>
    <t>土地：
4月10日
房屋：
4月10日
坟墓：
4月20日</t>
  </si>
  <si>
    <t>何盈
13075874790
欧阳志为
13665022070
韩祥平
13706996788</t>
  </si>
  <si>
    <t>白沙村</t>
  </si>
  <si>
    <t>林瑞珍15359153636</t>
  </si>
  <si>
    <t>剑湖村</t>
  </si>
  <si>
    <t>潘  杰
15880167899</t>
  </si>
  <si>
    <t>王向龙18558810666</t>
  </si>
  <si>
    <t>上攀村</t>
  </si>
  <si>
    <t>潘丽钦13960892268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</si>
</sst>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176" formatCode="0.000_ "/>
    <numFmt numFmtId="177" formatCode="0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name val="宋体"/>
      <charset val="134"/>
    </font>
    <font>
      <sz val="16"/>
      <name val="宋体"/>
      <charset val="134"/>
    </font>
    <font>
      <sz val="11"/>
      <name val="宋体"/>
      <charset val="134"/>
      <scheme val="minor"/>
    </font>
    <font>
      <sz val="14"/>
      <name val="仿宋_GB2312"/>
      <charset val="134"/>
    </font>
    <font>
      <sz val="36"/>
      <name val="宋体"/>
      <charset val="134"/>
    </font>
    <font>
      <b/>
      <sz val="18"/>
      <name val="仿宋_GB2312"/>
      <charset val="134"/>
    </font>
    <font>
      <sz val="18"/>
      <name val="仿宋_GB2312"/>
      <charset val="134"/>
    </font>
    <font>
      <sz val="18"/>
      <color theme="1"/>
      <name val="仿宋_GB2312"/>
      <charset val="134"/>
    </font>
    <font>
      <sz val="14"/>
      <color theme="1"/>
      <name val="宋体"/>
      <charset val="134"/>
      <scheme val="minor"/>
    </font>
    <font>
      <sz val="20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8" borderId="12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5" fillId="23" borderId="11" applyNumberFormat="0" applyAlignment="0" applyProtection="0">
      <alignment vertical="center"/>
    </xf>
    <xf numFmtId="0" fontId="30" fillId="23" borderId="5" applyNumberFormat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49" fontId="0" fillId="0" borderId="0" xfId="0" applyNumberForma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5" fillId="0" borderId="1" xfId="0" applyNumberFormat="1" applyFont="1" applyFill="1" applyBorder="1">
      <alignment vertical="center"/>
    </xf>
    <xf numFmtId="176" fontId="9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vertical="center" wrapText="1"/>
    </xf>
    <xf numFmtId="49" fontId="3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49" fontId="8" fillId="0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tabSelected="1" zoomScale="70" zoomScaleNormal="70" workbookViewId="0">
      <pane ySplit="4" topLeftCell="A5" activePane="bottomLeft" state="frozen"/>
      <selection/>
      <selection pane="bottomLeft" activeCell="B6" sqref="B6:B10"/>
    </sheetView>
  </sheetViews>
  <sheetFormatPr defaultColWidth="9" defaultRowHeight="18.75"/>
  <cols>
    <col min="1" max="1" width="7.5" style="1" customWidth="1"/>
    <col min="2" max="2" width="24.8166666666667" style="6" customWidth="1"/>
    <col min="3" max="3" width="15.175" style="7" customWidth="1"/>
    <col min="4" max="5" width="15.625" style="8" customWidth="1"/>
    <col min="6" max="6" width="15.175" style="8" hidden="1" customWidth="1"/>
    <col min="7" max="7" width="11.5" style="9" customWidth="1"/>
    <col min="8" max="8" width="9.99166666666667" style="9" customWidth="1"/>
    <col min="9" max="9" width="10.375" style="9" customWidth="1"/>
    <col min="10" max="12" width="12.375" style="9" customWidth="1"/>
    <col min="13" max="13" width="16.2416666666667" style="7" hidden="1" customWidth="1"/>
    <col min="14" max="14" width="15.8916666666667" style="7" customWidth="1"/>
    <col min="15" max="15" width="22.325" style="1" customWidth="1"/>
    <col min="16" max="16" width="30.7166666666667" style="1" customWidth="1"/>
    <col min="17" max="18" width="9" style="1"/>
    <col min="19" max="19" width="9.875" style="1"/>
    <col min="20" max="21" width="9" style="1"/>
    <col min="22" max="22" width="9.875" style="1"/>
    <col min="23" max="16384" width="9" style="1"/>
  </cols>
  <sheetData>
    <row r="1" s="1" customFormat="1" ht="30" customHeight="1" spans="1:16">
      <c r="A1" s="40" t="s">
        <v>0</v>
      </c>
      <c r="B1" s="40"/>
      <c r="C1" s="40"/>
      <c r="D1" s="41"/>
      <c r="E1" s="41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="1" customFormat="1" ht="54" customHeight="1" spans="1:16">
      <c r="A2" s="10" t="s">
        <v>1</v>
      </c>
      <c r="B2" s="10"/>
      <c r="C2" s="10"/>
      <c r="D2" s="11"/>
      <c r="E2" s="11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="2" customFormat="1" ht="45" customHeight="1" spans="1:16">
      <c r="A3" s="14" t="s">
        <v>2</v>
      </c>
      <c r="B3" s="14" t="s">
        <v>3</v>
      </c>
      <c r="C3" s="14" t="s">
        <v>4</v>
      </c>
      <c r="D3" s="15" t="s">
        <v>5</v>
      </c>
      <c r="E3" s="15"/>
      <c r="F3" s="15"/>
      <c r="G3" s="16" t="s">
        <v>6</v>
      </c>
      <c r="H3" s="16"/>
      <c r="I3" s="16"/>
      <c r="J3" s="16" t="s">
        <v>7</v>
      </c>
      <c r="K3" s="16"/>
      <c r="L3" s="16"/>
      <c r="M3" s="14" t="s">
        <v>8</v>
      </c>
      <c r="N3" s="14" t="s">
        <v>9</v>
      </c>
      <c r="O3" s="14" t="s">
        <v>10</v>
      </c>
      <c r="P3" s="14"/>
    </row>
    <row r="4" s="3" customFormat="1" ht="45" customHeight="1" spans="1:16">
      <c r="A4" s="14"/>
      <c r="B4" s="14"/>
      <c r="C4" s="14"/>
      <c r="D4" s="17" t="s">
        <v>11</v>
      </c>
      <c r="E4" s="17" t="s">
        <v>12</v>
      </c>
      <c r="F4" s="17" t="s">
        <v>13</v>
      </c>
      <c r="G4" s="18" t="s">
        <v>11</v>
      </c>
      <c r="H4" s="18" t="s">
        <v>14</v>
      </c>
      <c r="I4" s="18" t="s">
        <v>15</v>
      </c>
      <c r="J4" s="18" t="s">
        <v>11</v>
      </c>
      <c r="K4" s="18" t="s">
        <v>14</v>
      </c>
      <c r="L4" s="18" t="s">
        <v>16</v>
      </c>
      <c r="M4" s="14"/>
      <c r="N4" s="14"/>
      <c r="O4" s="14" t="s">
        <v>17</v>
      </c>
      <c r="P4" s="14" t="s">
        <v>18</v>
      </c>
    </row>
    <row r="5" s="4" customFormat="1" ht="94" customHeight="1" spans="1:16">
      <c r="A5" s="19">
        <v>1</v>
      </c>
      <c r="B5" s="19" t="s">
        <v>19</v>
      </c>
      <c r="C5" s="20" t="s">
        <v>20</v>
      </c>
      <c r="D5" s="21"/>
      <c r="E5" s="21"/>
      <c r="F5" s="21"/>
      <c r="G5" s="22">
        <v>1</v>
      </c>
      <c r="H5" s="22"/>
      <c r="I5" s="22"/>
      <c r="J5" s="22"/>
      <c r="K5" s="22"/>
      <c r="L5" s="22"/>
      <c r="M5" s="34" t="s">
        <v>21</v>
      </c>
      <c r="N5" s="34" t="s">
        <v>22</v>
      </c>
      <c r="O5" s="35" t="s">
        <v>23</v>
      </c>
      <c r="P5" s="35" t="s">
        <v>24</v>
      </c>
    </row>
    <row r="6" s="4" customFormat="1" ht="47" customHeight="1" spans="1:16">
      <c r="A6" s="19">
        <v>2</v>
      </c>
      <c r="B6" s="19" t="s">
        <v>25</v>
      </c>
      <c r="C6" s="20" t="s">
        <v>26</v>
      </c>
      <c r="D6" s="21"/>
      <c r="E6" s="21"/>
      <c r="F6" s="21"/>
      <c r="G6" s="22">
        <v>7</v>
      </c>
      <c r="H6" s="22"/>
      <c r="I6" s="22"/>
      <c r="J6" s="22">
        <v>3</v>
      </c>
      <c r="K6" s="22"/>
      <c r="L6" s="22"/>
      <c r="M6" s="34"/>
      <c r="N6" s="34" t="s">
        <v>22</v>
      </c>
      <c r="O6" s="34" t="s">
        <v>27</v>
      </c>
      <c r="P6" s="20" t="s">
        <v>28</v>
      </c>
    </row>
    <row r="7" s="5" customFormat="1" ht="57" customHeight="1" spans="1:16">
      <c r="A7" s="27"/>
      <c r="B7" s="27"/>
      <c r="C7" s="20" t="s">
        <v>29</v>
      </c>
      <c r="D7" s="21"/>
      <c r="E7" s="21"/>
      <c r="F7" s="21"/>
      <c r="G7" s="22">
        <v>10</v>
      </c>
      <c r="H7" s="22"/>
      <c r="I7" s="22"/>
      <c r="J7" s="22">
        <v>9</v>
      </c>
      <c r="K7" s="22"/>
      <c r="L7" s="22"/>
      <c r="M7" s="34"/>
      <c r="N7" s="36"/>
      <c r="O7" s="36"/>
      <c r="P7" s="20" t="s">
        <v>30</v>
      </c>
    </row>
    <row r="8" s="5" customFormat="1" ht="47" customHeight="1" spans="1:16">
      <c r="A8" s="27"/>
      <c r="B8" s="27"/>
      <c r="C8" s="20" t="s">
        <v>31</v>
      </c>
      <c r="D8" s="21"/>
      <c r="E8" s="21"/>
      <c r="F8" s="21"/>
      <c r="G8" s="22">
        <v>1</v>
      </c>
      <c r="H8" s="22"/>
      <c r="I8" s="22"/>
      <c r="J8" s="22"/>
      <c r="K8" s="22"/>
      <c r="L8" s="22"/>
      <c r="M8" s="34"/>
      <c r="N8" s="36"/>
      <c r="O8" s="36"/>
      <c r="P8" s="20" t="s">
        <v>32</v>
      </c>
    </row>
    <row r="9" s="5" customFormat="1" ht="47" customHeight="1" spans="1:16">
      <c r="A9" s="27"/>
      <c r="B9" s="27"/>
      <c r="C9" s="20" t="s">
        <v>33</v>
      </c>
      <c r="D9" s="21"/>
      <c r="E9" s="21"/>
      <c r="F9" s="21"/>
      <c r="G9" s="22"/>
      <c r="H9" s="22"/>
      <c r="I9" s="22"/>
      <c r="J9" s="22">
        <v>14</v>
      </c>
      <c r="K9" s="22"/>
      <c r="L9" s="22"/>
      <c r="M9" s="34"/>
      <c r="N9" s="36"/>
      <c r="O9" s="36"/>
      <c r="P9" s="20" t="s">
        <v>34</v>
      </c>
    </row>
    <row r="10" s="5" customFormat="1" ht="47" customHeight="1" spans="1:16">
      <c r="A10" s="27"/>
      <c r="B10" s="27"/>
      <c r="C10" s="20" t="s">
        <v>35</v>
      </c>
      <c r="D10" s="21"/>
      <c r="E10" s="21"/>
      <c r="F10" s="21"/>
      <c r="G10" s="22"/>
      <c r="H10" s="22"/>
      <c r="I10" s="22"/>
      <c r="J10" s="22">
        <v>33</v>
      </c>
      <c r="K10" s="22"/>
      <c r="L10" s="22"/>
      <c r="M10" s="34"/>
      <c r="N10" s="36"/>
      <c r="O10" s="42"/>
      <c r="P10" s="20" t="s">
        <v>36</v>
      </c>
    </row>
    <row r="11" s="5" customFormat="1" ht="47" customHeight="1" spans="1:16">
      <c r="A11" s="20">
        <v>3</v>
      </c>
      <c r="B11" s="20" t="s">
        <v>37</v>
      </c>
      <c r="C11" s="20" t="s">
        <v>38</v>
      </c>
      <c r="D11" s="21">
        <v>1.572</v>
      </c>
      <c r="E11" s="21"/>
      <c r="F11" s="21"/>
      <c r="G11" s="23"/>
      <c r="H11" s="24"/>
      <c r="I11" s="24"/>
      <c r="J11" s="22"/>
      <c r="K11" s="22"/>
      <c r="L11" s="22"/>
      <c r="M11" s="34"/>
      <c r="N11" s="34" t="s">
        <v>22</v>
      </c>
      <c r="O11" s="35" t="s">
        <v>39</v>
      </c>
      <c r="P11" s="20" t="s">
        <v>40</v>
      </c>
    </row>
    <row r="12" s="5" customFormat="1" ht="54" customHeight="1" spans="1:16">
      <c r="A12" s="19">
        <v>4</v>
      </c>
      <c r="B12" s="38" t="s">
        <v>41</v>
      </c>
      <c r="C12" s="20" t="s">
        <v>42</v>
      </c>
      <c r="D12" s="21">
        <v>2.487</v>
      </c>
      <c r="E12" s="21"/>
      <c r="F12" s="21"/>
      <c r="G12" s="23">
        <v>1</v>
      </c>
      <c r="H12" s="24"/>
      <c r="I12" s="24"/>
      <c r="J12" s="22"/>
      <c r="K12" s="22"/>
      <c r="L12" s="22"/>
      <c r="M12" s="34"/>
      <c r="N12" s="34" t="s">
        <v>22</v>
      </c>
      <c r="O12" s="35" t="s">
        <v>39</v>
      </c>
      <c r="P12" s="20" t="s">
        <v>43</v>
      </c>
    </row>
    <row r="13" s="5" customFormat="1" ht="47" customHeight="1" spans="1:16">
      <c r="A13" s="19">
        <v>5</v>
      </c>
      <c r="B13" s="19" t="s">
        <v>44</v>
      </c>
      <c r="C13" s="20" t="s">
        <v>38</v>
      </c>
      <c r="D13" s="21">
        <v>24.762</v>
      </c>
      <c r="E13" s="21"/>
      <c r="F13" s="21"/>
      <c r="G13" s="23"/>
      <c r="H13" s="24"/>
      <c r="I13" s="24"/>
      <c r="J13" s="22"/>
      <c r="K13" s="22"/>
      <c r="L13" s="22"/>
      <c r="M13" s="34"/>
      <c r="N13" s="34" t="s">
        <v>22</v>
      </c>
      <c r="O13" s="34" t="s">
        <v>39</v>
      </c>
      <c r="P13" s="20" t="s">
        <v>40</v>
      </c>
    </row>
    <row r="14" s="5" customFormat="1" ht="47" customHeight="1" spans="1:16">
      <c r="A14" s="27"/>
      <c r="B14" s="27"/>
      <c r="C14" s="20" t="s">
        <v>45</v>
      </c>
      <c r="D14" s="21">
        <v>17.518</v>
      </c>
      <c r="E14" s="21"/>
      <c r="F14" s="21"/>
      <c r="G14" s="23"/>
      <c r="H14" s="24"/>
      <c r="I14" s="24"/>
      <c r="J14" s="22"/>
      <c r="K14" s="22"/>
      <c r="L14" s="22"/>
      <c r="M14" s="34"/>
      <c r="N14" s="36"/>
      <c r="O14" s="36"/>
      <c r="P14" s="20" t="s">
        <v>43</v>
      </c>
    </row>
    <row r="15" s="1" customFormat="1" ht="47" customHeight="1" spans="1:16">
      <c r="A15" s="21" t="s">
        <v>46</v>
      </c>
      <c r="B15" s="21"/>
      <c r="C15" s="21"/>
      <c r="D15" s="21">
        <f>SUM(D5:D14)</f>
        <v>46.339</v>
      </c>
      <c r="E15" s="21">
        <f t="shared" ref="E15:L15" si="0">SUM(E5:E13)</f>
        <v>0</v>
      </c>
      <c r="F15" s="21">
        <f t="shared" si="0"/>
        <v>0</v>
      </c>
      <c r="G15" s="22">
        <f t="shared" si="0"/>
        <v>20</v>
      </c>
      <c r="H15" s="22">
        <f t="shared" si="0"/>
        <v>0</v>
      </c>
      <c r="I15" s="22">
        <f t="shared" si="0"/>
        <v>0</v>
      </c>
      <c r="J15" s="22">
        <f t="shared" si="0"/>
        <v>59</v>
      </c>
      <c r="K15" s="22">
        <f t="shared" si="0"/>
        <v>0</v>
      </c>
      <c r="L15" s="22">
        <f t="shared" si="0"/>
        <v>0</v>
      </c>
      <c r="M15" s="22"/>
      <c r="N15" s="22"/>
      <c r="O15" s="21"/>
      <c r="P15" s="39"/>
    </row>
    <row r="16" s="1" customFormat="1" ht="21" customHeight="1" spans="2:14">
      <c r="B16" s="6"/>
      <c r="C16" s="7"/>
      <c r="D16" s="8"/>
      <c r="E16" s="8"/>
      <c r="F16" s="8"/>
      <c r="G16" s="9"/>
      <c r="H16" s="9"/>
      <c r="I16" s="9"/>
      <c r="J16" s="9"/>
      <c r="K16" s="9"/>
      <c r="L16" s="9"/>
      <c r="M16" s="7"/>
      <c r="N16" s="7"/>
    </row>
    <row r="17" s="1" customFormat="1" ht="21" customHeight="1" spans="2:14">
      <c r="B17" s="6"/>
      <c r="C17" s="7"/>
      <c r="D17" s="8"/>
      <c r="E17" s="8"/>
      <c r="F17" s="8"/>
      <c r="G17" s="9"/>
      <c r="H17" s="9"/>
      <c r="I17" s="9"/>
      <c r="J17" s="9"/>
      <c r="K17" s="9"/>
      <c r="L17" s="9"/>
      <c r="M17" s="7"/>
      <c r="N17" s="7"/>
    </row>
    <row r="18" s="1" customFormat="1" ht="21" customHeight="1" spans="2:14">
      <c r="B18" s="6"/>
      <c r="C18" s="7"/>
      <c r="D18" s="8"/>
      <c r="E18" s="8"/>
      <c r="F18" s="8"/>
      <c r="G18" s="9"/>
      <c r="H18" s="9"/>
      <c r="I18" s="9"/>
      <c r="J18" s="9"/>
      <c r="K18" s="9"/>
      <c r="L18" s="9"/>
      <c r="M18" s="7"/>
      <c r="N18" s="7"/>
    </row>
  </sheetData>
  <mergeCells count="20">
    <mergeCell ref="A1:P1"/>
    <mergeCell ref="A2:P2"/>
    <mergeCell ref="D3:F3"/>
    <mergeCell ref="G3:I3"/>
    <mergeCell ref="J3:L3"/>
    <mergeCell ref="O3:P3"/>
    <mergeCell ref="A15:C15"/>
    <mergeCell ref="A3:A4"/>
    <mergeCell ref="A6:A10"/>
    <mergeCell ref="A13:A14"/>
    <mergeCell ref="B3:B4"/>
    <mergeCell ref="B6:B10"/>
    <mergeCell ref="B13:B14"/>
    <mergeCell ref="C3:C4"/>
    <mergeCell ref="M3:M4"/>
    <mergeCell ref="N3:N4"/>
    <mergeCell ref="N6:N10"/>
    <mergeCell ref="N13:N14"/>
    <mergeCell ref="O6:O10"/>
    <mergeCell ref="O13:O14"/>
  </mergeCells>
  <pageMargins left="0.393055555555556" right="0.393055555555556" top="0.550694444444444" bottom="0.550694444444444" header="0.314583333333333" footer="0.314583333333333"/>
  <pageSetup paperSize="9" scale="65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zoomScale="70" zoomScaleNormal="70" workbookViewId="0">
      <selection activeCell="A1" sqref="$A1:$XFD1048576"/>
    </sheetView>
  </sheetViews>
  <sheetFormatPr defaultColWidth="9" defaultRowHeight="18.75"/>
  <cols>
    <col min="1" max="1" width="7.5" style="1" customWidth="1"/>
    <col min="2" max="2" width="24.8166666666667" style="6" customWidth="1"/>
    <col min="3" max="3" width="15.175" style="7" customWidth="1"/>
    <col min="4" max="5" width="15.625" style="8" customWidth="1"/>
    <col min="6" max="6" width="15.175" style="8" hidden="1" customWidth="1"/>
    <col min="7" max="7" width="11.5" style="9" customWidth="1"/>
    <col min="8" max="8" width="9.99166666666667" style="9" customWidth="1"/>
    <col min="9" max="9" width="10.375" style="9" customWidth="1"/>
    <col min="10" max="12" width="12.375" style="9" customWidth="1"/>
    <col min="13" max="13" width="16.2416666666667" style="7" hidden="1" customWidth="1"/>
    <col min="14" max="14" width="15.8916666666667" style="7" customWidth="1"/>
    <col min="15" max="15" width="22.325" style="1" customWidth="1"/>
    <col min="16" max="16" width="30.7166666666667" style="1" customWidth="1"/>
    <col min="17" max="18" width="9" style="1"/>
    <col min="19" max="19" width="9.875" style="1"/>
    <col min="20" max="21" width="9" style="1"/>
    <col min="22" max="22" width="9.875" style="1"/>
    <col min="23" max="16384" width="9" style="1"/>
  </cols>
  <sheetData>
    <row r="1" s="1" customFormat="1" ht="54" customHeight="1" spans="1:16">
      <c r="A1" s="10" t="s">
        <v>47</v>
      </c>
      <c r="B1" s="10"/>
      <c r="C1" s="10"/>
      <c r="D1" s="11"/>
      <c r="E1" s="11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="1" customFormat="1" ht="30" customHeight="1" spans="1:16">
      <c r="A2" s="12" t="s">
        <v>48</v>
      </c>
      <c r="B2" s="12"/>
      <c r="C2" s="12"/>
      <c r="D2" s="13"/>
      <c r="E2" s="13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="2" customFormat="1" ht="45" customHeight="1" spans="1:16">
      <c r="A3" s="14" t="s">
        <v>2</v>
      </c>
      <c r="B3" s="14" t="s">
        <v>3</v>
      </c>
      <c r="C3" s="14" t="s">
        <v>4</v>
      </c>
      <c r="D3" s="15" t="s">
        <v>5</v>
      </c>
      <c r="E3" s="15"/>
      <c r="F3" s="15"/>
      <c r="G3" s="16" t="s">
        <v>6</v>
      </c>
      <c r="H3" s="16"/>
      <c r="I3" s="16"/>
      <c r="J3" s="16" t="s">
        <v>7</v>
      </c>
      <c r="K3" s="16"/>
      <c r="L3" s="16"/>
      <c r="M3" s="14" t="s">
        <v>8</v>
      </c>
      <c r="N3" s="14" t="s">
        <v>9</v>
      </c>
      <c r="O3" s="14" t="s">
        <v>10</v>
      </c>
      <c r="P3" s="14"/>
    </row>
    <row r="4" s="3" customFormat="1" ht="45" customHeight="1" spans="1:16">
      <c r="A4" s="14"/>
      <c r="B4" s="14"/>
      <c r="C4" s="14"/>
      <c r="D4" s="17" t="s">
        <v>11</v>
      </c>
      <c r="E4" s="17" t="s">
        <v>12</v>
      </c>
      <c r="F4" s="17" t="s">
        <v>13</v>
      </c>
      <c r="G4" s="18" t="s">
        <v>11</v>
      </c>
      <c r="H4" s="18" t="s">
        <v>14</v>
      </c>
      <c r="I4" s="18" t="s">
        <v>15</v>
      </c>
      <c r="J4" s="18" t="s">
        <v>11</v>
      </c>
      <c r="K4" s="18" t="s">
        <v>14</v>
      </c>
      <c r="L4" s="18" t="s">
        <v>16</v>
      </c>
      <c r="M4" s="14"/>
      <c r="N4" s="14"/>
      <c r="O4" s="14" t="s">
        <v>17</v>
      </c>
      <c r="P4" s="14" t="s">
        <v>18</v>
      </c>
    </row>
    <row r="5" s="4" customFormat="1" ht="57" customHeight="1" spans="1:16">
      <c r="A5" s="19">
        <v>1</v>
      </c>
      <c r="B5" s="19" t="s">
        <v>19</v>
      </c>
      <c r="C5" s="20" t="s">
        <v>20</v>
      </c>
      <c r="D5" s="21"/>
      <c r="E5" s="21"/>
      <c r="F5" s="21"/>
      <c r="G5" s="22">
        <v>1</v>
      </c>
      <c r="H5" s="22"/>
      <c r="I5" s="22"/>
      <c r="J5" s="22"/>
      <c r="K5" s="22"/>
      <c r="L5" s="22"/>
      <c r="M5" s="34" t="s">
        <v>21</v>
      </c>
      <c r="N5" s="34"/>
      <c r="O5" s="35"/>
      <c r="P5" s="35" t="s">
        <v>24</v>
      </c>
    </row>
    <row r="6" s="4" customFormat="1" ht="57" customHeight="1" spans="1:16">
      <c r="A6" s="19">
        <v>2</v>
      </c>
      <c r="B6" s="19" t="s">
        <v>25</v>
      </c>
      <c r="C6" s="20" t="s">
        <v>26</v>
      </c>
      <c r="D6" s="21"/>
      <c r="E6" s="21"/>
      <c r="F6" s="21"/>
      <c r="G6" s="22">
        <v>7</v>
      </c>
      <c r="H6" s="22"/>
      <c r="I6" s="22"/>
      <c r="J6" s="22">
        <v>3</v>
      </c>
      <c r="K6" s="22"/>
      <c r="L6" s="22"/>
      <c r="M6" s="34"/>
      <c r="N6" s="34"/>
      <c r="O6" s="35"/>
      <c r="P6" s="20"/>
    </row>
    <row r="7" s="5" customFormat="1" ht="57" customHeight="1" spans="1:16">
      <c r="A7" s="27"/>
      <c r="B7" s="27"/>
      <c r="C7" s="20" t="s">
        <v>29</v>
      </c>
      <c r="D7" s="21"/>
      <c r="E7" s="21"/>
      <c r="F7" s="21"/>
      <c r="G7" s="22">
        <v>10</v>
      </c>
      <c r="H7" s="22"/>
      <c r="I7" s="22"/>
      <c r="J7" s="22">
        <v>9</v>
      </c>
      <c r="K7" s="22"/>
      <c r="L7" s="22"/>
      <c r="M7" s="34"/>
      <c r="N7" s="34"/>
      <c r="O7" s="35"/>
      <c r="P7" s="20"/>
    </row>
    <row r="8" s="5" customFormat="1" ht="57" customHeight="1" spans="1:16">
      <c r="A8" s="27"/>
      <c r="B8" s="27"/>
      <c r="C8" s="20" t="s">
        <v>31</v>
      </c>
      <c r="D8" s="21"/>
      <c r="E8" s="21"/>
      <c r="F8" s="21"/>
      <c r="G8" s="22">
        <v>1</v>
      </c>
      <c r="H8" s="22"/>
      <c r="I8" s="22"/>
      <c r="J8" s="22"/>
      <c r="K8" s="22"/>
      <c r="L8" s="22"/>
      <c r="M8" s="34"/>
      <c r="N8" s="34"/>
      <c r="O8" s="35"/>
      <c r="P8" s="20"/>
    </row>
    <row r="9" s="5" customFormat="1" ht="57" customHeight="1" spans="1:16">
      <c r="A9" s="27"/>
      <c r="B9" s="27"/>
      <c r="C9" s="20" t="s">
        <v>33</v>
      </c>
      <c r="D9" s="21"/>
      <c r="E9" s="21"/>
      <c r="F9" s="21"/>
      <c r="G9" s="22"/>
      <c r="H9" s="22"/>
      <c r="I9" s="22"/>
      <c r="J9" s="22">
        <v>14</v>
      </c>
      <c r="K9" s="22"/>
      <c r="L9" s="22"/>
      <c r="M9" s="34"/>
      <c r="N9" s="34"/>
      <c r="O9" s="35"/>
      <c r="P9" s="20"/>
    </row>
    <row r="10" s="5" customFormat="1" ht="57" customHeight="1" spans="1:16">
      <c r="A10" s="27"/>
      <c r="B10" s="27"/>
      <c r="C10" s="20" t="s">
        <v>35</v>
      </c>
      <c r="D10" s="21"/>
      <c r="E10" s="21"/>
      <c r="F10" s="21"/>
      <c r="G10" s="22"/>
      <c r="H10" s="22"/>
      <c r="I10" s="22"/>
      <c r="J10" s="22">
        <v>33</v>
      </c>
      <c r="K10" s="22"/>
      <c r="L10" s="22"/>
      <c r="M10" s="34"/>
      <c r="N10" s="34"/>
      <c r="O10" s="35"/>
      <c r="P10" s="20"/>
    </row>
    <row r="11" s="5" customFormat="1" ht="57" customHeight="1" spans="1:16">
      <c r="A11" s="20">
        <v>3</v>
      </c>
      <c r="B11" s="20" t="s">
        <v>37</v>
      </c>
      <c r="C11" s="20" t="s">
        <v>38</v>
      </c>
      <c r="D11" s="21">
        <v>1.572</v>
      </c>
      <c r="E11" s="21"/>
      <c r="F11" s="21"/>
      <c r="G11" s="23"/>
      <c r="H11" s="24"/>
      <c r="I11" s="24"/>
      <c r="J11" s="22"/>
      <c r="K11" s="22"/>
      <c r="L11" s="22"/>
      <c r="M11" s="34"/>
      <c r="N11" s="35"/>
      <c r="O11" s="35"/>
      <c r="P11" s="20"/>
    </row>
    <row r="12" s="5" customFormat="1" ht="57" customHeight="1" spans="1:16">
      <c r="A12" s="19">
        <v>4</v>
      </c>
      <c r="B12" s="38" t="s">
        <v>41</v>
      </c>
      <c r="C12" s="20" t="s">
        <v>42</v>
      </c>
      <c r="D12" s="21">
        <v>2.487</v>
      </c>
      <c r="E12" s="21"/>
      <c r="F12" s="21"/>
      <c r="G12" s="23">
        <v>1</v>
      </c>
      <c r="H12" s="24"/>
      <c r="I12" s="24"/>
      <c r="J12" s="22"/>
      <c r="K12" s="22"/>
      <c r="L12" s="22"/>
      <c r="M12" s="34"/>
      <c r="N12" s="34"/>
      <c r="O12" s="34"/>
      <c r="P12" s="20"/>
    </row>
    <row r="13" s="5" customFormat="1" ht="57" customHeight="1" spans="1:16">
      <c r="A13" s="19">
        <v>5</v>
      </c>
      <c r="B13" s="19" t="s">
        <v>44</v>
      </c>
      <c r="C13" s="20" t="s">
        <v>38</v>
      </c>
      <c r="D13" s="21">
        <v>24.762</v>
      </c>
      <c r="E13" s="21"/>
      <c r="F13" s="21"/>
      <c r="G13" s="23"/>
      <c r="H13" s="24"/>
      <c r="I13" s="24"/>
      <c r="J13" s="22"/>
      <c r="K13" s="22"/>
      <c r="L13" s="22"/>
      <c r="M13" s="34"/>
      <c r="N13" s="34"/>
      <c r="O13" s="34"/>
      <c r="P13" s="20"/>
    </row>
    <row r="14" s="5" customFormat="1" ht="57" customHeight="1" spans="1:19">
      <c r="A14" s="27"/>
      <c r="B14" s="27"/>
      <c r="C14" s="20" t="s">
        <v>45</v>
      </c>
      <c r="D14" s="21">
        <v>17.518</v>
      </c>
      <c r="E14" s="21"/>
      <c r="F14" s="21"/>
      <c r="G14" s="23"/>
      <c r="H14" s="24"/>
      <c r="I14" s="24"/>
      <c r="J14" s="22"/>
      <c r="K14" s="22"/>
      <c r="L14" s="22"/>
      <c r="M14" s="34"/>
      <c r="N14" s="34"/>
      <c r="O14" s="34"/>
      <c r="P14" s="20"/>
      <c r="S14" s="5">
        <v>21.128</v>
      </c>
    </row>
    <row r="15" s="1" customFormat="1" ht="48" customHeight="1" spans="1:16">
      <c r="A15" s="21" t="s">
        <v>46</v>
      </c>
      <c r="B15" s="21"/>
      <c r="C15" s="21"/>
      <c r="D15" s="21">
        <f>SUM(D5:D14)</f>
        <v>46.339</v>
      </c>
      <c r="E15" s="21">
        <f t="shared" ref="D15:L15" si="0">SUM(E5:E13)</f>
        <v>0</v>
      </c>
      <c r="F15" s="21">
        <f t="shared" si="0"/>
        <v>0</v>
      </c>
      <c r="G15" s="22">
        <f t="shared" si="0"/>
        <v>20</v>
      </c>
      <c r="H15" s="22">
        <f t="shared" si="0"/>
        <v>0</v>
      </c>
      <c r="I15" s="22">
        <f t="shared" si="0"/>
        <v>0</v>
      </c>
      <c r="J15" s="22">
        <f t="shared" si="0"/>
        <v>59</v>
      </c>
      <c r="K15" s="22">
        <f t="shared" si="0"/>
        <v>0</v>
      </c>
      <c r="L15" s="22">
        <f t="shared" si="0"/>
        <v>0</v>
      </c>
      <c r="M15" s="22"/>
      <c r="N15" s="22"/>
      <c r="O15" s="21"/>
      <c r="P15" s="39"/>
    </row>
    <row r="16" ht="21" customHeight="1"/>
    <row r="17" ht="21" customHeight="1"/>
    <row r="18" ht="21" customHeight="1"/>
  </sheetData>
  <mergeCells count="16">
    <mergeCell ref="A1:P1"/>
    <mergeCell ref="A2:P2"/>
    <mergeCell ref="D3:F3"/>
    <mergeCell ref="G3:I3"/>
    <mergeCell ref="J3:L3"/>
    <mergeCell ref="O3:P3"/>
    <mergeCell ref="A15:C15"/>
    <mergeCell ref="A3:A4"/>
    <mergeCell ref="A6:A10"/>
    <mergeCell ref="A13:A14"/>
    <mergeCell ref="B3:B4"/>
    <mergeCell ref="B6:B10"/>
    <mergeCell ref="B13:B14"/>
    <mergeCell ref="C3:C4"/>
    <mergeCell ref="M3:M4"/>
    <mergeCell ref="N3:N4"/>
  </mergeCells>
  <pageMargins left="0.511811023622047" right="0.511811023622047" top="0.748031496062992" bottom="0.748031496062992" header="0.31496062992126" footer="0.31496062992126"/>
  <pageSetup paperSize="9" scale="90" orientation="landscape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J28" sqref="J28"/>
    </sheetView>
  </sheetViews>
  <sheetFormatPr defaultColWidth="9" defaultRowHeight="13.5"/>
  <sheetData/>
  <pageMargins left="0.75" right="0.75" top="1" bottom="1" header="0.5" footer="0.5"/>
  <pageSetup paperSize="9" scale="7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70" zoomScaleNormal="70" workbookViewId="0">
      <selection activeCell="C13" sqref="C13"/>
    </sheetView>
  </sheetViews>
  <sheetFormatPr defaultColWidth="9" defaultRowHeight="18.75"/>
  <cols>
    <col min="1" max="1" width="6.43333333333333" style="1" customWidth="1"/>
    <col min="2" max="2" width="40.175" style="6" customWidth="1"/>
    <col min="3" max="3" width="14.275" style="7" customWidth="1"/>
    <col min="4" max="4" width="14.2833333333333" style="8" customWidth="1"/>
    <col min="5" max="5" width="15.625" style="8" customWidth="1"/>
    <col min="6" max="6" width="15.175" style="8" hidden="1" customWidth="1"/>
    <col min="7" max="7" width="11.9583333333333" style="9" customWidth="1"/>
    <col min="8" max="9" width="10.8916666666667" style="9" customWidth="1"/>
    <col min="10" max="10" width="11.9583333333333" style="9" customWidth="1"/>
    <col min="11" max="12" width="11.425" style="9" customWidth="1"/>
    <col min="13" max="13" width="16.2416666666667" style="7" hidden="1" customWidth="1"/>
    <col min="14" max="14" width="15.175" style="7" customWidth="1"/>
    <col min="15" max="15" width="23.3916666666667" style="1" customWidth="1"/>
    <col min="16" max="16" width="32.85" style="1" customWidth="1"/>
    <col min="17" max="21" width="9" style="1"/>
    <col min="22" max="22" width="9.875" style="1"/>
    <col min="23" max="16384" width="9" style="1"/>
  </cols>
  <sheetData>
    <row r="1" s="1" customFormat="1" ht="66" customHeight="1" spans="1:16">
      <c r="A1" s="10" t="s">
        <v>49</v>
      </c>
      <c r="B1" s="10"/>
      <c r="C1" s="10"/>
      <c r="D1" s="11"/>
      <c r="E1" s="11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="1" customFormat="1" ht="41" customHeight="1" spans="1:16">
      <c r="A2" s="12"/>
      <c r="B2" s="12"/>
      <c r="C2" s="12"/>
      <c r="D2" s="13"/>
      <c r="E2" s="13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="2" customFormat="1" ht="45" customHeight="1" spans="1:16">
      <c r="A3" s="14" t="s">
        <v>2</v>
      </c>
      <c r="B3" s="14" t="s">
        <v>3</v>
      </c>
      <c r="C3" s="14" t="s">
        <v>4</v>
      </c>
      <c r="D3" s="15" t="s">
        <v>5</v>
      </c>
      <c r="E3" s="15"/>
      <c r="F3" s="15"/>
      <c r="G3" s="16" t="s">
        <v>6</v>
      </c>
      <c r="H3" s="16"/>
      <c r="I3" s="16"/>
      <c r="J3" s="16" t="s">
        <v>7</v>
      </c>
      <c r="K3" s="16"/>
      <c r="L3" s="16"/>
      <c r="M3" s="14" t="s">
        <v>8</v>
      </c>
      <c r="N3" s="14" t="s">
        <v>9</v>
      </c>
      <c r="O3" s="14" t="s">
        <v>10</v>
      </c>
      <c r="P3" s="14"/>
    </row>
    <row r="4" s="3" customFormat="1" ht="45" customHeight="1" spans="1:16">
      <c r="A4" s="14"/>
      <c r="B4" s="14"/>
      <c r="C4" s="14"/>
      <c r="D4" s="17" t="s">
        <v>11</v>
      </c>
      <c r="E4" s="17" t="s">
        <v>12</v>
      </c>
      <c r="F4" s="17" t="s">
        <v>13</v>
      </c>
      <c r="G4" s="18" t="s">
        <v>11</v>
      </c>
      <c r="H4" s="18" t="s">
        <v>14</v>
      </c>
      <c r="I4" s="18" t="s">
        <v>15</v>
      </c>
      <c r="J4" s="18" t="s">
        <v>11</v>
      </c>
      <c r="K4" s="18" t="s">
        <v>14</v>
      </c>
      <c r="L4" s="18" t="s">
        <v>16</v>
      </c>
      <c r="M4" s="14"/>
      <c r="N4" s="14"/>
      <c r="O4" s="14" t="s">
        <v>17</v>
      </c>
      <c r="P4" s="14" t="s">
        <v>18</v>
      </c>
    </row>
    <row r="5" s="4" customFormat="1" ht="57" customHeight="1" spans="1:16">
      <c r="A5" s="19">
        <v>1</v>
      </c>
      <c r="B5" s="19" t="s">
        <v>19</v>
      </c>
      <c r="C5" s="20" t="s">
        <v>20</v>
      </c>
      <c r="D5" s="21"/>
      <c r="E5" s="21"/>
      <c r="F5" s="21"/>
      <c r="G5" s="22">
        <v>1</v>
      </c>
      <c r="H5" s="22"/>
      <c r="I5" s="22"/>
      <c r="J5" s="22"/>
      <c r="K5" s="22"/>
      <c r="L5" s="22"/>
      <c r="M5" s="34"/>
      <c r="N5" s="34" t="s">
        <v>50</v>
      </c>
      <c r="O5" s="35" t="s">
        <v>51</v>
      </c>
      <c r="P5" s="35" t="s">
        <v>24</v>
      </c>
    </row>
    <row r="6" s="4" customFormat="1" ht="57" customHeight="1" spans="1:16">
      <c r="A6" s="19">
        <v>2</v>
      </c>
      <c r="B6" s="19" t="s">
        <v>52</v>
      </c>
      <c r="C6" s="20" t="s">
        <v>53</v>
      </c>
      <c r="D6" s="21">
        <v>1.097</v>
      </c>
      <c r="E6" s="21"/>
      <c r="F6" s="21"/>
      <c r="G6" s="22" t="s">
        <v>54</v>
      </c>
      <c r="H6" s="22"/>
      <c r="I6" s="22" t="s">
        <v>54</v>
      </c>
      <c r="J6" s="22" t="s">
        <v>54</v>
      </c>
      <c r="K6" s="22"/>
      <c r="L6" s="22" t="s">
        <v>54</v>
      </c>
      <c r="M6" s="34"/>
      <c r="N6" s="34" t="s">
        <v>50</v>
      </c>
      <c r="O6" s="35" t="s">
        <v>51</v>
      </c>
      <c r="P6" s="20" t="s">
        <v>55</v>
      </c>
    </row>
    <row r="7" s="5" customFormat="1" ht="57" customHeight="1" spans="1:16">
      <c r="A7" s="20">
        <v>3</v>
      </c>
      <c r="B7" s="20" t="s">
        <v>56</v>
      </c>
      <c r="C7" s="20" t="s">
        <v>53</v>
      </c>
      <c r="D7" s="21">
        <v>1.731</v>
      </c>
      <c r="E7" s="21"/>
      <c r="F7" s="21"/>
      <c r="G7" s="23"/>
      <c r="H7" s="24"/>
      <c r="I7" s="24"/>
      <c r="J7" s="22"/>
      <c r="K7" s="22"/>
      <c r="L7" s="22"/>
      <c r="M7" s="35"/>
      <c r="N7" s="35" t="s">
        <v>50</v>
      </c>
      <c r="O7" s="35" t="s">
        <v>51</v>
      </c>
      <c r="P7" s="20" t="s">
        <v>55</v>
      </c>
    </row>
    <row r="8" s="3" customFormat="1" ht="48" customHeight="1" spans="1:16">
      <c r="A8" s="19">
        <v>4</v>
      </c>
      <c r="B8" s="25" t="s">
        <v>57</v>
      </c>
      <c r="C8" s="21" t="s">
        <v>26</v>
      </c>
      <c r="D8" s="21"/>
      <c r="E8" s="21"/>
      <c r="F8" s="26"/>
      <c r="G8" s="22">
        <v>7</v>
      </c>
      <c r="H8" s="22"/>
      <c r="I8" s="22"/>
      <c r="J8" s="22">
        <v>15</v>
      </c>
      <c r="K8" s="22"/>
      <c r="L8" s="22"/>
      <c r="M8" s="34" t="s">
        <v>58</v>
      </c>
      <c r="N8" s="34" t="s">
        <v>59</v>
      </c>
      <c r="O8" s="34" t="s">
        <v>60</v>
      </c>
      <c r="P8" s="20" t="s">
        <v>28</v>
      </c>
    </row>
    <row r="9" s="3" customFormat="1" ht="48" customHeight="1" spans="1:16">
      <c r="A9" s="27"/>
      <c r="B9" s="28"/>
      <c r="C9" s="21" t="s">
        <v>33</v>
      </c>
      <c r="D9" s="21"/>
      <c r="E9" s="21"/>
      <c r="F9" s="26"/>
      <c r="G9" s="22">
        <v>2</v>
      </c>
      <c r="H9" s="22"/>
      <c r="I9" s="22"/>
      <c r="J9" s="22">
        <v>6</v>
      </c>
      <c r="K9" s="22"/>
      <c r="L9" s="22"/>
      <c r="M9" s="36"/>
      <c r="N9" s="36"/>
      <c r="O9" s="36"/>
      <c r="P9" s="20" t="s">
        <v>34</v>
      </c>
    </row>
    <row r="10" s="3" customFormat="1" ht="48" customHeight="1" spans="1:16">
      <c r="A10" s="27"/>
      <c r="B10" s="28"/>
      <c r="C10" s="21" t="s">
        <v>61</v>
      </c>
      <c r="D10" s="21"/>
      <c r="E10" s="21"/>
      <c r="F10" s="26"/>
      <c r="G10" s="22"/>
      <c r="H10" s="29"/>
      <c r="I10" s="22"/>
      <c r="J10" s="22">
        <v>2</v>
      </c>
      <c r="K10" s="22"/>
      <c r="L10" s="22"/>
      <c r="M10" s="36"/>
      <c r="N10" s="36"/>
      <c r="O10" s="36"/>
      <c r="P10" s="20" t="s">
        <v>62</v>
      </c>
    </row>
    <row r="11" s="3" customFormat="1" ht="48" customHeight="1" spans="1:16">
      <c r="A11" s="27"/>
      <c r="B11" s="28"/>
      <c r="C11" s="21" t="s">
        <v>31</v>
      </c>
      <c r="D11" s="21"/>
      <c r="E11" s="21"/>
      <c r="F11" s="26"/>
      <c r="G11" s="22">
        <v>1</v>
      </c>
      <c r="H11" s="22"/>
      <c r="I11" s="22"/>
      <c r="J11" s="22">
        <v>1</v>
      </c>
      <c r="K11" s="22"/>
      <c r="L11" s="22"/>
      <c r="M11" s="36"/>
      <c r="N11" s="36"/>
      <c r="O11" s="36"/>
      <c r="P11" s="20" t="s">
        <v>32</v>
      </c>
    </row>
    <row r="12" s="3" customFormat="1" ht="58" customHeight="1" spans="1:16">
      <c r="A12" s="27"/>
      <c r="B12" s="28"/>
      <c r="C12" s="21" t="s">
        <v>29</v>
      </c>
      <c r="D12" s="21"/>
      <c r="E12" s="21"/>
      <c r="F12" s="26"/>
      <c r="G12" s="22">
        <v>1</v>
      </c>
      <c r="H12" s="22"/>
      <c r="I12" s="22"/>
      <c r="J12" s="22">
        <v>6</v>
      </c>
      <c r="K12" s="22"/>
      <c r="L12" s="22"/>
      <c r="M12" s="36"/>
      <c r="N12" s="36"/>
      <c r="O12" s="36"/>
      <c r="P12" s="20" t="s">
        <v>30</v>
      </c>
    </row>
    <row r="13" s="3" customFormat="1" ht="48" customHeight="1" spans="1:16">
      <c r="A13" s="27"/>
      <c r="B13" s="28"/>
      <c r="C13" s="21" t="s">
        <v>35</v>
      </c>
      <c r="D13" s="21"/>
      <c r="E13" s="21"/>
      <c r="F13" s="26"/>
      <c r="G13" s="30"/>
      <c r="H13" s="22"/>
      <c r="I13" s="22"/>
      <c r="J13" s="22">
        <v>12</v>
      </c>
      <c r="K13" s="22"/>
      <c r="L13" s="22"/>
      <c r="M13" s="36"/>
      <c r="N13" s="36"/>
      <c r="O13" s="37"/>
      <c r="P13" s="20" t="s">
        <v>36</v>
      </c>
    </row>
    <row r="14" s="3" customFormat="1" ht="48" customHeight="1" spans="1:16">
      <c r="A14" s="27"/>
      <c r="B14" s="28"/>
      <c r="C14" s="21" t="s">
        <v>63</v>
      </c>
      <c r="D14" s="21">
        <v>16.182</v>
      </c>
      <c r="E14" s="31"/>
      <c r="F14" s="26"/>
      <c r="G14" s="30"/>
      <c r="H14" s="22"/>
      <c r="I14" s="22"/>
      <c r="J14" s="22"/>
      <c r="K14" s="22"/>
      <c r="L14" s="22"/>
      <c r="M14" s="36"/>
      <c r="N14" s="36"/>
      <c r="O14" s="34" t="s">
        <v>64</v>
      </c>
      <c r="P14" s="20" t="s">
        <v>65</v>
      </c>
    </row>
    <row r="15" s="3" customFormat="1" ht="48" customHeight="1" spans="1:16">
      <c r="A15" s="32"/>
      <c r="B15" s="33"/>
      <c r="C15" s="21" t="s">
        <v>66</v>
      </c>
      <c r="D15" s="21">
        <v>15.065</v>
      </c>
      <c r="E15" s="31"/>
      <c r="F15" s="26"/>
      <c r="G15" s="30"/>
      <c r="H15" s="22"/>
      <c r="I15" s="22"/>
      <c r="J15" s="22"/>
      <c r="K15" s="22"/>
      <c r="L15" s="22"/>
      <c r="M15" s="37"/>
      <c r="N15" s="37"/>
      <c r="O15" s="37"/>
      <c r="P15" s="20" t="s">
        <v>67</v>
      </c>
    </row>
    <row r="16" s="1" customFormat="1" ht="48" customHeight="1" spans="1:16">
      <c r="A16" s="21" t="s">
        <v>46</v>
      </c>
      <c r="B16" s="21"/>
      <c r="C16" s="21"/>
      <c r="D16" s="21">
        <f t="shared" ref="D16:L16" si="0">SUM(D5:D15)</f>
        <v>34.075</v>
      </c>
      <c r="E16" s="21">
        <f t="shared" si="0"/>
        <v>0</v>
      </c>
      <c r="F16" s="21">
        <f t="shared" si="0"/>
        <v>0</v>
      </c>
      <c r="G16" s="22">
        <f t="shared" si="0"/>
        <v>12</v>
      </c>
      <c r="H16" s="22">
        <f t="shared" si="0"/>
        <v>0</v>
      </c>
      <c r="I16" s="22">
        <f t="shared" si="0"/>
        <v>0</v>
      </c>
      <c r="J16" s="22">
        <f t="shared" si="0"/>
        <v>42</v>
      </c>
      <c r="K16" s="22">
        <f t="shared" si="0"/>
        <v>0</v>
      </c>
      <c r="L16" s="22">
        <f t="shared" si="0"/>
        <v>0</v>
      </c>
      <c r="M16" s="22"/>
      <c r="N16" s="22"/>
      <c r="O16" s="21"/>
      <c r="P16" s="21"/>
    </row>
  </sheetData>
  <mergeCells count="18">
    <mergeCell ref="A1:P1"/>
    <mergeCell ref="A2:P2"/>
    <mergeCell ref="D3:F3"/>
    <mergeCell ref="G3:I3"/>
    <mergeCell ref="J3:L3"/>
    <mergeCell ref="O3:P3"/>
    <mergeCell ref="A16:C16"/>
    <mergeCell ref="A3:A4"/>
    <mergeCell ref="A8:A15"/>
    <mergeCell ref="B3:B4"/>
    <mergeCell ref="B8:B15"/>
    <mergeCell ref="C3:C4"/>
    <mergeCell ref="M3:M4"/>
    <mergeCell ref="M8:M15"/>
    <mergeCell ref="N3:N4"/>
    <mergeCell ref="N8:N15"/>
    <mergeCell ref="O8:O13"/>
    <mergeCell ref="O14:O15"/>
  </mergeCells>
  <pageMargins left="0.357638888888889" right="0.161111111111111" top="0.409027777777778" bottom="0.409027777777778" header="0.5" footer="0.5"/>
  <pageSetup paperSize="9" scale="63" fitToWidth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陈玫</cp:lastModifiedBy>
  <dcterms:created xsi:type="dcterms:W3CDTF">2006-09-13T11:21:00Z</dcterms:created>
  <dcterms:modified xsi:type="dcterms:W3CDTF">2021-06-04T00:21:04Z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