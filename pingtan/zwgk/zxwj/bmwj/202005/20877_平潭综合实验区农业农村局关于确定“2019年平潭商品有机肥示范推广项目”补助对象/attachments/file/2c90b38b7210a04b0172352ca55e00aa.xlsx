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21000" windowHeight="11670"/>
  </bookViews>
  <sheets>
    <sheet name="Sheet6" sheetId="6" r:id="rId1"/>
  </sheets>
  <calcPr calcId="124519"/>
</workbook>
</file>

<file path=xl/calcChain.xml><?xml version="1.0" encoding="utf-8"?>
<calcChain xmlns="http://schemas.openxmlformats.org/spreadsheetml/2006/main">
  <c r="G12" i="6"/>
  <c r="F12"/>
  <c r="E12"/>
  <c r="D12"/>
  <c r="G11"/>
  <c r="G10"/>
  <c r="G9"/>
  <c r="G8"/>
  <c r="G7"/>
  <c r="G6"/>
  <c r="G5"/>
</calcChain>
</file>

<file path=xl/sharedStrings.xml><?xml version="1.0" encoding="utf-8"?>
<sst xmlns="http://schemas.openxmlformats.org/spreadsheetml/2006/main" count="25" uniqueCount="25">
  <si>
    <t>附件：              2019商品有机肥示范推广项目补贴对象信息一览表</t>
  </si>
  <si>
    <t>单位：平潭综合实验区农业农村发展服务中心</t>
  </si>
  <si>
    <t>申报编号</t>
  </si>
  <si>
    <t>申报对象</t>
  </si>
  <si>
    <t>法人代表</t>
  </si>
  <si>
    <t xml:space="preserve">   承包合同地块面积（亩）</t>
  </si>
  <si>
    <t>有工作人员证明              购买数量（吨）</t>
  </si>
  <si>
    <t>核定补贴面积（亩）</t>
  </si>
  <si>
    <t>核定补贴金额（元）</t>
  </si>
  <si>
    <t>平潭县坪峰农业种植有限公司</t>
  </si>
  <si>
    <t>李元钊</t>
  </si>
  <si>
    <t>平潭县好收成农民专业合作社</t>
  </si>
  <si>
    <t>游天金</t>
  </si>
  <si>
    <t>林辉</t>
  </si>
  <si>
    <t>陈和好</t>
  </si>
  <si>
    <t>福建省平潭县绿升综合农业有限公司</t>
  </si>
  <si>
    <t>施庆</t>
  </si>
  <si>
    <t>林凌志</t>
  </si>
  <si>
    <t>福建省富达生态农业发展有限公司</t>
  </si>
  <si>
    <t>林孙雄</t>
  </si>
  <si>
    <t>合计</t>
  </si>
  <si>
    <t>说明：补贴标准按施用商品有机肥量达到250公斤/亩以上，每亩给予补贴100元。</t>
  </si>
  <si>
    <t>平潭县绿绿鑫蔬果农民专业合作社</t>
    <phoneticPr fontId="5" type="noConversion"/>
  </si>
  <si>
    <t>平潭综合实验区润兰农业发展有限公司</t>
    <phoneticPr fontId="5" type="noConversion"/>
  </si>
  <si>
    <t>平潭县金辉农民专业合作社</t>
    <phoneticPr fontId="5" type="noConversion"/>
  </si>
</sst>
</file>

<file path=xl/styles.xml><?xml version="1.0" encoding="utf-8"?>
<styleSheet xmlns="http://schemas.openxmlformats.org/spreadsheetml/2006/main">
  <fonts count="6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FC14"/>
  <sheetViews>
    <sheetView tabSelected="1" workbookViewId="0">
      <selection activeCell="B7" sqref="B7"/>
    </sheetView>
  </sheetViews>
  <sheetFormatPr defaultColWidth="9" defaultRowHeight="18" customHeight="1"/>
  <cols>
    <col min="1" max="1" width="10" style="2" customWidth="1"/>
    <col min="2" max="2" width="32.75" style="2" customWidth="1"/>
    <col min="3" max="3" width="14.875" style="2" customWidth="1"/>
    <col min="4" max="4" width="17.625" style="2" customWidth="1"/>
    <col min="5" max="5" width="18" style="2" customWidth="1"/>
    <col min="6" max="6" width="17.5" style="2" customWidth="1"/>
    <col min="7" max="7" width="17" style="2" customWidth="1"/>
    <col min="8" max="16383" width="9" style="2"/>
    <col min="16384" max="16384" width="9" style="4"/>
  </cols>
  <sheetData>
    <row r="1" spans="1:7" s="1" customFormat="1" ht="33" customHeight="1">
      <c r="A1" s="12" t="s">
        <v>0</v>
      </c>
      <c r="B1" s="12"/>
      <c r="C1" s="12"/>
      <c r="D1" s="12"/>
      <c r="E1" s="12"/>
      <c r="F1" s="12"/>
      <c r="G1" s="12"/>
    </row>
    <row r="2" spans="1:7" s="2" customFormat="1" ht="33" customHeight="1">
      <c r="A2" s="12"/>
      <c r="B2" s="12"/>
      <c r="C2" s="12"/>
      <c r="D2" s="12"/>
      <c r="E2" s="12"/>
      <c r="F2" s="12"/>
      <c r="G2" s="12"/>
    </row>
    <row r="3" spans="1:7" s="3" customFormat="1" ht="33" customHeight="1">
      <c r="A3" s="9" t="s">
        <v>1</v>
      </c>
      <c r="B3" s="9"/>
      <c r="C3" s="9"/>
      <c r="D3" s="9"/>
      <c r="E3" s="9"/>
      <c r="F3" s="9"/>
      <c r="G3" s="9"/>
    </row>
    <row r="4" spans="1:7" s="2" customFormat="1" ht="33" customHeight="1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</row>
    <row r="5" spans="1:7" s="2" customFormat="1" ht="33" customHeight="1">
      <c r="A5" s="5">
        <v>1</v>
      </c>
      <c r="B5" s="6" t="s">
        <v>9</v>
      </c>
      <c r="C5" s="5" t="s">
        <v>10</v>
      </c>
      <c r="D5" s="5">
        <v>445</v>
      </c>
      <c r="E5" s="5">
        <v>86.5</v>
      </c>
      <c r="F5" s="5">
        <v>314</v>
      </c>
      <c r="G5" s="5">
        <f t="shared" ref="G5:G12" si="0">F5*100</f>
        <v>31400</v>
      </c>
    </row>
    <row r="6" spans="1:7" s="2" customFormat="1" ht="33" customHeight="1">
      <c r="A6" s="5">
        <v>2</v>
      </c>
      <c r="B6" s="7" t="s">
        <v>11</v>
      </c>
      <c r="C6" s="8" t="s">
        <v>12</v>
      </c>
      <c r="D6" s="8">
        <v>450</v>
      </c>
      <c r="E6" s="8">
        <v>103</v>
      </c>
      <c r="F6" s="8">
        <v>332</v>
      </c>
      <c r="G6" s="5">
        <f t="shared" si="0"/>
        <v>33200</v>
      </c>
    </row>
    <row r="7" spans="1:7" s="2" customFormat="1" ht="33" customHeight="1">
      <c r="A7" s="5">
        <v>3</v>
      </c>
      <c r="B7" s="6" t="s">
        <v>24</v>
      </c>
      <c r="C7" s="5" t="s">
        <v>13</v>
      </c>
      <c r="D7" s="5">
        <v>1050</v>
      </c>
      <c r="E7" s="5">
        <v>103.8</v>
      </c>
      <c r="F7" s="5">
        <v>401</v>
      </c>
      <c r="G7" s="5">
        <f t="shared" si="0"/>
        <v>40100</v>
      </c>
    </row>
    <row r="8" spans="1:7" s="2" customFormat="1" ht="33" customHeight="1">
      <c r="A8" s="5">
        <v>4</v>
      </c>
      <c r="B8" s="7" t="s">
        <v>22</v>
      </c>
      <c r="C8" s="8" t="s">
        <v>14</v>
      </c>
      <c r="D8" s="8">
        <v>2088</v>
      </c>
      <c r="E8" s="8">
        <v>436.7</v>
      </c>
      <c r="F8" s="8">
        <v>1616</v>
      </c>
      <c r="G8" s="5">
        <f t="shared" si="0"/>
        <v>161600</v>
      </c>
    </row>
    <row r="9" spans="1:7" s="2" customFormat="1" ht="33" customHeight="1">
      <c r="A9" s="5">
        <v>7</v>
      </c>
      <c r="B9" s="7" t="s">
        <v>15</v>
      </c>
      <c r="C9" s="8" t="s">
        <v>16</v>
      </c>
      <c r="D9" s="8">
        <v>1504</v>
      </c>
      <c r="E9" s="5">
        <v>60</v>
      </c>
      <c r="F9" s="5">
        <v>240</v>
      </c>
      <c r="G9" s="5">
        <f t="shared" si="0"/>
        <v>24000</v>
      </c>
    </row>
    <row r="10" spans="1:7" s="2" customFormat="1" ht="33" customHeight="1">
      <c r="A10" s="5">
        <v>8</v>
      </c>
      <c r="B10" s="7" t="s">
        <v>23</v>
      </c>
      <c r="C10" s="8" t="s">
        <v>17</v>
      </c>
      <c r="D10" s="8">
        <v>100</v>
      </c>
      <c r="E10" s="5">
        <v>35.799999999999997</v>
      </c>
      <c r="F10" s="5">
        <v>57</v>
      </c>
      <c r="G10" s="5">
        <f t="shared" si="0"/>
        <v>5700</v>
      </c>
    </row>
    <row r="11" spans="1:7" s="2" customFormat="1" ht="33" customHeight="1">
      <c r="A11" s="5">
        <v>9</v>
      </c>
      <c r="B11" s="7" t="s">
        <v>18</v>
      </c>
      <c r="C11" s="8" t="s">
        <v>19</v>
      </c>
      <c r="D11" s="8">
        <v>456</v>
      </c>
      <c r="E11" s="5">
        <v>112.5</v>
      </c>
      <c r="F11" s="5">
        <v>440</v>
      </c>
      <c r="G11" s="5">
        <f t="shared" si="0"/>
        <v>44000</v>
      </c>
    </row>
    <row r="12" spans="1:7" s="2" customFormat="1" ht="33" customHeight="1">
      <c r="A12" s="10" t="s">
        <v>20</v>
      </c>
      <c r="B12" s="10"/>
      <c r="C12" s="5"/>
      <c r="D12" s="5">
        <f t="shared" ref="D12:F12" si="1">SUM(D5:D11)</f>
        <v>6093</v>
      </c>
      <c r="E12" s="5">
        <f t="shared" si="1"/>
        <v>938.3</v>
      </c>
      <c r="F12" s="5">
        <f t="shared" si="1"/>
        <v>3400</v>
      </c>
      <c r="G12" s="5">
        <f t="shared" si="0"/>
        <v>340000</v>
      </c>
    </row>
    <row r="13" spans="1:7" s="2" customFormat="1" ht="33" customHeight="1">
      <c r="A13" s="11" t="s">
        <v>21</v>
      </c>
      <c r="B13" s="11"/>
      <c r="C13" s="11"/>
      <c r="D13" s="11"/>
      <c r="E13" s="11"/>
      <c r="F13" s="11"/>
      <c r="G13" s="11"/>
    </row>
    <row r="14" spans="1:7" s="2" customFormat="1" ht="18" customHeight="1"/>
  </sheetData>
  <mergeCells count="4">
    <mergeCell ref="A3:G3"/>
    <mergeCell ref="A12:B12"/>
    <mergeCell ref="A13:G13"/>
    <mergeCell ref="A1:G2"/>
  </mergeCells>
  <phoneticPr fontId="5" type="noConversion"/>
  <pageMargins left="0.70866141732283505" right="0.70866141732283505" top="0.74803149606299202" bottom="0.74803149606299202" header="0.31496062992126" footer="0.31496062992126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2020-03-11T08:20:10Z</cp:lastPrinted>
  <dcterms:created xsi:type="dcterms:W3CDTF">2006-09-13T11:21:00Z</dcterms:created>
  <dcterms:modified xsi:type="dcterms:W3CDTF">2020-03-11T08:22:44Z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2052-11.1.0.9339</vt:lpwstr>
  </property>
</Properties>
</file>