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u" sheetId="1" r:id="rId1"/>
  </sheets>
  <definedNames>
    <definedName name="_xlnm.Print_Titles" localSheetId="0">su!$4:$4</definedName>
  </definedNames>
  <calcPr calcId="144525"/>
</workbook>
</file>

<file path=xl/sharedStrings.xml><?xml version="1.0" encoding="utf-8"?>
<sst xmlns="http://schemas.openxmlformats.org/spreadsheetml/2006/main" count="47" uniqueCount="47">
  <si>
    <t>附件</t>
  </si>
  <si>
    <t>苏平片区土地确权档案缺件未收集汇总表</t>
  </si>
  <si>
    <t>填制时间：2020年2月27日</t>
  </si>
  <si>
    <t>序号</t>
  </si>
  <si>
    <t>原属
乡镇</t>
  </si>
  <si>
    <t>村 名</t>
  </si>
  <si>
    <t>缺少身份证（件）</t>
  </si>
  <si>
    <t>缺少户口本
（件）</t>
  </si>
  <si>
    <t>总数
（件）</t>
  </si>
  <si>
    <t>完成收集
（件）</t>
  </si>
  <si>
    <t>未完成收集
（件）</t>
  </si>
  <si>
    <t>屿头</t>
  </si>
  <si>
    <t>旺宾村</t>
  </si>
  <si>
    <t>田下村</t>
  </si>
  <si>
    <t>东珠村</t>
  </si>
  <si>
    <t>东金村</t>
  </si>
  <si>
    <t>屿北村</t>
  </si>
  <si>
    <t>大练</t>
  </si>
  <si>
    <t>月举村</t>
  </si>
  <si>
    <t>围东村</t>
  </si>
  <si>
    <t>立新村</t>
  </si>
  <si>
    <t>瑞洋村</t>
  </si>
  <si>
    <t>秀礁村</t>
  </si>
  <si>
    <t>西礁村</t>
  </si>
  <si>
    <t>苏澳</t>
  </si>
  <si>
    <t>斗魁村</t>
  </si>
  <si>
    <t>梧峰村</t>
  </si>
  <si>
    <t>五一村</t>
  </si>
  <si>
    <t>下苏澳</t>
  </si>
  <si>
    <t>友谊村</t>
  </si>
  <si>
    <t xml:space="preserve">平原
</t>
  </si>
  <si>
    <t>剑湖村</t>
  </si>
  <si>
    <t>上攀村</t>
  </si>
  <si>
    <t>榕山村</t>
  </si>
  <si>
    <t>山显美村</t>
  </si>
  <si>
    <t>梧凤村</t>
  </si>
  <si>
    <t>燎原村</t>
  </si>
  <si>
    <t>红卫村</t>
  </si>
  <si>
    <t>平原村</t>
  </si>
  <si>
    <t>江楼村</t>
  </si>
  <si>
    <t>半山村</t>
  </si>
  <si>
    <t>瓦瑶村</t>
  </si>
  <si>
    <t xml:space="preserve">白青
</t>
  </si>
  <si>
    <t>青峰村</t>
  </si>
  <si>
    <t>国彩村</t>
  </si>
  <si>
    <t>东占村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</si>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</sst>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name val="方正小标宋简体"/>
      <charset val="134"/>
    </font>
    <font>
      <sz val="15"/>
      <name val="宋体"/>
      <charset val="134"/>
    </font>
    <font>
      <b/>
      <sz val="12"/>
      <name val="黑体"/>
      <charset val="134"/>
    </font>
    <font>
      <sz val="9"/>
      <color theme="1"/>
      <name val="宋体"/>
      <charset val="134"/>
      <scheme val="minor"/>
    </font>
    <font>
      <sz val="14"/>
      <name val="宋体"/>
      <charset val="134"/>
    </font>
    <font>
      <sz val="14"/>
      <name val="仿宋_GB2312"/>
      <charset val="134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4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6" fillId="30" borderId="11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31" fontId="3" fillId="0" borderId="0" xfId="0" applyNumberFormat="1" applyFont="1" applyFill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31" fontId="3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view="pageBreakPreview" zoomScaleNormal="100" zoomScaleSheetLayoutView="100" topLeftCell="A17" workbookViewId="0">
      <selection activeCell="E25" sqref="E25"/>
    </sheetView>
  </sheetViews>
  <sheetFormatPr defaultColWidth="9" defaultRowHeight="13.5"/>
  <cols>
    <col min="1" max="1" width="7.375" customWidth="1"/>
    <col min="2" max="2" width="7.875" customWidth="1"/>
    <col min="3" max="3" width="12.5" customWidth="1"/>
    <col min="4" max="4" width="13" customWidth="1"/>
    <col min="5" max="5" width="12.25" customWidth="1"/>
    <col min="6" max="6" width="10.375" customWidth="1"/>
    <col min="7" max="7" width="12.625" customWidth="1"/>
    <col min="8" max="8" width="11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1"/>
    </row>
    <row r="2" ht="43" customHeight="1" spans="1:9">
      <c r="A2" s="2" t="s">
        <v>1</v>
      </c>
      <c r="B2" s="2"/>
      <c r="C2" s="2"/>
      <c r="D2" s="2"/>
      <c r="E2" s="2"/>
      <c r="F2" s="2"/>
      <c r="G2" s="2"/>
      <c r="H2" s="2"/>
      <c r="I2" s="18"/>
    </row>
    <row r="3" ht="27" customHeight="1" spans="1:9">
      <c r="A3" s="3" t="s">
        <v>2</v>
      </c>
      <c r="B3" s="3"/>
      <c r="C3" s="3"/>
      <c r="D3" s="3"/>
      <c r="E3" s="3"/>
      <c r="F3" s="3"/>
      <c r="G3" s="3"/>
      <c r="H3" s="3"/>
      <c r="I3" s="19"/>
    </row>
    <row r="4" ht="45" customHeight="1" spans="1:9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3"/>
    </row>
    <row r="5" ht="23.75" customHeight="1" spans="1:8">
      <c r="A5" s="6">
        <v>1</v>
      </c>
      <c r="B5" s="7" t="s">
        <v>11</v>
      </c>
      <c r="C5" s="8" t="s">
        <v>12</v>
      </c>
      <c r="D5" s="9">
        <v>192</v>
      </c>
      <c r="E5" s="9">
        <v>171</v>
      </c>
      <c r="F5" s="9">
        <f>SUM(D5+E5)</f>
        <v>363</v>
      </c>
      <c r="G5" s="9">
        <v>312</v>
      </c>
      <c r="H5" s="9">
        <f>F5-G5</f>
        <v>51</v>
      </c>
    </row>
    <row r="6" ht="23.75" customHeight="1" spans="1:8">
      <c r="A6" s="6">
        <v>2</v>
      </c>
      <c r="B6" s="7"/>
      <c r="C6" s="8" t="s">
        <v>13</v>
      </c>
      <c r="D6" s="9">
        <v>39</v>
      </c>
      <c r="E6" s="9">
        <v>24</v>
      </c>
      <c r="F6" s="9">
        <f>SUM(D6+E6)</f>
        <v>63</v>
      </c>
      <c r="G6" s="9">
        <v>45</v>
      </c>
      <c r="H6" s="9">
        <f>F6-G6</f>
        <v>18</v>
      </c>
    </row>
    <row r="7" ht="23.75" customHeight="1" spans="1:8">
      <c r="A7" s="6">
        <v>3</v>
      </c>
      <c r="B7" s="7"/>
      <c r="C7" s="8" t="s">
        <v>14</v>
      </c>
      <c r="D7" s="9">
        <v>12</v>
      </c>
      <c r="E7" s="9">
        <v>10</v>
      </c>
      <c r="F7" s="9">
        <f>SUM(D7+E7)</f>
        <v>22</v>
      </c>
      <c r="G7" s="9">
        <v>22</v>
      </c>
      <c r="H7" s="9">
        <f>F7-G7</f>
        <v>0</v>
      </c>
    </row>
    <row r="8" ht="23.75" customHeight="1" spans="1:8">
      <c r="A8" s="6">
        <v>4</v>
      </c>
      <c r="B8" s="7"/>
      <c r="C8" s="8" t="s">
        <v>15</v>
      </c>
      <c r="D8" s="9">
        <v>83</v>
      </c>
      <c r="E8" s="9">
        <v>32</v>
      </c>
      <c r="F8" s="9">
        <f>SUM(D8+E8)</f>
        <v>115</v>
      </c>
      <c r="G8" s="9">
        <v>98</v>
      </c>
      <c r="H8" s="9">
        <f>F8-G8</f>
        <v>17</v>
      </c>
    </row>
    <row r="9" ht="23.75" customHeight="1" spans="1:8">
      <c r="A9" s="6">
        <v>5</v>
      </c>
      <c r="B9" s="7"/>
      <c r="C9" s="8" t="s">
        <v>16</v>
      </c>
      <c r="D9" s="9">
        <v>203</v>
      </c>
      <c r="E9" s="9">
        <v>179</v>
      </c>
      <c r="F9" s="9">
        <f>SUM(D9+E9)</f>
        <v>382</v>
      </c>
      <c r="G9" s="9">
        <v>264</v>
      </c>
      <c r="H9" s="9">
        <f>F9-G9</f>
        <v>118</v>
      </c>
    </row>
    <row r="10" ht="23.75" customHeight="1" spans="1:8">
      <c r="A10" s="6">
        <v>6</v>
      </c>
      <c r="B10" s="10" t="s">
        <v>17</v>
      </c>
      <c r="C10" s="11" t="s">
        <v>18</v>
      </c>
      <c r="D10" s="9">
        <v>60</v>
      </c>
      <c r="E10" s="9">
        <v>45</v>
      </c>
      <c r="F10" s="9">
        <f>SUM(D10+E10)</f>
        <v>105</v>
      </c>
      <c r="G10" s="12">
        <v>89</v>
      </c>
      <c r="H10" s="9">
        <f>F10-G10</f>
        <v>16</v>
      </c>
    </row>
    <row r="11" ht="23.75" customHeight="1" spans="1:8">
      <c r="A11" s="6">
        <v>7</v>
      </c>
      <c r="B11" s="7"/>
      <c r="C11" s="11" t="s">
        <v>19</v>
      </c>
      <c r="D11" s="9">
        <v>18</v>
      </c>
      <c r="E11" s="9">
        <v>34</v>
      </c>
      <c r="F11" s="9">
        <f>SUM(D11+E11)</f>
        <v>52</v>
      </c>
      <c r="G11" s="12">
        <v>30</v>
      </c>
      <c r="H11" s="9">
        <f>F11-G11</f>
        <v>22</v>
      </c>
    </row>
    <row r="12" ht="23.75" customHeight="1" spans="1:8">
      <c r="A12" s="6">
        <v>8</v>
      </c>
      <c r="B12" s="7"/>
      <c r="C12" s="11" t="s">
        <v>20</v>
      </c>
      <c r="D12" s="9">
        <v>40</v>
      </c>
      <c r="E12" s="9">
        <v>38</v>
      </c>
      <c r="F12" s="9">
        <f>SUM(D12+E12)</f>
        <v>78</v>
      </c>
      <c r="G12" s="12">
        <v>35</v>
      </c>
      <c r="H12" s="9">
        <f>F12-G12</f>
        <v>43</v>
      </c>
    </row>
    <row r="13" ht="23.75" customHeight="1" spans="1:8">
      <c r="A13" s="6">
        <v>9</v>
      </c>
      <c r="B13" s="7"/>
      <c r="C13" s="11" t="s">
        <v>21</v>
      </c>
      <c r="D13" s="9">
        <v>93</v>
      </c>
      <c r="E13" s="9">
        <v>87</v>
      </c>
      <c r="F13" s="9">
        <f>SUM(D13+E13)</f>
        <v>180</v>
      </c>
      <c r="G13" s="12">
        <v>176</v>
      </c>
      <c r="H13" s="9">
        <f>F13-G13</f>
        <v>4</v>
      </c>
    </row>
    <row r="14" ht="23.75" customHeight="1" spans="1:8">
      <c r="A14" s="6">
        <v>10</v>
      </c>
      <c r="B14" s="7"/>
      <c r="C14" s="11" t="s">
        <v>22</v>
      </c>
      <c r="D14" s="9">
        <v>12</v>
      </c>
      <c r="E14" s="9">
        <v>3</v>
      </c>
      <c r="F14" s="9">
        <f>SUM(D14+E14)</f>
        <v>15</v>
      </c>
      <c r="G14" s="12">
        <v>9</v>
      </c>
      <c r="H14" s="9">
        <f>F14-G14</f>
        <v>6</v>
      </c>
    </row>
    <row r="15" ht="23.75" customHeight="1" spans="1:8">
      <c r="A15" s="6">
        <v>11</v>
      </c>
      <c r="B15" s="13"/>
      <c r="C15" s="11" t="s">
        <v>23</v>
      </c>
      <c r="D15" s="9">
        <v>80</v>
      </c>
      <c r="E15" s="9">
        <v>68</v>
      </c>
      <c r="F15" s="9">
        <f>SUM(D15+E15)</f>
        <v>148</v>
      </c>
      <c r="G15" s="12">
        <v>100</v>
      </c>
      <c r="H15" s="9">
        <f>F15-G15</f>
        <v>48</v>
      </c>
    </row>
    <row r="16" ht="23.75" customHeight="1" spans="1:8">
      <c r="A16" s="6">
        <v>12</v>
      </c>
      <c r="B16" s="10" t="s">
        <v>24</v>
      </c>
      <c r="C16" s="14" t="s">
        <v>25</v>
      </c>
      <c r="D16" s="9">
        <v>354</v>
      </c>
      <c r="E16" s="9">
        <v>355</v>
      </c>
      <c r="F16" s="9">
        <f>SUM(D16+E16)</f>
        <v>709</v>
      </c>
      <c r="G16" s="12">
        <v>609</v>
      </c>
      <c r="H16" s="9">
        <f>F16-G16</f>
        <v>100</v>
      </c>
    </row>
    <row r="17" ht="23.75" customHeight="1" spans="1:8">
      <c r="A17" s="6">
        <v>13</v>
      </c>
      <c r="B17" s="7"/>
      <c r="C17" s="14" t="s">
        <v>26</v>
      </c>
      <c r="D17" s="9">
        <v>38</v>
      </c>
      <c r="E17" s="9">
        <v>31</v>
      </c>
      <c r="F17" s="9">
        <f>SUM(D17+E17)</f>
        <v>69</v>
      </c>
      <c r="G17" s="12">
        <v>66</v>
      </c>
      <c r="H17" s="9">
        <f>F17-G17</f>
        <v>3</v>
      </c>
    </row>
    <row r="18" ht="23.75" customHeight="1" spans="1:8">
      <c r="A18" s="6">
        <v>14</v>
      </c>
      <c r="B18" s="7"/>
      <c r="C18" s="14" t="s">
        <v>27</v>
      </c>
      <c r="D18" s="9">
        <v>145</v>
      </c>
      <c r="E18" s="9">
        <v>112</v>
      </c>
      <c r="F18" s="9">
        <f>SUM(D18+E18)</f>
        <v>257</v>
      </c>
      <c r="G18" s="12">
        <v>0</v>
      </c>
      <c r="H18" s="9">
        <f>F18-G18</f>
        <v>257</v>
      </c>
    </row>
    <row r="19" ht="23.75" customHeight="1" spans="1:8">
      <c r="A19" s="6">
        <v>15</v>
      </c>
      <c r="B19" s="7"/>
      <c r="C19" s="14" t="s">
        <v>28</v>
      </c>
      <c r="D19" s="9">
        <v>238</v>
      </c>
      <c r="E19" s="9">
        <v>239</v>
      </c>
      <c r="F19" s="9">
        <f>SUM(D19+E19)</f>
        <v>477</v>
      </c>
      <c r="G19" s="12">
        <v>465</v>
      </c>
      <c r="H19" s="9">
        <f>F19-G19</f>
        <v>12</v>
      </c>
    </row>
    <row r="20" ht="23.75" customHeight="1" spans="1:8">
      <c r="A20" s="6">
        <v>16</v>
      </c>
      <c r="B20" s="7"/>
      <c r="C20" s="14" t="s">
        <v>29</v>
      </c>
      <c r="D20" s="9">
        <v>82</v>
      </c>
      <c r="E20" s="9">
        <v>66</v>
      </c>
      <c r="F20" s="9">
        <f>SUM(D20+E20)</f>
        <v>148</v>
      </c>
      <c r="G20" s="12">
        <v>101</v>
      </c>
      <c r="H20" s="9">
        <f>F20-G20</f>
        <v>47</v>
      </c>
    </row>
    <row r="21" ht="23.75" customHeight="1" spans="1:8">
      <c r="A21" s="6">
        <v>17</v>
      </c>
      <c r="B21" s="15" t="s">
        <v>30</v>
      </c>
      <c r="C21" s="14" t="s">
        <v>31</v>
      </c>
      <c r="D21" s="9">
        <v>98</v>
      </c>
      <c r="E21" s="9">
        <v>96</v>
      </c>
      <c r="F21" s="9">
        <f>SUM(D21+E21)</f>
        <v>194</v>
      </c>
      <c r="G21" s="9">
        <v>0</v>
      </c>
      <c r="H21" s="9">
        <f>F21-G21</f>
        <v>194</v>
      </c>
    </row>
    <row r="22" ht="23.75" customHeight="1" spans="1:8">
      <c r="A22" s="6">
        <v>18</v>
      </c>
      <c r="B22" s="7"/>
      <c r="C22" s="14" t="s">
        <v>32</v>
      </c>
      <c r="D22" s="9">
        <v>186</v>
      </c>
      <c r="E22" s="9">
        <v>157</v>
      </c>
      <c r="F22" s="9">
        <f>SUM(D22+E22)</f>
        <v>343</v>
      </c>
      <c r="G22" s="12">
        <v>144</v>
      </c>
      <c r="H22" s="9">
        <f>F22-G22</f>
        <v>199</v>
      </c>
    </row>
    <row r="23" ht="23.75" customHeight="1" spans="1:8">
      <c r="A23" s="6">
        <v>19</v>
      </c>
      <c r="B23" s="7"/>
      <c r="C23" s="14" t="s">
        <v>33</v>
      </c>
      <c r="D23" s="9">
        <v>74</v>
      </c>
      <c r="E23" s="9">
        <v>67</v>
      </c>
      <c r="F23" s="9">
        <f>SUM(D23+E23)</f>
        <v>141</v>
      </c>
      <c r="G23" s="16">
        <v>140</v>
      </c>
      <c r="H23" s="9">
        <f>F23-G23</f>
        <v>1</v>
      </c>
    </row>
    <row r="24" ht="23.75" customHeight="1" spans="1:8">
      <c r="A24" s="6">
        <v>20</v>
      </c>
      <c r="B24" s="7"/>
      <c r="C24" s="14" t="s">
        <v>34</v>
      </c>
      <c r="D24" s="9">
        <v>140</v>
      </c>
      <c r="E24" s="9">
        <v>114</v>
      </c>
      <c r="F24" s="9">
        <f>SUM(D24+E24)</f>
        <v>254</v>
      </c>
      <c r="G24" s="12">
        <v>220</v>
      </c>
      <c r="H24" s="9">
        <f>F24-G24</f>
        <v>34</v>
      </c>
    </row>
    <row r="25" ht="23.75" customHeight="1" spans="1:8">
      <c r="A25" s="6">
        <v>21</v>
      </c>
      <c r="B25" s="7"/>
      <c r="C25" s="14" t="s">
        <v>35</v>
      </c>
      <c r="D25" s="9">
        <v>482</v>
      </c>
      <c r="E25" s="9">
        <v>482</v>
      </c>
      <c r="F25" s="9">
        <f>SUM(D25+E25)</f>
        <v>964</v>
      </c>
      <c r="G25" s="12">
        <v>534</v>
      </c>
      <c r="H25" s="9">
        <f>F25-G25</f>
        <v>430</v>
      </c>
    </row>
    <row r="26" ht="23.75" customHeight="1" spans="1:8">
      <c r="A26" s="6">
        <v>22</v>
      </c>
      <c r="B26" s="7"/>
      <c r="C26" s="14" t="s">
        <v>36</v>
      </c>
      <c r="D26" s="9">
        <v>68</v>
      </c>
      <c r="E26" s="9">
        <v>56</v>
      </c>
      <c r="F26" s="9">
        <f>SUM(D26+E26)</f>
        <v>124</v>
      </c>
      <c r="G26" s="12">
        <v>40</v>
      </c>
      <c r="H26" s="9">
        <f>F26-G26</f>
        <v>84</v>
      </c>
    </row>
    <row r="27" ht="23.75" customHeight="1" spans="1:8">
      <c r="A27" s="6">
        <v>23</v>
      </c>
      <c r="B27" s="7"/>
      <c r="C27" s="14" t="s">
        <v>37</v>
      </c>
      <c r="D27" s="9">
        <v>131</v>
      </c>
      <c r="E27" s="9">
        <v>122</v>
      </c>
      <c r="F27" s="9">
        <f>SUM(D27+E27)</f>
        <v>253</v>
      </c>
      <c r="G27" s="12">
        <v>190</v>
      </c>
      <c r="H27" s="9">
        <f>F27-G27</f>
        <v>63</v>
      </c>
    </row>
    <row r="28" ht="23.75" customHeight="1" spans="1:8">
      <c r="A28" s="6">
        <v>24</v>
      </c>
      <c r="B28" s="7"/>
      <c r="C28" s="14" t="s">
        <v>38</v>
      </c>
      <c r="D28" s="9">
        <v>138</v>
      </c>
      <c r="E28" s="9">
        <v>133</v>
      </c>
      <c r="F28" s="9">
        <f>SUM(D28+E28)</f>
        <v>271</v>
      </c>
      <c r="G28" s="12">
        <v>0</v>
      </c>
      <c r="H28" s="9">
        <f>F28-G28</f>
        <v>271</v>
      </c>
    </row>
    <row r="29" ht="23.75" customHeight="1" spans="1:8">
      <c r="A29" s="6">
        <v>25</v>
      </c>
      <c r="B29" s="7"/>
      <c r="C29" s="14" t="s">
        <v>39</v>
      </c>
      <c r="D29" s="9">
        <v>677</v>
      </c>
      <c r="E29" s="9">
        <v>677</v>
      </c>
      <c r="F29" s="9">
        <f>SUM(D29+E29)</f>
        <v>1354</v>
      </c>
      <c r="G29" s="12">
        <v>566</v>
      </c>
      <c r="H29" s="9">
        <f>F29-G29</f>
        <v>788</v>
      </c>
    </row>
    <row r="30" ht="23.75" customHeight="1" spans="1:8">
      <c r="A30" s="6">
        <v>26</v>
      </c>
      <c r="B30" s="7"/>
      <c r="C30" s="14" t="s">
        <v>40</v>
      </c>
      <c r="D30" s="9">
        <v>174</v>
      </c>
      <c r="E30" s="9">
        <v>174</v>
      </c>
      <c r="F30" s="9">
        <f>SUM(D30+E30)</f>
        <v>348</v>
      </c>
      <c r="G30" s="12">
        <v>0</v>
      </c>
      <c r="H30" s="9">
        <f>F30-G30</f>
        <v>348</v>
      </c>
    </row>
    <row r="31" ht="23.75" customHeight="1" spans="1:8">
      <c r="A31" s="6">
        <v>27</v>
      </c>
      <c r="B31" s="13"/>
      <c r="C31" s="14" t="s">
        <v>41</v>
      </c>
      <c r="D31" s="9">
        <v>89</v>
      </c>
      <c r="E31" s="9">
        <v>210</v>
      </c>
      <c r="F31" s="9">
        <f>SUM(D31+E31)</f>
        <v>299</v>
      </c>
      <c r="G31" s="12">
        <v>291</v>
      </c>
      <c r="H31" s="9">
        <f>F31-G31</f>
        <v>8</v>
      </c>
    </row>
    <row r="32" ht="23.75" customHeight="1" spans="1:8">
      <c r="A32" s="6">
        <v>28</v>
      </c>
      <c r="B32" s="15" t="s">
        <v>42</v>
      </c>
      <c r="C32" s="8" t="s">
        <v>43</v>
      </c>
      <c r="D32" s="9">
        <v>47</v>
      </c>
      <c r="E32" s="9">
        <v>379</v>
      </c>
      <c r="F32" s="9">
        <f>SUM(D32+E32)</f>
        <v>426</v>
      </c>
      <c r="G32" s="9">
        <v>386</v>
      </c>
      <c r="H32" s="9">
        <f>F32-G32</f>
        <v>40</v>
      </c>
    </row>
    <row r="33" ht="23.75" customHeight="1" spans="1:8">
      <c r="A33" s="6">
        <v>29</v>
      </c>
      <c r="B33" s="7"/>
      <c r="C33" s="8" t="s">
        <v>44</v>
      </c>
      <c r="D33" s="9">
        <v>38</v>
      </c>
      <c r="E33" s="9">
        <v>36</v>
      </c>
      <c r="F33" s="9">
        <f>SUM(D33+E33)</f>
        <v>74</v>
      </c>
      <c r="G33" s="9">
        <v>70</v>
      </c>
      <c r="H33" s="9">
        <f>F33-G33</f>
        <v>4</v>
      </c>
    </row>
    <row r="34" ht="23.75" customHeight="1" spans="1:8">
      <c r="A34" s="6">
        <v>30</v>
      </c>
      <c r="B34" s="7"/>
      <c r="C34" s="8" t="s">
        <v>45</v>
      </c>
      <c r="D34" s="9">
        <v>83</v>
      </c>
      <c r="E34" s="9">
        <v>65</v>
      </c>
      <c r="F34" s="9">
        <f>SUM(D34+E34)</f>
        <v>148</v>
      </c>
      <c r="G34" s="9">
        <v>146</v>
      </c>
      <c r="H34" s="9">
        <f>F34-G34</f>
        <v>2</v>
      </c>
    </row>
    <row r="35" ht="23" customHeight="1" spans="1:8">
      <c r="A35" s="17" t="s">
        <v>46</v>
      </c>
      <c r="B35" s="17"/>
      <c r="C35" s="17"/>
      <c r="D35" s="9">
        <f>SUM(D5:D34)</f>
        <v>4114</v>
      </c>
      <c r="E35" s="9">
        <f>SUM(E5:E34)</f>
        <v>4262</v>
      </c>
      <c r="F35" s="9">
        <f>SUM(F5:F34)</f>
        <v>8376</v>
      </c>
      <c r="G35" s="9">
        <f>SUM(G5:G34)</f>
        <v>5148</v>
      </c>
      <c r="H35" s="9">
        <f>F35-G35</f>
        <v>3228</v>
      </c>
    </row>
  </sheetData>
  <mergeCells count="9">
    <mergeCell ref="A1:H1"/>
    <mergeCell ref="A2:H2"/>
    <mergeCell ref="A3:H3"/>
    <mergeCell ref="A35:C35"/>
    <mergeCell ref="B5:B9"/>
    <mergeCell ref="B10:B15"/>
    <mergeCell ref="B16:B20"/>
    <mergeCell ref="B21:B31"/>
    <mergeCell ref="B32:B34"/>
  </mergeCells>
  <printOptions horizontalCentered="1"/>
  <pageMargins left="0.700694444444445" right="0.700694444444445" top="0.751388888888889" bottom="0.751388888888889" header="0.297916666666667" footer="0.297916666666667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林齐鹏</cp:lastModifiedBy>
  <dcterms:created xsi:type="dcterms:W3CDTF">2019-11-23T07:49:00Z</dcterms:created>
  <dcterms:modified xsi:type="dcterms:W3CDTF">2020-03-02T03:23:01Z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